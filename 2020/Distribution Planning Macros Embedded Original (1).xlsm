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Collection to Date" sheetId="1" r:id="rId5"/>
    <sheet state="visible" name="Distribution to Date" sheetId="2" r:id="rId6"/>
    <sheet state="visible" name="Survey Results" sheetId="3" r:id="rId7"/>
    <sheet state="visible" name="Sheet2" sheetId="4" r:id="rId8"/>
    <sheet state="visible" name="Assessment of Need" sheetId="5" r:id="rId9"/>
  </sheets>
  <definedNames>
    <definedName hidden="1" localSheetId="4" name="_xlnm._FilterDatabase">'Assessment of Need'!$A$3:$CP$48</definedName>
  </definedNames>
  <calcPr/>
  <extLst>
    <ext uri="GoogleSheetsCustomDataVersion2">
      <go:sheetsCustomData xmlns:go="http://customooxmlschemas.google.com/" r:id="rId10" roundtripDataChecksum="DBjJom7ienBTgKJIlVOYp0v/23lQdQpVlFWOfXTELY0="/>
    </ext>
  </extLst>
</workbook>
</file>

<file path=xl/sharedStrings.xml><?xml version="1.0" encoding="utf-8"?>
<sst xmlns="http://schemas.openxmlformats.org/spreadsheetml/2006/main" count="5850" uniqueCount="705">
  <si>
    <t>Updated</t>
  </si>
  <si>
    <t>Received</t>
  </si>
  <si>
    <t>Source</t>
  </si>
  <si>
    <t>Pads</t>
  </si>
  <si>
    <t>Tampons</t>
  </si>
  <si>
    <t>Liners</t>
  </si>
  <si>
    <t>Wipes</t>
  </si>
  <si>
    <t>Reusable Pads</t>
  </si>
  <si>
    <t>Reusable Underwear</t>
  </si>
  <si>
    <t>Diva Cups</t>
  </si>
  <si>
    <t>Campaign Donations</t>
  </si>
  <si>
    <t>Campaign Donations (July 2020-Feb2021)</t>
  </si>
  <si>
    <t>Community Collection Drive (Oct 2020 - Mar 2021)</t>
  </si>
  <si>
    <t>Aisle</t>
  </si>
  <si>
    <t>Always and Tampax Corporate Donation</t>
  </si>
  <si>
    <t>Link-2 - AIR QUEEN</t>
  </si>
  <si>
    <t>Red Tent</t>
  </si>
  <si>
    <t>Veritiv Purchase</t>
  </si>
  <si>
    <t>TOTAL</t>
  </si>
  <si>
    <t>Total GIK</t>
  </si>
  <si>
    <t>Update:</t>
  </si>
  <si>
    <t>Distribution</t>
  </si>
  <si>
    <t>Venue</t>
  </si>
  <si>
    <t>Agassiz-Harrison Community Services</t>
  </si>
  <si>
    <t>Ann Davis Transition Society</t>
  </si>
  <si>
    <t>Atira Women's Resource Society</t>
  </si>
  <si>
    <t>Boys and Girls Clubs of South Coast BC</t>
  </si>
  <si>
    <t>Cedar Project</t>
  </si>
  <si>
    <t>Cheamview Clubhouse (Creative Centre Society)</t>
  </si>
  <si>
    <t>Creative Centre Society- Abby House</t>
  </si>
  <si>
    <t>Deltassist Family and Community Services Society</t>
  </si>
  <si>
    <t>Dixon Transition Society</t>
  </si>
  <si>
    <t>Downtown Eastside Neighbourhood House</t>
  </si>
  <si>
    <t>Kateslem Youth Society</t>
  </si>
  <si>
    <t>Kitsilano Neighbourhood House</t>
  </si>
  <si>
    <t>Langley Community Services Society</t>
  </si>
  <si>
    <t>Lower Mainland Down Syndrome Society</t>
  </si>
  <si>
    <t>Mamas for Mamas Vancouver</t>
  </si>
  <si>
    <t>Mission Association For Community Living</t>
  </si>
  <si>
    <t>Mission Community Services Society</t>
  </si>
  <si>
    <t>New View Society</t>
  </si>
  <si>
    <t>North Shore Neighbourhood House</t>
  </si>
  <si>
    <t>Pacific Association of First Nations Women</t>
  </si>
  <si>
    <t>PICS ( harmony Second stage House)</t>
  </si>
  <si>
    <t>Richmond Family Place Socitey</t>
  </si>
  <si>
    <t>Ridge Meadows Community Action Table</t>
  </si>
  <si>
    <t>SARA for Women Society</t>
  </si>
  <si>
    <t>South Vancouver Neighbourhood House</t>
  </si>
  <si>
    <t>SRO Collaborative</t>
  </si>
  <si>
    <t>Sto:lo Health Agency</t>
  </si>
  <si>
    <t>Sunshine Coast Community Services Society</t>
  </si>
  <si>
    <t>The Elizabeth Fry Society of Greater Vancouver</t>
  </si>
  <si>
    <t>The Kehila Society of Richmond</t>
  </si>
  <si>
    <t>The Vivian</t>
  </si>
  <si>
    <t>Touchstone Family Association</t>
  </si>
  <si>
    <t>Tri-City Transition Society</t>
  </si>
  <si>
    <t>Westcoast Family Centres Society</t>
  </si>
  <si>
    <t>WISH Drop-in Centre</t>
  </si>
  <si>
    <t>Yale First Nation</t>
  </si>
  <si>
    <t>YWCA Metro Vancouver</t>
  </si>
  <si>
    <t>Food Hubs</t>
  </si>
  <si>
    <t>#</t>
  </si>
  <si>
    <t>Name of your Organization:</t>
  </si>
  <si>
    <t>Address:</t>
  </si>
  <si>
    <t>City/Town:</t>
  </si>
  <si>
    <t>Please specify:</t>
  </si>
  <si>
    <t>Postal Code:</t>
  </si>
  <si>
    <t>Contact Name:</t>
  </si>
  <si>
    <t>Email Address:</t>
  </si>
  <si>
    <t>Phone Number:</t>
  </si>
  <si>
    <t>Type of Organization (Check what best describes your work):</t>
  </si>
  <si>
    <t>If Other, please describe:</t>
  </si>
  <si>
    <t>General Public</t>
  </si>
  <si>
    <t>Homeless and housing insecure</t>
  </si>
  <si>
    <t>Immigrants</t>
  </si>
  <si>
    <t>Refugees</t>
  </si>
  <si>
    <t>LGBTQ2+</t>
  </si>
  <si>
    <t>People in Crisis</t>
  </si>
  <si>
    <t>Racialized populations</t>
  </si>
  <si>
    <t>Victims of domestic or sexual abuse</t>
  </si>
  <si>
    <t>Indigenous communities</t>
  </si>
  <si>
    <t>Sex workers</t>
  </si>
  <si>
    <t>Seniors</t>
  </si>
  <si>
    <t>Women and girls</t>
  </si>
  <si>
    <t>Youth</t>
  </si>
  <si>
    <t>Other</t>
  </si>
  <si>
    <t>If Other, please describe</t>
  </si>
  <si>
    <t>10 - 17 (youth)</t>
  </si>
  <si>
    <t>18 - 34 (older youth/students/adults)</t>
  </si>
  <si>
    <t>35 - 50 (adults)</t>
  </si>
  <si>
    <t>51 +</t>
  </si>
  <si>
    <t>Do you have clients who request or need access to menstrual products?</t>
  </si>
  <si>
    <t>Does your organization provide menstrual product to clients?</t>
  </si>
  <si>
    <t>If yes, do these products come from program or organization budget lines?</t>
  </si>
  <si>
    <t>If yes, approximately how much is budgeted per month?</t>
  </si>
  <si>
    <t>If no, what is the source of funding for the products provided?</t>
  </si>
  <si>
    <t>If Other, please explain:</t>
  </si>
  <si>
    <t>Dispenser or basket in the washroom (anonymous)</t>
  </si>
  <si>
    <t>Dispenser or basket outside of the washroom (anonymous)</t>
  </si>
  <si>
    <t>Boxes of product upon request</t>
  </si>
  <si>
    <t>Providing pre-assembled menstrual kits</t>
  </si>
  <si>
    <t>Do you provide menstrual products to your clients for use in emergency during program time only, or are clients free to take product for personal use outside of program time?</t>
  </si>
  <si>
    <t>Reduced programming</t>
  </si>
  <si>
    <t>Reduced services and supports</t>
  </si>
  <si>
    <t>Reduced outreach</t>
  </si>
  <si>
    <t>Temporarily shut down during the outbreak</t>
  </si>
  <si>
    <t>Cancelled all programming, services, and outreach</t>
  </si>
  <si>
    <t>Closed our doors to the public, but continue to offer community supports</t>
  </si>
  <si>
    <t>Transitioned to working from home</t>
  </si>
  <si>
    <t>How has COVID-19 had an impact on the number of people that your organization serves?</t>
  </si>
  <si>
    <t>How has COVID-19 had an impact on the number of people that are requesting access to menstrual products?</t>
  </si>
  <si>
    <t>Do you have any stories about how providing menstrual products to your clients has improved the quality of life of your clients, alleviated the impact of poverty for your clients, heightened access to the community for your clients, and/or shifted relationships between you and your community</t>
  </si>
  <si>
    <t>Would you please share the story with United Way?  This may help us better understand the particular shape of period poverty for your organization and clientele, which could impact the shape and policy work that United Way embarks on with our Period Promise campaign.</t>
  </si>
  <si>
    <t>I consent to these stories being used for the purpose of promoting the United Way Period Promise campaign, provided that no identifiers that may put our organiztion or client at risk are included.</t>
  </si>
  <si>
    <t>Does your organization wish to receive donations from United Way's Period Promise Campaign?</t>
  </si>
  <si>
    <t>Pads (disposable):</t>
  </si>
  <si>
    <t>Tampons (disposable):</t>
  </si>
  <si>
    <t>Liners (disposable):</t>
  </si>
  <si>
    <t>Reusable Pads (ex Aisle):</t>
  </si>
  <si>
    <t>Reusable Menstrual Underware (boxers, briefs, panties):</t>
  </si>
  <si>
    <t>Diva Cups / Keepers</t>
  </si>
  <si>
    <t>How long do you think that a donation of the full size you requested would last?</t>
  </si>
  <si>
    <t>Bulk donations of this type can take up a lot of space depending on your organization's need.  Thinking about storage space please choose an option below that best reflects your organization/program's situation?</t>
  </si>
  <si>
    <t>Please describe:</t>
  </si>
  <si>
    <t>Does the amount match the need?</t>
  </si>
  <si>
    <t>If No, how much of a short fall do you estimate is missing</t>
  </si>
  <si>
    <t>If we are able to provide your organization with product,, are you able to pick up the product from the United Way office in Burnaby?</t>
  </si>
  <si>
    <t>Address</t>
  </si>
  <si>
    <t>City</t>
  </si>
  <si>
    <t>Province</t>
  </si>
  <si>
    <t>Postal Code</t>
  </si>
  <si>
    <t>What kind of protocols are in place to ensure that United Way staff or volunteers can safely deliver a donation to your location?</t>
  </si>
  <si>
    <t>How will you be changing your method of providing menstrual products to your clients during COVID-19 to respect physical distancing requirements from BC's Chief Medical Offficer?</t>
  </si>
  <si>
    <t>Thank you for taking the time to complete this survey.  If we are able to provide products to your organization in the near future we will connect with you soon, outlining the amount that we are able to provide and establishing a delivery or pick-up time.  We appreciate your patience in this process.  If you have any final thoughts or comments about United Way's Period Promise campaign, please include them below.</t>
  </si>
  <si>
    <t>Start Date (UTC)</t>
  </si>
  <si>
    <t>Submit Date (UTC)</t>
  </si>
  <si>
    <t>Network ID</t>
  </si>
  <si>
    <t>xqeyky4frzrgxoobnolxqeykpnqim7ti</t>
  </si>
  <si>
    <t>402 East Columbia St,</t>
  </si>
  <si>
    <t>New Westminster</t>
  </si>
  <si>
    <t/>
  </si>
  <si>
    <t>V3L 3X1</t>
  </si>
  <si>
    <t>Vera LeFranc</t>
  </si>
  <si>
    <t>vera.lefranc@elizabethfry.com</t>
  </si>
  <si>
    <t>604-520-1166</t>
  </si>
  <si>
    <t>Gende based services for highly marginalized women (addiction, homelessness, incarceration, mental illness)</t>
  </si>
  <si>
    <t>1</t>
  </si>
  <si>
    <t>2400</t>
  </si>
  <si>
    <t>Hygiene kits as women living on the street and in precarious circumstances need more than just the products. those without access to hot running water need addition kinds of supplies</t>
  </si>
  <si>
    <t>Free to take as needed</t>
  </si>
  <si>
    <t>All doors are open we work with homeless women, we actually house more, serve more and have more using our dropin because the majority of government and non-profits were online/phone and so there were no services for those without homes. fleeing violence, exiting prison,</t>
  </si>
  <si>
    <t>we have mum's unable to provide menstrual products for their children so that girls are missing school. Schools provide products when there in the bathrooms but it can be a surprise for girls and there is the problem to get there; we have homeless women in the camps without running water and who find themselves without products - they need clean underwear, wet wipes, period products, and access to laundry and showers. We can have women lined up waiting to get into the dropin we run (staffed by volunteers and funded by EFry) who need not only period products but water, soap, laundry and under garments.</t>
  </si>
  <si>
    <t>6-9 months</t>
  </si>
  <si>
    <t>We have enough storage space to meet the need.</t>
  </si>
  <si>
    <t>We follow the recommendations of BC Health Officer for physical distancing, and Fraser Health Licensing requirements, and have had a review by WCB. We meet all standards and have done so since the week of March 16th. We have no changes to make. Women/families can receive product from our community offices, the drop in, from our community outreach workers.</t>
  </si>
  <si>
    <t>help is always appreciated</t>
  </si>
  <si>
    <t>2020-06-21 06:45:05</t>
  </si>
  <si>
    <t>2020-06-21 08:34:25</t>
  </si>
  <si>
    <t>f09fdfb63a</t>
  </si>
  <si>
    <t>xidzwtajayvdto6hd3oxidzwtyhlno9f</t>
  </si>
  <si>
    <t>33345 2nd Ave</t>
  </si>
  <si>
    <t>Mission</t>
  </si>
  <si>
    <t>V2V1K4</t>
  </si>
  <si>
    <t>Sarah Bell</t>
  </si>
  <si>
    <t>sarah.bell@macl.bc.ca</t>
  </si>
  <si>
    <t>6048070104</t>
  </si>
  <si>
    <t>Multi-Service Non Profit</t>
  </si>
  <si>
    <t>Persons and Families with Disabilities</t>
  </si>
  <si>
    <t>0</t>
  </si>
  <si>
    <t>We would just be helping them to purchase them from the store and also have some available if needed.  Also accessing local community services to receive any packages when needed.</t>
  </si>
  <si>
    <t>a combo of both</t>
  </si>
  <si>
    <t>Our outreach has increased</t>
  </si>
  <si>
    <t>More than 12 months</t>
  </si>
  <si>
    <t>We have loads of space to store product.</t>
  </si>
  <si>
    <t>BC</t>
  </si>
  <si>
    <t>We have our main door closed to the public.  When someone is delivering they are to call the reception and we then would be able to let you in to where it would be delivered.  Depending on the number of boxes they would not need to com into the site.</t>
  </si>
  <si>
    <t>We will be dropping off packages to our individuals in need.</t>
  </si>
  <si>
    <t>2020-06-19 19:24:59</t>
  </si>
  <si>
    <t>2020-06-19 19:47:36</t>
  </si>
  <si>
    <t>b70586c21d</t>
  </si>
  <si>
    <t>rf5cweiof11xrbxorf5cx68wz2c58aon</t>
  </si>
  <si>
    <t>#304  - 133 Powell Street Vancouver  BC V6A 1G2 Canada</t>
  </si>
  <si>
    <t>Vancouver</t>
  </si>
  <si>
    <t>V6A 1G2</t>
  </si>
  <si>
    <t>Jill Ratcliffe</t>
  </si>
  <si>
    <t>ratcliffe.jill@gmail.com</t>
  </si>
  <si>
    <t>778-888-4607</t>
  </si>
  <si>
    <t>Indigenous Community Support</t>
  </si>
  <si>
    <t>Linguistically Isolated Chinese Seniors</t>
  </si>
  <si>
    <t>Donations</t>
  </si>
  <si>
    <t>Prior to COVID SROC was not offering menstural products</t>
  </si>
  <si>
    <t>Weekly deliveries of hygiene and cleaning supplies to low income tenants</t>
  </si>
  <si>
    <t>Expanded deliveries of food, hygiene and cleaning supplies 500%</t>
  </si>
  <si>
    <t>"Having access to tampons delivered means I have dignity. I do not have to be embarrassed"-SRO tenant</t>
  </si>
  <si>
    <t>Deliveries to SRO Hotels</t>
  </si>
  <si>
    <t>Thank you kindly for this opportunity to participate in Period Promise. The demand for tampons and pads far exceeds what we are able to provide through small individual donations. Any support you can offer will be greatly appreciated. With gratitude, Jill</t>
  </si>
  <si>
    <t>2020-06-17 23:41:54</t>
  </si>
  <si>
    <t>2020-06-17 23:53:24</t>
  </si>
  <si>
    <t>2123cfc311</t>
  </si>
  <si>
    <t>hshtew0pt03t1yui8x9n76fohshtew0p</t>
  </si>
  <si>
    <t>2017 Dundas Street</t>
  </si>
  <si>
    <t>V5L 1J5</t>
  </si>
  <si>
    <t>Diana Day</t>
  </si>
  <si>
    <t>diana.day@pafnw.ca</t>
  </si>
  <si>
    <t>604-872-1849</t>
  </si>
  <si>
    <t>9-12 months</t>
  </si>
  <si>
    <t>We will be delivering care packages to women during this time and will include them in these kits.  there will be contactless delivery of packages to clients at risk of homelessness.</t>
  </si>
  <si>
    <t>Thank you so much for sending this to us.</t>
  </si>
  <si>
    <t>2020-06-17 16:55:58</t>
  </si>
  <si>
    <t>2020-06-17 17:04:57</t>
  </si>
  <si>
    <t>5a45feddf7</t>
  </si>
  <si>
    <t>46yg7slogdsk1ce228ml46yg76r1zuik</t>
  </si>
  <si>
    <t>2050 Mary Hill Road Port Coquitlam BC V3C 2Z8</t>
  </si>
  <si>
    <t>Port Coquitlam</t>
  </si>
  <si>
    <t>V3c 2Z8</t>
  </si>
  <si>
    <t>Chantelle Burga</t>
  </si>
  <si>
    <t>cburga@newviewsociety.ca</t>
  </si>
  <si>
    <t>604.941.3222</t>
  </si>
  <si>
    <t>Mental Health Services</t>
  </si>
  <si>
    <t>transition to variety of options including virtual services, phone connections, and one to one or small gropus</t>
  </si>
  <si>
    <t>no change</t>
  </si>
  <si>
    <t>2020-06-16 21:51:32</t>
  </si>
  <si>
    <t>2020-06-16 21:59:48</t>
  </si>
  <si>
    <t>bc67191634</t>
  </si>
  <si>
    <t>usyidjvthm92fdzusyif96t8d5fvpnhx</t>
  </si>
  <si>
    <t>7201 Vedder Rd. Chilliwack, BC. V2R 4G5</t>
  </si>
  <si>
    <t>Chilliwack</t>
  </si>
  <si>
    <t>V2R 4G5</t>
  </si>
  <si>
    <t>Sue Griffin</t>
  </si>
  <si>
    <t>Sue.griffin@stolonation.bc.ca</t>
  </si>
  <si>
    <t>604 703-3076</t>
  </si>
  <si>
    <t>Staff donating personal products</t>
  </si>
  <si>
    <t>Requested items will be placed in a paper bag and offered to client in manner that suits them... at our clinic, delivered to home, or other location.  We use medical grade masks for all contact with clients, have gloves and isolation gowns, and hand sanitizers if close contact is needed.</t>
  </si>
  <si>
    <t>We appreciate any help we can get!  Thanks.</t>
  </si>
  <si>
    <t>2020-06-16 14:23:47</t>
  </si>
  <si>
    <t>2020-06-16 14:41:09</t>
  </si>
  <si>
    <t>549fa80e71</t>
  </si>
  <si>
    <t>1bzn450uwzdsuj6pd1bzn41z6pqdxdxr</t>
  </si>
  <si>
    <t>535 Hornby Street</t>
  </si>
  <si>
    <t>V6C 2E8</t>
  </si>
  <si>
    <t>Alice Russell</t>
  </si>
  <si>
    <t>arussell@ywcavan.org</t>
  </si>
  <si>
    <t>604 895 5828</t>
  </si>
  <si>
    <t>More food support services.</t>
  </si>
  <si>
    <t>As a single parent of three children, it was a relief to realize I could get menstrual products from Crabtree.  As I am on disability, it’s really hard to make ends meet.  When my daughter began to menstruate, I appreciated the help even more.
Mentrual products are so expensive!!  When I menstruate, I have to spend less on food.  Because I am able to receive menstrual products from Crabtree, my family can eat better and it’s less stressful for me.
I have been receiving menstrual products at Crabtree Corner for quite a while.  I found that I would come to Crabtree for menstrual products, but then I would find out about other things while I was there- like programs that that I could participate in, training opportunities and community events.  I ended up volunteering there, making social connections, and participating more fully in my community.  All because of menstrual products!</t>
  </si>
  <si>
    <t>0-3 months</t>
  </si>
  <si>
    <t>533 East Hastings Street</t>
  </si>
  <si>
    <t>V6A 1P9</t>
  </si>
  <si>
    <t>Our staff will meet the delivery driver at the curb and unload the vehicle.  We have a loading zone in front of the building where the driver can park.  We ask that the delivery driver is feeling healthy and practises social distancing as per Dr. Bonnie Henry.</t>
  </si>
  <si>
    <t>We will hand out product alongside our lunch service and food hamper programs.  Protocols are in place to ensure safe transfer of donations to program participants.</t>
  </si>
  <si>
    <t>Thank you so much for including YWCA families in your Period Promise campaign.  Menstrual products are very expensive and an added burden to the meager budget of low income families.   Our families greatly appreciate your support.</t>
  </si>
  <si>
    <t>2020-06-13 01:22:18</t>
  </si>
  <si>
    <t>2020-06-13 01:54:40</t>
  </si>
  <si>
    <t>d57bd677ef</t>
  </si>
  <si>
    <t>9gox1cnmnh0f6edaf9gox1iklp3jzm7r</t>
  </si>
  <si>
    <t>205- 12725 80th ave surrey bc v3w3a6</t>
  </si>
  <si>
    <t>Surrey</t>
  </si>
  <si>
    <t>v3w3a6</t>
  </si>
  <si>
    <t>Neena Randhawa</t>
  </si>
  <si>
    <t>neena.randhawa@pics.bc.ca</t>
  </si>
  <si>
    <t>6047282945</t>
  </si>
  <si>
    <t>Transition/Housing Service/Crisis support</t>
  </si>
  <si>
    <t>clients bought their own</t>
  </si>
  <si>
    <t>only we have some avialble</t>
  </si>
  <si>
    <t>our is essential service so we have been working</t>
  </si>
  <si>
    <t>we will take safety measurments</t>
  </si>
  <si>
    <t>Thanks for reaching out , its much needed</t>
  </si>
  <si>
    <t>2020-06-11 17:44:53</t>
  </si>
  <si>
    <t>2020-06-11 17:54:57</t>
  </si>
  <si>
    <t>a3b9e95e2c</t>
  </si>
  <si>
    <t>tqlu0657lp3i7nv7b0tqlu6n4ougf85x</t>
  </si>
  <si>
    <t>c/o 21520 124th Ave Maple Ridge BC</t>
  </si>
  <si>
    <t>Maple Ridge</t>
  </si>
  <si>
    <t>V2X 4H3</t>
  </si>
  <si>
    <t>Kim Dumore</t>
  </si>
  <si>
    <t>dumores@outlook.com</t>
  </si>
  <si>
    <t>604 812 1335</t>
  </si>
  <si>
    <t>We are a Community Action Table with many organization at the table.  We provide education, services gaps, harm reduction to the community of  Maple Ridge. We work on various projects dealing with compassion and stigma.</t>
  </si>
  <si>
    <t>We provide care kits and products to the community as needed.  Menstrual products are a much needed item that we don't tend to have often.</t>
  </si>
  <si>
    <t>We only provide as we have supply's.  :(</t>
  </si>
  <si>
    <t>We have shifted out work to provide much more out reach along side meals as our community is not able to provide community meals in most cases right now.  We are wrapping our services with the provision of a meal.</t>
  </si>
  <si>
    <t>We have comfort kits that we are handing out to clients. we prepackge these kits and set them on a table in  the door want of our locations.  Thus the table is a physical barrier and it is a one touch for the clients.</t>
  </si>
  <si>
    <t>Yes we have the opportunity to partner with our local Salvation Army on this project, all the information that I have provided takes that into account.  I would love to speak more to you about this and the opportunity to provide the product to our people of the streets.  This project would be amazing to help bring dignity back for a lot of folks.  Thank you :)</t>
  </si>
  <si>
    <t>2020-06-11 02:51:47</t>
  </si>
  <si>
    <t>2020-06-11 03:06:04</t>
  </si>
  <si>
    <t>abd74e7960</t>
  </si>
  <si>
    <t>92jn9m4xzhzo8orsn92jnl5z34xc25hk</t>
  </si>
  <si>
    <t>33138 Myrtle Ave Mission BC v2v 5w1</t>
  </si>
  <si>
    <t>v2v 5w1</t>
  </si>
  <si>
    <t>Karyn Bell</t>
  </si>
  <si>
    <t>karynskateslem@yahoo.ca</t>
  </si>
  <si>
    <t>6042509332</t>
  </si>
  <si>
    <t>$100</t>
  </si>
  <si>
    <t>Provided during program time and outside if requested</t>
  </si>
  <si>
    <t>Many of our clients do not have excess funds.  Having access to menstrual products allows monies that are already low, to be spent on things like food and medications.  There is such a shortage of money that food, feminine hygiene, and medications are afterthoughts.</t>
  </si>
  <si>
    <t>Currently we deliver food and necessities to families and can add them to our weekly deliveries.</t>
  </si>
  <si>
    <t>Thank you for your consideration. We appreciate your communication in regards to the outcome of the survey.</t>
  </si>
  <si>
    <t>2020-06-11 02:09:11</t>
  </si>
  <si>
    <t>2020-06-11 02:40:03</t>
  </si>
  <si>
    <t>7eb1e0aade</t>
  </si>
  <si>
    <t>r0nokihx78xfnzi55sr0nokivfuhf0yj</t>
  </si>
  <si>
    <t>9046 Young Road Chilliwack BC V2P 4R67</t>
  </si>
  <si>
    <t>V2P 4R6</t>
  </si>
  <si>
    <t>Shelley Bolan</t>
  </si>
  <si>
    <t>sbolan@anndavis.org</t>
  </si>
  <si>
    <t>604-792-2760</t>
  </si>
  <si>
    <t>Included in our groceries</t>
  </si>
  <si>
    <t>Young woman came into our office with a blanket around her. She had a pair of pants in her hand and didn't want to put the pants on because she had her period. She was embarrassed and really needed our help. We showed her the washroom and provided her with tampons and clothing. She thanked us for our help.</t>
  </si>
  <si>
    <t>9046 Young Road Chilliwack BC</t>
  </si>
  <si>
    <t>Social distancing in place and waiting room is set up for deliverings and sanitized</t>
  </si>
  <si>
    <t>The majority of the product will be at our transition houses.</t>
  </si>
  <si>
    <t>Thank you for considering our request.</t>
  </si>
  <si>
    <t>2020-06-09 22:54:24</t>
  </si>
  <si>
    <t>2020-06-09 23:43:54</t>
  </si>
  <si>
    <t>e1210ad7a5</t>
  </si>
  <si>
    <t>1s1y4b53sn1hwv6f61w1s1y4b53fds82</t>
  </si>
  <si>
    <t>573 East Hastings St, Vancouver BC</t>
  </si>
  <si>
    <t>Christa Grona</t>
  </si>
  <si>
    <t>Kidskitchen@dtesnhouse.ca</t>
  </si>
  <si>
    <t>6048896125</t>
  </si>
  <si>
    <t>Not sure, but we will take it anyway!</t>
  </si>
  <si>
    <t>We practice social distancing and allow limited access to public spaces within the Neighbourhood House</t>
  </si>
  <si>
    <t>2020-06-09 20:01:41</t>
  </si>
  <si>
    <t>2020-06-09 20:07:10</t>
  </si>
  <si>
    <t>f14874ea38</t>
  </si>
  <si>
    <t>ewroiht81dbm7deewr3jr9s7j33rb86c</t>
  </si>
  <si>
    <t>102-33070 5th Ave</t>
  </si>
  <si>
    <t>V2V 1V5</t>
  </si>
  <si>
    <t>Nikki Clement</t>
  </si>
  <si>
    <t>NikkiC@saraforwomen.ca</t>
  </si>
  <si>
    <t>604-820-8455</t>
  </si>
  <si>
    <t>When we were beginning to open our Warm Zone location, staff had began to survey the marginalized clientele which they typically would served. The number one thing that they requested was to have hygiene products provided, so they could have dignity. If pads, and tampons were not provided they would use rags, toilet paper, or they may attempt to steal the items from the store.</t>
  </si>
  <si>
    <t>We would be extremely grateful for any support we may receive from your Period Promise campaign. With Covid affecting the amount of in kind donations available to us, we have had to purchase these items for our programs. Thank you for all you do!!</t>
  </si>
  <si>
    <t>2020-06-09 17:08:21</t>
  </si>
  <si>
    <t>2020-06-09 18:16:59</t>
  </si>
  <si>
    <t>7d03e4e8bd</t>
  </si>
  <si>
    <t>lpyux3dmd7mcuv7l9x14olpyx6xb8i3k</t>
  </si>
  <si>
    <t>2875 St. George Street, Vancouver BC, V5T 3R8</t>
  </si>
  <si>
    <t>V5T 3R8</t>
  </si>
  <si>
    <t>Marcie Mark</t>
  </si>
  <si>
    <t>mmark@bgcbc.ca</t>
  </si>
  <si>
    <t>604-309-8398 (cell)</t>
  </si>
  <si>
    <t>2875 St. George Street</t>
  </si>
  <si>
    <t>Limited staff are working and deep cleaning protocols are in place.</t>
  </si>
  <si>
    <t>Packages will be put together in advance for no contact pick-up.</t>
  </si>
  <si>
    <t>Thank you for doing this!</t>
  </si>
  <si>
    <t>2020-06-09 16:05:17</t>
  </si>
  <si>
    <t>2020-06-09 16:15:23</t>
  </si>
  <si>
    <t>54ef1d118c</t>
  </si>
  <si>
    <t>d8j1o2wgw1fd5r7h61gkd8j1t7pagpl5</t>
  </si>
  <si>
    <t>143 Dunlevy Ave</t>
  </si>
  <si>
    <t>V6A 3A4</t>
  </si>
  <si>
    <t>Tiabelle Doyle</t>
  </si>
  <si>
    <t>sereenassupport@atira.bc.ca</t>
  </si>
  <si>
    <t>604-642-2620</t>
  </si>
  <si>
    <t>3-6 months</t>
  </si>
  <si>
    <t>We have pre assembled menstrual kits which can be passed from behind a sneeze guard/plexi window</t>
  </si>
  <si>
    <t>2020-06-08 15:49:49</t>
  </si>
  <si>
    <t>2020-06-08 15:58:04</t>
  </si>
  <si>
    <t>f2d2b42dc7</t>
  </si>
  <si>
    <t>3qeaymbu8qnpjk6ectie7a3qeaymbu8y</t>
  </si>
  <si>
    <t>512 East Cordova Street, Vancouver, BC</t>
  </si>
  <si>
    <t>V6A 1L7</t>
  </si>
  <si>
    <t>Sienna Sangra</t>
  </si>
  <si>
    <t>ssangra@raincityhousing.org</t>
  </si>
  <si>
    <t>6042543778</t>
  </si>
  <si>
    <t>The Vivian is a low-barrier transitional home for women, many of which work in the sex trade and struggle with addiction and homelessness. The women count on us to provide them with free menstrual products, which really depends on donations as we do not have a steady resource. With free access to menstrual products, it is one less burden for the women to stress about and work for. They deserve to feel comfortable. Menstruation can be a topic that the women may feel shame around or get triggered by based on previous negative experiences,  so it would be great to rid them of that by ensuring that they have whatever they need to feel comfortable at all times. For example, one of our women often struggles to make it to the washroom on time. When we have enough menstrual products, we like to stack multiple pads together so that she can feel comfortable even through accidents. This, however, is not always possible if we do not have enough products.</t>
  </si>
  <si>
    <t>We hand out individual products as needed so the women are not sharing a box for example. ie hand out a few pads or tampons at a time when requested by a woman. The products are stored in a closet staff only have access to</t>
  </si>
  <si>
    <t>We currently have 21 women in our building. We have some pads but are running low on tampons! Thanks!</t>
  </si>
  <si>
    <t>2020-06-06 04:08:27</t>
  </si>
  <si>
    <t>2020-06-06 04:35:21</t>
  </si>
  <si>
    <t>fb6c45ca83</t>
  </si>
  <si>
    <t>zoxeyhg0chpmxrttuuyn1zoxeyhfj1r0</t>
  </si>
  <si>
    <t>7086 Cheam Ave</t>
  </si>
  <si>
    <t>Agassiz</t>
  </si>
  <si>
    <t>V0M 1A0</t>
  </si>
  <si>
    <t>Grace Admiraal-Blansjee</t>
  </si>
  <si>
    <t>info@agassizcs.ca</t>
  </si>
  <si>
    <t>604-796-2585</t>
  </si>
  <si>
    <t>Donations can be dropped at the door</t>
  </si>
  <si>
    <t>We have COVID-19 protocols in place for our clients to ensure safety of our clients, staff and volunteers. This protocols vary depending between programs and locations.</t>
  </si>
  <si>
    <t>Would united way consider doing a similar campaign for bladder control products (ie Depends) as we get frequent requests for these at our food bank from our older female clients (50+)</t>
  </si>
  <si>
    <t>2020-06-05 22:00:23</t>
  </si>
  <si>
    <t>2020-06-05 23:18:20</t>
  </si>
  <si>
    <t>4e091d36af</t>
  </si>
  <si>
    <t>73n0mwbqdbwuwggxa173n0x7wd5nv2uh</t>
  </si>
  <si>
    <t>204-2101 Holdom Avenue, Burnaby BC V5B 0A4</t>
  </si>
  <si>
    <t>Burnaby</t>
  </si>
  <si>
    <t>V5B 0A4</t>
  </si>
  <si>
    <t>Tara Clarke</t>
  </si>
  <si>
    <t>communityrelations@dixonsociety.ca</t>
  </si>
  <si>
    <t>604-433-4191 (email is best as our office is working remotely)</t>
  </si>
  <si>
    <t>Unsure. At the moment we have no stock of these products.</t>
  </si>
  <si>
    <t>Women who need these products will ask us. This is typically all clients due to the nature of our work.</t>
  </si>
  <si>
    <t>Office staff are working from home while front line staff are feeling the impact of increase need for our services during this time.</t>
  </si>
  <si>
    <t>All essential donations that we receive are disinfected before given to clients. All staff and clients wear masks when interacting with one another (from a distance). We will provide individual boxes to clients to avoid breaking physical distancing measures.</t>
  </si>
  <si>
    <t>Thank you so much for making this opportunity available to women and girls who need these essential period products.</t>
  </si>
  <si>
    <t>2020-06-05 22:23:55</t>
  </si>
  <si>
    <t>2020-06-05 22:34:33</t>
  </si>
  <si>
    <t>173d037a67</t>
  </si>
  <si>
    <t>q71ioj1mc59pl91f6nbq71iy4mdnfudy</t>
  </si>
  <si>
    <t>Alexandra Neighbourhood House</t>
  </si>
  <si>
    <t>#1 - 15455 Vine Avenue</t>
  </si>
  <si>
    <t>White Rock</t>
  </si>
  <si>
    <t>V4B 2T3</t>
  </si>
  <si>
    <t>Cindi Mercer</t>
  </si>
  <si>
    <t>cmercer@alexhouse.net</t>
  </si>
  <si>
    <t>7782395960</t>
  </si>
  <si>
    <t>Neighbourhood House</t>
  </si>
  <si>
    <t>$50</t>
  </si>
  <si>
    <t>access outside the washroom in some spaces</t>
  </si>
  <si>
    <t>Reduced in-person supports; virtual programming in place, though not reduced per se</t>
  </si>
  <si>
    <t>Much of our clientele are young people, many of whom are living independently, or are financially independent for themselves, or their families are in financial situations where access to menstrual products alleviates one financial and access burden. The availability of products in our spaces and through our workers (who see clients, do outreach, or staff programs) means participants do not have to ask, they can take what they need when they need it. This can be valuable in building safety, access, connection and self-worth. It can also open doors to accessing other resources, and supports health and personal hygiene. Clients can also help others access resources, even if they are not coming into the space or program.</t>
  </si>
  <si>
    <t>Given the circumstances, I think our program is okay for supplies this year, but we would appreciate receiving communications for the Campaign next year or in future. Thank you for programs such as these, they do make a difference.</t>
  </si>
  <si>
    <t>2020-06-05 18:58:13</t>
  </si>
  <si>
    <t>2020-06-05 21:58:56</t>
  </si>
  <si>
    <t>ac8805e3f2</t>
  </si>
  <si>
    <t>xt7259anfbds168ziq5ixt7255apw6e2</t>
  </si>
  <si>
    <t>5638 Inlet Ave, Sechelt, BC</t>
  </si>
  <si>
    <t>V0N 3A0</t>
  </si>
  <si>
    <t>Denise Woodley</t>
  </si>
  <si>
    <t>dwoodley@sccss.ca</t>
  </si>
  <si>
    <t>604-885-5881</t>
  </si>
  <si>
    <t>5638 Inlet Ave</t>
  </si>
  <si>
    <t>Sechelt</t>
  </si>
  <si>
    <t>we have a person at reception, delivery would be received outside our office and taken in by our staff to distribute.</t>
  </si>
  <si>
    <t>We will hold donations for 72 hrs before distribution.  All products would be left for clients using physical distancing protocols.</t>
  </si>
  <si>
    <t>Thanks for continuing to provide these products.</t>
  </si>
  <si>
    <t>2020-06-05 19:34:46</t>
  </si>
  <si>
    <t>2020-06-05 19:44:25</t>
  </si>
  <si>
    <t>2c124e9919</t>
  </si>
  <si>
    <t>epfrigyt66e9nmru5r4epfrihhcyifoz</t>
  </si>
  <si>
    <t>334 Alexander Street</t>
  </si>
  <si>
    <t>V6A 1C3</t>
  </si>
  <si>
    <t>Tanya Miao</t>
  </si>
  <si>
    <t>respite@wishdropincentre.org</t>
  </si>
  <si>
    <t>7789178856</t>
  </si>
  <si>
    <t>Stored in a cupboard. If participants requested, staff would give out as much as they need.</t>
  </si>
  <si>
    <t>During program time only</t>
  </si>
  <si>
    <t>The majority of the women we serve in the Downtown Eastside lack access to mentrual products outside of organizations like ours.</t>
  </si>
  <si>
    <t>We will be handing them out as requested.</t>
  </si>
  <si>
    <t>2020-06-05 19:03:51</t>
  </si>
  <si>
    <t>2020-06-05 19:27:48</t>
  </si>
  <si>
    <t>a32d1e105b</t>
  </si>
  <si>
    <t>z46zvbz565dsrjhnz46zy9dfc9kcpz13</t>
  </si>
  <si>
    <t>New Westminster Family Place</t>
  </si>
  <si>
    <t>101-93 Sixth Street</t>
  </si>
  <si>
    <t>V3L 2Z8</t>
  </si>
  <si>
    <t>Dana Osiowy</t>
  </si>
  <si>
    <t>info@nwfamily.bc.ca</t>
  </si>
  <si>
    <t>6045203666</t>
  </si>
  <si>
    <t>Family Place</t>
  </si>
  <si>
    <t>WE have been closed</t>
  </si>
  <si>
    <t>2020-06-05 15:23:53</t>
  </si>
  <si>
    <t>2020-06-05 15:26:48</t>
  </si>
  <si>
    <t>2513bba85f</t>
  </si>
  <si>
    <t>vq1fqwfrf43gjio1cjvq1f0g26euqffm</t>
  </si>
  <si>
    <t>2305 West 7th Avenue, Vancouver, B. C., V6K 1Y4</t>
  </si>
  <si>
    <t>V6K 1Y4</t>
  </si>
  <si>
    <t>Patricia Paz</t>
  </si>
  <si>
    <t>patriciap@kitshouse.org</t>
  </si>
  <si>
    <t>604-736-3588</t>
  </si>
  <si>
    <t>at the front desk</t>
  </si>
  <si>
    <t>have specific days and time for pick up as much as possible following our safety guidelines and if possible, hearing from you suggestions on how to do this respecting health and safety for everybody</t>
  </si>
  <si>
    <t>none</t>
  </si>
  <si>
    <t>2020-06-04 20:43:46</t>
  </si>
  <si>
    <t>2020-06-04 21:01:56</t>
  </si>
  <si>
    <t>e6d19b1065</t>
  </si>
  <si>
    <t>v6eetrvk0e043fv3tv6eet8r82i1cd5s</t>
  </si>
  <si>
    <t>8660 Ash Street</t>
  </si>
  <si>
    <t>Richmond</t>
  </si>
  <si>
    <t>V6Y 2S3</t>
  </si>
  <si>
    <t>Ruth Taverner</t>
  </si>
  <si>
    <t>ruth@richmondfamilyplace.ca</t>
  </si>
  <si>
    <t>604.278.4336 Ext 104</t>
  </si>
  <si>
    <t>Family Resource Program</t>
  </si>
  <si>
    <t>We have access during programs but will also respond to other requests if we have products to distribute.</t>
  </si>
  <si>
    <t>We have been providing activity bags and meal/gift card delivery during COVID using porch drop off and contacless pick up. We would use the same methods.</t>
  </si>
  <si>
    <t>Thank you for this important  program that continues to provide dignity to women.</t>
  </si>
  <si>
    <t>2020-06-04 19:47:45</t>
  </si>
  <si>
    <t>2020-06-04 19:58:59</t>
  </si>
  <si>
    <t>41d0e8dc2d</t>
  </si>
  <si>
    <t>t6rgnw1k5x2w4ljr7s751wyaikt6rgnw</t>
  </si>
  <si>
    <t>210-3031 Viking Way, Richmond BC</t>
  </si>
  <si>
    <t>V6V1W1</t>
  </si>
  <si>
    <t>Carol Hardie</t>
  </si>
  <si>
    <t>chardie@touchfam.ca</t>
  </si>
  <si>
    <t>6042075029</t>
  </si>
  <si>
    <t>both for emergency and to take home when available</t>
  </si>
  <si>
    <t>wiping down boxes with disinfectant and kept in sanitized storage</t>
  </si>
  <si>
    <t>on behalf of clients of Touchstone, THANK YOU!!</t>
  </si>
  <si>
    <t>2020-06-04 19:37:46</t>
  </si>
  <si>
    <t>2020-06-04 19:46:34</t>
  </si>
  <si>
    <t>0fa9e73733</t>
  </si>
  <si>
    <t>v1ho9gka1vrnyu7caho6qv1ho9413dg1</t>
  </si>
  <si>
    <t>33179 2nd Ave</t>
  </si>
  <si>
    <t>V2V 1J9</t>
  </si>
  <si>
    <t>Michelle Puffer</t>
  </si>
  <si>
    <t>ed@missionmcss.com</t>
  </si>
  <si>
    <t>604-826-3634</t>
  </si>
  <si>
    <t>We have early years programs as well</t>
  </si>
  <si>
    <t>33179 2nd Avenue</t>
  </si>
  <si>
    <t>Our main office has a back door where product can be dropped safely with no contact, our reception has plexi in place and our lobby is large enough to social distance as required.</t>
  </si>
  <si>
    <t>We have PPE, plexi glass at reception and follow the no contact rule where we put items down and step back  the correct distance.</t>
  </si>
  <si>
    <t>Thank you.</t>
  </si>
  <si>
    <t>2020-06-04 17:42:29</t>
  </si>
  <si>
    <t>2020-06-04 18:20:00</t>
  </si>
  <si>
    <t>9ef903a045</t>
  </si>
  <si>
    <t>e86wvgv1erxktxw0e86w7kpi2hbjlqky</t>
  </si>
  <si>
    <t>378 Powell St, Vancouver, BC V6A 1G4</t>
  </si>
  <si>
    <t>V6A 1G4</t>
  </si>
  <si>
    <t>Rachel Bergen</t>
  </si>
  <si>
    <t>rachel.bergen@bcchr.ca</t>
  </si>
  <si>
    <t>604-685-6356</t>
  </si>
  <si>
    <t>$150</t>
  </si>
  <si>
    <t>Cedar Project serves the Indigenous community in the Downtown Eastside of Vancouver. We have heard from our female participants, many of whom are homeless, housing-insecure or rely on survival sex work for income, that there is often a paucity of menstrual products in the neighborhood which causes discomfort and stress. Being able to consistently come to our drop-in and receive pads and tampons eases the day-to-day challenges our participants face moving through life.</t>
  </si>
  <si>
    <t>We have arranged our drop in to have a taped off area for participants to stand in to ensure we maintain 2 metres between us. We place products on a table, which they can then take once we have moved back. We are also currently allowing one participant at a time in our space and sanitizing the area after each visit.</t>
  </si>
  <si>
    <t>2020-06-04 17:28:00</t>
  </si>
  <si>
    <t>2020-06-04 18:07:31</t>
  </si>
  <si>
    <t>e60bcaa7bd</t>
  </si>
  <si>
    <t>uaed814yvzvnx6rubuuaed8u18dr55pu</t>
  </si>
  <si>
    <t>Parkgate Commnity Services Society</t>
  </si>
  <si>
    <t>3625 Banff Court</t>
  </si>
  <si>
    <t>North Vancouver</t>
  </si>
  <si>
    <t>v7h 2z8</t>
  </si>
  <si>
    <t>Dale Cheyne</t>
  </si>
  <si>
    <t>dcheyne@myparkgate.com</t>
  </si>
  <si>
    <t>6047838053</t>
  </si>
  <si>
    <t>$10</t>
  </si>
  <si>
    <t>We are happy to be included and involved with this  United Way campaign. We are not requesting product this year not because the need doesn't exist but rather because we still have product from last year's campaign. Working with youth this program has been helpful to our work as we have been able to provide those in need with menstrual products. Some times youth have accessed these products for an ongoing basis and other times it has just been for one time use with youth not having the necessary products with them.  More recently we have made the nurses aware of the fact we have free menstrual products available (even provided them with some of our product). Our community centre pre-Covid-19 would host a youth health clinic once a week and we were working on building more connection between our two programs. Lastly, during the Covid-19 pandemic while our doors are closed to the youth/public we started running a program three times a week called "We Got You Covered" were youth can directly message/call us to arrange the pick-up health products ie. menstrual products, condoms, and lube.</t>
  </si>
  <si>
    <t>2020-06-04 16:50:02</t>
  </si>
  <si>
    <t>2020-06-04 17:47:49</t>
  </si>
  <si>
    <t>41bec4a28f</t>
  </si>
  <si>
    <t>ou284zw0pm2invi5xou284zkykdn4cco</t>
  </si>
  <si>
    <t>5339 207th Street Langley</t>
  </si>
  <si>
    <t>Langley</t>
  </si>
  <si>
    <t>V3A2E6</t>
  </si>
  <si>
    <t>Jenilee Woods</t>
  </si>
  <si>
    <t>jwoods@lcss.ca</t>
  </si>
  <si>
    <t>6045347921</t>
  </si>
  <si>
    <t>We will deliver and meet them outside their residence or make appointments for them to pick up onsite</t>
  </si>
  <si>
    <t>We have received products in the past and clients have been very grateful to receive donated supplies, reducing the burden of cost</t>
  </si>
  <si>
    <t>2020-06-04 17:31:11</t>
  </si>
  <si>
    <t>2020-06-04 17:44:59</t>
  </si>
  <si>
    <t>6995356dd8</t>
  </si>
  <si>
    <t>9i5n2grhkpiwchfvxohf5ndf9i5n2yv8</t>
  </si>
  <si>
    <t>6470 Victoria Drive</t>
  </si>
  <si>
    <t>V5P3X7</t>
  </si>
  <si>
    <t>Sherry Lin</t>
  </si>
  <si>
    <t>sherry.lin@southvan.org</t>
  </si>
  <si>
    <t>6043182096</t>
  </si>
  <si>
    <t>We were not able to provide menstration products as we did not have funding to cover the cost.</t>
  </si>
  <si>
    <t>Clients can come pick menstration products from our box to take home as they need. If clients need products they can ask.</t>
  </si>
  <si>
    <t>We will be including period products in our food hamper deliveries for vulnerable families that have women who are menstrating</t>
  </si>
  <si>
    <t>Thank you for the support!</t>
  </si>
  <si>
    <t>2020-06-04 17:15:09</t>
  </si>
  <si>
    <t>2020-06-04 17:20:57</t>
  </si>
  <si>
    <t>643fd1fc7b</t>
  </si>
  <si>
    <t>8tlmp0srbq8cx6dl8tlmp0zzfgrz6rtr</t>
  </si>
  <si>
    <t>1001 Kingsway Avenue, Vancouver</t>
  </si>
  <si>
    <t>V5V 3C7</t>
  </si>
  <si>
    <t>Jan Waldibillig</t>
  </si>
  <si>
    <t>Development@westcoastfamily.org</t>
  </si>
  <si>
    <t>604.254.5457</t>
  </si>
  <si>
    <t>We serve families with child protection concerns and often youth who begin their menstruation are embarrassed and we have a safe environment where these changes physical and emotional can be discussed.</t>
  </si>
  <si>
    <t>We are offering in-person services and have protocols in place. We also offer pick-up food products and other services</t>
  </si>
  <si>
    <t>This is a very important cause for women and girls and supports the sexual reproductive rights that are often ignored.</t>
  </si>
  <si>
    <t>2020-06-04 16:50:13</t>
  </si>
  <si>
    <t>2020-06-04 17:15:29</t>
  </si>
  <si>
    <t>c89b4cb6b8</t>
  </si>
  <si>
    <t>mbgaf8g63v2cd8mbgkx4poh0o4bz1juv</t>
  </si>
  <si>
    <t>8916 Mary Street Chilliwack V2P 4J4</t>
  </si>
  <si>
    <t>V2P4J4</t>
  </si>
  <si>
    <t>Suzanne Koelstra</t>
  </si>
  <si>
    <t>suzannek.ccs@gmail.com</t>
  </si>
  <si>
    <t>604-792-5287</t>
  </si>
  <si>
    <t>Transitioned regular programming to a virtual forum</t>
  </si>
  <si>
    <t>Giving individuals the necessary hygiene products that they are sometimes unable to access or afford impacts their quality of life in a way that they are more comfortable and therefore more ready to access supports and improve their life. Having the Clubhouse as a safe space where individuals know that they can access these products allows us to maintain a great helping relationship with our members.</t>
  </si>
  <si>
    <t>We have supplies ready by our front door so if members come for supplies we will put them in a bag and then place in designated space on front porch and then allow members to grab the items This allows us to maintain physical distancing and still supply our members with the products they need and face to face interaction.</t>
  </si>
  <si>
    <t>2020-06-04 16:18:36</t>
  </si>
  <si>
    <t>2020-06-04 16:40:03</t>
  </si>
  <si>
    <t>a3f3148560</t>
  </si>
  <si>
    <t>vf8paottk3n7109vqozvf8paorva8jii</t>
  </si>
  <si>
    <t>9097 120 Street Delta BC V4C 6R7</t>
  </si>
  <si>
    <t>Delta</t>
  </si>
  <si>
    <t>V4C6R7</t>
  </si>
  <si>
    <t>Julie Chadwick</t>
  </si>
  <si>
    <t>juliec@deltassist.com</t>
  </si>
  <si>
    <t>604-594-3455</t>
  </si>
  <si>
    <t>Youth,</t>
  </si>
  <si>
    <t>We also put them in grab and go bags for dv clients</t>
  </si>
  <si>
    <t>We do outreach and take them to clients' homes</t>
  </si>
  <si>
    <t>We have provided services alternatively</t>
  </si>
  <si>
    <t>As the schools were shut down, youth did not have access to free menstrual products.  Deltassist worked with the Delta School District programs to provide menstrual products going out with food hampers to homes with youth in need of these products</t>
  </si>
  <si>
    <t>ALl deliveries are coming to our back door, there is a sanitation station there, staff will be wearing a mask to receive the donation and maintaining social distancing.  The products will have to sit in an area for 72 hours before we will bring it into our storage area to reduce risk of infection</t>
  </si>
  <si>
    <t>All clients have to wait outside of our building, either in their cars or at the lines to ensure physical distancing.  They can enter our vestibule and use the phone to call reception regarding what they need.  They will step back outside and reception will place the items needed in the vestibule with gloves and a mask on and close the door to reception, then the client can come in and pick up their items. There is also a screener on a sandwich board outfront with the 6 questions relating to COVID-19 in both English and Punjabi.  If the person is expereincing any of these symptoms, they are asked to not enter the vestibule and to call us to make arrangements for what they are needing.  We are using volunteers right now to shop and drop for seniors so these volunteers could also be used to drop off what is needed at a person's house in their driveway so they would not come to the person's door.  The volunteer will be wearing gloves and a mask regardless and will use hand sanitizer if the gloves are soiled that will be properly disposed of in a garbage receptacle.</t>
  </si>
  <si>
    <t>Thank you for these products, we appreciate the donation</t>
  </si>
  <si>
    <t>2020-06-04 16:07:39</t>
  </si>
  <si>
    <t>2020-06-04 16:33:00</t>
  </si>
  <si>
    <t>ac5b109808</t>
  </si>
  <si>
    <t>29lhjknj7g7y0n8mzz29lhjkn885wii9</t>
  </si>
  <si>
    <t>#481-13320-78th Ave, Surrey, B.C. V3W 0H6</t>
  </si>
  <si>
    <t>V3W 0H6</t>
  </si>
  <si>
    <t>Theresa Preston</t>
  </si>
  <si>
    <t>info@lmdss.com</t>
  </si>
  <si>
    <t>604-591-2722</t>
  </si>
  <si>
    <t>People with Disabilities</t>
  </si>
  <si>
    <t>The support from United Way has help our clients to put more monthly income towards food, medications, and therapy.</t>
  </si>
  <si>
    <t>We would use a table to place the clients order on, using social distancing, and wipe down surfaces after each pick up. Mask would be worn by staff, and 2 meters distance would be in effect.</t>
  </si>
  <si>
    <t>2020-06-04 16:12:52</t>
  </si>
  <si>
    <t>2020-06-04 16:28:58</t>
  </si>
  <si>
    <t>54b6faf98a</t>
  </si>
  <si>
    <t>yl1un927oov1ylv094b1ldra2li8v094</t>
  </si>
  <si>
    <t>2676 Gladys ave</t>
  </si>
  <si>
    <t>Abbotsford</t>
  </si>
  <si>
    <t>V2S3X8</t>
  </si>
  <si>
    <t>Adina MacDonald</t>
  </si>
  <si>
    <t>adinam.ccs@gmail.com</t>
  </si>
  <si>
    <t>6048501235</t>
  </si>
  <si>
    <t>Mental Health</t>
  </si>
  <si>
    <t>By Being able to provide natural products to many of our families it gives them a small amount more financial freedom to be able to fill the remainder of their basic needs.</t>
  </si>
  <si>
    <t>Adding to the food hampers we are currently providing for pick up.</t>
  </si>
  <si>
    <t>We appreciate any help you can offer our members and recognize how grateful they were when we received your donation previously!</t>
  </si>
  <si>
    <t>2020-06-04 16:16:49</t>
  </si>
  <si>
    <t>2020-06-04 16:23:40</t>
  </si>
  <si>
    <t>34d0e4a5ca</t>
  </si>
  <si>
    <t>fr15fv9dmuwmqm5hmfr15xjcvlnpcd81</t>
  </si>
  <si>
    <t>402- 2071 Kingsway Ave, Port Coquitlam</t>
  </si>
  <si>
    <t>V3C 6N2</t>
  </si>
  <si>
    <t>Carol Metz Murray</t>
  </si>
  <si>
    <t>carol@tricitytransitions.com</t>
  </si>
  <si>
    <t>604 941 7111 ext 101</t>
  </si>
  <si>
    <t>Reaching out to clients to ask what their immediate needs are</t>
  </si>
  <si>
    <t>thank you to the United Way for making this happen</t>
  </si>
  <si>
    <t>2020-06-04 14:01:46</t>
  </si>
  <si>
    <t>2020-06-04 14:26:50</t>
  </si>
  <si>
    <t>21bbfa2d9e</t>
  </si>
  <si>
    <t>kyaipzkzg7h7wkd1kyaujamjkwe58fqv</t>
  </si>
  <si>
    <t>unit 7 - 4855 57 street Delta B.C v4k3e7</t>
  </si>
  <si>
    <t>v4k3e7</t>
  </si>
  <si>
    <t>Celena Arthur</t>
  </si>
  <si>
    <t>celena@mamasformamas.ca</t>
  </si>
  <si>
    <t>778-791-8453</t>
  </si>
  <si>
    <t>Right now because we are a nonprofit, we dont really have much of a budget for period products, if we have mamas in need we will use our own money to supply or donation money that comes in. This is why its so important to us to partner with you because we have such a high need of womens products that we are sometimes unable to provide</t>
  </si>
  <si>
    <t>we received a phone call from a mama who had just come out of a two month hospital stay, she had been sent home to empty cupboards, she had no food, no toilet paper and no feminine hygiene products, she contacted us desperate for help. she didnt have the energy to go out and look for everything that she needed, and with money tight she chose to buy food, not that pads that she was needing as well.</t>
  </si>
  <si>
    <t>We deliver! right to the women that needs product,we also have a team that makes sure that mamas are able to access period products safely, even if that means that we drop right meet the mamas were is convenient for them  our motto is, kindness is our currency no mama or women left behind and with your help we will be able to help end period poverty !! Thank you</t>
  </si>
  <si>
    <t>We are honestly happy with any amount. we have a high need for products. We are thankful for this partnership and wish to also support this! Thank you for considering mamas lets end period poverty together</t>
  </si>
  <si>
    <t>2020-06-04 03:59:28</t>
  </si>
  <si>
    <t>2020-06-04 04:16:23</t>
  </si>
  <si>
    <t>f0d13f671e</t>
  </si>
  <si>
    <t>s20sy0lw12dls6hokes20syzv5pofqua</t>
  </si>
  <si>
    <t>130 - 10691 Shellbridge Way Richmond BC</t>
  </si>
  <si>
    <t>V6X 2W8</t>
  </si>
  <si>
    <t>Lynne Fader</t>
  </si>
  <si>
    <t>lfader@kehilasociety.org</t>
  </si>
  <si>
    <t>604 2419270</t>
  </si>
  <si>
    <t>1000 anually</t>
  </si>
  <si>
    <t>We support clients through meal programs and to our partner agencies</t>
  </si>
  <si>
    <t>We are distributing through agencies as and when we have some as well as through our meal programs to families</t>
  </si>
  <si>
    <t>Thank you so much for including us!</t>
  </si>
  <si>
    <t>2020-06-04 02:00:53</t>
  </si>
  <si>
    <t>2020-06-04 02:09:10</t>
  </si>
  <si>
    <t>a1cfae50b8</t>
  </si>
  <si>
    <t>srric8jqhmsx5qp1bdshsrrie6jadd6e</t>
  </si>
  <si>
    <t>314 Hudson Bay Street Hope BC</t>
  </si>
  <si>
    <t>Hope</t>
  </si>
  <si>
    <t>V0X 1L0</t>
  </si>
  <si>
    <t>Laureen Duerksen</t>
  </si>
  <si>
    <t>health@yalefirstnation.ca</t>
  </si>
  <si>
    <t>604-206-9507</t>
  </si>
  <si>
    <t>spilt the boxes of supplies so smaller packages can be given out through our outreach efforts</t>
  </si>
  <si>
    <t>we are greatful for the support of Period Promise and want to ensure that we do not over ask</t>
  </si>
  <si>
    <t>you will be greeted at the door and allowed access to an empty lobby where you can deposit the product. we have hand sanitizer and masks available as needed</t>
  </si>
  <si>
    <t>Our out reach teams have created safe distancing protocols for engagement</t>
  </si>
  <si>
    <t>We so appreciated the delivery we got last year and look forward to being able to continue to supply free products to our women and girls</t>
  </si>
  <si>
    <t>2020-06-04 00:18:54</t>
  </si>
  <si>
    <t>2020-06-04 00:30:14</t>
  </si>
  <si>
    <t>062ad79337</t>
  </si>
  <si>
    <t>szcgg0ec6p9443sbk2460szcgg0ufuk5</t>
  </si>
  <si>
    <t>north shore neighbourhood house</t>
  </si>
  <si>
    <t>225 e 2nd st, north vancouver</t>
  </si>
  <si>
    <t>V7L 1C4</t>
  </si>
  <si>
    <t>lisa hubbard</t>
  </si>
  <si>
    <t>lhubbard@nsnh.bc.ca</t>
  </si>
  <si>
    <t>6042908808</t>
  </si>
  <si>
    <t>typically we dont have a line item for this.  we include in supplies/ expense which is combined with art, program, etc.</t>
  </si>
  <si>
    <t>on thurs we give out food, personal care items,   we are giving out tampons, pads,  we purchased these with donations from the city of NV fire department.  the clients have been thrilled that we have the personal items.  this is not limited to these items, we also have razors, soap, shampoo, diapers, shaving cream, deodorant.  we are hearing from recipients that it has made a big difference</t>
  </si>
  <si>
    <t>we have been doing deliveries of many items so we feel confident with our process.</t>
  </si>
  <si>
    <t>thank you united way for the ongoing support for community and its members.</t>
  </si>
  <si>
    <t>2020-06-03 23:51:05</t>
  </si>
  <si>
    <t>2020-06-04 00:00:11</t>
  </si>
  <si>
    <t>d5494cec41</t>
  </si>
  <si>
    <t>United Way of the Lower Mainland</t>
  </si>
  <si>
    <t>Requested Amount</t>
  </si>
  <si>
    <t>Approved Amount</t>
  </si>
  <si>
    <t>Amount (Individual)</t>
  </si>
  <si>
    <t>This organization will be receiving product</t>
  </si>
  <si>
    <t>Being a feminist organization we are regularly asked to supply pads, tampons etc. Some of our clients are more street engaged women, who have prior to our supports needed to use old torn t-shirts, or had to use toilet paper regularly for mensuration. We believe women/ youth should not have to go without needs.</t>
  </si>
  <si>
    <t>We will continue our process of asking our clients if they are in need, and supplying. SARA does follow the distancing requirements, and well as safe handling of items.</t>
  </si>
  <si>
    <t>Our organization would sincerely benefit from a supply of pads, tampons etc. We are currently out of stock as we rely on donations, so we are needing to pay out of program budgets to supply our clients with these needed products. We understand we may not get the amounts we requested, but we will thankfully take what is available. Thank you for all that you do!!</t>
  </si>
  <si>
    <t>United Way Food Hubs</t>
  </si>
  <si>
    <t>Totals</t>
  </si>
  <si>
    <t>Total Collected</t>
  </si>
  <si>
    <t>Total Distributed</t>
  </si>
  <si>
    <t>Total Remaining</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</si>
</sst>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D/M/YYYY"/>
  </numFmts>
  <fonts count="6">
    <font>
      <sz val="11.0"/>
      <color theme="1"/>
      <name val="Calibri"/>
      <scheme val="minor"/>
    </font>
    <font>
      <b/>
      <sz val="11.0"/>
      <color theme="1"/>
      <name val="Calibri"/>
    </font>
    <font>
      <sz val="11.0"/>
      <color theme="1"/>
      <name val="Calibri"/>
    </font>
    <font>
      <color theme="1"/>
      <name val="Calibri"/>
      <scheme val="minor"/>
    </font>
    <font>
      <b/>
      <sz val="11.0"/>
      <color rgb="FFFF0000"/>
      <name val="Calibri"/>
    </font>
    <font>
      <sz val="11.0"/>
      <color rgb="FFFF0000"/>
      <name val="Calibri"/>
    </font>
  </fonts>
  <fills count="4">
    <fill>
      <patternFill patternType="none"/>
    </fill>
    <fill>
      <patternFill patternType="lightGray"/>
    </fill>
    <fill>
      <patternFill patternType="solid">
        <fgColor rgb="FFFFFF00"/>
        <bgColor rgb="FFFFFF00"/>
      </patternFill>
    </fill>
    <fill>
      <patternFill patternType="solid">
        <fgColor rgb="FFFFFFFF"/>
        <bgColor rgb="FFFFFFFF"/>
      </patternFill>
    </fill>
  </fills>
  <borders count="3">
    <border/>
    <border>
      <left/>
      <right/>
      <top/>
      <bottom/>
    </border>
    <border>
      <top style="thin">
        <color rgb="FFA6A6A6"/>
      </top>
      <bottom style="thin">
        <color rgb="FFA6A6A6"/>
      </bottom>
    </border>
  </borders>
  <cellStyleXfs count="1">
    <xf borderId="0" fillId="0" fontId="0" numFmtId="0" applyAlignment="1" applyFont="1"/>
  </cellStyleXfs>
  <cellXfs count="30">
    <xf borderId="0" fillId="0" fontId="0" numFmtId="0" xfId="0" applyAlignment="1" applyFont="1">
      <alignment readingOrder="0" shrinkToFit="0" vertical="bottom" wrapText="0"/>
    </xf>
    <xf borderId="0" fillId="0" fontId="1" numFmtId="0" xfId="0" applyFont="1"/>
    <xf borderId="0" fillId="0" fontId="2" numFmtId="164" xfId="0" applyFont="1" applyNumberFormat="1"/>
    <xf borderId="0" fillId="0" fontId="3" numFmtId="0" xfId="0" applyFont="1"/>
    <xf borderId="0" fillId="0" fontId="2" numFmtId="3" xfId="0" applyFont="1" applyNumberFormat="1"/>
    <xf borderId="0" fillId="0" fontId="1" numFmtId="3" xfId="0" applyFont="1" applyNumberFormat="1"/>
    <xf borderId="0" fillId="0" fontId="4" numFmtId="0" xfId="0" applyFont="1"/>
    <xf borderId="1" fillId="2" fontId="2" numFmtId="0" xfId="0" applyBorder="1" applyFill="1" applyFont="1"/>
    <xf borderId="1" fillId="2" fontId="2" numFmtId="3" xfId="0" applyBorder="1" applyFont="1" applyNumberFormat="1"/>
    <xf borderId="1" fillId="2" fontId="2" numFmtId="1" xfId="0" applyBorder="1" applyFont="1" applyNumberFormat="1"/>
    <xf borderId="0" fillId="0" fontId="2" numFmtId="49" xfId="0" applyFont="1" applyNumberFormat="1"/>
    <xf borderId="1" fillId="2" fontId="2" numFmtId="49" xfId="0" applyBorder="1" applyFont="1" applyNumberFormat="1"/>
    <xf borderId="0" fillId="0" fontId="2" numFmtId="1" xfId="0" applyFont="1" applyNumberFormat="1"/>
    <xf borderId="1" fillId="3" fontId="2" numFmtId="0" xfId="0" applyBorder="1" applyFill="1" applyFont="1"/>
    <xf borderId="1" fillId="3" fontId="2" numFmtId="3" xfId="0" applyBorder="1" applyFont="1" applyNumberFormat="1"/>
    <xf borderId="1" fillId="3" fontId="2" numFmtId="1" xfId="0" applyBorder="1" applyFont="1" applyNumberFormat="1"/>
    <xf borderId="0" fillId="0" fontId="4" numFmtId="3" xfId="0" applyFont="1" applyNumberFormat="1"/>
    <xf borderId="0" fillId="0" fontId="4" numFmtId="1" xfId="0" applyFont="1" applyNumberFormat="1"/>
    <xf borderId="0" fillId="0" fontId="5" numFmtId="0" xfId="0" applyFont="1"/>
    <xf borderId="0" fillId="0" fontId="5" numFmtId="1" xfId="0" applyFont="1" applyNumberFormat="1"/>
    <xf borderId="1" fillId="2" fontId="5" numFmtId="1" xfId="0" applyBorder="1" applyFont="1" applyNumberFormat="1"/>
    <xf borderId="0" fillId="0" fontId="1" numFmtId="49" xfId="0" applyFont="1" applyNumberFormat="1"/>
    <xf borderId="0" fillId="0" fontId="1" numFmtId="1" xfId="0" applyFont="1" applyNumberFormat="1"/>
    <xf borderId="2" fillId="0" fontId="2" numFmtId="0" xfId="0" applyAlignment="1" applyBorder="1" applyFont="1">
      <alignment horizontal="left" vertical="center"/>
    </xf>
    <xf borderId="2" fillId="0" fontId="5" numFmtId="3" xfId="0" applyAlignment="1" applyBorder="1" applyFont="1" applyNumberFormat="1">
      <alignment horizontal="left" vertical="center"/>
    </xf>
    <xf borderId="2" fillId="0" fontId="2" numFmtId="0" xfId="0" applyAlignment="1" applyBorder="1" applyFont="1">
      <alignment horizontal="left"/>
    </xf>
    <xf borderId="2" fillId="0" fontId="2" numFmtId="3" xfId="0" applyAlignment="1" applyBorder="1" applyFont="1" applyNumberFormat="1">
      <alignment horizontal="left" vertical="center"/>
    </xf>
    <xf borderId="2" fillId="0" fontId="5" numFmtId="0" xfId="0" applyAlignment="1" applyBorder="1" applyFont="1">
      <alignment horizontal="left" vertical="center"/>
    </xf>
    <xf borderId="2" fillId="0" fontId="5" numFmtId="0" xfId="0" applyAlignment="1" applyBorder="1" applyFont="1">
      <alignment horizontal="left"/>
    </xf>
    <xf borderId="2" fillId="0" fontId="1" numFmtId="3" xfId="0" applyAlignment="1" applyBorder="1" applyFont="1" applyNumberFormat="1">
      <alignment horizontal="left"/>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10" Type="http://customschemas.google.com/relationships/workbookmetadata" Target="metadata"/><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 Id="rId2" Type="http://schemas.openxmlformats.org/officeDocument/2006/relationships/image" Target="../media/image2.png"/><Relationship Id="rId3"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94</xdr:col>
      <xdr:colOff>342900</xdr:colOff>
      <xdr:row>13</xdr:row>
      <xdr:rowOff>0</xdr:rowOff>
    </xdr:from>
    <xdr:ext cx="1647825" cy="504825"/>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oneCellAnchor>
    <xdr:from>
      <xdr:col>94</xdr:col>
      <xdr:colOff>400050</xdr:colOff>
      <xdr:row>9</xdr:row>
      <xdr:rowOff>0</xdr:rowOff>
    </xdr:from>
    <xdr:ext cx="1562100" cy="514350"/>
    <xdr:pic>
      <xdr:nvPicPr>
        <xdr:cNvPr id="0" name="image2.png"/>
        <xdr:cNvPicPr preferRelativeResize="0"/>
      </xdr:nvPicPr>
      <xdr:blipFill>
        <a:blip cstate="print" r:embed="rId2"/>
        <a:stretch>
          <a:fillRect/>
        </a:stretch>
      </xdr:blipFill>
      <xdr:spPr>
        <a:prstGeom prst="rect">
          <a:avLst/>
        </a:prstGeom>
        <a:noFill/>
      </xdr:spPr>
    </xdr:pic>
    <xdr:clientData fLocksWithSheet="0"/>
  </xdr:oneCellAnchor>
  <xdr:oneCellAnchor>
    <xdr:from>
      <xdr:col>94</xdr:col>
      <xdr:colOff>323850</xdr:colOff>
      <xdr:row>16</xdr:row>
      <xdr:rowOff>0</xdr:rowOff>
    </xdr:from>
    <xdr:ext cx="1666875" cy="533400"/>
    <xdr:pic>
      <xdr:nvPicPr>
        <xdr:cNvPr id="0" name="image1.png"/>
        <xdr:cNvPicPr preferRelativeResize="0"/>
      </xdr:nvPicPr>
      <xdr:blipFill>
        <a:blip cstate="print" r:embed="rId3"/>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4.43" defaultRowHeight="15.0"/>
  <cols>
    <col customWidth="1" min="1" max="1" width="8.71"/>
    <col customWidth="1" min="2" max="2" width="32.71"/>
    <col customWidth="1" min="3" max="26" width="8.71"/>
  </cols>
  <sheetData>
    <row r="1">
      <c r="A1" s="1" t="s">
        <v>0</v>
      </c>
      <c r="B1" s="2">
        <v>44390.0</v>
      </c>
    </row>
    <row r="3">
      <c r="A3" s="1" t="s">
        <v>1</v>
      </c>
      <c r="B3" s="3" t="s">
        <v>2</v>
      </c>
      <c r="C3" s="3" t="s">
        <v>3</v>
      </c>
      <c r="D3" s="3" t="s">
        <v>4</v>
      </c>
      <c r="E3" s="3" t="s">
        <v>5</v>
      </c>
      <c r="F3" s="3" t="s">
        <v>6</v>
      </c>
      <c r="G3" s="3" t="s">
        <v>7</v>
      </c>
      <c r="H3" s="3" t="s">
        <v>8</v>
      </c>
      <c r="I3" s="3" t="s">
        <v>9</v>
      </c>
    </row>
    <row r="4">
      <c r="B4" s="3" t="s">
        <v>10</v>
      </c>
      <c r="C4" s="3">
        <f>SUM(12579+622)</f>
        <v>13201</v>
      </c>
      <c r="D4" s="3">
        <f>SUM(6489+475)</f>
        <v>6964</v>
      </c>
      <c r="E4" s="3">
        <v>4486.0</v>
      </c>
      <c r="F4" s="3">
        <v>336.0</v>
      </c>
      <c r="G4" s="3">
        <v>7.0</v>
      </c>
      <c r="I4" s="3">
        <v>5.0</v>
      </c>
    </row>
    <row r="5">
      <c r="B5" s="3" t="s">
        <v>11</v>
      </c>
      <c r="C5" s="3">
        <v>3561.0</v>
      </c>
      <c r="D5" s="3">
        <v>2763.0</v>
      </c>
      <c r="E5" s="3">
        <v>1810.0</v>
      </c>
      <c r="G5" s="3">
        <v>1.0</v>
      </c>
      <c r="I5" s="3">
        <v>2.0</v>
      </c>
    </row>
    <row r="6">
      <c r="B6" s="3" t="s">
        <v>12</v>
      </c>
      <c r="C6" s="3">
        <v>6433.0</v>
      </c>
      <c r="D6" s="3">
        <v>5983.0</v>
      </c>
      <c r="I6" s="3">
        <v>2.0</v>
      </c>
    </row>
    <row r="7">
      <c r="B7" s="3" t="s">
        <v>13</v>
      </c>
      <c r="G7" s="3">
        <v>875.0</v>
      </c>
      <c r="I7" s="3">
        <v>24.0</v>
      </c>
    </row>
    <row r="8">
      <c r="B8" s="3" t="s">
        <v>14</v>
      </c>
      <c r="D8" s="3">
        <v>186840.0</v>
      </c>
      <c r="E8" s="3">
        <v>2470.0</v>
      </c>
    </row>
    <row r="9">
      <c r="B9" s="3" t="s">
        <v>15</v>
      </c>
      <c r="C9" s="3">
        <v>100000.0</v>
      </c>
    </row>
    <row r="10">
      <c r="B10" s="3" t="s">
        <v>16</v>
      </c>
      <c r="I10" s="3">
        <v>250.0</v>
      </c>
    </row>
    <row r="11">
      <c r="B11" s="3" t="s">
        <v>17</v>
      </c>
      <c r="C11" s="4">
        <v>59936.0</v>
      </c>
      <c r="D11" s="3">
        <v>56400.0</v>
      </c>
    </row>
    <row r="12">
      <c r="C12" s="4"/>
    </row>
    <row r="13">
      <c r="C13" s="4"/>
    </row>
    <row r="14">
      <c r="B14" s="1" t="s">
        <v>18</v>
      </c>
      <c r="C14" s="3">
        <f t="shared" ref="C14:I14" si="1">SUM(C4:C11)</f>
        <v>183131</v>
      </c>
      <c r="D14" s="3">
        <f t="shared" si="1"/>
        <v>258950</v>
      </c>
      <c r="E14" s="3">
        <f t="shared" si="1"/>
        <v>8766</v>
      </c>
      <c r="F14" s="3">
        <f t="shared" si="1"/>
        <v>336</v>
      </c>
      <c r="G14" s="3">
        <f t="shared" si="1"/>
        <v>883</v>
      </c>
      <c r="H14" s="3">
        <f t="shared" si="1"/>
        <v>0</v>
      </c>
      <c r="I14" s="3">
        <f t="shared" si="1"/>
        <v>283</v>
      </c>
      <c r="J14" s="1" t="s">
        <v>18</v>
      </c>
      <c r="K14" s="1">
        <f>SUM(C14:I14)</f>
        <v>452349</v>
      </c>
    </row>
    <row r="16">
      <c r="B16" s="3" t="s">
        <v>19</v>
      </c>
      <c r="C16" s="4">
        <f t="shared" ref="C16:I16" si="2">SUM(C14-C11)</f>
        <v>123195</v>
      </c>
      <c r="D16" s="4">
        <f t="shared" si="2"/>
        <v>202550</v>
      </c>
      <c r="E16" s="4">
        <f t="shared" si="2"/>
        <v>8766</v>
      </c>
      <c r="F16" s="4">
        <f t="shared" si="2"/>
        <v>336</v>
      </c>
      <c r="G16" s="4">
        <f t="shared" si="2"/>
        <v>883</v>
      </c>
      <c r="H16" s="4">
        <f t="shared" si="2"/>
        <v>0</v>
      </c>
      <c r="I16" s="4">
        <f t="shared" si="2"/>
        <v>283</v>
      </c>
      <c r="K16" s="5">
        <f>SUM(C16:I16)</f>
        <v>336013</v>
      </c>
    </row>
    <row r="18">
      <c r="E18" s="4"/>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1" width="8.71"/>
    <col customWidth="1" min="2" max="2" width="10.0"/>
    <col customWidth="1" min="3" max="26" width="8.71"/>
  </cols>
  <sheetData>
    <row r="1">
      <c r="A1" s="3" t="s">
        <v>20</v>
      </c>
      <c r="B1" s="2">
        <v>44014.0</v>
      </c>
    </row>
    <row r="3">
      <c r="A3" s="3" t="s">
        <v>21</v>
      </c>
      <c r="B3" s="3" t="s">
        <v>22</v>
      </c>
      <c r="C3" s="6" t="s">
        <v>3</v>
      </c>
      <c r="D3" s="6" t="s">
        <v>4</v>
      </c>
      <c r="E3" s="6" t="s">
        <v>5</v>
      </c>
      <c r="F3" s="6" t="s">
        <v>7</v>
      </c>
      <c r="G3" s="6" t="s">
        <v>9</v>
      </c>
    </row>
    <row r="4">
      <c r="A4" s="7" t="s">
        <v>23</v>
      </c>
      <c r="C4" s="8">
        <v>1412.0</v>
      </c>
      <c r="D4" s="8">
        <v>4703.0</v>
      </c>
      <c r="E4" s="8">
        <v>0.0</v>
      </c>
      <c r="F4" s="8">
        <v>38.0</v>
      </c>
      <c r="G4" s="9">
        <v>0.0</v>
      </c>
    </row>
    <row r="5">
      <c r="A5" s="7" t="s">
        <v>24</v>
      </c>
      <c r="C5" s="8">
        <v>0.0</v>
      </c>
      <c r="D5" s="8">
        <v>9407.0</v>
      </c>
      <c r="E5" s="8">
        <v>0.0</v>
      </c>
      <c r="F5" s="8">
        <v>0.0</v>
      </c>
      <c r="G5" s="9">
        <v>0.0</v>
      </c>
    </row>
    <row r="6">
      <c r="A6" s="10" t="s">
        <v>25</v>
      </c>
      <c r="C6" s="4">
        <v>1976.0</v>
      </c>
      <c r="D6" s="4">
        <v>6585.0</v>
      </c>
      <c r="E6" s="4">
        <v>118.0</v>
      </c>
      <c r="F6" s="4">
        <v>0.0</v>
      </c>
      <c r="G6" s="4">
        <v>0.0</v>
      </c>
    </row>
    <row r="7">
      <c r="A7" s="7" t="s">
        <v>26</v>
      </c>
      <c r="C7" s="8">
        <v>1412.0</v>
      </c>
      <c r="D7" s="8">
        <v>6585.0</v>
      </c>
      <c r="E7" s="8">
        <v>95.0</v>
      </c>
      <c r="F7" s="8">
        <v>38.0</v>
      </c>
      <c r="G7" s="9">
        <v>2.0</v>
      </c>
    </row>
    <row r="8">
      <c r="A8" s="11" t="s">
        <v>27</v>
      </c>
      <c r="C8" s="8">
        <v>1411.0</v>
      </c>
      <c r="D8" s="8">
        <v>4703.0</v>
      </c>
      <c r="E8" s="8">
        <v>118.0</v>
      </c>
      <c r="F8" s="8">
        <v>0.0</v>
      </c>
      <c r="G8" s="8">
        <v>0.0</v>
      </c>
    </row>
    <row r="9">
      <c r="A9" s="10" t="s">
        <v>28</v>
      </c>
      <c r="C9" s="4">
        <v>1411.0</v>
      </c>
      <c r="D9" s="4">
        <v>4703.0</v>
      </c>
      <c r="E9" s="4">
        <v>47.0</v>
      </c>
      <c r="F9" s="4">
        <v>23.0</v>
      </c>
      <c r="G9" s="4">
        <v>0.0</v>
      </c>
    </row>
    <row r="10">
      <c r="A10" s="11" t="s">
        <v>29</v>
      </c>
      <c r="C10" s="8">
        <v>564.0</v>
      </c>
      <c r="D10" s="8">
        <v>6585.0</v>
      </c>
      <c r="E10" s="8">
        <v>118.0</v>
      </c>
      <c r="F10" s="8">
        <v>54.0</v>
      </c>
      <c r="G10" s="8">
        <v>2.0</v>
      </c>
    </row>
    <row r="11">
      <c r="A11" s="3" t="s">
        <v>30</v>
      </c>
      <c r="C11" s="4">
        <v>2823.0</v>
      </c>
      <c r="D11" s="4">
        <v>9407.0</v>
      </c>
      <c r="E11" s="4">
        <v>237.0</v>
      </c>
      <c r="F11" s="4">
        <v>0.0</v>
      </c>
      <c r="G11" s="12">
        <v>0.0</v>
      </c>
    </row>
    <row r="12">
      <c r="A12" s="11" t="s">
        <v>31</v>
      </c>
      <c r="C12" s="8">
        <v>2823.0</v>
      </c>
      <c r="D12" s="8">
        <v>2822.0</v>
      </c>
      <c r="E12" s="8">
        <v>118.0</v>
      </c>
      <c r="F12" s="8">
        <v>30.0</v>
      </c>
      <c r="G12" s="8">
        <v>0.0</v>
      </c>
    </row>
    <row r="13">
      <c r="A13" s="11" t="s">
        <v>32</v>
      </c>
      <c r="C13" s="8">
        <v>1976.0</v>
      </c>
      <c r="D13" s="8">
        <v>4703.0</v>
      </c>
      <c r="E13" s="8">
        <v>189.0</v>
      </c>
      <c r="F13" s="8">
        <v>15.0</v>
      </c>
      <c r="G13" s="8">
        <v>0.0</v>
      </c>
    </row>
    <row r="14">
      <c r="A14" s="11" t="s">
        <v>33</v>
      </c>
      <c r="C14" s="8">
        <v>2824.0</v>
      </c>
      <c r="D14" s="8">
        <v>9407.0</v>
      </c>
      <c r="E14" s="8">
        <v>118.0</v>
      </c>
      <c r="F14" s="8">
        <v>76.0</v>
      </c>
      <c r="G14" s="8">
        <v>1.0</v>
      </c>
    </row>
    <row r="15">
      <c r="A15" s="11" t="s">
        <v>34</v>
      </c>
      <c r="C15" s="8">
        <v>1976.0</v>
      </c>
      <c r="D15" s="8">
        <v>3762.0</v>
      </c>
      <c r="E15" s="8">
        <v>71.0</v>
      </c>
      <c r="F15" s="8">
        <v>0.0</v>
      </c>
      <c r="G15" s="8">
        <v>0.0</v>
      </c>
    </row>
    <row r="16">
      <c r="A16" s="11" t="s">
        <v>35</v>
      </c>
      <c r="C16" s="8">
        <v>1411.0</v>
      </c>
      <c r="D16" s="8">
        <v>4703.0</v>
      </c>
      <c r="E16" s="8">
        <v>118.0</v>
      </c>
      <c r="F16" s="8">
        <v>28.0</v>
      </c>
      <c r="G16" s="8">
        <v>11.0</v>
      </c>
    </row>
    <row r="17">
      <c r="A17" s="11" t="s">
        <v>36</v>
      </c>
      <c r="C17" s="8">
        <v>2824.0</v>
      </c>
      <c r="D17" s="8">
        <v>4703.0</v>
      </c>
      <c r="E17" s="8">
        <v>165.0</v>
      </c>
      <c r="F17" s="8">
        <v>0.0</v>
      </c>
      <c r="G17" s="8">
        <v>0.0</v>
      </c>
    </row>
    <row r="18">
      <c r="A18" s="11" t="s">
        <v>37</v>
      </c>
      <c r="C18" s="8">
        <v>2823.0</v>
      </c>
      <c r="D18" s="8">
        <v>8466.0</v>
      </c>
      <c r="E18" s="8">
        <v>213.0</v>
      </c>
      <c r="F18" s="8">
        <v>76.0</v>
      </c>
      <c r="G18" s="8">
        <v>2.0</v>
      </c>
    </row>
    <row r="19">
      <c r="A19" s="7" t="s">
        <v>38</v>
      </c>
      <c r="C19" s="8">
        <v>1412.0</v>
      </c>
      <c r="D19" s="8">
        <v>4703.0</v>
      </c>
      <c r="E19" s="8">
        <v>118.0</v>
      </c>
      <c r="F19" s="8">
        <v>23.0</v>
      </c>
      <c r="G19" s="9">
        <v>0.0</v>
      </c>
    </row>
    <row r="20">
      <c r="A20" s="3" t="s">
        <v>39</v>
      </c>
      <c r="C20" s="4">
        <v>1412.0</v>
      </c>
      <c r="D20" s="4">
        <v>9407.0</v>
      </c>
      <c r="E20" s="4">
        <v>0.0</v>
      </c>
      <c r="F20" s="4">
        <v>0.0</v>
      </c>
      <c r="G20" s="12">
        <v>0.0</v>
      </c>
    </row>
    <row r="21" ht="15.75" customHeight="1">
      <c r="A21" s="11" t="s">
        <v>40</v>
      </c>
      <c r="C21" s="8">
        <v>565.0</v>
      </c>
      <c r="D21" s="8">
        <v>1881.0</v>
      </c>
      <c r="E21" s="8">
        <v>47.0</v>
      </c>
      <c r="F21" s="8">
        <v>15.0</v>
      </c>
      <c r="G21" s="8">
        <v>1.0</v>
      </c>
    </row>
    <row r="22" ht="15.75" customHeight="1">
      <c r="A22" s="11" t="s">
        <v>41</v>
      </c>
      <c r="C22" s="8">
        <v>0.0</v>
      </c>
      <c r="D22" s="8">
        <v>0.0</v>
      </c>
      <c r="E22" s="8">
        <v>118.0</v>
      </c>
      <c r="F22" s="8">
        <v>23.0</v>
      </c>
      <c r="G22" s="8">
        <v>2.0</v>
      </c>
    </row>
    <row r="23" ht="15.75" customHeight="1">
      <c r="A23" s="11" t="s">
        <v>42</v>
      </c>
      <c r="C23" s="8">
        <v>1977.0</v>
      </c>
      <c r="D23" s="8">
        <v>6585.0</v>
      </c>
      <c r="E23" s="8">
        <v>166.0</v>
      </c>
      <c r="F23" s="8">
        <v>23.0</v>
      </c>
      <c r="G23" s="8">
        <v>1.0</v>
      </c>
    </row>
    <row r="24" ht="15.75" customHeight="1">
      <c r="A24" s="11" t="s">
        <v>43</v>
      </c>
      <c r="C24" s="8">
        <v>2259.0</v>
      </c>
      <c r="D24" s="8">
        <v>3762.0</v>
      </c>
      <c r="E24" s="8">
        <v>166.0</v>
      </c>
      <c r="F24" s="8">
        <v>23.0</v>
      </c>
      <c r="G24" s="8">
        <v>1.0</v>
      </c>
    </row>
    <row r="25" ht="15.75" customHeight="1">
      <c r="A25" s="11" t="s">
        <v>44</v>
      </c>
      <c r="C25" s="8">
        <v>2823.0</v>
      </c>
      <c r="D25" s="8">
        <v>9407.0</v>
      </c>
      <c r="E25" s="8">
        <v>118.0</v>
      </c>
      <c r="F25" s="8">
        <v>38.0</v>
      </c>
      <c r="G25" s="8">
        <v>0.0</v>
      </c>
    </row>
    <row r="26" ht="15.75" customHeight="1">
      <c r="A26" s="11" t="s">
        <v>45</v>
      </c>
      <c r="C26" s="8">
        <v>565.0</v>
      </c>
      <c r="D26" s="8">
        <v>9407.0</v>
      </c>
      <c r="E26" s="8">
        <v>237.0</v>
      </c>
      <c r="F26" s="8">
        <v>0.0</v>
      </c>
      <c r="G26" s="8">
        <v>1.0</v>
      </c>
    </row>
    <row r="27" ht="15.75" customHeight="1">
      <c r="A27" s="7" t="s">
        <v>46</v>
      </c>
      <c r="C27" s="8">
        <v>2823.0</v>
      </c>
      <c r="D27" s="8">
        <v>9407.0</v>
      </c>
      <c r="E27" s="8">
        <v>237.0</v>
      </c>
      <c r="F27" s="8">
        <v>57.0</v>
      </c>
      <c r="G27" s="9">
        <v>2.0</v>
      </c>
    </row>
    <row r="28" ht="15.75" customHeight="1">
      <c r="A28" s="11" t="s">
        <v>47</v>
      </c>
      <c r="C28" s="8">
        <v>2824.0</v>
      </c>
      <c r="D28" s="8">
        <v>0.0</v>
      </c>
      <c r="E28" s="8">
        <v>237.0</v>
      </c>
      <c r="F28" s="8">
        <v>31.0</v>
      </c>
      <c r="G28" s="8">
        <v>0.0</v>
      </c>
    </row>
    <row r="29" ht="15.75" customHeight="1">
      <c r="A29" s="11" t="s">
        <v>48</v>
      </c>
      <c r="C29" s="8">
        <v>2823.0</v>
      </c>
      <c r="D29" s="8">
        <v>9407.0</v>
      </c>
      <c r="E29" s="8">
        <v>71.0</v>
      </c>
      <c r="F29" s="8">
        <v>8.0</v>
      </c>
      <c r="G29" s="8">
        <v>2.0</v>
      </c>
    </row>
    <row r="30" ht="15.75" customHeight="1">
      <c r="A30" s="11" t="s">
        <v>49</v>
      </c>
      <c r="C30" s="8">
        <v>847.0</v>
      </c>
      <c r="D30" s="8">
        <v>2822.0</v>
      </c>
      <c r="E30" s="8">
        <v>70.0</v>
      </c>
      <c r="F30" s="8">
        <v>23.0</v>
      </c>
      <c r="G30" s="8">
        <v>0.0</v>
      </c>
    </row>
    <row r="31" ht="15.75" customHeight="1">
      <c r="A31" s="7" t="s">
        <v>50</v>
      </c>
      <c r="C31" s="8">
        <v>1130.0</v>
      </c>
      <c r="D31" s="8">
        <v>6585.0</v>
      </c>
      <c r="E31" s="8">
        <v>95.0</v>
      </c>
      <c r="F31" s="8">
        <v>31.0</v>
      </c>
      <c r="G31" s="9">
        <v>0.0</v>
      </c>
    </row>
    <row r="32" ht="15.75" customHeight="1">
      <c r="A32" s="11" t="s">
        <v>51</v>
      </c>
      <c r="C32" s="8">
        <v>0.0</v>
      </c>
      <c r="D32" s="8">
        <v>6585.0</v>
      </c>
      <c r="E32" s="8">
        <v>118.0</v>
      </c>
      <c r="F32" s="8">
        <v>8.0</v>
      </c>
      <c r="G32" s="8">
        <v>2.0</v>
      </c>
    </row>
    <row r="33" ht="15.75" customHeight="1">
      <c r="A33" s="11" t="s">
        <v>52</v>
      </c>
      <c r="C33" s="8">
        <v>1977.0</v>
      </c>
      <c r="D33" s="8">
        <v>6585.0</v>
      </c>
      <c r="E33" s="8">
        <v>165.0</v>
      </c>
      <c r="F33" s="8">
        <v>15.0</v>
      </c>
      <c r="G33" s="8">
        <v>0.0</v>
      </c>
    </row>
    <row r="34" ht="15.75" customHeight="1">
      <c r="A34" s="11" t="s">
        <v>53</v>
      </c>
      <c r="C34" s="8">
        <v>1411.0</v>
      </c>
      <c r="D34" s="8">
        <v>6585.0</v>
      </c>
      <c r="E34" s="8">
        <v>94.0</v>
      </c>
      <c r="F34" s="8">
        <v>0.0</v>
      </c>
      <c r="G34" s="8">
        <v>0.0</v>
      </c>
    </row>
    <row r="35" ht="15.75" customHeight="1">
      <c r="A35" s="11" t="s">
        <v>54</v>
      </c>
      <c r="C35" s="8">
        <v>1411.0</v>
      </c>
      <c r="D35" s="8">
        <v>8466.0</v>
      </c>
      <c r="E35" s="8">
        <v>165.0</v>
      </c>
      <c r="F35" s="8">
        <v>0.0</v>
      </c>
      <c r="G35" s="8">
        <v>0.0</v>
      </c>
    </row>
    <row r="36" ht="15.75" customHeight="1">
      <c r="A36" s="11" t="s">
        <v>55</v>
      </c>
      <c r="C36" s="8">
        <v>1693.0</v>
      </c>
      <c r="D36" s="8">
        <v>5644.0</v>
      </c>
      <c r="E36" s="8">
        <v>142.0</v>
      </c>
      <c r="F36" s="8">
        <v>38.0</v>
      </c>
      <c r="G36" s="8">
        <v>1.0</v>
      </c>
    </row>
    <row r="37" ht="15.75" customHeight="1">
      <c r="A37" s="10" t="s">
        <v>56</v>
      </c>
      <c r="C37" s="4">
        <v>1694.0</v>
      </c>
      <c r="D37" s="4">
        <v>4703.0</v>
      </c>
      <c r="E37" s="4">
        <v>95.0</v>
      </c>
      <c r="F37" s="4">
        <v>46.0</v>
      </c>
      <c r="G37" s="4">
        <v>1.0</v>
      </c>
    </row>
    <row r="38" ht="15.75" customHeight="1">
      <c r="A38" s="11" t="s">
        <v>57</v>
      </c>
      <c r="C38" s="8">
        <v>2823.0</v>
      </c>
      <c r="D38" s="8">
        <v>9407.0</v>
      </c>
      <c r="E38" s="8">
        <v>0.0</v>
      </c>
      <c r="F38" s="8">
        <v>38.0</v>
      </c>
      <c r="G38" s="8">
        <v>2.0</v>
      </c>
    </row>
    <row r="39" ht="15.75" customHeight="1">
      <c r="A39" s="3" t="s">
        <v>58</v>
      </c>
      <c r="B39" s="1"/>
      <c r="C39" s="4">
        <v>1412.0</v>
      </c>
      <c r="D39" s="4">
        <v>4703.0</v>
      </c>
      <c r="E39" s="4">
        <v>119.0</v>
      </c>
      <c r="F39" s="4">
        <v>0.0</v>
      </c>
      <c r="G39" s="12">
        <v>0.0</v>
      </c>
    </row>
    <row r="40" ht="15.75" customHeight="1">
      <c r="A40" s="7" t="s">
        <v>59</v>
      </c>
      <c r="C40" s="8">
        <v>1694.0</v>
      </c>
      <c r="D40" s="8">
        <v>3762.0</v>
      </c>
      <c r="E40" s="8">
        <v>142.0</v>
      </c>
      <c r="F40" s="8">
        <v>7.0</v>
      </c>
      <c r="G40" s="9">
        <v>0.0</v>
      </c>
    </row>
    <row r="41" ht="15.75" customHeight="1">
      <c r="A41" s="13" t="s">
        <v>60</v>
      </c>
      <c r="B41" s="13"/>
      <c r="C41" s="14">
        <v>28515.0</v>
      </c>
      <c r="D41" s="14">
        <v>30481.0</v>
      </c>
      <c r="E41" s="14"/>
      <c r="F41" s="14"/>
      <c r="G41" s="15"/>
      <c r="I41" s="4">
        <f>SUM(C41:H41)</f>
        <v>58996</v>
      </c>
    </row>
    <row r="42" ht="15.75" customHeight="1">
      <c r="A42" s="13"/>
      <c r="B42" s="13"/>
      <c r="C42" s="14"/>
      <c r="D42" s="14"/>
      <c r="E42" s="14"/>
      <c r="F42" s="14"/>
      <c r="G42" s="15"/>
    </row>
    <row r="43" ht="15.75" customHeight="1">
      <c r="A43" s="13"/>
      <c r="B43" s="13"/>
      <c r="C43" s="14"/>
      <c r="D43" s="14"/>
      <c r="E43" s="14"/>
      <c r="F43" s="14"/>
      <c r="G43" s="15"/>
    </row>
    <row r="44" ht="15.75" customHeight="1">
      <c r="A44" s="10"/>
      <c r="C44" s="4"/>
      <c r="D44" s="4"/>
      <c r="E44" s="4"/>
      <c r="F44" s="4"/>
      <c r="G44" s="4"/>
    </row>
    <row r="45" ht="15.75" customHeight="1">
      <c r="A45" s="1"/>
      <c r="C45" s="16">
        <f t="shared" ref="C45:G45" si="1">SUM(C4:C44)</f>
        <v>91756</v>
      </c>
      <c r="D45" s="16">
        <f t="shared" si="1"/>
        <v>251538</v>
      </c>
      <c r="E45" s="16">
        <f t="shared" si="1"/>
        <v>4445</v>
      </c>
      <c r="F45" s="16">
        <f t="shared" si="1"/>
        <v>825</v>
      </c>
      <c r="G45" s="17">
        <f t="shared" si="1"/>
        <v>34</v>
      </c>
      <c r="H45" s="8">
        <f>SUM(C45:G45)</f>
        <v>348598</v>
      </c>
    </row>
    <row r="46" ht="15.75" customHeight="1">
      <c r="C46" s="4"/>
      <c r="D46" s="4"/>
      <c r="E46" s="4"/>
      <c r="F46" s="4"/>
      <c r="G46" s="12"/>
    </row>
    <row r="47" ht="15.75" customHeight="1"/>
    <row r="48" ht="15.75" customHeight="1"/>
    <row r="49" ht="15.75" customHeight="1">
      <c r="A49" s="10"/>
      <c r="C49" s="4"/>
      <c r="D49" s="4"/>
      <c r="E49" s="4"/>
      <c r="F49" s="4"/>
      <c r="G49" s="4"/>
    </row>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sheetViews>
  <sheetFormatPr customHeight="1" defaultColWidth="14.43" defaultRowHeight="15.0"/>
  <cols>
    <col customWidth="1" hidden="1" min="1" max="1" width="8.71"/>
    <col customWidth="1" min="2" max="2" width="8.71"/>
    <col customWidth="1" min="3" max="3" width="18.71"/>
    <col customWidth="1" hidden="1" min="4" max="59" width="8.71"/>
    <col customWidth="1" min="60" max="82" width="8.71"/>
  </cols>
  <sheetData>
    <row r="1">
      <c r="B1" s="3" t="s">
        <v>0</v>
      </c>
      <c r="C1" s="2">
        <v>44014.0</v>
      </c>
    </row>
    <row r="3">
      <c r="A3" s="3" t="s">
        <v>61</v>
      </c>
      <c r="C3" s="3" t="s">
        <v>62</v>
      </c>
      <c r="D3" s="3" t="s">
        <v>63</v>
      </c>
      <c r="E3" s="3" t="s">
        <v>64</v>
      </c>
      <c r="F3" s="3" t="s">
        <v>65</v>
      </c>
      <c r="G3" s="3" t="s">
        <v>66</v>
      </c>
      <c r="H3" s="3" t="s">
        <v>67</v>
      </c>
      <c r="I3" s="3" t="s">
        <v>68</v>
      </c>
      <c r="J3" s="3" t="s">
        <v>69</v>
      </c>
      <c r="K3" s="3" t="s">
        <v>70</v>
      </c>
      <c r="L3" s="3" t="s">
        <v>71</v>
      </c>
      <c r="M3" s="3" t="s">
        <v>72</v>
      </c>
      <c r="N3" s="3" t="s">
        <v>73</v>
      </c>
      <c r="O3" s="3" t="s">
        <v>74</v>
      </c>
      <c r="P3" s="3" t="s">
        <v>75</v>
      </c>
      <c r="Q3" s="3" t="s">
        <v>76</v>
      </c>
      <c r="R3" s="3" t="s">
        <v>77</v>
      </c>
      <c r="S3" s="3" t="s">
        <v>78</v>
      </c>
      <c r="T3" s="3" t="s">
        <v>79</v>
      </c>
      <c r="U3" s="3" t="s">
        <v>80</v>
      </c>
      <c r="V3" s="3" t="s">
        <v>81</v>
      </c>
      <c r="W3" s="3" t="s">
        <v>82</v>
      </c>
      <c r="X3" s="3" t="s">
        <v>83</v>
      </c>
      <c r="Y3" s="3" t="s">
        <v>84</v>
      </c>
      <c r="Z3" s="3" t="s">
        <v>85</v>
      </c>
      <c r="AA3" s="3" t="s">
        <v>86</v>
      </c>
      <c r="AB3" s="3" t="s">
        <v>87</v>
      </c>
      <c r="AC3" s="3" t="s">
        <v>88</v>
      </c>
      <c r="AD3" s="3" t="s">
        <v>89</v>
      </c>
      <c r="AE3" s="3" t="s">
        <v>90</v>
      </c>
      <c r="AF3" s="3" t="s">
        <v>91</v>
      </c>
      <c r="AG3" s="3" t="s">
        <v>92</v>
      </c>
      <c r="AH3" s="3" t="s">
        <v>93</v>
      </c>
      <c r="AI3" s="3" t="s">
        <v>94</v>
      </c>
      <c r="AJ3" s="3" t="s">
        <v>95</v>
      </c>
      <c r="AK3" s="3" t="s">
        <v>96</v>
      </c>
      <c r="AL3" s="3" t="s">
        <v>97</v>
      </c>
      <c r="AM3" s="3" t="s">
        <v>98</v>
      </c>
      <c r="AN3" s="3" t="s">
        <v>99</v>
      </c>
      <c r="AO3" s="3" t="s">
        <v>100</v>
      </c>
      <c r="AP3" s="3" t="s">
        <v>85</v>
      </c>
      <c r="AQ3" s="3" t="s">
        <v>71</v>
      </c>
      <c r="AR3" s="3" t="s">
        <v>101</v>
      </c>
      <c r="AS3" s="3" t="s">
        <v>71</v>
      </c>
      <c r="AT3" s="3" t="s">
        <v>102</v>
      </c>
      <c r="AU3" s="3" t="s">
        <v>103</v>
      </c>
      <c r="AV3" s="3" t="s">
        <v>104</v>
      </c>
      <c r="AW3" s="3" t="s">
        <v>105</v>
      </c>
      <c r="AX3" s="3" t="s">
        <v>106</v>
      </c>
      <c r="AY3" s="3" t="s">
        <v>107</v>
      </c>
      <c r="AZ3" s="3" t="s">
        <v>108</v>
      </c>
      <c r="BA3" s="3" t="s">
        <v>85</v>
      </c>
      <c r="BB3" s="3" t="s">
        <v>86</v>
      </c>
      <c r="BC3" s="3" t="s">
        <v>109</v>
      </c>
      <c r="BD3" s="3" t="s">
        <v>110</v>
      </c>
      <c r="BE3" s="3" t="s">
        <v>111</v>
      </c>
      <c r="BF3" s="3" t="s">
        <v>112</v>
      </c>
      <c r="BG3" s="3" t="s">
        <v>113</v>
      </c>
      <c r="BH3" s="3" t="s">
        <v>114</v>
      </c>
      <c r="BI3" s="3" t="s">
        <v>115</v>
      </c>
      <c r="BJ3" s="3" t="s">
        <v>116</v>
      </c>
      <c r="BK3" s="3" t="s">
        <v>117</v>
      </c>
      <c r="BL3" s="3" t="s">
        <v>118</v>
      </c>
      <c r="BM3" s="3" t="s">
        <v>119</v>
      </c>
      <c r="BN3" s="3" t="s">
        <v>120</v>
      </c>
      <c r="BO3" s="3" t="s">
        <v>121</v>
      </c>
      <c r="BP3" s="3" t="s">
        <v>122</v>
      </c>
      <c r="BQ3" s="3" t="s">
        <v>123</v>
      </c>
      <c r="BR3" s="3" t="s">
        <v>124</v>
      </c>
      <c r="BS3" s="3" t="s">
        <v>125</v>
      </c>
      <c r="BT3" s="3" t="s">
        <v>126</v>
      </c>
      <c r="BU3" s="3" t="s">
        <v>127</v>
      </c>
      <c r="BV3" s="3" t="s">
        <v>128</v>
      </c>
      <c r="BW3" s="3" t="s">
        <v>129</v>
      </c>
      <c r="BX3" s="3" t="s">
        <v>130</v>
      </c>
      <c r="BY3" s="3" t="s">
        <v>131</v>
      </c>
      <c r="BZ3" s="3" t="s">
        <v>132</v>
      </c>
      <c r="CA3" s="3" t="s">
        <v>133</v>
      </c>
      <c r="CB3" s="3" t="s">
        <v>134</v>
      </c>
      <c r="CC3" s="3" t="s">
        <v>135</v>
      </c>
      <c r="CD3" s="3" t="s">
        <v>136</v>
      </c>
    </row>
    <row r="4">
      <c r="A4" s="10" t="s">
        <v>137</v>
      </c>
      <c r="B4" s="10"/>
      <c r="C4" s="10" t="s">
        <v>51</v>
      </c>
      <c r="D4" s="10" t="s">
        <v>138</v>
      </c>
      <c r="E4" s="10" t="s">
        <v>139</v>
      </c>
      <c r="F4" s="10" t="s">
        <v>140</v>
      </c>
      <c r="G4" s="10" t="s">
        <v>141</v>
      </c>
      <c r="H4" s="10" t="s">
        <v>142</v>
      </c>
      <c r="I4" s="10" t="s">
        <v>143</v>
      </c>
      <c r="J4" s="10" t="s">
        <v>144</v>
      </c>
      <c r="K4" s="10" t="s">
        <v>85</v>
      </c>
      <c r="L4" s="10" t="s">
        <v>145</v>
      </c>
      <c r="M4" s="10" t="s">
        <v>140</v>
      </c>
      <c r="N4" s="10" t="s">
        <v>73</v>
      </c>
      <c r="O4" s="10" t="s">
        <v>140</v>
      </c>
      <c r="P4" s="10" t="s">
        <v>140</v>
      </c>
      <c r="Q4" s="10" t="s">
        <v>140</v>
      </c>
      <c r="R4" s="10" t="s">
        <v>140</v>
      </c>
      <c r="S4" s="10" t="s">
        <v>78</v>
      </c>
      <c r="T4" s="10" t="s">
        <v>79</v>
      </c>
      <c r="U4" s="10" t="s">
        <v>80</v>
      </c>
      <c r="V4" s="10" t="s">
        <v>81</v>
      </c>
      <c r="W4" s="10" t="s">
        <v>140</v>
      </c>
      <c r="X4" s="10" t="s">
        <v>83</v>
      </c>
      <c r="Y4" s="10" t="s">
        <v>140</v>
      </c>
      <c r="Z4" s="10" t="s">
        <v>140</v>
      </c>
      <c r="AA4" s="10" t="s">
        <v>140</v>
      </c>
      <c r="AB4" s="12">
        <v>12.0</v>
      </c>
      <c r="AC4" s="12">
        <v>60.0</v>
      </c>
      <c r="AD4" s="12">
        <v>25.0</v>
      </c>
      <c r="AE4" s="12">
        <v>3.0</v>
      </c>
      <c r="AF4" s="10" t="s">
        <v>146</v>
      </c>
      <c r="AG4" s="10" t="s">
        <v>146</v>
      </c>
      <c r="AH4" s="10" t="s">
        <v>146</v>
      </c>
      <c r="AI4" s="10" t="s">
        <v>147</v>
      </c>
      <c r="AJ4" s="10" t="s">
        <v>140</v>
      </c>
      <c r="AK4" s="10" t="s">
        <v>140</v>
      </c>
      <c r="AL4" s="10" t="s">
        <v>97</v>
      </c>
      <c r="AM4" s="10" t="s">
        <v>98</v>
      </c>
      <c r="AN4" s="10" t="s">
        <v>99</v>
      </c>
      <c r="AO4" s="10" t="s">
        <v>100</v>
      </c>
      <c r="AP4" s="10" t="s">
        <v>85</v>
      </c>
      <c r="AQ4" s="10" t="s">
        <v>148</v>
      </c>
      <c r="AR4" s="10" t="s">
        <v>149</v>
      </c>
      <c r="AS4" s="10" t="s">
        <v>140</v>
      </c>
      <c r="AT4" s="10" t="s">
        <v>140</v>
      </c>
      <c r="AU4" s="10" t="s">
        <v>140</v>
      </c>
      <c r="AV4" s="10" t="s">
        <v>140</v>
      </c>
      <c r="AW4" s="10" t="s">
        <v>140</v>
      </c>
      <c r="AX4" s="10" t="s">
        <v>140</v>
      </c>
      <c r="AY4" s="10" t="s">
        <v>140</v>
      </c>
      <c r="AZ4" s="10" t="s">
        <v>140</v>
      </c>
      <c r="BA4" s="10" t="s">
        <v>85</v>
      </c>
      <c r="BB4" s="10" t="s">
        <v>150</v>
      </c>
      <c r="BC4" s="12">
        <v>7.0</v>
      </c>
      <c r="BD4" s="12">
        <v>6.0</v>
      </c>
      <c r="BE4" s="10" t="s">
        <v>146</v>
      </c>
      <c r="BF4" s="10" t="s">
        <v>151</v>
      </c>
      <c r="BG4" s="10" t="s">
        <v>146</v>
      </c>
      <c r="BH4" s="10" t="s">
        <v>146</v>
      </c>
      <c r="BI4" s="12">
        <v>0.0</v>
      </c>
      <c r="BJ4" s="12">
        <v>7.0</v>
      </c>
      <c r="BK4" s="12">
        <v>5.0</v>
      </c>
      <c r="BL4" s="12">
        <v>1.0</v>
      </c>
      <c r="BM4" s="12">
        <v>2.0</v>
      </c>
      <c r="BN4" s="12">
        <v>2.0</v>
      </c>
      <c r="BO4" s="10" t="s">
        <v>152</v>
      </c>
      <c r="BP4" s="10" t="s">
        <v>153</v>
      </c>
      <c r="BQ4" s="10" t="s">
        <v>140</v>
      </c>
      <c r="BR4" s="10" t="s">
        <v>146</v>
      </c>
      <c r="BS4" s="10" t="s">
        <v>140</v>
      </c>
      <c r="BT4" s="10" t="s">
        <v>146</v>
      </c>
      <c r="BU4" s="10" t="s">
        <v>140</v>
      </c>
      <c r="BV4" s="10" t="s">
        <v>140</v>
      </c>
      <c r="BW4" s="10" t="s">
        <v>140</v>
      </c>
      <c r="BX4" s="10" t="s">
        <v>140</v>
      </c>
      <c r="BY4" s="10" t="s">
        <v>140</v>
      </c>
      <c r="BZ4" s="10" t="s">
        <v>154</v>
      </c>
      <c r="CA4" s="10" t="s">
        <v>155</v>
      </c>
      <c r="CB4" s="10" t="s">
        <v>156</v>
      </c>
      <c r="CC4" s="10" t="s">
        <v>157</v>
      </c>
      <c r="CD4" s="10" t="s">
        <v>158</v>
      </c>
    </row>
    <row r="5">
      <c r="A5" s="10" t="s">
        <v>159</v>
      </c>
      <c r="B5" s="10"/>
      <c r="C5" s="10" t="s">
        <v>38</v>
      </c>
      <c r="D5" s="10" t="s">
        <v>160</v>
      </c>
      <c r="E5" s="10" t="s">
        <v>161</v>
      </c>
      <c r="F5" s="10" t="s">
        <v>140</v>
      </c>
      <c r="G5" s="10" t="s">
        <v>162</v>
      </c>
      <c r="H5" s="10" t="s">
        <v>163</v>
      </c>
      <c r="I5" s="10" t="s">
        <v>164</v>
      </c>
      <c r="J5" s="10" t="s">
        <v>165</v>
      </c>
      <c r="K5" s="10" t="s">
        <v>166</v>
      </c>
      <c r="L5" s="10" t="s">
        <v>140</v>
      </c>
      <c r="M5" s="10" t="s">
        <v>140</v>
      </c>
      <c r="N5" s="10" t="s">
        <v>140</v>
      </c>
      <c r="O5" s="10" t="s">
        <v>140</v>
      </c>
      <c r="P5" s="10" t="s">
        <v>140</v>
      </c>
      <c r="Q5" s="10" t="s">
        <v>140</v>
      </c>
      <c r="R5" s="10" t="s">
        <v>140</v>
      </c>
      <c r="S5" s="10" t="s">
        <v>140</v>
      </c>
      <c r="T5" s="10" t="s">
        <v>140</v>
      </c>
      <c r="U5" s="10" t="s">
        <v>140</v>
      </c>
      <c r="V5" s="10" t="s">
        <v>140</v>
      </c>
      <c r="W5" s="10" t="s">
        <v>140</v>
      </c>
      <c r="X5" s="10" t="s">
        <v>140</v>
      </c>
      <c r="Y5" s="10" t="s">
        <v>140</v>
      </c>
      <c r="Z5" s="10" t="s">
        <v>85</v>
      </c>
      <c r="AA5" s="10" t="s">
        <v>167</v>
      </c>
      <c r="AB5" s="12">
        <v>0.0</v>
      </c>
      <c r="AC5" s="12">
        <v>15.0</v>
      </c>
      <c r="AD5" s="12">
        <v>8.0</v>
      </c>
      <c r="AE5" s="12">
        <v>3.0</v>
      </c>
      <c r="AF5" s="10" t="s">
        <v>146</v>
      </c>
      <c r="AG5" s="10" t="s">
        <v>168</v>
      </c>
      <c r="AH5" s="10" t="s">
        <v>140</v>
      </c>
      <c r="AI5" s="10" t="s">
        <v>140</v>
      </c>
      <c r="AJ5" s="10" t="s">
        <v>140</v>
      </c>
      <c r="AK5" s="10" t="s">
        <v>140</v>
      </c>
      <c r="AL5" s="10" t="s">
        <v>140</v>
      </c>
      <c r="AM5" s="10" t="s">
        <v>140</v>
      </c>
      <c r="AN5" s="10" t="s">
        <v>140</v>
      </c>
      <c r="AO5" s="10" t="s">
        <v>140</v>
      </c>
      <c r="AP5" s="10" t="s">
        <v>85</v>
      </c>
      <c r="AQ5" s="10" t="s">
        <v>169</v>
      </c>
      <c r="AR5" s="10" t="s">
        <v>85</v>
      </c>
      <c r="AS5" s="10" t="s">
        <v>170</v>
      </c>
      <c r="AT5" s="10" t="s">
        <v>102</v>
      </c>
      <c r="AU5" s="10" t="s">
        <v>103</v>
      </c>
      <c r="AV5" s="10" t="s">
        <v>140</v>
      </c>
      <c r="AW5" s="10" t="s">
        <v>140</v>
      </c>
      <c r="AX5" s="10" t="s">
        <v>140</v>
      </c>
      <c r="AY5" s="10" t="s">
        <v>107</v>
      </c>
      <c r="AZ5" s="10" t="s">
        <v>108</v>
      </c>
      <c r="BA5" s="10" t="s">
        <v>85</v>
      </c>
      <c r="BB5" s="10" t="s">
        <v>171</v>
      </c>
      <c r="BC5" s="12">
        <v>4.0</v>
      </c>
      <c r="BD5" s="12">
        <v>6.0</v>
      </c>
      <c r="BE5" s="10" t="s">
        <v>168</v>
      </c>
      <c r="BF5" s="10" t="s">
        <v>140</v>
      </c>
      <c r="BG5" s="10" t="s">
        <v>140</v>
      </c>
      <c r="BH5" s="10" t="s">
        <v>146</v>
      </c>
      <c r="BI5" s="12">
        <v>5.0</v>
      </c>
      <c r="BJ5" s="12">
        <v>5.0</v>
      </c>
      <c r="BK5" s="12">
        <v>5.0</v>
      </c>
      <c r="BL5" s="12">
        <v>3.0</v>
      </c>
      <c r="BM5" s="12">
        <v>4.0</v>
      </c>
      <c r="BN5" s="12">
        <v>0.0</v>
      </c>
      <c r="BO5" s="10" t="s">
        <v>172</v>
      </c>
      <c r="BP5" s="10" t="s">
        <v>173</v>
      </c>
      <c r="BQ5" s="10" t="s">
        <v>140</v>
      </c>
      <c r="BR5" s="10" t="s">
        <v>146</v>
      </c>
      <c r="BS5" s="10" t="s">
        <v>140</v>
      </c>
      <c r="BT5" s="10" t="s">
        <v>168</v>
      </c>
      <c r="BU5" s="10" t="s">
        <v>160</v>
      </c>
      <c r="BV5" s="10" t="s">
        <v>161</v>
      </c>
      <c r="BW5" s="10" t="s">
        <v>174</v>
      </c>
      <c r="BX5" s="10" t="s">
        <v>162</v>
      </c>
      <c r="BY5" s="10" t="s">
        <v>175</v>
      </c>
      <c r="BZ5" s="10" t="s">
        <v>176</v>
      </c>
      <c r="CA5" s="10" t="s">
        <v>140</v>
      </c>
      <c r="CB5" s="10" t="s">
        <v>177</v>
      </c>
      <c r="CC5" s="10" t="s">
        <v>178</v>
      </c>
      <c r="CD5" s="10" t="s">
        <v>179</v>
      </c>
    </row>
    <row r="6">
      <c r="A6" s="10" t="s">
        <v>180</v>
      </c>
      <c r="B6" s="10"/>
      <c r="C6" s="10" t="s">
        <v>48</v>
      </c>
      <c r="D6" s="10" t="s">
        <v>181</v>
      </c>
      <c r="E6" s="10" t="s">
        <v>182</v>
      </c>
      <c r="F6" s="10" t="s">
        <v>140</v>
      </c>
      <c r="G6" s="10" t="s">
        <v>183</v>
      </c>
      <c r="H6" s="10" t="s">
        <v>184</v>
      </c>
      <c r="I6" s="10" t="s">
        <v>185</v>
      </c>
      <c r="J6" s="10" t="s">
        <v>186</v>
      </c>
      <c r="K6" s="10" t="s">
        <v>187</v>
      </c>
      <c r="L6" s="10" t="s">
        <v>140</v>
      </c>
      <c r="M6" s="10" t="s">
        <v>140</v>
      </c>
      <c r="N6" s="10" t="s">
        <v>73</v>
      </c>
      <c r="O6" s="10" t="s">
        <v>74</v>
      </c>
      <c r="P6" s="10" t="s">
        <v>75</v>
      </c>
      <c r="Q6" s="10" t="s">
        <v>76</v>
      </c>
      <c r="R6" s="10" t="s">
        <v>77</v>
      </c>
      <c r="S6" s="10" t="s">
        <v>78</v>
      </c>
      <c r="T6" s="10" t="s">
        <v>79</v>
      </c>
      <c r="U6" s="10" t="s">
        <v>80</v>
      </c>
      <c r="V6" s="10" t="s">
        <v>81</v>
      </c>
      <c r="W6" s="10" t="s">
        <v>82</v>
      </c>
      <c r="X6" s="10" t="s">
        <v>83</v>
      </c>
      <c r="Y6" s="10" t="s">
        <v>84</v>
      </c>
      <c r="Z6" s="10" t="s">
        <v>85</v>
      </c>
      <c r="AA6" s="10" t="s">
        <v>188</v>
      </c>
      <c r="AB6" s="12">
        <v>5.0</v>
      </c>
      <c r="AC6" s="12">
        <v>30.0</v>
      </c>
      <c r="AD6" s="12">
        <v>35.0</v>
      </c>
      <c r="AE6" s="12">
        <v>30.0</v>
      </c>
      <c r="AF6" s="10" t="s">
        <v>146</v>
      </c>
      <c r="AG6" s="10" t="s">
        <v>146</v>
      </c>
      <c r="AH6" s="10" t="s">
        <v>168</v>
      </c>
      <c r="AI6" s="10" t="s">
        <v>140</v>
      </c>
      <c r="AJ6" s="10" t="s">
        <v>189</v>
      </c>
      <c r="AK6" s="10" t="s">
        <v>140</v>
      </c>
      <c r="AL6" s="10" t="s">
        <v>140</v>
      </c>
      <c r="AM6" s="10" t="s">
        <v>140</v>
      </c>
      <c r="AN6" s="10" t="s">
        <v>140</v>
      </c>
      <c r="AO6" s="10" t="s">
        <v>140</v>
      </c>
      <c r="AP6" s="10" t="s">
        <v>85</v>
      </c>
      <c r="AQ6" s="10" t="s">
        <v>190</v>
      </c>
      <c r="AR6" s="10" t="s">
        <v>85</v>
      </c>
      <c r="AS6" s="10" t="s">
        <v>191</v>
      </c>
      <c r="AT6" s="10" t="s">
        <v>140</v>
      </c>
      <c r="AU6" s="10" t="s">
        <v>140</v>
      </c>
      <c r="AV6" s="10" t="s">
        <v>140</v>
      </c>
      <c r="AW6" s="10" t="s">
        <v>140</v>
      </c>
      <c r="AX6" s="10" t="s">
        <v>140</v>
      </c>
      <c r="AY6" s="10" t="s">
        <v>140</v>
      </c>
      <c r="AZ6" s="10" t="s">
        <v>140</v>
      </c>
      <c r="BA6" s="10" t="s">
        <v>85</v>
      </c>
      <c r="BB6" s="10" t="s">
        <v>192</v>
      </c>
      <c r="BC6" s="12">
        <v>7.0</v>
      </c>
      <c r="BD6" s="12">
        <v>7.0</v>
      </c>
      <c r="BE6" s="10" t="s">
        <v>146</v>
      </c>
      <c r="BF6" s="10" t="s">
        <v>193</v>
      </c>
      <c r="BG6" s="10" t="s">
        <v>146</v>
      </c>
      <c r="BH6" s="10" t="s">
        <v>146</v>
      </c>
      <c r="BI6" s="12">
        <v>10.0</v>
      </c>
      <c r="BJ6" s="12">
        <v>10.0</v>
      </c>
      <c r="BK6" s="12">
        <v>3.0</v>
      </c>
      <c r="BL6" s="12">
        <v>1.0</v>
      </c>
      <c r="BM6" s="12">
        <v>0.0</v>
      </c>
      <c r="BN6" s="12">
        <v>0.0</v>
      </c>
      <c r="BO6" s="10" t="s">
        <v>140</v>
      </c>
      <c r="BP6" s="10" t="s">
        <v>153</v>
      </c>
      <c r="BQ6" s="10" t="s">
        <v>140</v>
      </c>
      <c r="BR6" s="10" t="s">
        <v>146</v>
      </c>
      <c r="BS6" s="10" t="s">
        <v>140</v>
      </c>
      <c r="BT6" s="10" t="s">
        <v>146</v>
      </c>
      <c r="BU6" s="10" t="s">
        <v>140</v>
      </c>
      <c r="BV6" s="10" t="s">
        <v>140</v>
      </c>
      <c r="BW6" s="10" t="s">
        <v>140</v>
      </c>
      <c r="BX6" s="10" t="s">
        <v>140</v>
      </c>
      <c r="BY6" s="10" t="s">
        <v>140</v>
      </c>
      <c r="BZ6" s="10" t="s">
        <v>194</v>
      </c>
      <c r="CA6" s="10" t="s">
        <v>195</v>
      </c>
      <c r="CB6" s="10" t="s">
        <v>196</v>
      </c>
      <c r="CC6" s="10" t="s">
        <v>197</v>
      </c>
      <c r="CD6" s="10" t="s">
        <v>198</v>
      </c>
    </row>
    <row r="7">
      <c r="A7" s="10" t="s">
        <v>199</v>
      </c>
      <c r="B7" s="10"/>
      <c r="C7" s="10" t="s">
        <v>42</v>
      </c>
      <c r="D7" s="10" t="s">
        <v>200</v>
      </c>
      <c r="E7" s="10" t="s">
        <v>182</v>
      </c>
      <c r="F7" s="10" t="s">
        <v>140</v>
      </c>
      <c r="G7" s="10" t="s">
        <v>201</v>
      </c>
      <c r="H7" s="10" t="s">
        <v>202</v>
      </c>
      <c r="I7" s="10" t="s">
        <v>203</v>
      </c>
      <c r="J7" s="10" t="s">
        <v>204</v>
      </c>
      <c r="K7" s="10" t="s">
        <v>187</v>
      </c>
      <c r="L7" s="10" t="s">
        <v>140</v>
      </c>
      <c r="M7" s="10" t="s">
        <v>140</v>
      </c>
      <c r="N7" s="10" t="s">
        <v>140</v>
      </c>
      <c r="O7" s="10" t="s">
        <v>140</v>
      </c>
      <c r="P7" s="10" t="s">
        <v>140</v>
      </c>
      <c r="Q7" s="10" t="s">
        <v>140</v>
      </c>
      <c r="R7" s="10" t="s">
        <v>140</v>
      </c>
      <c r="S7" s="10" t="s">
        <v>140</v>
      </c>
      <c r="T7" s="10" t="s">
        <v>140</v>
      </c>
      <c r="U7" s="10" t="s">
        <v>140</v>
      </c>
      <c r="V7" s="10" t="s">
        <v>140</v>
      </c>
      <c r="W7" s="10" t="s">
        <v>140</v>
      </c>
      <c r="X7" s="10" t="s">
        <v>83</v>
      </c>
      <c r="Y7" s="10" t="s">
        <v>140</v>
      </c>
      <c r="Z7" s="10" t="s">
        <v>140</v>
      </c>
      <c r="AA7" s="10" t="s">
        <v>140</v>
      </c>
      <c r="AB7" s="12">
        <v>100.0</v>
      </c>
      <c r="AC7" s="12">
        <v>100.0</v>
      </c>
      <c r="AD7" s="12">
        <v>99.0</v>
      </c>
      <c r="AE7" s="12">
        <v>50.0</v>
      </c>
      <c r="AF7" s="10" t="s">
        <v>146</v>
      </c>
      <c r="AG7" s="10" t="s">
        <v>168</v>
      </c>
      <c r="AH7" s="10" t="s">
        <v>140</v>
      </c>
      <c r="AI7" s="10" t="s">
        <v>140</v>
      </c>
      <c r="AJ7" s="10" t="s">
        <v>140</v>
      </c>
      <c r="AK7" s="10" t="s">
        <v>140</v>
      </c>
      <c r="AL7" s="10" t="s">
        <v>97</v>
      </c>
      <c r="AM7" s="10" t="s">
        <v>140</v>
      </c>
      <c r="AN7" s="10" t="s">
        <v>140</v>
      </c>
      <c r="AO7" s="10" t="s">
        <v>140</v>
      </c>
      <c r="AP7" s="10" t="s">
        <v>140</v>
      </c>
      <c r="AQ7" s="10" t="s">
        <v>140</v>
      </c>
      <c r="AR7" s="10" t="s">
        <v>149</v>
      </c>
      <c r="AS7" s="10" t="s">
        <v>140</v>
      </c>
      <c r="AT7" s="10" t="s">
        <v>140</v>
      </c>
      <c r="AU7" s="10" t="s">
        <v>140</v>
      </c>
      <c r="AV7" s="10" t="s">
        <v>140</v>
      </c>
      <c r="AW7" s="10" t="s">
        <v>140</v>
      </c>
      <c r="AX7" s="10" t="s">
        <v>140</v>
      </c>
      <c r="AY7" s="10" t="s">
        <v>107</v>
      </c>
      <c r="AZ7" s="10" t="s">
        <v>140</v>
      </c>
      <c r="BA7" s="10" t="s">
        <v>140</v>
      </c>
      <c r="BB7" s="10" t="s">
        <v>140</v>
      </c>
      <c r="BC7" s="12">
        <v>7.0</v>
      </c>
      <c r="BD7" s="12">
        <v>4.0</v>
      </c>
      <c r="BE7" s="10" t="s">
        <v>168</v>
      </c>
      <c r="BF7" s="10" t="s">
        <v>140</v>
      </c>
      <c r="BG7" s="10" t="s">
        <v>140</v>
      </c>
      <c r="BH7" s="10" t="s">
        <v>146</v>
      </c>
      <c r="BI7" s="12">
        <v>7.0</v>
      </c>
      <c r="BJ7" s="12">
        <v>7.0</v>
      </c>
      <c r="BK7" s="12">
        <v>7.0</v>
      </c>
      <c r="BL7" s="12">
        <v>5.0</v>
      </c>
      <c r="BM7" s="12">
        <v>3.0</v>
      </c>
      <c r="BN7" s="12">
        <v>6.0</v>
      </c>
      <c r="BO7" s="10" t="s">
        <v>205</v>
      </c>
      <c r="BP7" s="10" t="s">
        <v>153</v>
      </c>
      <c r="BQ7" s="10" t="s">
        <v>140</v>
      </c>
      <c r="BR7" s="10" t="s">
        <v>146</v>
      </c>
      <c r="BS7" s="10" t="s">
        <v>140</v>
      </c>
      <c r="BT7" s="10" t="s">
        <v>146</v>
      </c>
      <c r="BU7" s="10" t="s">
        <v>140</v>
      </c>
      <c r="BV7" s="10" t="s">
        <v>140</v>
      </c>
      <c r="BW7" s="10" t="s">
        <v>140</v>
      </c>
      <c r="BX7" s="10" t="s">
        <v>140</v>
      </c>
      <c r="BY7" s="10" t="s">
        <v>140</v>
      </c>
      <c r="BZ7" s="10" t="s">
        <v>206</v>
      </c>
      <c r="CA7" s="10" t="s">
        <v>207</v>
      </c>
      <c r="CB7" s="10" t="s">
        <v>208</v>
      </c>
      <c r="CC7" s="10" t="s">
        <v>209</v>
      </c>
      <c r="CD7" s="10" t="s">
        <v>210</v>
      </c>
    </row>
    <row r="8">
      <c r="A8" s="10" t="s">
        <v>211</v>
      </c>
      <c r="B8" s="10"/>
      <c r="C8" s="10" t="s">
        <v>40</v>
      </c>
      <c r="D8" s="10" t="s">
        <v>212</v>
      </c>
      <c r="E8" s="10" t="s">
        <v>213</v>
      </c>
      <c r="F8" s="10" t="s">
        <v>140</v>
      </c>
      <c r="G8" s="10" t="s">
        <v>214</v>
      </c>
      <c r="H8" s="10" t="s">
        <v>215</v>
      </c>
      <c r="I8" s="10" t="s">
        <v>216</v>
      </c>
      <c r="J8" s="10" t="s">
        <v>217</v>
      </c>
      <c r="K8" s="10" t="s">
        <v>166</v>
      </c>
      <c r="L8" s="10" t="s">
        <v>140</v>
      </c>
      <c r="M8" s="10" t="s">
        <v>140</v>
      </c>
      <c r="N8" s="10" t="s">
        <v>140</v>
      </c>
      <c r="O8" s="10" t="s">
        <v>140</v>
      </c>
      <c r="P8" s="10" t="s">
        <v>140</v>
      </c>
      <c r="Q8" s="10" t="s">
        <v>140</v>
      </c>
      <c r="R8" s="10" t="s">
        <v>140</v>
      </c>
      <c r="S8" s="10" t="s">
        <v>140</v>
      </c>
      <c r="T8" s="10" t="s">
        <v>140</v>
      </c>
      <c r="U8" s="10" t="s">
        <v>140</v>
      </c>
      <c r="V8" s="10" t="s">
        <v>140</v>
      </c>
      <c r="W8" s="10" t="s">
        <v>140</v>
      </c>
      <c r="X8" s="10" t="s">
        <v>140</v>
      </c>
      <c r="Y8" s="10" t="s">
        <v>140</v>
      </c>
      <c r="Z8" s="10" t="s">
        <v>85</v>
      </c>
      <c r="AA8" s="10" t="s">
        <v>218</v>
      </c>
      <c r="AB8" s="12">
        <v>0.0</v>
      </c>
      <c r="AC8" s="12">
        <v>22.0</v>
      </c>
      <c r="AD8" s="12">
        <v>40.0</v>
      </c>
      <c r="AE8" s="12">
        <v>0.0</v>
      </c>
      <c r="AF8" s="10" t="s">
        <v>146</v>
      </c>
      <c r="AG8" s="10" t="s">
        <v>146</v>
      </c>
      <c r="AH8" s="10" t="s">
        <v>168</v>
      </c>
      <c r="AI8" s="10" t="s">
        <v>140</v>
      </c>
      <c r="AJ8" s="10" t="s">
        <v>189</v>
      </c>
      <c r="AK8" s="10" t="s">
        <v>140</v>
      </c>
      <c r="AL8" s="10" t="s">
        <v>97</v>
      </c>
      <c r="AM8" s="10" t="s">
        <v>140</v>
      </c>
      <c r="AN8" s="10" t="s">
        <v>99</v>
      </c>
      <c r="AO8" s="10" t="s">
        <v>100</v>
      </c>
      <c r="AP8" s="10" t="s">
        <v>140</v>
      </c>
      <c r="AQ8" s="10" t="s">
        <v>140</v>
      </c>
      <c r="AR8" s="10" t="s">
        <v>149</v>
      </c>
      <c r="AS8" s="10" t="s">
        <v>140</v>
      </c>
      <c r="AT8" s="10" t="s">
        <v>102</v>
      </c>
      <c r="AU8" s="10" t="s">
        <v>103</v>
      </c>
      <c r="AV8" s="10" t="s">
        <v>140</v>
      </c>
      <c r="AW8" s="10" t="s">
        <v>140</v>
      </c>
      <c r="AX8" s="10" t="s">
        <v>140</v>
      </c>
      <c r="AY8" s="10" t="s">
        <v>140</v>
      </c>
      <c r="AZ8" s="10" t="s">
        <v>140</v>
      </c>
      <c r="BA8" s="10" t="s">
        <v>85</v>
      </c>
      <c r="BB8" s="10" t="s">
        <v>219</v>
      </c>
      <c r="BC8" s="12">
        <v>3.0</v>
      </c>
      <c r="BD8" s="12">
        <v>4.0</v>
      </c>
      <c r="BE8" s="10" t="s">
        <v>168</v>
      </c>
      <c r="BF8" s="10" t="s">
        <v>140</v>
      </c>
      <c r="BG8" s="10" t="s">
        <v>140</v>
      </c>
      <c r="BH8" s="10" t="s">
        <v>146</v>
      </c>
      <c r="BI8" s="12">
        <v>2.0</v>
      </c>
      <c r="BJ8" s="12">
        <v>2.0</v>
      </c>
      <c r="BK8" s="12">
        <v>2.0</v>
      </c>
      <c r="BL8" s="12">
        <v>2.0</v>
      </c>
      <c r="BM8" s="12">
        <v>1.0</v>
      </c>
      <c r="BN8" s="12">
        <v>5.0</v>
      </c>
      <c r="BO8" s="10" t="s">
        <v>205</v>
      </c>
      <c r="BP8" s="10" t="s">
        <v>173</v>
      </c>
      <c r="BQ8" s="10" t="s">
        <v>140</v>
      </c>
      <c r="BR8" s="10" t="s">
        <v>146</v>
      </c>
      <c r="BS8" s="10" t="s">
        <v>140</v>
      </c>
      <c r="BT8" s="10" t="s">
        <v>146</v>
      </c>
      <c r="BU8" s="10" t="s">
        <v>140</v>
      </c>
      <c r="BV8" s="10" t="s">
        <v>140</v>
      </c>
      <c r="BW8" s="10" t="s">
        <v>140</v>
      </c>
      <c r="BX8" s="10" t="s">
        <v>140</v>
      </c>
      <c r="BY8" s="10" t="s">
        <v>140</v>
      </c>
      <c r="BZ8" s="10" t="s">
        <v>220</v>
      </c>
      <c r="CA8" s="10" t="s">
        <v>140</v>
      </c>
      <c r="CB8" s="10" t="s">
        <v>221</v>
      </c>
      <c r="CC8" s="10" t="s">
        <v>222</v>
      </c>
      <c r="CD8" s="10" t="s">
        <v>223</v>
      </c>
    </row>
    <row r="9">
      <c r="A9" s="10" t="s">
        <v>224</v>
      </c>
      <c r="B9" s="10"/>
      <c r="C9" s="10" t="s">
        <v>49</v>
      </c>
      <c r="D9" s="10" t="s">
        <v>225</v>
      </c>
      <c r="E9" s="10" t="s">
        <v>226</v>
      </c>
      <c r="F9" s="10" t="s">
        <v>140</v>
      </c>
      <c r="G9" s="10" t="s">
        <v>227</v>
      </c>
      <c r="H9" s="10" t="s">
        <v>228</v>
      </c>
      <c r="I9" s="10" t="s">
        <v>229</v>
      </c>
      <c r="J9" s="10" t="s">
        <v>230</v>
      </c>
      <c r="K9" s="10" t="s">
        <v>187</v>
      </c>
      <c r="L9" s="10" t="s">
        <v>140</v>
      </c>
      <c r="M9" s="10" t="s">
        <v>140</v>
      </c>
      <c r="N9" s="10" t="s">
        <v>140</v>
      </c>
      <c r="O9" s="10" t="s">
        <v>140</v>
      </c>
      <c r="P9" s="10" t="s">
        <v>140</v>
      </c>
      <c r="Q9" s="10" t="s">
        <v>140</v>
      </c>
      <c r="R9" s="10" t="s">
        <v>140</v>
      </c>
      <c r="S9" s="10" t="s">
        <v>140</v>
      </c>
      <c r="T9" s="10" t="s">
        <v>140</v>
      </c>
      <c r="U9" s="10" t="s">
        <v>80</v>
      </c>
      <c r="V9" s="10" t="s">
        <v>140</v>
      </c>
      <c r="W9" s="10" t="s">
        <v>140</v>
      </c>
      <c r="X9" s="10" t="s">
        <v>140</v>
      </c>
      <c r="Y9" s="10" t="s">
        <v>140</v>
      </c>
      <c r="Z9" s="10" t="s">
        <v>140</v>
      </c>
      <c r="AA9" s="10" t="s">
        <v>140</v>
      </c>
      <c r="AB9" s="12">
        <v>50.0</v>
      </c>
      <c r="AC9" s="12">
        <v>100.0</v>
      </c>
      <c r="AD9" s="12">
        <v>50.0</v>
      </c>
      <c r="AE9" s="12">
        <v>5.0</v>
      </c>
      <c r="AF9" s="10" t="s">
        <v>146</v>
      </c>
      <c r="AG9" s="10" t="s">
        <v>146</v>
      </c>
      <c r="AH9" s="10" t="s">
        <v>168</v>
      </c>
      <c r="AI9" s="10" t="s">
        <v>140</v>
      </c>
      <c r="AJ9" s="10" t="s">
        <v>231</v>
      </c>
      <c r="AK9" s="10" t="s">
        <v>140</v>
      </c>
      <c r="AL9" s="10" t="s">
        <v>97</v>
      </c>
      <c r="AM9" s="10" t="s">
        <v>98</v>
      </c>
      <c r="AN9" s="10" t="s">
        <v>99</v>
      </c>
      <c r="AO9" s="10" t="s">
        <v>140</v>
      </c>
      <c r="AP9" s="10" t="s">
        <v>140</v>
      </c>
      <c r="AQ9" s="10" t="s">
        <v>140</v>
      </c>
      <c r="AR9" s="10" t="s">
        <v>149</v>
      </c>
      <c r="AS9" s="10" t="s">
        <v>140</v>
      </c>
      <c r="AT9" s="10" t="s">
        <v>102</v>
      </c>
      <c r="AU9" s="10" t="s">
        <v>103</v>
      </c>
      <c r="AV9" s="10" t="s">
        <v>104</v>
      </c>
      <c r="AW9" s="10" t="s">
        <v>105</v>
      </c>
      <c r="AX9" s="10" t="s">
        <v>140</v>
      </c>
      <c r="AY9" s="10" t="s">
        <v>107</v>
      </c>
      <c r="AZ9" s="10" t="s">
        <v>108</v>
      </c>
      <c r="BA9" s="10" t="s">
        <v>140</v>
      </c>
      <c r="BB9" s="10" t="s">
        <v>140</v>
      </c>
      <c r="BC9" s="12">
        <v>5.0</v>
      </c>
      <c r="BD9" s="12">
        <v>3.0</v>
      </c>
      <c r="BE9" s="10" t="s">
        <v>168</v>
      </c>
      <c r="BF9" s="10" t="s">
        <v>140</v>
      </c>
      <c r="BG9" s="10" t="s">
        <v>140</v>
      </c>
      <c r="BH9" s="10" t="s">
        <v>146</v>
      </c>
      <c r="BI9" s="12">
        <v>3.0</v>
      </c>
      <c r="BJ9" s="12">
        <v>3.0</v>
      </c>
      <c r="BK9" s="12">
        <v>3.0</v>
      </c>
      <c r="BL9" s="12">
        <v>3.0</v>
      </c>
      <c r="BM9" s="12">
        <v>3.0</v>
      </c>
      <c r="BN9" s="12">
        <v>2.0</v>
      </c>
      <c r="BO9" s="10" t="s">
        <v>205</v>
      </c>
      <c r="BP9" s="10" t="s">
        <v>153</v>
      </c>
      <c r="BQ9" s="10" t="s">
        <v>140</v>
      </c>
      <c r="BR9" s="10" t="s">
        <v>146</v>
      </c>
      <c r="BS9" s="10" t="s">
        <v>140</v>
      </c>
      <c r="BT9" s="10" t="s">
        <v>146</v>
      </c>
      <c r="BU9" s="10" t="s">
        <v>140</v>
      </c>
      <c r="BV9" s="10" t="s">
        <v>140</v>
      </c>
      <c r="BW9" s="10" t="s">
        <v>140</v>
      </c>
      <c r="BX9" s="10" t="s">
        <v>140</v>
      </c>
      <c r="BY9" s="10" t="s">
        <v>140</v>
      </c>
      <c r="BZ9" s="10" t="s">
        <v>232</v>
      </c>
      <c r="CA9" s="10" t="s">
        <v>233</v>
      </c>
      <c r="CB9" s="10" t="s">
        <v>234</v>
      </c>
      <c r="CC9" s="10" t="s">
        <v>235</v>
      </c>
      <c r="CD9" s="10" t="s">
        <v>236</v>
      </c>
    </row>
    <row r="10">
      <c r="A10" s="10" t="s">
        <v>237</v>
      </c>
      <c r="B10" s="10"/>
      <c r="C10" s="10" t="s">
        <v>59</v>
      </c>
      <c r="D10" s="10" t="s">
        <v>238</v>
      </c>
      <c r="E10" s="10" t="s">
        <v>182</v>
      </c>
      <c r="F10" s="10" t="s">
        <v>140</v>
      </c>
      <c r="G10" s="10" t="s">
        <v>239</v>
      </c>
      <c r="H10" s="10" t="s">
        <v>240</v>
      </c>
      <c r="I10" s="10" t="s">
        <v>241</v>
      </c>
      <c r="J10" s="10" t="s">
        <v>242</v>
      </c>
      <c r="K10" s="10" t="s">
        <v>166</v>
      </c>
      <c r="L10" s="10" t="s">
        <v>140</v>
      </c>
      <c r="M10" s="10" t="s">
        <v>140</v>
      </c>
      <c r="N10" s="10" t="s">
        <v>73</v>
      </c>
      <c r="O10" s="10" t="s">
        <v>74</v>
      </c>
      <c r="P10" s="10" t="s">
        <v>75</v>
      </c>
      <c r="Q10" s="10" t="s">
        <v>140</v>
      </c>
      <c r="R10" s="10" t="s">
        <v>77</v>
      </c>
      <c r="S10" s="10" t="s">
        <v>78</v>
      </c>
      <c r="T10" s="10" t="s">
        <v>79</v>
      </c>
      <c r="U10" s="10" t="s">
        <v>80</v>
      </c>
      <c r="V10" s="10" t="s">
        <v>81</v>
      </c>
      <c r="W10" s="10" t="s">
        <v>82</v>
      </c>
      <c r="X10" s="10" t="s">
        <v>83</v>
      </c>
      <c r="Y10" s="10" t="s">
        <v>84</v>
      </c>
      <c r="Z10" s="10" t="s">
        <v>140</v>
      </c>
      <c r="AA10" s="10" t="s">
        <v>140</v>
      </c>
      <c r="AB10" s="12">
        <v>2.0</v>
      </c>
      <c r="AC10" s="12">
        <v>33.0</v>
      </c>
      <c r="AD10" s="12">
        <v>45.0</v>
      </c>
      <c r="AE10" s="12">
        <v>20.0</v>
      </c>
      <c r="AF10" s="10" t="s">
        <v>146</v>
      </c>
      <c r="AG10" s="10" t="s">
        <v>146</v>
      </c>
      <c r="AH10" s="10" t="s">
        <v>168</v>
      </c>
      <c r="AI10" s="10" t="s">
        <v>140</v>
      </c>
      <c r="AJ10" s="10" t="s">
        <v>189</v>
      </c>
      <c r="AK10" s="10" t="s">
        <v>140</v>
      </c>
      <c r="AL10" s="10" t="s">
        <v>140</v>
      </c>
      <c r="AM10" s="10" t="s">
        <v>140</v>
      </c>
      <c r="AN10" s="10" t="s">
        <v>99</v>
      </c>
      <c r="AO10" s="10" t="s">
        <v>140</v>
      </c>
      <c r="AP10" s="10" t="s">
        <v>140</v>
      </c>
      <c r="AQ10" s="10" t="s">
        <v>140</v>
      </c>
      <c r="AR10" s="10" t="s">
        <v>149</v>
      </c>
      <c r="AS10" s="10" t="s">
        <v>140</v>
      </c>
      <c r="AT10" s="10" t="s">
        <v>102</v>
      </c>
      <c r="AU10" s="10" t="s">
        <v>140</v>
      </c>
      <c r="AV10" s="10" t="s">
        <v>104</v>
      </c>
      <c r="AW10" s="10" t="s">
        <v>140</v>
      </c>
      <c r="AX10" s="10" t="s">
        <v>140</v>
      </c>
      <c r="AY10" s="10" t="s">
        <v>140</v>
      </c>
      <c r="AZ10" s="10" t="s">
        <v>108</v>
      </c>
      <c r="BA10" s="10" t="s">
        <v>85</v>
      </c>
      <c r="BB10" s="10" t="s">
        <v>243</v>
      </c>
      <c r="BC10" s="12">
        <v>4.0</v>
      </c>
      <c r="BD10" s="12">
        <v>4.0</v>
      </c>
      <c r="BE10" s="10" t="s">
        <v>146</v>
      </c>
      <c r="BF10" s="10" t="s">
        <v>244</v>
      </c>
      <c r="BG10" s="10" t="s">
        <v>146</v>
      </c>
      <c r="BH10" s="10" t="s">
        <v>146</v>
      </c>
      <c r="BI10" s="12">
        <v>6.0</v>
      </c>
      <c r="BJ10" s="12">
        <v>4.0</v>
      </c>
      <c r="BK10" s="12">
        <v>6.0</v>
      </c>
      <c r="BL10" s="12">
        <v>1.0</v>
      </c>
      <c r="BM10" s="12">
        <v>1.0</v>
      </c>
      <c r="BN10" s="12">
        <v>0.0</v>
      </c>
      <c r="BO10" s="10" t="s">
        <v>245</v>
      </c>
      <c r="BP10" s="10" t="s">
        <v>153</v>
      </c>
      <c r="BQ10" s="10" t="s">
        <v>140</v>
      </c>
      <c r="BR10" s="10" t="s">
        <v>146</v>
      </c>
      <c r="BS10" s="10" t="s">
        <v>140</v>
      </c>
      <c r="BT10" s="10" t="s">
        <v>168</v>
      </c>
      <c r="BU10" s="10" t="s">
        <v>246</v>
      </c>
      <c r="BV10" s="10" t="s">
        <v>182</v>
      </c>
      <c r="BW10" s="10" t="s">
        <v>174</v>
      </c>
      <c r="BX10" s="10" t="s">
        <v>247</v>
      </c>
      <c r="BY10" s="10" t="s">
        <v>248</v>
      </c>
      <c r="BZ10" s="10" t="s">
        <v>249</v>
      </c>
      <c r="CA10" s="10" t="s">
        <v>250</v>
      </c>
      <c r="CB10" s="10" t="s">
        <v>251</v>
      </c>
      <c r="CC10" s="10" t="s">
        <v>252</v>
      </c>
      <c r="CD10" s="10" t="s">
        <v>253</v>
      </c>
    </row>
    <row r="11">
      <c r="A11" s="10" t="s">
        <v>254</v>
      </c>
      <c r="B11" s="10"/>
      <c r="C11" s="10" t="s">
        <v>43</v>
      </c>
      <c r="D11" s="10" t="s">
        <v>255</v>
      </c>
      <c r="E11" s="10" t="s">
        <v>256</v>
      </c>
      <c r="F11" s="10" t="s">
        <v>140</v>
      </c>
      <c r="G11" s="10" t="s">
        <v>257</v>
      </c>
      <c r="H11" s="10" t="s">
        <v>258</v>
      </c>
      <c r="I11" s="10" t="s">
        <v>259</v>
      </c>
      <c r="J11" s="10" t="s">
        <v>260</v>
      </c>
      <c r="K11" s="10" t="s">
        <v>261</v>
      </c>
      <c r="L11" s="10" t="s">
        <v>140</v>
      </c>
      <c r="M11" s="10" t="s">
        <v>140</v>
      </c>
      <c r="N11" s="10" t="s">
        <v>73</v>
      </c>
      <c r="O11" s="10" t="s">
        <v>74</v>
      </c>
      <c r="P11" s="10" t="s">
        <v>140</v>
      </c>
      <c r="Q11" s="10" t="s">
        <v>140</v>
      </c>
      <c r="R11" s="10" t="s">
        <v>140</v>
      </c>
      <c r="S11" s="10" t="s">
        <v>140</v>
      </c>
      <c r="T11" s="10" t="s">
        <v>79</v>
      </c>
      <c r="U11" s="10" t="s">
        <v>140</v>
      </c>
      <c r="V11" s="10" t="s">
        <v>140</v>
      </c>
      <c r="W11" s="10" t="s">
        <v>140</v>
      </c>
      <c r="X11" s="10" t="s">
        <v>83</v>
      </c>
      <c r="Y11" s="10" t="s">
        <v>140</v>
      </c>
      <c r="Z11" s="10" t="s">
        <v>140</v>
      </c>
      <c r="AA11" s="10" t="s">
        <v>140</v>
      </c>
      <c r="AB11" s="12">
        <v>17.0</v>
      </c>
      <c r="AC11" s="12">
        <v>28.0</v>
      </c>
      <c r="AD11" s="12">
        <v>45.0</v>
      </c>
      <c r="AE11" s="12">
        <v>12.0</v>
      </c>
      <c r="AF11" s="10" t="s">
        <v>146</v>
      </c>
      <c r="AG11" s="10" t="s">
        <v>168</v>
      </c>
      <c r="AH11" s="10" t="s">
        <v>140</v>
      </c>
      <c r="AI11" s="10" t="s">
        <v>140</v>
      </c>
      <c r="AJ11" s="10" t="s">
        <v>140</v>
      </c>
      <c r="AK11" s="10" t="s">
        <v>140</v>
      </c>
      <c r="AL11" s="10" t="s">
        <v>140</v>
      </c>
      <c r="AM11" s="10" t="s">
        <v>140</v>
      </c>
      <c r="AN11" s="10" t="s">
        <v>140</v>
      </c>
      <c r="AO11" s="10" t="s">
        <v>140</v>
      </c>
      <c r="AP11" s="10" t="s">
        <v>85</v>
      </c>
      <c r="AQ11" s="10" t="s">
        <v>262</v>
      </c>
      <c r="AR11" s="10" t="s">
        <v>85</v>
      </c>
      <c r="AS11" s="10" t="s">
        <v>263</v>
      </c>
      <c r="AT11" s="10" t="s">
        <v>140</v>
      </c>
      <c r="AU11" s="10" t="s">
        <v>140</v>
      </c>
      <c r="AV11" s="10" t="s">
        <v>140</v>
      </c>
      <c r="AW11" s="10" t="s">
        <v>140</v>
      </c>
      <c r="AX11" s="10" t="s">
        <v>140</v>
      </c>
      <c r="AY11" s="10" t="s">
        <v>140</v>
      </c>
      <c r="AZ11" s="10" t="s">
        <v>140</v>
      </c>
      <c r="BA11" s="10" t="s">
        <v>85</v>
      </c>
      <c r="BB11" s="10" t="s">
        <v>264</v>
      </c>
      <c r="BC11" s="12">
        <v>6.0</v>
      </c>
      <c r="BD11" s="12">
        <v>6.0</v>
      </c>
      <c r="BE11" s="10" t="s">
        <v>168</v>
      </c>
      <c r="BF11" s="10" t="s">
        <v>140</v>
      </c>
      <c r="BG11" s="10" t="s">
        <v>140</v>
      </c>
      <c r="BH11" s="10" t="s">
        <v>146</v>
      </c>
      <c r="BI11" s="12">
        <v>8.0</v>
      </c>
      <c r="BJ11" s="12">
        <v>4.0</v>
      </c>
      <c r="BK11" s="12">
        <v>7.0</v>
      </c>
      <c r="BL11" s="12">
        <v>3.0</v>
      </c>
      <c r="BM11" s="12">
        <v>4.0</v>
      </c>
      <c r="BN11" s="12">
        <v>3.0</v>
      </c>
      <c r="BO11" s="10" t="s">
        <v>152</v>
      </c>
      <c r="BP11" s="10" t="s">
        <v>153</v>
      </c>
      <c r="BQ11" s="10" t="s">
        <v>140</v>
      </c>
      <c r="BR11" s="10" t="s">
        <v>146</v>
      </c>
      <c r="BS11" s="10" t="s">
        <v>140</v>
      </c>
      <c r="BT11" s="10" t="s">
        <v>146</v>
      </c>
      <c r="BU11" s="10" t="s">
        <v>140</v>
      </c>
      <c r="BV11" s="10" t="s">
        <v>140</v>
      </c>
      <c r="BW11" s="10" t="s">
        <v>140</v>
      </c>
      <c r="BX11" s="10" t="s">
        <v>140</v>
      </c>
      <c r="BY11" s="10" t="s">
        <v>140</v>
      </c>
      <c r="BZ11" s="10" t="s">
        <v>265</v>
      </c>
      <c r="CA11" s="10" t="s">
        <v>266</v>
      </c>
      <c r="CB11" s="10" t="s">
        <v>267</v>
      </c>
      <c r="CC11" s="10" t="s">
        <v>268</v>
      </c>
      <c r="CD11" s="10" t="s">
        <v>269</v>
      </c>
    </row>
    <row r="12">
      <c r="A12" s="10" t="s">
        <v>270</v>
      </c>
      <c r="B12" s="10"/>
      <c r="C12" s="10" t="s">
        <v>45</v>
      </c>
      <c r="D12" s="10" t="s">
        <v>271</v>
      </c>
      <c r="E12" s="10" t="s">
        <v>272</v>
      </c>
      <c r="F12" s="10" t="s">
        <v>140</v>
      </c>
      <c r="G12" s="10" t="s">
        <v>273</v>
      </c>
      <c r="H12" s="10" t="s">
        <v>274</v>
      </c>
      <c r="I12" s="10" t="s">
        <v>275</v>
      </c>
      <c r="J12" s="10" t="s">
        <v>276</v>
      </c>
      <c r="K12" s="10" t="s">
        <v>85</v>
      </c>
      <c r="L12" s="10" t="s">
        <v>277</v>
      </c>
      <c r="M12" s="10" t="s">
        <v>140</v>
      </c>
      <c r="N12" s="10" t="s">
        <v>73</v>
      </c>
      <c r="O12" s="10" t="s">
        <v>140</v>
      </c>
      <c r="P12" s="10" t="s">
        <v>140</v>
      </c>
      <c r="Q12" s="10" t="s">
        <v>140</v>
      </c>
      <c r="R12" s="10" t="s">
        <v>140</v>
      </c>
      <c r="S12" s="10" t="s">
        <v>140</v>
      </c>
      <c r="T12" s="10" t="s">
        <v>140</v>
      </c>
      <c r="U12" s="10" t="s">
        <v>140</v>
      </c>
      <c r="V12" s="10" t="s">
        <v>140</v>
      </c>
      <c r="W12" s="10" t="s">
        <v>140</v>
      </c>
      <c r="X12" s="10" t="s">
        <v>140</v>
      </c>
      <c r="Y12" s="10" t="s">
        <v>84</v>
      </c>
      <c r="Z12" s="10" t="s">
        <v>140</v>
      </c>
      <c r="AA12" s="10" t="s">
        <v>140</v>
      </c>
      <c r="AB12" s="12">
        <v>15.0</v>
      </c>
      <c r="AC12" s="12">
        <v>70.0</v>
      </c>
      <c r="AD12" s="12">
        <v>15.0</v>
      </c>
      <c r="AE12" s="12">
        <v>0.0</v>
      </c>
      <c r="AF12" s="10" t="s">
        <v>146</v>
      </c>
      <c r="AG12" s="10" t="s">
        <v>168</v>
      </c>
      <c r="AH12" s="10" t="s">
        <v>140</v>
      </c>
      <c r="AI12" s="10" t="s">
        <v>140</v>
      </c>
      <c r="AJ12" s="10" t="s">
        <v>140</v>
      </c>
      <c r="AK12" s="10" t="s">
        <v>140</v>
      </c>
      <c r="AL12" s="10" t="s">
        <v>140</v>
      </c>
      <c r="AM12" s="10" t="s">
        <v>140</v>
      </c>
      <c r="AN12" s="10" t="s">
        <v>140</v>
      </c>
      <c r="AO12" s="10" t="s">
        <v>140</v>
      </c>
      <c r="AP12" s="10" t="s">
        <v>85</v>
      </c>
      <c r="AQ12" s="10" t="s">
        <v>278</v>
      </c>
      <c r="AR12" s="10" t="s">
        <v>85</v>
      </c>
      <c r="AS12" s="10" t="s">
        <v>279</v>
      </c>
      <c r="AT12" s="10" t="s">
        <v>140</v>
      </c>
      <c r="AU12" s="10" t="s">
        <v>140</v>
      </c>
      <c r="AV12" s="10" t="s">
        <v>140</v>
      </c>
      <c r="AW12" s="10" t="s">
        <v>140</v>
      </c>
      <c r="AX12" s="10" t="s">
        <v>140</v>
      </c>
      <c r="AY12" s="10" t="s">
        <v>140</v>
      </c>
      <c r="AZ12" s="10" t="s">
        <v>140</v>
      </c>
      <c r="BA12" s="10" t="s">
        <v>85</v>
      </c>
      <c r="BB12" s="10" t="s">
        <v>280</v>
      </c>
      <c r="BC12" s="12">
        <v>7.0</v>
      </c>
      <c r="BD12" s="12">
        <v>7.0</v>
      </c>
      <c r="BE12" s="10" t="s">
        <v>168</v>
      </c>
      <c r="BF12" s="10" t="s">
        <v>140</v>
      </c>
      <c r="BG12" s="10" t="s">
        <v>140</v>
      </c>
      <c r="BH12" s="10" t="s">
        <v>146</v>
      </c>
      <c r="BI12" s="12">
        <v>2.0</v>
      </c>
      <c r="BJ12" s="12">
        <v>10.0</v>
      </c>
      <c r="BK12" s="12">
        <v>10.0</v>
      </c>
      <c r="BL12" s="12">
        <v>0.0</v>
      </c>
      <c r="BM12" s="12">
        <v>4.0</v>
      </c>
      <c r="BN12" s="12">
        <v>5.0</v>
      </c>
      <c r="BO12" s="10" t="s">
        <v>172</v>
      </c>
      <c r="BP12" s="10" t="s">
        <v>153</v>
      </c>
      <c r="BQ12" s="10" t="s">
        <v>140</v>
      </c>
      <c r="BR12" s="10" t="s">
        <v>146</v>
      </c>
      <c r="BS12" s="10" t="s">
        <v>140</v>
      </c>
      <c r="BT12" s="10" t="s">
        <v>146</v>
      </c>
      <c r="BU12" s="10" t="s">
        <v>140</v>
      </c>
      <c r="BV12" s="10" t="s">
        <v>140</v>
      </c>
      <c r="BW12" s="10" t="s">
        <v>140</v>
      </c>
      <c r="BX12" s="10" t="s">
        <v>140</v>
      </c>
      <c r="BY12" s="10" t="s">
        <v>140</v>
      </c>
      <c r="BZ12" s="10" t="s">
        <v>281</v>
      </c>
      <c r="CA12" s="10" t="s">
        <v>282</v>
      </c>
      <c r="CB12" s="10" t="s">
        <v>283</v>
      </c>
      <c r="CC12" s="10" t="s">
        <v>284</v>
      </c>
      <c r="CD12" s="10" t="s">
        <v>285</v>
      </c>
    </row>
    <row r="13">
      <c r="A13" s="10" t="s">
        <v>286</v>
      </c>
      <c r="B13" s="10"/>
      <c r="C13" s="10" t="s">
        <v>33</v>
      </c>
      <c r="D13" s="10" t="s">
        <v>287</v>
      </c>
      <c r="E13" s="10" t="s">
        <v>161</v>
      </c>
      <c r="F13" s="10" t="s">
        <v>140</v>
      </c>
      <c r="G13" s="10" t="s">
        <v>288</v>
      </c>
      <c r="H13" s="10" t="s">
        <v>289</v>
      </c>
      <c r="I13" s="10" t="s">
        <v>290</v>
      </c>
      <c r="J13" s="10" t="s">
        <v>291</v>
      </c>
      <c r="K13" s="10" t="s">
        <v>166</v>
      </c>
      <c r="L13" s="10" t="s">
        <v>140</v>
      </c>
      <c r="M13" s="10" t="s">
        <v>140</v>
      </c>
      <c r="N13" s="10" t="s">
        <v>73</v>
      </c>
      <c r="O13" s="10" t="s">
        <v>74</v>
      </c>
      <c r="P13" s="10" t="s">
        <v>75</v>
      </c>
      <c r="Q13" s="10" t="s">
        <v>76</v>
      </c>
      <c r="R13" s="10" t="s">
        <v>77</v>
      </c>
      <c r="S13" s="10" t="s">
        <v>78</v>
      </c>
      <c r="T13" s="10" t="s">
        <v>79</v>
      </c>
      <c r="U13" s="10" t="s">
        <v>80</v>
      </c>
      <c r="V13" s="10" t="s">
        <v>140</v>
      </c>
      <c r="W13" s="10" t="s">
        <v>82</v>
      </c>
      <c r="X13" s="10" t="s">
        <v>83</v>
      </c>
      <c r="Y13" s="10" t="s">
        <v>84</v>
      </c>
      <c r="Z13" s="10" t="s">
        <v>140</v>
      </c>
      <c r="AA13" s="10" t="s">
        <v>140</v>
      </c>
      <c r="AB13" s="12">
        <v>30.0</v>
      </c>
      <c r="AC13" s="12">
        <v>20.0</v>
      </c>
      <c r="AD13" s="12">
        <v>10.0</v>
      </c>
      <c r="AE13" s="12">
        <v>0.0</v>
      </c>
      <c r="AF13" s="10" t="s">
        <v>146</v>
      </c>
      <c r="AG13" s="10" t="s">
        <v>146</v>
      </c>
      <c r="AH13" s="10" t="s">
        <v>146</v>
      </c>
      <c r="AI13" s="10" t="s">
        <v>292</v>
      </c>
      <c r="AJ13" s="10" t="s">
        <v>140</v>
      </c>
      <c r="AK13" s="10" t="s">
        <v>140</v>
      </c>
      <c r="AL13" s="10" t="s">
        <v>140</v>
      </c>
      <c r="AM13" s="10" t="s">
        <v>140</v>
      </c>
      <c r="AN13" s="10" t="s">
        <v>99</v>
      </c>
      <c r="AO13" s="10" t="s">
        <v>140</v>
      </c>
      <c r="AP13" s="10" t="s">
        <v>140</v>
      </c>
      <c r="AQ13" s="10" t="s">
        <v>140</v>
      </c>
      <c r="AR13" s="10" t="s">
        <v>85</v>
      </c>
      <c r="AS13" s="10" t="s">
        <v>293</v>
      </c>
      <c r="AT13" s="10" t="s">
        <v>102</v>
      </c>
      <c r="AU13" s="10" t="s">
        <v>103</v>
      </c>
      <c r="AV13" s="10" t="s">
        <v>140</v>
      </c>
      <c r="AW13" s="10" t="s">
        <v>105</v>
      </c>
      <c r="AX13" s="10" t="s">
        <v>140</v>
      </c>
      <c r="AY13" s="10" t="s">
        <v>107</v>
      </c>
      <c r="AZ13" s="10" t="s">
        <v>108</v>
      </c>
      <c r="BA13" s="10" t="s">
        <v>140</v>
      </c>
      <c r="BB13" s="10" t="s">
        <v>140</v>
      </c>
      <c r="BC13" s="12">
        <v>7.0</v>
      </c>
      <c r="BD13" s="12">
        <v>5.0</v>
      </c>
      <c r="BE13" s="10" t="s">
        <v>146</v>
      </c>
      <c r="BF13" s="10" t="s">
        <v>294</v>
      </c>
      <c r="BG13" s="10" t="s">
        <v>146</v>
      </c>
      <c r="BH13" s="10" t="s">
        <v>146</v>
      </c>
      <c r="BI13" s="12">
        <v>10.0</v>
      </c>
      <c r="BJ13" s="12">
        <v>10.0</v>
      </c>
      <c r="BK13" s="12">
        <v>5.0</v>
      </c>
      <c r="BL13" s="12">
        <v>10.0</v>
      </c>
      <c r="BM13" s="12">
        <v>5.0</v>
      </c>
      <c r="BN13" s="12">
        <v>5.0</v>
      </c>
      <c r="BO13" s="10" t="s">
        <v>152</v>
      </c>
      <c r="BP13" s="10" t="s">
        <v>173</v>
      </c>
      <c r="BQ13" s="10" t="s">
        <v>140</v>
      </c>
      <c r="BR13" s="10" t="s">
        <v>146</v>
      </c>
      <c r="BS13" s="10" t="s">
        <v>140</v>
      </c>
      <c r="BT13" s="10" t="s">
        <v>146</v>
      </c>
      <c r="BU13" s="10" t="s">
        <v>140</v>
      </c>
      <c r="BV13" s="10" t="s">
        <v>140</v>
      </c>
      <c r="BW13" s="10" t="s">
        <v>140</v>
      </c>
      <c r="BX13" s="10" t="s">
        <v>140</v>
      </c>
      <c r="BY13" s="10" t="s">
        <v>140</v>
      </c>
      <c r="BZ13" s="10" t="s">
        <v>295</v>
      </c>
      <c r="CA13" s="10" t="s">
        <v>296</v>
      </c>
      <c r="CB13" s="10" t="s">
        <v>297</v>
      </c>
      <c r="CC13" s="10" t="s">
        <v>298</v>
      </c>
      <c r="CD13" s="10" t="s">
        <v>299</v>
      </c>
    </row>
    <row r="14">
      <c r="A14" s="10" t="s">
        <v>300</v>
      </c>
      <c r="B14" s="10"/>
      <c r="C14" s="10" t="s">
        <v>24</v>
      </c>
      <c r="D14" s="10" t="s">
        <v>301</v>
      </c>
      <c r="E14" s="10" t="s">
        <v>226</v>
      </c>
      <c r="F14" s="10" t="s">
        <v>140</v>
      </c>
      <c r="G14" s="10" t="s">
        <v>302</v>
      </c>
      <c r="H14" s="10" t="s">
        <v>303</v>
      </c>
      <c r="I14" s="10" t="s">
        <v>304</v>
      </c>
      <c r="J14" s="10" t="s">
        <v>305</v>
      </c>
      <c r="K14" s="10" t="s">
        <v>261</v>
      </c>
      <c r="L14" s="10" t="s">
        <v>140</v>
      </c>
      <c r="M14" s="10" t="s">
        <v>140</v>
      </c>
      <c r="N14" s="10" t="s">
        <v>73</v>
      </c>
      <c r="O14" s="10" t="s">
        <v>140</v>
      </c>
      <c r="P14" s="10" t="s">
        <v>140</v>
      </c>
      <c r="Q14" s="10" t="s">
        <v>76</v>
      </c>
      <c r="R14" s="10" t="s">
        <v>77</v>
      </c>
      <c r="S14" s="10" t="s">
        <v>140</v>
      </c>
      <c r="T14" s="10" t="s">
        <v>79</v>
      </c>
      <c r="U14" s="10" t="s">
        <v>80</v>
      </c>
      <c r="V14" s="10" t="s">
        <v>81</v>
      </c>
      <c r="W14" s="10" t="s">
        <v>82</v>
      </c>
      <c r="X14" s="10" t="s">
        <v>83</v>
      </c>
      <c r="Y14" s="10" t="s">
        <v>84</v>
      </c>
      <c r="Z14" s="10" t="s">
        <v>140</v>
      </c>
      <c r="AA14" s="10" t="s">
        <v>140</v>
      </c>
      <c r="AB14" s="12">
        <v>30.0</v>
      </c>
      <c r="AC14" s="12">
        <v>60.0</v>
      </c>
      <c r="AD14" s="12">
        <v>10.0</v>
      </c>
      <c r="AE14" s="12">
        <v>0.0</v>
      </c>
      <c r="AF14" s="10" t="s">
        <v>146</v>
      </c>
      <c r="AG14" s="10" t="s">
        <v>146</v>
      </c>
      <c r="AH14" s="10" t="s">
        <v>146</v>
      </c>
      <c r="AI14" s="10" t="s">
        <v>306</v>
      </c>
      <c r="AJ14" s="10" t="s">
        <v>140</v>
      </c>
      <c r="AK14" s="10" t="s">
        <v>140</v>
      </c>
      <c r="AL14" s="10" t="s">
        <v>140</v>
      </c>
      <c r="AM14" s="10" t="s">
        <v>140</v>
      </c>
      <c r="AN14" s="10" t="s">
        <v>99</v>
      </c>
      <c r="AO14" s="10" t="s">
        <v>100</v>
      </c>
      <c r="AP14" s="10" t="s">
        <v>140</v>
      </c>
      <c r="AQ14" s="10" t="s">
        <v>140</v>
      </c>
      <c r="AR14" s="10" t="s">
        <v>149</v>
      </c>
      <c r="AS14" s="10" t="s">
        <v>140</v>
      </c>
      <c r="AT14" s="10" t="s">
        <v>102</v>
      </c>
      <c r="AU14" s="10" t="s">
        <v>140</v>
      </c>
      <c r="AV14" s="10" t="s">
        <v>104</v>
      </c>
      <c r="AW14" s="10" t="s">
        <v>140</v>
      </c>
      <c r="AX14" s="10" t="s">
        <v>140</v>
      </c>
      <c r="AY14" s="10" t="s">
        <v>140</v>
      </c>
      <c r="AZ14" s="10" t="s">
        <v>108</v>
      </c>
      <c r="BA14" s="10" t="s">
        <v>140</v>
      </c>
      <c r="BB14" s="10" t="s">
        <v>140</v>
      </c>
      <c r="BC14" s="12">
        <v>3.0</v>
      </c>
      <c r="BD14" s="12">
        <v>3.0</v>
      </c>
      <c r="BE14" s="10" t="s">
        <v>146</v>
      </c>
      <c r="BF14" s="10" t="s">
        <v>307</v>
      </c>
      <c r="BG14" s="10" t="s">
        <v>146</v>
      </c>
      <c r="BH14" s="10" t="s">
        <v>146</v>
      </c>
      <c r="BI14" s="12">
        <v>0.0</v>
      </c>
      <c r="BJ14" s="12">
        <v>10.0</v>
      </c>
      <c r="BK14" s="12">
        <v>0.0</v>
      </c>
      <c r="BL14" s="12">
        <v>0.0</v>
      </c>
      <c r="BM14" s="12">
        <v>3.0</v>
      </c>
      <c r="BN14" s="12">
        <v>0.0</v>
      </c>
      <c r="BO14" s="10" t="s">
        <v>172</v>
      </c>
      <c r="BP14" s="10" t="s">
        <v>153</v>
      </c>
      <c r="BQ14" s="10" t="s">
        <v>140</v>
      </c>
      <c r="BR14" s="10" t="s">
        <v>146</v>
      </c>
      <c r="BS14" s="10" t="s">
        <v>140</v>
      </c>
      <c r="BT14" s="10" t="s">
        <v>168</v>
      </c>
      <c r="BU14" s="10" t="s">
        <v>308</v>
      </c>
      <c r="BV14" s="10" t="s">
        <v>226</v>
      </c>
      <c r="BW14" s="10" t="s">
        <v>174</v>
      </c>
      <c r="BX14" s="10" t="s">
        <v>302</v>
      </c>
      <c r="BY14" s="10" t="s">
        <v>309</v>
      </c>
      <c r="BZ14" s="10" t="s">
        <v>310</v>
      </c>
      <c r="CA14" s="10" t="s">
        <v>311</v>
      </c>
      <c r="CB14" s="10" t="s">
        <v>312</v>
      </c>
      <c r="CC14" s="10" t="s">
        <v>313</v>
      </c>
      <c r="CD14" s="10" t="s">
        <v>314</v>
      </c>
    </row>
    <row r="15">
      <c r="A15" s="10" t="s">
        <v>315</v>
      </c>
      <c r="B15" s="10"/>
      <c r="C15" s="10" t="s">
        <v>32</v>
      </c>
      <c r="D15" s="10" t="s">
        <v>316</v>
      </c>
      <c r="E15" s="10" t="s">
        <v>182</v>
      </c>
      <c r="F15" s="10" t="s">
        <v>140</v>
      </c>
      <c r="G15" s="10" t="s">
        <v>247</v>
      </c>
      <c r="H15" s="10" t="s">
        <v>317</v>
      </c>
      <c r="I15" s="10" t="s">
        <v>318</v>
      </c>
      <c r="J15" s="10" t="s">
        <v>319</v>
      </c>
      <c r="K15" s="10" t="s">
        <v>166</v>
      </c>
      <c r="L15" s="10" t="s">
        <v>140</v>
      </c>
      <c r="M15" s="10" t="s">
        <v>140</v>
      </c>
      <c r="N15" s="10" t="s">
        <v>140</v>
      </c>
      <c r="O15" s="10" t="s">
        <v>140</v>
      </c>
      <c r="P15" s="10" t="s">
        <v>140</v>
      </c>
      <c r="Q15" s="10" t="s">
        <v>140</v>
      </c>
      <c r="R15" s="10" t="s">
        <v>140</v>
      </c>
      <c r="S15" s="10" t="s">
        <v>140</v>
      </c>
      <c r="T15" s="10" t="s">
        <v>140</v>
      </c>
      <c r="U15" s="10" t="s">
        <v>140</v>
      </c>
      <c r="V15" s="10" t="s">
        <v>140</v>
      </c>
      <c r="W15" s="10" t="s">
        <v>140</v>
      </c>
      <c r="X15" s="10" t="s">
        <v>83</v>
      </c>
      <c r="Y15" s="10" t="s">
        <v>140</v>
      </c>
      <c r="Z15" s="10" t="s">
        <v>140</v>
      </c>
      <c r="AA15" s="10" t="s">
        <v>140</v>
      </c>
      <c r="AB15" s="12">
        <v>25.0</v>
      </c>
      <c r="AC15" s="12">
        <v>50.0</v>
      </c>
      <c r="AD15" s="12">
        <v>25.0</v>
      </c>
      <c r="AE15" s="12">
        <v>10.0</v>
      </c>
      <c r="AF15" s="10" t="s">
        <v>146</v>
      </c>
      <c r="AG15" s="10" t="s">
        <v>146</v>
      </c>
      <c r="AH15" s="10" t="s">
        <v>168</v>
      </c>
      <c r="AI15" s="10" t="s">
        <v>140</v>
      </c>
      <c r="AJ15" s="10" t="s">
        <v>189</v>
      </c>
      <c r="AK15" s="10" t="s">
        <v>140</v>
      </c>
      <c r="AL15" s="10" t="s">
        <v>140</v>
      </c>
      <c r="AM15" s="10" t="s">
        <v>140</v>
      </c>
      <c r="AN15" s="10" t="s">
        <v>99</v>
      </c>
      <c r="AO15" s="10" t="s">
        <v>140</v>
      </c>
      <c r="AP15" s="10" t="s">
        <v>140</v>
      </c>
      <c r="AQ15" s="10" t="s">
        <v>140</v>
      </c>
      <c r="AR15" s="10" t="s">
        <v>149</v>
      </c>
      <c r="AS15" s="10" t="s">
        <v>140</v>
      </c>
      <c r="AT15" s="10" t="s">
        <v>102</v>
      </c>
      <c r="AU15" s="10" t="s">
        <v>103</v>
      </c>
      <c r="AV15" s="10" t="s">
        <v>104</v>
      </c>
      <c r="AW15" s="10" t="s">
        <v>140</v>
      </c>
      <c r="AX15" s="10" t="s">
        <v>140</v>
      </c>
      <c r="AY15" s="10" t="s">
        <v>107</v>
      </c>
      <c r="AZ15" s="10" t="s">
        <v>108</v>
      </c>
      <c r="BA15" s="10" t="s">
        <v>140</v>
      </c>
      <c r="BB15" s="10" t="s">
        <v>140</v>
      </c>
      <c r="BC15" s="12">
        <v>3.0</v>
      </c>
      <c r="BD15" s="12">
        <v>7.0</v>
      </c>
      <c r="BE15" s="10" t="s">
        <v>168</v>
      </c>
      <c r="BF15" s="10" t="s">
        <v>140</v>
      </c>
      <c r="BG15" s="10" t="s">
        <v>140</v>
      </c>
      <c r="BH15" s="10" t="s">
        <v>146</v>
      </c>
      <c r="BI15" s="12">
        <v>7.0</v>
      </c>
      <c r="BJ15" s="12">
        <v>5.0</v>
      </c>
      <c r="BK15" s="12">
        <v>8.0</v>
      </c>
      <c r="BL15" s="12">
        <v>2.0</v>
      </c>
      <c r="BM15" s="12">
        <v>3.0</v>
      </c>
      <c r="BN15" s="12">
        <v>1.0</v>
      </c>
      <c r="BO15" s="10" t="s">
        <v>245</v>
      </c>
      <c r="BP15" s="10" t="s">
        <v>320</v>
      </c>
      <c r="BQ15" s="10" t="s">
        <v>140</v>
      </c>
      <c r="BR15" s="10" t="s">
        <v>146</v>
      </c>
      <c r="BS15" s="10" t="s">
        <v>140</v>
      </c>
      <c r="BT15" s="10" t="s">
        <v>146</v>
      </c>
      <c r="BU15" s="10" t="s">
        <v>140</v>
      </c>
      <c r="BV15" s="10" t="s">
        <v>140</v>
      </c>
      <c r="BW15" s="10" t="s">
        <v>140</v>
      </c>
      <c r="BX15" s="10" t="s">
        <v>140</v>
      </c>
      <c r="BY15" s="10" t="s">
        <v>140</v>
      </c>
      <c r="BZ15" s="10" t="s">
        <v>321</v>
      </c>
      <c r="CA15" s="10" t="s">
        <v>140</v>
      </c>
      <c r="CB15" s="10" t="s">
        <v>322</v>
      </c>
      <c r="CC15" s="10" t="s">
        <v>323</v>
      </c>
      <c r="CD15" s="10" t="s">
        <v>324</v>
      </c>
    </row>
    <row r="16">
      <c r="A16" s="10" t="s">
        <v>325</v>
      </c>
      <c r="B16" s="10"/>
      <c r="C16" s="10" t="s">
        <v>46</v>
      </c>
      <c r="D16" s="10" t="s">
        <v>326</v>
      </c>
      <c r="E16" s="10" t="s">
        <v>161</v>
      </c>
      <c r="F16" s="10" t="s">
        <v>140</v>
      </c>
      <c r="G16" s="10" t="s">
        <v>327</v>
      </c>
      <c r="H16" s="10" t="s">
        <v>328</v>
      </c>
      <c r="I16" s="10" t="s">
        <v>329</v>
      </c>
      <c r="J16" s="10" t="s">
        <v>330</v>
      </c>
      <c r="K16" s="10" t="s">
        <v>166</v>
      </c>
      <c r="L16" s="10" t="s">
        <v>140</v>
      </c>
      <c r="M16" s="10" t="s">
        <v>72</v>
      </c>
      <c r="N16" s="10" t="s">
        <v>73</v>
      </c>
      <c r="O16" s="10" t="s">
        <v>74</v>
      </c>
      <c r="P16" s="10" t="s">
        <v>75</v>
      </c>
      <c r="Q16" s="10" t="s">
        <v>76</v>
      </c>
      <c r="R16" s="10" t="s">
        <v>77</v>
      </c>
      <c r="S16" s="10" t="s">
        <v>78</v>
      </c>
      <c r="T16" s="10" t="s">
        <v>79</v>
      </c>
      <c r="U16" s="10" t="s">
        <v>80</v>
      </c>
      <c r="V16" s="10" t="s">
        <v>81</v>
      </c>
      <c r="W16" s="10" t="s">
        <v>82</v>
      </c>
      <c r="X16" s="10" t="s">
        <v>83</v>
      </c>
      <c r="Y16" s="10" t="s">
        <v>84</v>
      </c>
      <c r="Z16" s="10" t="s">
        <v>140</v>
      </c>
      <c r="AA16" s="10" t="s">
        <v>140</v>
      </c>
      <c r="AB16" s="12">
        <v>20.0</v>
      </c>
      <c r="AC16" s="12">
        <v>40.0</v>
      </c>
      <c r="AD16" s="12">
        <v>30.0</v>
      </c>
      <c r="AE16" s="12">
        <v>10.0</v>
      </c>
      <c r="AF16" s="10" t="s">
        <v>146</v>
      </c>
      <c r="AG16" s="10" t="s">
        <v>146</v>
      </c>
      <c r="AH16" s="10" t="s">
        <v>168</v>
      </c>
      <c r="AI16" s="10" t="s">
        <v>140</v>
      </c>
      <c r="AJ16" s="10" t="s">
        <v>189</v>
      </c>
      <c r="AK16" s="10" t="s">
        <v>140</v>
      </c>
      <c r="AL16" s="10" t="s">
        <v>140</v>
      </c>
      <c r="AM16" s="10" t="s">
        <v>140</v>
      </c>
      <c r="AN16" s="10" t="s">
        <v>99</v>
      </c>
      <c r="AO16" s="10" t="s">
        <v>140</v>
      </c>
      <c r="AP16" s="10" t="s">
        <v>140</v>
      </c>
      <c r="AQ16" s="10" t="s">
        <v>140</v>
      </c>
      <c r="AR16" s="10" t="s">
        <v>149</v>
      </c>
      <c r="AS16" s="10" t="s">
        <v>140</v>
      </c>
      <c r="AT16" s="10" t="s">
        <v>102</v>
      </c>
      <c r="AU16" s="10" t="s">
        <v>140</v>
      </c>
      <c r="AV16" s="10" t="s">
        <v>140</v>
      </c>
      <c r="AW16" s="10" t="s">
        <v>140</v>
      </c>
      <c r="AX16" s="10" t="s">
        <v>140</v>
      </c>
      <c r="AY16" s="10" t="s">
        <v>107</v>
      </c>
      <c r="AZ16" s="10" t="s">
        <v>140</v>
      </c>
      <c r="BA16" s="10" t="s">
        <v>140</v>
      </c>
      <c r="BB16" s="10" t="s">
        <v>140</v>
      </c>
      <c r="BC16" s="12">
        <v>4.0</v>
      </c>
      <c r="BD16" s="12">
        <v>4.0</v>
      </c>
      <c r="BE16" s="10" t="s">
        <v>146</v>
      </c>
      <c r="BF16" s="10" t="s">
        <v>331</v>
      </c>
      <c r="BG16" s="10" t="s">
        <v>146</v>
      </c>
      <c r="BH16" s="10" t="s">
        <v>168</v>
      </c>
      <c r="BI16" s="12">
        <v>0.0</v>
      </c>
      <c r="BJ16" s="12">
        <v>0.0</v>
      </c>
      <c r="BK16" s="12">
        <v>0.0</v>
      </c>
      <c r="BL16" s="12">
        <v>0.0</v>
      </c>
      <c r="BM16" s="12">
        <v>0.0</v>
      </c>
      <c r="BN16" s="12">
        <v>0.0</v>
      </c>
      <c r="BO16" s="10" t="s">
        <v>140</v>
      </c>
      <c r="BP16" s="10" t="s">
        <v>140</v>
      </c>
      <c r="BQ16" s="10" t="s">
        <v>140</v>
      </c>
      <c r="BR16" s="10" t="s">
        <v>140</v>
      </c>
      <c r="BS16" s="10" t="s">
        <v>140</v>
      </c>
      <c r="BT16" s="10" t="s">
        <v>140</v>
      </c>
      <c r="BU16" s="10" t="s">
        <v>140</v>
      </c>
      <c r="BV16" s="10" t="s">
        <v>140</v>
      </c>
      <c r="BW16" s="10" t="s">
        <v>140</v>
      </c>
      <c r="BX16" s="10" t="s">
        <v>140</v>
      </c>
      <c r="BY16" s="10" t="s">
        <v>140</v>
      </c>
      <c r="BZ16" s="10" t="s">
        <v>140</v>
      </c>
      <c r="CA16" s="10" t="s">
        <v>332</v>
      </c>
      <c r="CB16" s="10" t="s">
        <v>333</v>
      </c>
      <c r="CC16" s="10" t="s">
        <v>334</v>
      </c>
      <c r="CD16" s="10" t="s">
        <v>335</v>
      </c>
    </row>
    <row r="17">
      <c r="A17" s="10" t="s">
        <v>336</v>
      </c>
      <c r="B17" s="10"/>
      <c r="C17" s="10" t="s">
        <v>26</v>
      </c>
      <c r="D17" s="10" t="s">
        <v>337</v>
      </c>
      <c r="E17" s="10" t="s">
        <v>182</v>
      </c>
      <c r="F17" s="10" t="s">
        <v>140</v>
      </c>
      <c r="G17" s="10" t="s">
        <v>338</v>
      </c>
      <c r="H17" s="10" t="s">
        <v>339</v>
      </c>
      <c r="I17" s="10" t="s">
        <v>340</v>
      </c>
      <c r="J17" s="10" t="s">
        <v>341</v>
      </c>
      <c r="K17" s="10" t="s">
        <v>166</v>
      </c>
      <c r="L17" s="10" t="s">
        <v>140</v>
      </c>
      <c r="M17" s="10" t="s">
        <v>72</v>
      </c>
      <c r="N17" s="10" t="s">
        <v>73</v>
      </c>
      <c r="O17" s="10" t="s">
        <v>74</v>
      </c>
      <c r="P17" s="10" t="s">
        <v>140</v>
      </c>
      <c r="Q17" s="10" t="s">
        <v>140</v>
      </c>
      <c r="R17" s="10" t="s">
        <v>140</v>
      </c>
      <c r="S17" s="10" t="s">
        <v>140</v>
      </c>
      <c r="T17" s="10" t="s">
        <v>140</v>
      </c>
      <c r="U17" s="10" t="s">
        <v>140</v>
      </c>
      <c r="V17" s="10" t="s">
        <v>140</v>
      </c>
      <c r="W17" s="10" t="s">
        <v>140</v>
      </c>
      <c r="X17" s="10" t="s">
        <v>140</v>
      </c>
      <c r="Y17" s="10" t="s">
        <v>84</v>
      </c>
      <c r="Z17" s="10" t="s">
        <v>140</v>
      </c>
      <c r="AA17" s="10" t="s">
        <v>140</v>
      </c>
      <c r="AB17" s="12">
        <v>80.0</v>
      </c>
      <c r="AC17" s="12">
        <v>50.0</v>
      </c>
      <c r="AD17" s="12">
        <v>0.0</v>
      </c>
      <c r="AE17" s="12">
        <v>0.0</v>
      </c>
      <c r="AF17" s="10" t="s">
        <v>146</v>
      </c>
      <c r="AG17" s="10" t="s">
        <v>168</v>
      </c>
      <c r="AH17" s="10" t="s">
        <v>140</v>
      </c>
      <c r="AI17" s="10" t="s">
        <v>140</v>
      </c>
      <c r="AJ17" s="10" t="s">
        <v>140</v>
      </c>
      <c r="AK17" s="10" t="s">
        <v>140</v>
      </c>
      <c r="AL17" s="10" t="s">
        <v>140</v>
      </c>
      <c r="AM17" s="10" t="s">
        <v>140</v>
      </c>
      <c r="AN17" s="10" t="s">
        <v>99</v>
      </c>
      <c r="AO17" s="10" t="s">
        <v>140</v>
      </c>
      <c r="AP17" s="10" t="s">
        <v>140</v>
      </c>
      <c r="AQ17" s="10" t="s">
        <v>140</v>
      </c>
      <c r="AR17" s="10" t="s">
        <v>149</v>
      </c>
      <c r="AS17" s="10" t="s">
        <v>140</v>
      </c>
      <c r="AT17" s="10" t="s">
        <v>102</v>
      </c>
      <c r="AU17" s="10" t="s">
        <v>103</v>
      </c>
      <c r="AV17" s="10" t="s">
        <v>104</v>
      </c>
      <c r="AW17" s="10" t="s">
        <v>105</v>
      </c>
      <c r="AX17" s="10" t="s">
        <v>140</v>
      </c>
      <c r="AY17" s="10" t="s">
        <v>140</v>
      </c>
      <c r="AZ17" s="10" t="s">
        <v>108</v>
      </c>
      <c r="BA17" s="10" t="s">
        <v>140</v>
      </c>
      <c r="BB17" s="10" t="s">
        <v>140</v>
      </c>
      <c r="BC17" s="12">
        <v>2.0</v>
      </c>
      <c r="BD17" s="12">
        <v>4.0</v>
      </c>
      <c r="BE17" s="10" t="s">
        <v>168</v>
      </c>
      <c r="BF17" s="10" t="s">
        <v>140</v>
      </c>
      <c r="BG17" s="10" t="s">
        <v>140</v>
      </c>
      <c r="BH17" s="10" t="s">
        <v>146</v>
      </c>
      <c r="BI17" s="12">
        <v>5.0</v>
      </c>
      <c r="BJ17" s="12">
        <v>7.0</v>
      </c>
      <c r="BK17" s="12">
        <v>4.0</v>
      </c>
      <c r="BL17" s="12">
        <v>5.0</v>
      </c>
      <c r="BM17" s="12">
        <v>8.0</v>
      </c>
      <c r="BN17" s="12">
        <v>8.0</v>
      </c>
      <c r="BO17" s="10" t="s">
        <v>205</v>
      </c>
      <c r="BP17" s="10" t="s">
        <v>153</v>
      </c>
      <c r="BQ17" s="10" t="s">
        <v>140</v>
      </c>
      <c r="BR17" s="10" t="s">
        <v>146</v>
      </c>
      <c r="BS17" s="10" t="s">
        <v>140</v>
      </c>
      <c r="BT17" s="10" t="s">
        <v>168</v>
      </c>
      <c r="BU17" s="10" t="s">
        <v>342</v>
      </c>
      <c r="BV17" s="10" t="s">
        <v>182</v>
      </c>
      <c r="BW17" s="10" t="s">
        <v>174</v>
      </c>
      <c r="BX17" s="10" t="s">
        <v>338</v>
      </c>
      <c r="BY17" s="10" t="s">
        <v>343</v>
      </c>
      <c r="BZ17" s="10" t="s">
        <v>344</v>
      </c>
      <c r="CA17" s="10" t="s">
        <v>345</v>
      </c>
      <c r="CB17" s="10" t="s">
        <v>346</v>
      </c>
      <c r="CC17" s="10" t="s">
        <v>347</v>
      </c>
      <c r="CD17" s="10" t="s">
        <v>348</v>
      </c>
    </row>
    <row r="18">
      <c r="A18" s="10" t="s">
        <v>349</v>
      </c>
      <c r="B18" s="10"/>
      <c r="C18" s="10" t="s">
        <v>25</v>
      </c>
      <c r="D18" s="10" t="s">
        <v>350</v>
      </c>
      <c r="E18" s="10" t="s">
        <v>182</v>
      </c>
      <c r="F18" s="10" t="s">
        <v>140</v>
      </c>
      <c r="G18" s="10" t="s">
        <v>351</v>
      </c>
      <c r="H18" s="10" t="s">
        <v>352</v>
      </c>
      <c r="I18" s="10" t="s">
        <v>353</v>
      </c>
      <c r="J18" s="10" t="s">
        <v>354</v>
      </c>
      <c r="K18" s="10" t="s">
        <v>261</v>
      </c>
      <c r="L18" s="10" t="s">
        <v>140</v>
      </c>
      <c r="M18" s="10" t="s">
        <v>140</v>
      </c>
      <c r="N18" s="10" t="s">
        <v>73</v>
      </c>
      <c r="O18" s="10" t="s">
        <v>140</v>
      </c>
      <c r="P18" s="10" t="s">
        <v>140</v>
      </c>
      <c r="Q18" s="10" t="s">
        <v>140</v>
      </c>
      <c r="R18" s="10" t="s">
        <v>77</v>
      </c>
      <c r="S18" s="10" t="s">
        <v>78</v>
      </c>
      <c r="T18" s="10" t="s">
        <v>79</v>
      </c>
      <c r="U18" s="10" t="s">
        <v>80</v>
      </c>
      <c r="V18" s="10" t="s">
        <v>81</v>
      </c>
      <c r="W18" s="10" t="s">
        <v>140</v>
      </c>
      <c r="X18" s="10" t="s">
        <v>83</v>
      </c>
      <c r="Y18" s="10" t="s">
        <v>140</v>
      </c>
      <c r="Z18" s="10" t="s">
        <v>140</v>
      </c>
      <c r="AA18" s="10" t="s">
        <v>140</v>
      </c>
      <c r="AB18" s="12">
        <v>0.0</v>
      </c>
      <c r="AC18" s="12">
        <v>75.0</v>
      </c>
      <c r="AD18" s="12">
        <v>20.0</v>
      </c>
      <c r="AE18" s="12">
        <v>5.0</v>
      </c>
      <c r="AF18" s="10" t="s">
        <v>146</v>
      </c>
      <c r="AG18" s="10" t="s">
        <v>146</v>
      </c>
      <c r="AH18" s="10" t="s">
        <v>168</v>
      </c>
      <c r="AI18" s="10" t="s">
        <v>140</v>
      </c>
      <c r="AJ18" s="10" t="s">
        <v>189</v>
      </c>
      <c r="AK18" s="10" t="s">
        <v>140</v>
      </c>
      <c r="AL18" s="10" t="s">
        <v>140</v>
      </c>
      <c r="AM18" s="10" t="s">
        <v>140</v>
      </c>
      <c r="AN18" s="10" t="s">
        <v>99</v>
      </c>
      <c r="AO18" s="10" t="s">
        <v>140</v>
      </c>
      <c r="AP18" s="10" t="s">
        <v>140</v>
      </c>
      <c r="AQ18" s="10" t="s">
        <v>140</v>
      </c>
      <c r="AR18" s="10" t="s">
        <v>149</v>
      </c>
      <c r="AS18" s="10" t="s">
        <v>140</v>
      </c>
      <c r="AT18" s="10" t="s">
        <v>140</v>
      </c>
      <c r="AU18" s="10" t="s">
        <v>140</v>
      </c>
      <c r="AV18" s="10" t="s">
        <v>104</v>
      </c>
      <c r="AW18" s="10" t="s">
        <v>140</v>
      </c>
      <c r="AX18" s="10" t="s">
        <v>140</v>
      </c>
      <c r="AY18" s="10" t="s">
        <v>107</v>
      </c>
      <c r="AZ18" s="10" t="s">
        <v>140</v>
      </c>
      <c r="BA18" s="10" t="s">
        <v>140</v>
      </c>
      <c r="BB18" s="10" t="s">
        <v>140</v>
      </c>
      <c r="BC18" s="12">
        <v>2.0</v>
      </c>
      <c r="BD18" s="12">
        <v>3.0</v>
      </c>
      <c r="BE18" s="10" t="s">
        <v>146</v>
      </c>
      <c r="BF18" s="10" t="s">
        <v>140</v>
      </c>
      <c r="BG18" s="10" t="s">
        <v>146</v>
      </c>
      <c r="BH18" s="10" t="s">
        <v>146</v>
      </c>
      <c r="BI18" s="12">
        <v>7.0</v>
      </c>
      <c r="BJ18" s="12">
        <v>7.0</v>
      </c>
      <c r="BK18" s="12">
        <v>5.0</v>
      </c>
      <c r="BL18" s="12">
        <v>0.0</v>
      </c>
      <c r="BM18" s="12">
        <v>2.0</v>
      </c>
      <c r="BN18" s="12">
        <v>2.0</v>
      </c>
      <c r="BO18" s="10" t="s">
        <v>355</v>
      </c>
      <c r="BP18" s="10" t="s">
        <v>153</v>
      </c>
      <c r="BQ18" s="10" t="s">
        <v>140</v>
      </c>
      <c r="BR18" s="10" t="s">
        <v>146</v>
      </c>
      <c r="BS18" s="10" t="s">
        <v>140</v>
      </c>
      <c r="BT18" s="10" t="s">
        <v>146</v>
      </c>
      <c r="BU18" s="10" t="s">
        <v>140</v>
      </c>
      <c r="BV18" s="10" t="s">
        <v>140</v>
      </c>
      <c r="BW18" s="10" t="s">
        <v>140</v>
      </c>
      <c r="BX18" s="10" t="s">
        <v>140</v>
      </c>
      <c r="BY18" s="10" t="s">
        <v>140</v>
      </c>
      <c r="BZ18" s="10" t="s">
        <v>356</v>
      </c>
      <c r="CA18" s="10" t="s">
        <v>140</v>
      </c>
      <c r="CB18" s="10" t="s">
        <v>357</v>
      </c>
      <c r="CC18" s="10" t="s">
        <v>358</v>
      </c>
      <c r="CD18" s="10" t="s">
        <v>359</v>
      </c>
    </row>
    <row r="19">
      <c r="A19" s="10" t="s">
        <v>360</v>
      </c>
      <c r="B19" s="10"/>
      <c r="C19" s="10" t="s">
        <v>53</v>
      </c>
      <c r="D19" s="10" t="s">
        <v>361</v>
      </c>
      <c r="E19" s="10" t="s">
        <v>182</v>
      </c>
      <c r="F19" s="10" t="s">
        <v>140</v>
      </c>
      <c r="G19" s="10" t="s">
        <v>362</v>
      </c>
      <c r="H19" s="10" t="s">
        <v>363</v>
      </c>
      <c r="I19" s="10" t="s">
        <v>364</v>
      </c>
      <c r="J19" s="10" t="s">
        <v>365</v>
      </c>
      <c r="K19" s="10" t="s">
        <v>261</v>
      </c>
      <c r="L19" s="10" t="s">
        <v>140</v>
      </c>
      <c r="M19" s="10" t="s">
        <v>140</v>
      </c>
      <c r="N19" s="10" t="s">
        <v>73</v>
      </c>
      <c r="O19" s="10" t="s">
        <v>140</v>
      </c>
      <c r="P19" s="10" t="s">
        <v>140</v>
      </c>
      <c r="Q19" s="10" t="s">
        <v>140</v>
      </c>
      <c r="R19" s="10" t="s">
        <v>140</v>
      </c>
      <c r="S19" s="10" t="s">
        <v>140</v>
      </c>
      <c r="T19" s="10" t="s">
        <v>140</v>
      </c>
      <c r="U19" s="10" t="s">
        <v>80</v>
      </c>
      <c r="V19" s="10" t="s">
        <v>81</v>
      </c>
      <c r="W19" s="10" t="s">
        <v>140</v>
      </c>
      <c r="X19" s="10" t="s">
        <v>83</v>
      </c>
      <c r="Y19" s="10" t="s">
        <v>140</v>
      </c>
      <c r="Z19" s="10" t="s">
        <v>140</v>
      </c>
      <c r="AA19" s="10" t="s">
        <v>140</v>
      </c>
      <c r="AB19" s="12">
        <v>0.0</v>
      </c>
      <c r="AC19" s="12">
        <v>80.0</v>
      </c>
      <c r="AD19" s="12">
        <v>70.0</v>
      </c>
      <c r="AE19" s="12">
        <v>0.0</v>
      </c>
      <c r="AF19" s="10" t="s">
        <v>146</v>
      </c>
      <c r="AG19" s="10" t="s">
        <v>168</v>
      </c>
      <c r="AH19" s="10" t="s">
        <v>140</v>
      </c>
      <c r="AI19" s="10" t="s">
        <v>140</v>
      </c>
      <c r="AJ19" s="10" t="s">
        <v>140</v>
      </c>
      <c r="AK19" s="10" t="s">
        <v>140</v>
      </c>
      <c r="AL19" s="10" t="s">
        <v>140</v>
      </c>
      <c r="AM19" s="10" t="s">
        <v>140</v>
      </c>
      <c r="AN19" s="10" t="s">
        <v>99</v>
      </c>
      <c r="AO19" s="10" t="s">
        <v>100</v>
      </c>
      <c r="AP19" s="10" t="s">
        <v>140</v>
      </c>
      <c r="AQ19" s="10" t="s">
        <v>140</v>
      </c>
      <c r="AR19" s="10" t="s">
        <v>149</v>
      </c>
      <c r="AS19" s="10" t="s">
        <v>140</v>
      </c>
      <c r="AT19" s="10" t="s">
        <v>102</v>
      </c>
      <c r="AU19" s="10" t="s">
        <v>103</v>
      </c>
      <c r="AV19" s="10" t="s">
        <v>104</v>
      </c>
      <c r="AW19" s="10" t="s">
        <v>140</v>
      </c>
      <c r="AX19" s="10" t="s">
        <v>140</v>
      </c>
      <c r="AY19" s="10" t="s">
        <v>107</v>
      </c>
      <c r="AZ19" s="10" t="s">
        <v>140</v>
      </c>
      <c r="BA19" s="10" t="s">
        <v>140</v>
      </c>
      <c r="BB19" s="10" t="s">
        <v>140</v>
      </c>
      <c r="BC19" s="12">
        <v>4.0</v>
      </c>
      <c r="BD19" s="12">
        <v>6.0</v>
      </c>
      <c r="BE19" s="10" t="s">
        <v>146</v>
      </c>
      <c r="BF19" s="10" t="s">
        <v>366</v>
      </c>
      <c r="BG19" s="10" t="s">
        <v>146</v>
      </c>
      <c r="BH19" s="10" t="s">
        <v>146</v>
      </c>
      <c r="BI19" s="12">
        <v>5.0</v>
      </c>
      <c r="BJ19" s="12">
        <v>7.0</v>
      </c>
      <c r="BK19" s="12">
        <v>4.0</v>
      </c>
      <c r="BL19" s="12">
        <v>0.0</v>
      </c>
      <c r="BM19" s="12">
        <v>8.0</v>
      </c>
      <c r="BN19" s="12">
        <v>0.0</v>
      </c>
      <c r="BO19" s="10" t="s">
        <v>152</v>
      </c>
      <c r="BP19" s="10" t="s">
        <v>153</v>
      </c>
      <c r="BQ19" s="10" t="s">
        <v>140</v>
      </c>
      <c r="BR19" s="10" t="s">
        <v>146</v>
      </c>
      <c r="BS19" s="10" t="s">
        <v>140</v>
      </c>
      <c r="BT19" s="10" t="s">
        <v>146</v>
      </c>
      <c r="BU19" s="10" t="s">
        <v>140</v>
      </c>
      <c r="BV19" s="10" t="s">
        <v>140</v>
      </c>
      <c r="BW19" s="10" t="s">
        <v>140</v>
      </c>
      <c r="BX19" s="10" t="s">
        <v>140</v>
      </c>
      <c r="BY19" s="10" t="s">
        <v>140</v>
      </c>
      <c r="BZ19" s="10" t="s">
        <v>367</v>
      </c>
      <c r="CA19" s="10" t="s">
        <v>368</v>
      </c>
      <c r="CB19" s="10" t="s">
        <v>369</v>
      </c>
      <c r="CC19" s="10" t="s">
        <v>370</v>
      </c>
      <c r="CD19" s="10" t="s">
        <v>371</v>
      </c>
    </row>
    <row r="20">
      <c r="A20" s="10" t="s">
        <v>372</v>
      </c>
      <c r="B20" s="10"/>
      <c r="C20" s="10" t="s">
        <v>23</v>
      </c>
      <c r="D20" s="10" t="s">
        <v>373</v>
      </c>
      <c r="E20" s="10" t="s">
        <v>374</v>
      </c>
      <c r="F20" s="10" t="s">
        <v>140</v>
      </c>
      <c r="G20" s="10" t="s">
        <v>375</v>
      </c>
      <c r="H20" s="10" t="s">
        <v>376</v>
      </c>
      <c r="I20" s="10" t="s">
        <v>377</v>
      </c>
      <c r="J20" s="10" t="s">
        <v>378</v>
      </c>
      <c r="K20" s="10" t="s">
        <v>166</v>
      </c>
      <c r="L20" s="10" t="s">
        <v>140</v>
      </c>
      <c r="M20" s="10" t="s">
        <v>140</v>
      </c>
      <c r="N20" s="10" t="s">
        <v>73</v>
      </c>
      <c r="O20" s="10" t="s">
        <v>74</v>
      </c>
      <c r="P20" s="10" t="s">
        <v>140</v>
      </c>
      <c r="Q20" s="10" t="s">
        <v>140</v>
      </c>
      <c r="R20" s="10" t="s">
        <v>77</v>
      </c>
      <c r="S20" s="10" t="s">
        <v>140</v>
      </c>
      <c r="T20" s="10" t="s">
        <v>140</v>
      </c>
      <c r="U20" s="10" t="s">
        <v>140</v>
      </c>
      <c r="V20" s="10" t="s">
        <v>140</v>
      </c>
      <c r="W20" s="10" t="s">
        <v>82</v>
      </c>
      <c r="X20" s="10" t="s">
        <v>83</v>
      </c>
      <c r="Y20" s="10" t="s">
        <v>84</v>
      </c>
      <c r="Z20" s="10" t="s">
        <v>140</v>
      </c>
      <c r="AA20" s="10" t="s">
        <v>140</v>
      </c>
      <c r="AB20" s="12">
        <v>10.0</v>
      </c>
      <c r="AC20" s="12">
        <v>60.0</v>
      </c>
      <c r="AD20" s="12">
        <v>30.0</v>
      </c>
      <c r="AE20" s="12">
        <v>0.0</v>
      </c>
      <c r="AF20" s="10" t="s">
        <v>146</v>
      </c>
      <c r="AG20" s="10" t="s">
        <v>146</v>
      </c>
      <c r="AH20" s="10" t="s">
        <v>168</v>
      </c>
      <c r="AI20" s="10" t="s">
        <v>140</v>
      </c>
      <c r="AJ20" s="10" t="s">
        <v>189</v>
      </c>
      <c r="AK20" s="10" t="s">
        <v>140</v>
      </c>
      <c r="AL20" s="10" t="s">
        <v>140</v>
      </c>
      <c r="AM20" s="10" t="s">
        <v>98</v>
      </c>
      <c r="AN20" s="10" t="s">
        <v>99</v>
      </c>
      <c r="AO20" s="10" t="s">
        <v>140</v>
      </c>
      <c r="AP20" s="10" t="s">
        <v>140</v>
      </c>
      <c r="AQ20" s="10" t="s">
        <v>140</v>
      </c>
      <c r="AR20" s="10" t="s">
        <v>149</v>
      </c>
      <c r="AS20" s="10" t="s">
        <v>140</v>
      </c>
      <c r="AT20" s="10" t="s">
        <v>102</v>
      </c>
      <c r="AU20" s="10" t="s">
        <v>103</v>
      </c>
      <c r="AV20" s="10" t="s">
        <v>104</v>
      </c>
      <c r="AW20" s="10" t="s">
        <v>140</v>
      </c>
      <c r="AX20" s="10" t="s">
        <v>140</v>
      </c>
      <c r="AY20" s="10" t="s">
        <v>107</v>
      </c>
      <c r="AZ20" s="10" t="s">
        <v>108</v>
      </c>
      <c r="BA20" s="10" t="s">
        <v>140</v>
      </c>
      <c r="BB20" s="10" t="s">
        <v>140</v>
      </c>
      <c r="BC20" s="12">
        <v>6.0</v>
      </c>
      <c r="BD20" s="12">
        <v>4.0</v>
      </c>
      <c r="BE20" s="10" t="s">
        <v>168</v>
      </c>
      <c r="BF20" s="10" t="s">
        <v>140</v>
      </c>
      <c r="BG20" s="10" t="s">
        <v>140</v>
      </c>
      <c r="BH20" s="10" t="s">
        <v>146</v>
      </c>
      <c r="BI20" s="12">
        <v>5.0</v>
      </c>
      <c r="BJ20" s="12">
        <v>5.0</v>
      </c>
      <c r="BK20" s="12">
        <v>0.0</v>
      </c>
      <c r="BL20" s="12">
        <v>5.0</v>
      </c>
      <c r="BM20" s="12">
        <v>2.0</v>
      </c>
      <c r="BN20" s="12">
        <v>2.0</v>
      </c>
      <c r="BO20" s="10" t="s">
        <v>355</v>
      </c>
      <c r="BP20" s="10" t="s">
        <v>153</v>
      </c>
      <c r="BQ20" s="10" t="s">
        <v>140</v>
      </c>
      <c r="BR20" s="10" t="s">
        <v>146</v>
      </c>
      <c r="BS20" s="10" t="s">
        <v>140</v>
      </c>
      <c r="BT20" s="10" t="s">
        <v>168</v>
      </c>
      <c r="BU20" s="10" t="s">
        <v>373</v>
      </c>
      <c r="BV20" s="10" t="s">
        <v>374</v>
      </c>
      <c r="BW20" s="10" t="s">
        <v>174</v>
      </c>
      <c r="BX20" s="10" t="s">
        <v>375</v>
      </c>
      <c r="BY20" s="10" t="s">
        <v>379</v>
      </c>
      <c r="BZ20" s="10" t="s">
        <v>380</v>
      </c>
      <c r="CA20" s="10" t="s">
        <v>381</v>
      </c>
      <c r="CB20" s="10" t="s">
        <v>382</v>
      </c>
      <c r="CC20" s="10" t="s">
        <v>383</v>
      </c>
      <c r="CD20" s="10" t="s">
        <v>384</v>
      </c>
    </row>
    <row r="21" ht="15.75" customHeight="1">
      <c r="A21" s="10" t="s">
        <v>385</v>
      </c>
      <c r="B21" s="10"/>
      <c r="C21" s="10" t="s">
        <v>31</v>
      </c>
      <c r="D21" s="10" t="s">
        <v>386</v>
      </c>
      <c r="E21" s="10" t="s">
        <v>387</v>
      </c>
      <c r="F21" s="10" t="s">
        <v>140</v>
      </c>
      <c r="G21" s="10" t="s">
        <v>388</v>
      </c>
      <c r="H21" s="10" t="s">
        <v>389</v>
      </c>
      <c r="I21" s="10" t="s">
        <v>390</v>
      </c>
      <c r="J21" s="10" t="s">
        <v>391</v>
      </c>
      <c r="K21" s="10" t="s">
        <v>261</v>
      </c>
      <c r="L21" s="10" t="s">
        <v>140</v>
      </c>
      <c r="M21" s="10" t="s">
        <v>140</v>
      </c>
      <c r="N21" s="10" t="s">
        <v>140</v>
      </c>
      <c r="O21" s="10" t="s">
        <v>74</v>
      </c>
      <c r="P21" s="10" t="s">
        <v>75</v>
      </c>
      <c r="Q21" s="10" t="s">
        <v>76</v>
      </c>
      <c r="R21" s="10" t="s">
        <v>77</v>
      </c>
      <c r="S21" s="10" t="s">
        <v>78</v>
      </c>
      <c r="T21" s="10" t="s">
        <v>79</v>
      </c>
      <c r="U21" s="10" t="s">
        <v>80</v>
      </c>
      <c r="V21" s="10" t="s">
        <v>140</v>
      </c>
      <c r="W21" s="10" t="s">
        <v>82</v>
      </c>
      <c r="X21" s="10" t="s">
        <v>83</v>
      </c>
      <c r="Y21" s="10" t="s">
        <v>84</v>
      </c>
      <c r="Z21" s="10" t="s">
        <v>140</v>
      </c>
      <c r="AA21" s="10" t="s">
        <v>140</v>
      </c>
      <c r="AB21" s="12">
        <v>30.0</v>
      </c>
      <c r="AC21" s="12">
        <v>70.0</v>
      </c>
      <c r="AD21" s="12">
        <v>90.0</v>
      </c>
      <c r="AE21" s="12">
        <v>70.0</v>
      </c>
      <c r="AF21" s="10" t="s">
        <v>146</v>
      </c>
      <c r="AG21" s="10" t="s">
        <v>146</v>
      </c>
      <c r="AH21" s="10" t="s">
        <v>146</v>
      </c>
      <c r="AI21" s="10" t="s">
        <v>392</v>
      </c>
      <c r="AJ21" s="10" t="s">
        <v>140</v>
      </c>
      <c r="AK21" s="10" t="s">
        <v>140</v>
      </c>
      <c r="AL21" s="10" t="s">
        <v>140</v>
      </c>
      <c r="AM21" s="10" t="s">
        <v>140</v>
      </c>
      <c r="AN21" s="10" t="s">
        <v>99</v>
      </c>
      <c r="AO21" s="10" t="s">
        <v>140</v>
      </c>
      <c r="AP21" s="10" t="s">
        <v>140</v>
      </c>
      <c r="AQ21" s="10" t="s">
        <v>140</v>
      </c>
      <c r="AR21" s="10" t="s">
        <v>85</v>
      </c>
      <c r="AS21" s="10" t="s">
        <v>393</v>
      </c>
      <c r="AT21" s="10" t="s">
        <v>140</v>
      </c>
      <c r="AU21" s="10" t="s">
        <v>140</v>
      </c>
      <c r="AV21" s="10" t="s">
        <v>140</v>
      </c>
      <c r="AW21" s="10" t="s">
        <v>140</v>
      </c>
      <c r="AX21" s="10" t="s">
        <v>140</v>
      </c>
      <c r="AY21" s="10" t="s">
        <v>140</v>
      </c>
      <c r="AZ21" s="10" t="s">
        <v>140</v>
      </c>
      <c r="BA21" s="10" t="s">
        <v>85</v>
      </c>
      <c r="BB21" s="10" t="s">
        <v>394</v>
      </c>
      <c r="BC21" s="12">
        <v>6.0</v>
      </c>
      <c r="BD21" s="12">
        <v>6.0</v>
      </c>
      <c r="BE21" s="10" t="s">
        <v>168</v>
      </c>
      <c r="BF21" s="10" t="s">
        <v>140</v>
      </c>
      <c r="BG21" s="10" t="s">
        <v>140</v>
      </c>
      <c r="BH21" s="10" t="s">
        <v>146</v>
      </c>
      <c r="BI21" s="12">
        <v>10.0</v>
      </c>
      <c r="BJ21" s="12">
        <v>3.0</v>
      </c>
      <c r="BK21" s="12">
        <v>5.0</v>
      </c>
      <c r="BL21" s="12">
        <v>4.0</v>
      </c>
      <c r="BM21" s="12">
        <v>3.0</v>
      </c>
      <c r="BN21" s="12">
        <v>1.0</v>
      </c>
      <c r="BO21" s="10" t="s">
        <v>355</v>
      </c>
      <c r="BP21" s="10" t="s">
        <v>320</v>
      </c>
      <c r="BQ21" s="10" t="s">
        <v>140</v>
      </c>
      <c r="BR21" s="10" t="s">
        <v>146</v>
      </c>
      <c r="BS21" s="10" t="s">
        <v>140</v>
      </c>
      <c r="BT21" s="10" t="s">
        <v>146</v>
      </c>
      <c r="BU21" s="10" t="s">
        <v>140</v>
      </c>
      <c r="BV21" s="10" t="s">
        <v>140</v>
      </c>
      <c r="BW21" s="10" t="s">
        <v>140</v>
      </c>
      <c r="BX21" s="10" t="s">
        <v>140</v>
      </c>
      <c r="BY21" s="10" t="s">
        <v>140</v>
      </c>
      <c r="BZ21" s="10" t="s">
        <v>395</v>
      </c>
      <c r="CA21" s="10" t="s">
        <v>396</v>
      </c>
      <c r="CB21" s="10" t="s">
        <v>397</v>
      </c>
      <c r="CC21" s="10" t="s">
        <v>398</v>
      </c>
      <c r="CD21" s="10" t="s">
        <v>399</v>
      </c>
    </row>
    <row r="22" ht="15.75" customHeight="1">
      <c r="A22" s="10" t="s">
        <v>400</v>
      </c>
      <c r="B22" s="10"/>
      <c r="C22" s="10" t="s">
        <v>401</v>
      </c>
      <c r="D22" s="10" t="s">
        <v>402</v>
      </c>
      <c r="E22" s="10" t="s">
        <v>403</v>
      </c>
      <c r="F22" s="10" t="s">
        <v>140</v>
      </c>
      <c r="G22" s="10" t="s">
        <v>404</v>
      </c>
      <c r="H22" s="10" t="s">
        <v>405</v>
      </c>
      <c r="I22" s="10" t="s">
        <v>406</v>
      </c>
      <c r="J22" s="10" t="s">
        <v>407</v>
      </c>
      <c r="K22" s="10" t="s">
        <v>408</v>
      </c>
      <c r="L22" s="10" t="s">
        <v>140</v>
      </c>
      <c r="M22" s="10" t="s">
        <v>72</v>
      </c>
      <c r="N22" s="10" t="s">
        <v>73</v>
      </c>
      <c r="O22" s="10" t="s">
        <v>74</v>
      </c>
      <c r="P22" s="10" t="s">
        <v>140</v>
      </c>
      <c r="Q22" s="10" t="s">
        <v>76</v>
      </c>
      <c r="R22" s="10" t="s">
        <v>77</v>
      </c>
      <c r="S22" s="10" t="s">
        <v>140</v>
      </c>
      <c r="T22" s="10" t="s">
        <v>140</v>
      </c>
      <c r="U22" s="10" t="s">
        <v>80</v>
      </c>
      <c r="V22" s="10" t="s">
        <v>140</v>
      </c>
      <c r="W22" s="10" t="s">
        <v>82</v>
      </c>
      <c r="X22" s="10" t="s">
        <v>140</v>
      </c>
      <c r="Y22" s="10" t="s">
        <v>84</v>
      </c>
      <c r="Z22" s="10" t="s">
        <v>140</v>
      </c>
      <c r="AA22" s="10" t="s">
        <v>140</v>
      </c>
      <c r="AB22" s="12">
        <v>60.0</v>
      </c>
      <c r="AC22" s="12">
        <v>20.0</v>
      </c>
      <c r="AD22" s="12">
        <v>10.0</v>
      </c>
      <c r="AE22" s="12">
        <v>15.0</v>
      </c>
      <c r="AF22" s="10" t="s">
        <v>146</v>
      </c>
      <c r="AG22" s="10" t="s">
        <v>146</v>
      </c>
      <c r="AH22" s="10" t="s">
        <v>146</v>
      </c>
      <c r="AI22" s="10" t="s">
        <v>409</v>
      </c>
      <c r="AJ22" s="10" t="s">
        <v>140</v>
      </c>
      <c r="AK22" s="10" t="s">
        <v>140</v>
      </c>
      <c r="AL22" s="10" t="s">
        <v>97</v>
      </c>
      <c r="AM22" s="10" t="s">
        <v>140</v>
      </c>
      <c r="AN22" s="10" t="s">
        <v>99</v>
      </c>
      <c r="AO22" s="10" t="s">
        <v>140</v>
      </c>
      <c r="AP22" s="10" t="s">
        <v>85</v>
      </c>
      <c r="AQ22" s="10" t="s">
        <v>410</v>
      </c>
      <c r="AR22" s="10" t="s">
        <v>149</v>
      </c>
      <c r="AS22" s="10" t="s">
        <v>140</v>
      </c>
      <c r="AT22" s="10" t="s">
        <v>140</v>
      </c>
      <c r="AU22" s="10" t="s">
        <v>140</v>
      </c>
      <c r="AV22" s="10" t="s">
        <v>104</v>
      </c>
      <c r="AW22" s="10" t="s">
        <v>140</v>
      </c>
      <c r="AX22" s="10" t="s">
        <v>140</v>
      </c>
      <c r="AY22" s="10" t="s">
        <v>107</v>
      </c>
      <c r="AZ22" s="10" t="s">
        <v>108</v>
      </c>
      <c r="BA22" s="10" t="s">
        <v>85</v>
      </c>
      <c r="BB22" s="10" t="s">
        <v>411</v>
      </c>
      <c r="BC22" s="12">
        <v>3.0</v>
      </c>
      <c r="BD22" s="12">
        <v>3.0</v>
      </c>
      <c r="BE22" s="10" t="s">
        <v>146</v>
      </c>
      <c r="BF22" s="10" t="s">
        <v>412</v>
      </c>
      <c r="BG22" s="10" t="s">
        <v>168</v>
      </c>
      <c r="BH22" s="10" t="s">
        <v>168</v>
      </c>
      <c r="BI22" s="12">
        <v>0.0</v>
      </c>
      <c r="BJ22" s="12">
        <v>0.0</v>
      </c>
      <c r="BK22" s="12">
        <v>0.0</v>
      </c>
      <c r="BL22" s="12">
        <v>0.0</v>
      </c>
      <c r="BM22" s="12">
        <v>0.0</v>
      </c>
      <c r="BN22" s="12">
        <v>0.0</v>
      </c>
      <c r="BO22" s="10" t="s">
        <v>140</v>
      </c>
      <c r="BP22" s="10" t="s">
        <v>140</v>
      </c>
      <c r="BQ22" s="10" t="s">
        <v>140</v>
      </c>
      <c r="BR22" s="10" t="s">
        <v>140</v>
      </c>
      <c r="BS22" s="10" t="s">
        <v>140</v>
      </c>
      <c r="BT22" s="10" t="s">
        <v>140</v>
      </c>
      <c r="BU22" s="10" t="s">
        <v>140</v>
      </c>
      <c r="BV22" s="10" t="s">
        <v>140</v>
      </c>
      <c r="BW22" s="10" t="s">
        <v>140</v>
      </c>
      <c r="BX22" s="10" t="s">
        <v>140</v>
      </c>
      <c r="BY22" s="10" t="s">
        <v>140</v>
      </c>
      <c r="BZ22" s="10" t="s">
        <v>140</v>
      </c>
      <c r="CA22" s="10" t="s">
        <v>413</v>
      </c>
      <c r="CB22" s="10" t="s">
        <v>414</v>
      </c>
      <c r="CC22" s="10" t="s">
        <v>415</v>
      </c>
      <c r="CD22" s="10" t="s">
        <v>416</v>
      </c>
    </row>
    <row r="23" ht="15.75" customHeight="1">
      <c r="A23" s="10" t="s">
        <v>417</v>
      </c>
      <c r="B23" s="10"/>
      <c r="C23" s="10" t="s">
        <v>50</v>
      </c>
      <c r="D23" s="10" t="s">
        <v>418</v>
      </c>
      <c r="E23" s="10" t="s">
        <v>85</v>
      </c>
      <c r="F23" s="10" t="s">
        <v>140</v>
      </c>
      <c r="G23" s="10" t="s">
        <v>419</v>
      </c>
      <c r="H23" s="10" t="s">
        <v>420</v>
      </c>
      <c r="I23" s="10" t="s">
        <v>421</v>
      </c>
      <c r="J23" s="10" t="s">
        <v>422</v>
      </c>
      <c r="K23" s="10" t="s">
        <v>166</v>
      </c>
      <c r="L23" s="10" t="s">
        <v>140</v>
      </c>
      <c r="M23" s="10" t="s">
        <v>140</v>
      </c>
      <c r="N23" s="10" t="s">
        <v>73</v>
      </c>
      <c r="O23" s="10" t="s">
        <v>140</v>
      </c>
      <c r="P23" s="10" t="s">
        <v>140</v>
      </c>
      <c r="Q23" s="10" t="s">
        <v>76</v>
      </c>
      <c r="R23" s="10" t="s">
        <v>77</v>
      </c>
      <c r="S23" s="10" t="s">
        <v>140</v>
      </c>
      <c r="T23" s="10" t="s">
        <v>79</v>
      </c>
      <c r="U23" s="10" t="s">
        <v>80</v>
      </c>
      <c r="V23" s="10" t="s">
        <v>140</v>
      </c>
      <c r="W23" s="10" t="s">
        <v>140</v>
      </c>
      <c r="X23" s="10" t="s">
        <v>83</v>
      </c>
      <c r="Y23" s="10" t="s">
        <v>84</v>
      </c>
      <c r="Z23" s="10" t="s">
        <v>140</v>
      </c>
      <c r="AA23" s="10" t="s">
        <v>140</v>
      </c>
      <c r="AB23" s="12">
        <v>35.0</v>
      </c>
      <c r="AC23" s="12">
        <v>35.0</v>
      </c>
      <c r="AD23" s="12">
        <v>30.0</v>
      </c>
      <c r="AE23" s="12">
        <v>5.0</v>
      </c>
      <c r="AF23" s="10" t="s">
        <v>146</v>
      </c>
      <c r="AG23" s="10" t="s">
        <v>146</v>
      </c>
      <c r="AH23" s="10" t="s">
        <v>168</v>
      </c>
      <c r="AI23" s="10" t="s">
        <v>140</v>
      </c>
      <c r="AJ23" s="10" t="s">
        <v>189</v>
      </c>
      <c r="AK23" s="10" t="s">
        <v>140</v>
      </c>
      <c r="AL23" s="10" t="s">
        <v>97</v>
      </c>
      <c r="AM23" s="10" t="s">
        <v>140</v>
      </c>
      <c r="AN23" s="10" t="s">
        <v>99</v>
      </c>
      <c r="AO23" s="10" t="s">
        <v>100</v>
      </c>
      <c r="AP23" s="10" t="s">
        <v>140</v>
      </c>
      <c r="AQ23" s="10" t="s">
        <v>140</v>
      </c>
      <c r="AR23" s="10" t="s">
        <v>149</v>
      </c>
      <c r="AS23" s="10" t="s">
        <v>140</v>
      </c>
      <c r="AT23" s="10" t="s">
        <v>140</v>
      </c>
      <c r="AU23" s="10" t="s">
        <v>140</v>
      </c>
      <c r="AV23" s="10" t="s">
        <v>104</v>
      </c>
      <c r="AW23" s="10" t="s">
        <v>140</v>
      </c>
      <c r="AX23" s="10" t="s">
        <v>140</v>
      </c>
      <c r="AY23" s="10" t="s">
        <v>107</v>
      </c>
      <c r="AZ23" s="10" t="s">
        <v>108</v>
      </c>
      <c r="BA23" s="10" t="s">
        <v>140</v>
      </c>
      <c r="BB23" s="10" t="s">
        <v>140</v>
      </c>
      <c r="BC23" s="12">
        <v>4.0</v>
      </c>
      <c r="BD23" s="12">
        <v>5.0</v>
      </c>
      <c r="BE23" s="10" t="s">
        <v>168</v>
      </c>
      <c r="BF23" s="10" t="s">
        <v>140</v>
      </c>
      <c r="BG23" s="10" t="s">
        <v>140</v>
      </c>
      <c r="BH23" s="10" t="s">
        <v>146</v>
      </c>
      <c r="BI23" s="12">
        <v>4.0</v>
      </c>
      <c r="BJ23" s="12">
        <v>7.0</v>
      </c>
      <c r="BK23" s="12">
        <v>4.0</v>
      </c>
      <c r="BL23" s="12">
        <v>4.0</v>
      </c>
      <c r="BM23" s="12">
        <v>2.0</v>
      </c>
      <c r="BN23" s="12">
        <v>2.0</v>
      </c>
      <c r="BO23" s="10" t="s">
        <v>152</v>
      </c>
      <c r="BP23" s="10" t="s">
        <v>173</v>
      </c>
      <c r="BQ23" s="10" t="s">
        <v>140</v>
      </c>
      <c r="BR23" s="10" t="s">
        <v>146</v>
      </c>
      <c r="BS23" s="10" t="s">
        <v>140</v>
      </c>
      <c r="BT23" s="10" t="s">
        <v>168</v>
      </c>
      <c r="BU23" s="10" t="s">
        <v>423</v>
      </c>
      <c r="BV23" s="10" t="s">
        <v>424</v>
      </c>
      <c r="BW23" s="10" t="s">
        <v>174</v>
      </c>
      <c r="BX23" s="10" t="s">
        <v>419</v>
      </c>
      <c r="BY23" s="10" t="s">
        <v>425</v>
      </c>
      <c r="BZ23" s="10" t="s">
        <v>426</v>
      </c>
      <c r="CA23" s="10" t="s">
        <v>427</v>
      </c>
      <c r="CB23" s="10" t="s">
        <v>428</v>
      </c>
      <c r="CC23" s="10" t="s">
        <v>429</v>
      </c>
      <c r="CD23" s="10" t="s">
        <v>430</v>
      </c>
    </row>
    <row r="24" ht="15.75" customHeight="1">
      <c r="A24" s="10" t="s">
        <v>431</v>
      </c>
      <c r="B24" s="10"/>
      <c r="C24" s="10" t="s">
        <v>57</v>
      </c>
      <c r="D24" s="10" t="s">
        <v>432</v>
      </c>
      <c r="E24" s="10" t="s">
        <v>182</v>
      </c>
      <c r="F24" s="10" t="s">
        <v>140</v>
      </c>
      <c r="G24" s="10" t="s">
        <v>433</v>
      </c>
      <c r="H24" s="10" t="s">
        <v>434</v>
      </c>
      <c r="I24" s="10" t="s">
        <v>435</v>
      </c>
      <c r="J24" s="10" t="s">
        <v>436</v>
      </c>
      <c r="K24" s="10" t="s">
        <v>166</v>
      </c>
      <c r="L24" s="10" t="s">
        <v>140</v>
      </c>
      <c r="M24" s="10" t="s">
        <v>140</v>
      </c>
      <c r="N24" s="10" t="s">
        <v>73</v>
      </c>
      <c r="O24" s="10" t="s">
        <v>140</v>
      </c>
      <c r="P24" s="10" t="s">
        <v>140</v>
      </c>
      <c r="Q24" s="10" t="s">
        <v>76</v>
      </c>
      <c r="R24" s="10" t="s">
        <v>77</v>
      </c>
      <c r="S24" s="10" t="s">
        <v>78</v>
      </c>
      <c r="T24" s="10" t="s">
        <v>79</v>
      </c>
      <c r="U24" s="10" t="s">
        <v>80</v>
      </c>
      <c r="V24" s="10" t="s">
        <v>81</v>
      </c>
      <c r="W24" s="10" t="s">
        <v>140</v>
      </c>
      <c r="X24" s="10" t="s">
        <v>83</v>
      </c>
      <c r="Y24" s="10" t="s">
        <v>140</v>
      </c>
      <c r="Z24" s="10" t="s">
        <v>140</v>
      </c>
      <c r="AA24" s="10" t="s">
        <v>140</v>
      </c>
      <c r="AB24" s="12">
        <v>0.0</v>
      </c>
      <c r="AC24" s="12">
        <v>85.0</v>
      </c>
      <c r="AD24" s="12">
        <v>85.0</v>
      </c>
      <c r="AE24" s="12">
        <v>5.0</v>
      </c>
      <c r="AF24" s="10" t="s">
        <v>146</v>
      </c>
      <c r="AG24" s="10" t="s">
        <v>146</v>
      </c>
      <c r="AH24" s="10" t="s">
        <v>168</v>
      </c>
      <c r="AI24" s="10" t="s">
        <v>140</v>
      </c>
      <c r="AJ24" s="10" t="s">
        <v>189</v>
      </c>
      <c r="AK24" s="10" t="s">
        <v>140</v>
      </c>
      <c r="AL24" s="10" t="s">
        <v>97</v>
      </c>
      <c r="AM24" s="10" t="s">
        <v>98</v>
      </c>
      <c r="AN24" s="10" t="s">
        <v>140</v>
      </c>
      <c r="AO24" s="10" t="s">
        <v>140</v>
      </c>
      <c r="AP24" s="10" t="s">
        <v>85</v>
      </c>
      <c r="AQ24" s="10" t="s">
        <v>437</v>
      </c>
      <c r="AR24" s="10" t="s">
        <v>438</v>
      </c>
      <c r="AS24" s="10" t="s">
        <v>140</v>
      </c>
      <c r="AT24" s="10" t="s">
        <v>102</v>
      </c>
      <c r="AU24" s="10" t="s">
        <v>103</v>
      </c>
      <c r="AV24" s="10" t="s">
        <v>104</v>
      </c>
      <c r="AW24" s="10" t="s">
        <v>140</v>
      </c>
      <c r="AX24" s="10" t="s">
        <v>140</v>
      </c>
      <c r="AY24" s="10" t="s">
        <v>140</v>
      </c>
      <c r="AZ24" s="10" t="s">
        <v>108</v>
      </c>
      <c r="BA24" s="10" t="s">
        <v>140</v>
      </c>
      <c r="BB24" s="10" t="s">
        <v>140</v>
      </c>
      <c r="BC24" s="12">
        <v>4.0</v>
      </c>
      <c r="BD24" s="12">
        <v>4.0</v>
      </c>
      <c r="BE24" s="10" t="s">
        <v>146</v>
      </c>
      <c r="BF24" s="10" t="s">
        <v>439</v>
      </c>
      <c r="BG24" s="10" t="s">
        <v>140</v>
      </c>
      <c r="BH24" s="10" t="s">
        <v>146</v>
      </c>
      <c r="BI24" s="12">
        <v>10.0</v>
      </c>
      <c r="BJ24" s="12">
        <v>10.0</v>
      </c>
      <c r="BK24" s="12">
        <v>0.0</v>
      </c>
      <c r="BL24" s="12">
        <v>5.0</v>
      </c>
      <c r="BM24" s="12">
        <v>10.0</v>
      </c>
      <c r="BN24" s="12">
        <v>3.0</v>
      </c>
      <c r="BO24" s="10" t="s">
        <v>355</v>
      </c>
      <c r="BP24" s="10" t="s">
        <v>320</v>
      </c>
      <c r="BQ24" s="10" t="s">
        <v>140</v>
      </c>
      <c r="BR24" s="10" t="s">
        <v>146</v>
      </c>
      <c r="BS24" s="10" t="s">
        <v>140</v>
      </c>
      <c r="BT24" s="10" t="s">
        <v>146</v>
      </c>
      <c r="BU24" s="10" t="s">
        <v>140</v>
      </c>
      <c r="BV24" s="10" t="s">
        <v>140</v>
      </c>
      <c r="BW24" s="10" t="s">
        <v>140</v>
      </c>
      <c r="BX24" s="10" t="s">
        <v>140</v>
      </c>
      <c r="BY24" s="10" t="s">
        <v>140</v>
      </c>
      <c r="BZ24" s="10" t="s">
        <v>440</v>
      </c>
      <c r="CA24" s="10" t="s">
        <v>140</v>
      </c>
      <c r="CB24" s="10" t="s">
        <v>441</v>
      </c>
      <c r="CC24" s="10" t="s">
        <v>442</v>
      </c>
      <c r="CD24" s="10" t="s">
        <v>443</v>
      </c>
    </row>
    <row r="25" ht="15.75" customHeight="1">
      <c r="A25" s="10" t="s">
        <v>444</v>
      </c>
      <c r="B25" s="10"/>
      <c r="C25" s="10" t="s">
        <v>445</v>
      </c>
      <c r="D25" s="10" t="s">
        <v>446</v>
      </c>
      <c r="E25" s="10" t="s">
        <v>139</v>
      </c>
      <c r="F25" s="10" t="s">
        <v>140</v>
      </c>
      <c r="G25" s="10" t="s">
        <v>447</v>
      </c>
      <c r="H25" s="10" t="s">
        <v>448</v>
      </c>
      <c r="I25" s="10" t="s">
        <v>449</v>
      </c>
      <c r="J25" s="10" t="s">
        <v>450</v>
      </c>
      <c r="K25" s="10" t="s">
        <v>85</v>
      </c>
      <c r="L25" s="10" t="s">
        <v>451</v>
      </c>
      <c r="M25" s="10" t="s">
        <v>72</v>
      </c>
      <c r="N25" s="10" t="s">
        <v>140</v>
      </c>
      <c r="O25" s="10" t="s">
        <v>140</v>
      </c>
      <c r="P25" s="10" t="s">
        <v>140</v>
      </c>
      <c r="Q25" s="10" t="s">
        <v>140</v>
      </c>
      <c r="R25" s="10" t="s">
        <v>140</v>
      </c>
      <c r="S25" s="10" t="s">
        <v>78</v>
      </c>
      <c r="T25" s="10" t="s">
        <v>140</v>
      </c>
      <c r="U25" s="10" t="s">
        <v>140</v>
      </c>
      <c r="V25" s="10" t="s">
        <v>140</v>
      </c>
      <c r="W25" s="10" t="s">
        <v>140</v>
      </c>
      <c r="X25" s="10" t="s">
        <v>83</v>
      </c>
      <c r="Y25" s="10" t="s">
        <v>140</v>
      </c>
      <c r="Z25" s="10" t="s">
        <v>140</v>
      </c>
      <c r="AA25" s="10" t="s">
        <v>140</v>
      </c>
      <c r="AB25" s="12">
        <v>0.0</v>
      </c>
      <c r="AC25" s="12">
        <v>75.0</v>
      </c>
      <c r="AD25" s="12">
        <v>5.0</v>
      </c>
      <c r="AE25" s="12">
        <v>0.0</v>
      </c>
      <c r="AF25" s="10" t="s">
        <v>146</v>
      </c>
      <c r="AG25" s="10" t="s">
        <v>168</v>
      </c>
      <c r="AH25" s="10" t="s">
        <v>140</v>
      </c>
      <c r="AI25" s="10" t="s">
        <v>140</v>
      </c>
      <c r="AJ25" s="10" t="s">
        <v>140</v>
      </c>
      <c r="AK25" s="10" t="s">
        <v>140</v>
      </c>
      <c r="AL25" s="10" t="s">
        <v>140</v>
      </c>
      <c r="AM25" s="10" t="s">
        <v>140</v>
      </c>
      <c r="AN25" s="10" t="s">
        <v>140</v>
      </c>
      <c r="AO25" s="10" t="s">
        <v>140</v>
      </c>
      <c r="AP25" s="10" t="s">
        <v>85</v>
      </c>
      <c r="AQ25" s="10" t="s">
        <v>452</v>
      </c>
      <c r="AR25" s="10" t="s">
        <v>149</v>
      </c>
      <c r="AS25" s="10" t="s">
        <v>140</v>
      </c>
      <c r="AT25" s="10" t="s">
        <v>140</v>
      </c>
      <c r="AU25" s="10" t="s">
        <v>140</v>
      </c>
      <c r="AV25" s="10" t="s">
        <v>140</v>
      </c>
      <c r="AW25" s="10" t="s">
        <v>140</v>
      </c>
      <c r="AX25" s="10" t="s">
        <v>140</v>
      </c>
      <c r="AY25" s="10" t="s">
        <v>107</v>
      </c>
      <c r="AZ25" s="10" t="s">
        <v>108</v>
      </c>
      <c r="BA25" s="10" t="s">
        <v>140</v>
      </c>
      <c r="BB25" s="10" t="s">
        <v>140</v>
      </c>
      <c r="BC25" s="12">
        <v>5.0</v>
      </c>
      <c r="BD25" s="12">
        <v>1.0</v>
      </c>
      <c r="BE25" s="10" t="s">
        <v>168</v>
      </c>
      <c r="BF25" s="10" t="s">
        <v>140</v>
      </c>
      <c r="BG25" s="10" t="s">
        <v>140</v>
      </c>
      <c r="BH25" s="10" t="s">
        <v>168</v>
      </c>
      <c r="BI25" s="12">
        <v>0.0</v>
      </c>
      <c r="BJ25" s="12">
        <v>0.0</v>
      </c>
      <c r="BK25" s="12">
        <v>0.0</v>
      </c>
      <c r="BL25" s="12">
        <v>0.0</v>
      </c>
      <c r="BM25" s="12">
        <v>0.0</v>
      </c>
      <c r="BN25" s="12">
        <v>0.0</v>
      </c>
      <c r="BO25" s="10" t="s">
        <v>140</v>
      </c>
      <c r="BP25" s="10" t="s">
        <v>140</v>
      </c>
      <c r="BQ25" s="10" t="s">
        <v>140</v>
      </c>
      <c r="BR25" s="10" t="s">
        <v>140</v>
      </c>
      <c r="BS25" s="10" t="s">
        <v>140</v>
      </c>
      <c r="BT25" s="10" t="s">
        <v>140</v>
      </c>
      <c r="BU25" s="10" t="s">
        <v>140</v>
      </c>
      <c r="BV25" s="10" t="s">
        <v>140</v>
      </c>
      <c r="BW25" s="10" t="s">
        <v>140</v>
      </c>
      <c r="BX25" s="10" t="s">
        <v>140</v>
      </c>
      <c r="BY25" s="10" t="s">
        <v>140</v>
      </c>
      <c r="BZ25" s="10" t="s">
        <v>140</v>
      </c>
      <c r="CA25" s="10" t="s">
        <v>140</v>
      </c>
      <c r="CB25" s="10" t="s">
        <v>453</v>
      </c>
      <c r="CC25" s="10" t="s">
        <v>454</v>
      </c>
      <c r="CD25" s="10" t="s">
        <v>455</v>
      </c>
    </row>
    <row r="26" ht="15.75" customHeight="1">
      <c r="A26" s="10" t="s">
        <v>456</v>
      </c>
      <c r="B26" s="10"/>
      <c r="C26" s="10" t="s">
        <v>34</v>
      </c>
      <c r="D26" s="10" t="s">
        <v>457</v>
      </c>
      <c r="E26" s="10" t="s">
        <v>182</v>
      </c>
      <c r="F26" s="10" t="s">
        <v>140</v>
      </c>
      <c r="G26" s="10" t="s">
        <v>458</v>
      </c>
      <c r="H26" s="10" t="s">
        <v>459</v>
      </c>
      <c r="I26" s="10" t="s">
        <v>460</v>
      </c>
      <c r="J26" s="10" t="s">
        <v>461</v>
      </c>
      <c r="K26" s="10" t="s">
        <v>408</v>
      </c>
      <c r="L26" s="10" t="s">
        <v>140</v>
      </c>
      <c r="M26" s="10" t="s">
        <v>140</v>
      </c>
      <c r="N26" s="10" t="s">
        <v>73</v>
      </c>
      <c r="O26" s="10" t="s">
        <v>74</v>
      </c>
      <c r="P26" s="10" t="s">
        <v>75</v>
      </c>
      <c r="Q26" s="10" t="s">
        <v>76</v>
      </c>
      <c r="R26" s="10" t="s">
        <v>77</v>
      </c>
      <c r="S26" s="10" t="s">
        <v>140</v>
      </c>
      <c r="T26" s="10" t="s">
        <v>79</v>
      </c>
      <c r="U26" s="10" t="s">
        <v>80</v>
      </c>
      <c r="V26" s="10" t="s">
        <v>140</v>
      </c>
      <c r="W26" s="10" t="s">
        <v>82</v>
      </c>
      <c r="X26" s="10" t="s">
        <v>83</v>
      </c>
      <c r="Y26" s="10" t="s">
        <v>84</v>
      </c>
      <c r="Z26" s="10" t="s">
        <v>140</v>
      </c>
      <c r="AA26" s="10" t="s">
        <v>140</v>
      </c>
      <c r="AB26" s="12">
        <v>20.0</v>
      </c>
      <c r="AC26" s="12">
        <v>20.0</v>
      </c>
      <c r="AD26" s="12">
        <v>25.0</v>
      </c>
      <c r="AE26" s="12">
        <v>10.0</v>
      </c>
      <c r="AF26" s="10" t="s">
        <v>146</v>
      </c>
      <c r="AG26" s="10" t="s">
        <v>168</v>
      </c>
      <c r="AH26" s="10" t="s">
        <v>140</v>
      </c>
      <c r="AI26" s="10" t="s">
        <v>140</v>
      </c>
      <c r="AJ26" s="10" t="s">
        <v>140</v>
      </c>
      <c r="AK26" s="10" t="s">
        <v>140</v>
      </c>
      <c r="AL26" s="10" t="s">
        <v>140</v>
      </c>
      <c r="AM26" s="10" t="s">
        <v>140</v>
      </c>
      <c r="AN26" s="10" t="s">
        <v>140</v>
      </c>
      <c r="AO26" s="10" t="s">
        <v>140</v>
      </c>
      <c r="AP26" s="10" t="s">
        <v>85</v>
      </c>
      <c r="AQ26" s="10" t="s">
        <v>462</v>
      </c>
      <c r="AR26" s="10" t="s">
        <v>438</v>
      </c>
      <c r="AS26" s="10" t="s">
        <v>140</v>
      </c>
      <c r="AT26" s="10" t="s">
        <v>140</v>
      </c>
      <c r="AU26" s="10" t="s">
        <v>103</v>
      </c>
      <c r="AV26" s="10" t="s">
        <v>140</v>
      </c>
      <c r="AW26" s="10" t="s">
        <v>140</v>
      </c>
      <c r="AX26" s="10" t="s">
        <v>106</v>
      </c>
      <c r="AY26" s="10" t="s">
        <v>107</v>
      </c>
      <c r="AZ26" s="10" t="s">
        <v>108</v>
      </c>
      <c r="BA26" s="10" t="s">
        <v>140</v>
      </c>
      <c r="BB26" s="10" t="s">
        <v>140</v>
      </c>
      <c r="BC26" s="12">
        <v>6.0</v>
      </c>
      <c r="BD26" s="12">
        <v>6.0</v>
      </c>
      <c r="BE26" s="10" t="s">
        <v>168</v>
      </c>
      <c r="BF26" s="10" t="s">
        <v>140</v>
      </c>
      <c r="BG26" s="10" t="s">
        <v>140</v>
      </c>
      <c r="BH26" s="10" t="s">
        <v>146</v>
      </c>
      <c r="BI26" s="12">
        <v>7.0</v>
      </c>
      <c r="BJ26" s="12">
        <v>4.0</v>
      </c>
      <c r="BK26" s="12">
        <v>3.0</v>
      </c>
      <c r="BL26" s="12">
        <v>0.0</v>
      </c>
      <c r="BM26" s="12">
        <v>0.0</v>
      </c>
      <c r="BN26" s="12">
        <v>0.0</v>
      </c>
      <c r="BO26" s="10" t="s">
        <v>355</v>
      </c>
      <c r="BP26" s="10" t="s">
        <v>153</v>
      </c>
      <c r="BQ26" s="10" t="s">
        <v>140</v>
      </c>
      <c r="BR26" s="10" t="s">
        <v>146</v>
      </c>
      <c r="BS26" s="10" t="s">
        <v>140</v>
      </c>
      <c r="BT26" s="10" t="s">
        <v>146</v>
      </c>
      <c r="BU26" s="10" t="s">
        <v>140</v>
      </c>
      <c r="BV26" s="10" t="s">
        <v>140</v>
      </c>
      <c r="BW26" s="10" t="s">
        <v>140</v>
      </c>
      <c r="BX26" s="10" t="s">
        <v>140</v>
      </c>
      <c r="BY26" s="10" t="s">
        <v>140</v>
      </c>
      <c r="BZ26" s="10" t="s">
        <v>463</v>
      </c>
      <c r="CA26" s="10" t="s">
        <v>464</v>
      </c>
      <c r="CB26" s="10" t="s">
        <v>465</v>
      </c>
      <c r="CC26" s="10" t="s">
        <v>466</v>
      </c>
      <c r="CD26" s="10" t="s">
        <v>467</v>
      </c>
    </row>
    <row r="27" ht="15.75" customHeight="1">
      <c r="A27" s="10" t="s">
        <v>468</v>
      </c>
      <c r="B27" s="10"/>
      <c r="C27" s="10" t="s">
        <v>44</v>
      </c>
      <c r="D27" s="10" t="s">
        <v>469</v>
      </c>
      <c r="E27" s="10" t="s">
        <v>470</v>
      </c>
      <c r="F27" s="10" t="s">
        <v>140</v>
      </c>
      <c r="G27" s="10" t="s">
        <v>471</v>
      </c>
      <c r="H27" s="10" t="s">
        <v>472</v>
      </c>
      <c r="I27" s="10" t="s">
        <v>473</v>
      </c>
      <c r="J27" s="10" t="s">
        <v>474</v>
      </c>
      <c r="K27" s="10" t="s">
        <v>85</v>
      </c>
      <c r="L27" s="10" t="s">
        <v>475</v>
      </c>
      <c r="M27" s="10" t="s">
        <v>140</v>
      </c>
      <c r="N27" s="10" t="s">
        <v>73</v>
      </c>
      <c r="O27" s="10" t="s">
        <v>74</v>
      </c>
      <c r="P27" s="10" t="s">
        <v>75</v>
      </c>
      <c r="Q27" s="10" t="s">
        <v>140</v>
      </c>
      <c r="R27" s="10" t="s">
        <v>77</v>
      </c>
      <c r="S27" s="10" t="s">
        <v>78</v>
      </c>
      <c r="T27" s="10" t="s">
        <v>79</v>
      </c>
      <c r="U27" s="10" t="s">
        <v>140</v>
      </c>
      <c r="V27" s="10" t="s">
        <v>140</v>
      </c>
      <c r="W27" s="10" t="s">
        <v>82</v>
      </c>
      <c r="X27" s="10" t="s">
        <v>83</v>
      </c>
      <c r="Y27" s="10" t="s">
        <v>84</v>
      </c>
      <c r="Z27" s="10" t="s">
        <v>140</v>
      </c>
      <c r="AA27" s="10" t="s">
        <v>140</v>
      </c>
      <c r="AB27" s="12">
        <v>1.0</v>
      </c>
      <c r="AC27" s="12">
        <v>30.0</v>
      </c>
      <c r="AD27" s="12">
        <v>25.0</v>
      </c>
      <c r="AE27" s="12">
        <v>5.0</v>
      </c>
      <c r="AF27" s="10" t="s">
        <v>146</v>
      </c>
      <c r="AG27" s="10" t="s">
        <v>146</v>
      </c>
      <c r="AH27" s="10" t="s">
        <v>168</v>
      </c>
      <c r="AI27" s="10" t="s">
        <v>140</v>
      </c>
      <c r="AJ27" s="10" t="s">
        <v>189</v>
      </c>
      <c r="AK27" s="10" t="s">
        <v>140</v>
      </c>
      <c r="AL27" s="10" t="s">
        <v>97</v>
      </c>
      <c r="AM27" s="10" t="s">
        <v>140</v>
      </c>
      <c r="AN27" s="10" t="s">
        <v>99</v>
      </c>
      <c r="AO27" s="10" t="s">
        <v>140</v>
      </c>
      <c r="AP27" s="10" t="s">
        <v>140</v>
      </c>
      <c r="AQ27" s="10" t="s">
        <v>140</v>
      </c>
      <c r="AR27" s="10" t="s">
        <v>85</v>
      </c>
      <c r="AS27" s="10" t="s">
        <v>476</v>
      </c>
      <c r="AT27" s="10" t="s">
        <v>102</v>
      </c>
      <c r="AU27" s="10" t="s">
        <v>103</v>
      </c>
      <c r="AV27" s="10" t="s">
        <v>140</v>
      </c>
      <c r="AW27" s="10" t="s">
        <v>105</v>
      </c>
      <c r="AX27" s="10" t="s">
        <v>140</v>
      </c>
      <c r="AY27" s="10" t="s">
        <v>107</v>
      </c>
      <c r="AZ27" s="10" t="s">
        <v>108</v>
      </c>
      <c r="BA27" s="10" t="s">
        <v>140</v>
      </c>
      <c r="BB27" s="10" t="s">
        <v>140</v>
      </c>
      <c r="BC27" s="12">
        <v>5.0</v>
      </c>
      <c r="BD27" s="12">
        <v>5.0</v>
      </c>
      <c r="BE27" s="10" t="s">
        <v>168</v>
      </c>
      <c r="BF27" s="10" t="s">
        <v>140</v>
      </c>
      <c r="BG27" s="10" t="s">
        <v>140</v>
      </c>
      <c r="BH27" s="10" t="s">
        <v>146</v>
      </c>
      <c r="BI27" s="12">
        <v>10.0</v>
      </c>
      <c r="BJ27" s="12">
        <v>10.0</v>
      </c>
      <c r="BK27" s="12">
        <v>5.0</v>
      </c>
      <c r="BL27" s="12">
        <v>5.0</v>
      </c>
      <c r="BM27" s="12">
        <v>0.0</v>
      </c>
      <c r="BN27" s="12">
        <v>2.0</v>
      </c>
      <c r="BO27" s="10" t="s">
        <v>152</v>
      </c>
      <c r="BP27" s="10" t="s">
        <v>320</v>
      </c>
      <c r="BQ27" s="10" t="s">
        <v>140</v>
      </c>
      <c r="BR27" s="10" t="s">
        <v>146</v>
      </c>
      <c r="BS27" s="10" t="s">
        <v>140</v>
      </c>
      <c r="BT27" s="10" t="s">
        <v>146</v>
      </c>
      <c r="BU27" s="10" t="s">
        <v>140</v>
      </c>
      <c r="BV27" s="10" t="s">
        <v>140</v>
      </c>
      <c r="BW27" s="10" t="s">
        <v>140</v>
      </c>
      <c r="BX27" s="10" t="s">
        <v>140</v>
      </c>
      <c r="BY27" s="10" t="s">
        <v>140</v>
      </c>
      <c r="BZ27" s="10" t="s">
        <v>477</v>
      </c>
      <c r="CA27" s="10" t="s">
        <v>478</v>
      </c>
      <c r="CB27" s="10" t="s">
        <v>479</v>
      </c>
      <c r="CC27" s="10" t="s">
        <v>480</v>
      </c>
      <c r="CD27" s="10" t="s">
        <v>481</v>
      </c>
    </row>
    <row r="28" ht="15.75" customHeight="1">
      <c r="A28" s="10" t="s">
        <v>482</v>
      </c>
      <c r="B28" s="10"/>
      <c r="C28" s="10" t="s">
        <v>54</v>
      </c>
      <c r="D28" s="10" t="s">
        <v>483</v>
      </c>
      <c r="E28" s="10" t="s">
        <v>470</v>
      </c>
      <c r="F28" s="10" t="s">
        <v>140</v>
      </c>
      <c r="G28" s="10" t="s">
        <v>484</v>
      </c>
      <c r="H28" s="10" t="s">
        <v>485</v>
      </c>
      <c r="I28" s="10" t="s">
        <v>486</v>
      </c>
      <c r="J28" s="10" t="s">
        <v>487</v>
      </c>
      <c r="K28" s="10" t="s">
        <v>166</v>
      </c>
      <c r="L28" s="10" t="s">
        <v>140</v>
      </c>
      <c r="M28" s="10" t="s">
        <v>72</v>
      </c>
      <c r="N28" s="10" t="s">
        <v>73</v>
      </c>
      <c r="O28" s="10" t="s">
        <v>74</v>
      </c>
      <c r="P28" s="10" t="s">
        <v>75</v>
      </c>
      <c r="Q28" s="10" t="s">
        <v>76</v>
      </c>
      <c r="R28" s="10" t="s">
        <v>77</v>
      </c>
      <c r="S28" s="10" t="s">
        <v>78</v>
      </c>
      <c r="T28" s="10" t="s">
        <v>79</v>
      </c>
      <c r="U28" s="10" t="s">
        <v>80</v>
      </c>
      <c r="V28" s="10" t="s">
        <v>140</v>
      </c>
      <c r="W28" s="10" t="s">
        <v>82</v>
      </c>
      <c r="X28" s="10" t="s">
        <v>83</v>
      </c>
      <c r="Y28" s="10" t="s">
        <v>84</v>
      </c>
      <c r="Z28" s="10" t="s">
        <v>140</v>
      </c>
      <c r="AA28" s="10" t="s">
        <v>140</v>
      </c>
      <c r="AB28" s="12">
        <v>60.0</v>
      </c>
      <c r="AC28" s="12">
        <v>60.0</v>
      </c>
      <c r="AD28" s="12">
        <v>50.0</v>
      </c>
      <c r="AE28" s="12">
        <v>20.0</v>
      </c>
      <c r="AF28" s="10" t="s">
        <v>146</v>
      </c>
      <c r="AG28" s="10" t="s">
        <v>168</v>
      </c>
      <c r="AH28" s="10" t="s">
        <v>140</v>
      </c>
      <c r="AI28" s="10" t="s">
        <v>140</v>
      </c>
      <c r="AJ28" s="10" t="s">
        <v>140</v>
      </c>
      <c r="AK28" s="10" t="s">
        <v>140</v>
      </c>
      <c r="AL28" s="10" t="s">
        <v>97</v>
      </c>
      <c r="AM28" s="10" t="s">
        <v>140</v>
      </c>
      <c r="AN28" s="10" t="s">
        <v>140</v>
      </c>
      <c r="AO28" s="10" t="s">
        <v>140</v>
      </c>
      <c r="AP28" s="10" t="s">
        <v>140</v>
      </c>
      <c r="AQ28" s="10" t="s">
        <v>140</v>
      </c>
      <c r="AR28" s="10" t="s">
        <v>85</v>
      </c>
      <c r="AS28" s="10" t="s">
        <v>488</v>
      </c>
      <c r="AT28" s="10" t="s">
        <v>140</v>
      </c>
      <c r="AU28" s="10" t="s">
        <v>140</v>
      </c>
      <c r="AV28" s="10" t="s">
        <v>140</v>
      </c>
      <c r="AW28" s="10" t="s">
        <v>140</v>
      </c>
      <c r="AX28" s="10" t="s">
        <v>140</v>
      </c>
      <c r="AY28" s="10" t="s">
        <v>140</v>
      </c>
      <c r="AZ28" s="10" t="s">
        <v>108</v>
      </c>
      <c r="BA28" s="10" t="s">
        <v>140</v>
      </c>
      <c r="BB28" s="10" t="s">
        <v>140</v>
      </c>
      <c r="BC28" s="12">
        <v>6.0</v>
      </c>
      <c r="BD28" s="12">
        <v>4.0</v>
      </c>
      <c r="BE28" s="10" t="s">
        <v>168</v>
      </c>
      <c r="BF28" s="10" t="s">
        <v>140</v>
      </c>
      <c r="BG28" s="10" t="s">
        <v>140</v>
      </c>
      <c r="BH28" s="10" t="s">
        <v>146</v>
      </c>
      <c r="BI28" s="12">
        <v>5.0</v>
      </c>
      <c r="BJ28" s="12">
        <v>9.0</v>
      </c>
      <c r="BK28" s="12">
        <v>7.0</v>
      </c>
      <c r="BL28" s="12">
        <v>0.0</v>
      </c>
      <c r="BM28" s="12">
        <v>0.0</v>
      </c>
      <c r="BN28" s="12">
        <v>0.0</v>
      </c>
      <c r="BO28" s="10" t="s">
        <v>152</v>
      </c>
      <c r="BP28" s="10" t="s">
        <v>173</v>
      </c>
      <c r="BQ28" s="10" t="s">
        <v>140</v>
      </c>
      <c r="BR28" s="10" t="s">
        <v>146</v>
      </c>
      <c r="BS28" s="10" t="s">
        <v>140</v>
      </c>
      <c r="BT28" s="10" t="s">
        <v>146</v>
      </c>
      <c r="BU28" s="10" t="s">
        <v>140</v>
      </c>
      <c r="BV28" s="10" t="s">
        <v>140</v>
      </c>
      <c r="BW28" s="10" t="s">
        <v>140</v>
      </c>
      <c r="BX28" s="10" t="s">
        <v>140</v>
      </c>
      <c r="BY28" s="10" t="s">
        <v>140</v>
      </c>
      <c r="BZ28" s="10" t="s">
        <v>489</v>
      </c>
      <c r="CA28" s="10" t="s">
        <v>490</v>
      </c>
      <c r="CB28" s="10" t="s">
        <v>491</v>
      </c>
      <c r="CC28" s="10" t="s">
        <v>492</v>
      </c>
      <c r="CD28" s="10" t="s">
        <v>493</v>
      </c>
    </row>
    <row r="29" ht="15.75" customHeight="1">
      <c r="A29" s="10" t="s">
        <v>494</v>
      </c>
      <c r="B29" s="10"/>
      <c r="C29" s="10" t="s">
        <v>39</v>
      </c>
      <c r="D29" s="10" t="s">
        <v>495</v>
      </c>
      <c r="E29" s="10" t="s">
        <v>161</v>
      </c>
      <c r="F29" s="10" t="s">
        <v>140</v>
      </c>
      <c r="G29" s="10" t="s">
        <v>496</v>
      </c>
      <c r="H29" s="10" t="s">
        <v>497</v>
      </c>
      <c r="I29" s="10" t="s">
        <v>498</v>
      </c>
      <c r="J29" s="10" t="s">
        <v>499</v>
      </c>
      <c r="K29" s="10" t="s">
        <v>166</v>
      </c>
      <c r="L29" s="10" t="s">
        <v>140</v>
      </c>
      <c r="M29" s="10" t="s">
        <v>72</v>
      </c>
      <c r="N29" s="10" t="s">
        <v>73</v>
      </c>
      <c r="O29" s="10" t="s">
        <v>74</v>
      </c>
      <c r="P29" s="10" t="s">
        <v>75</v>
      </c>
      <c r="Q29" s="10" t="s">
        <v>140</v>
      </c>
      <c r="R29" s="10" t="s">
        <v>77</v>
      </c>
      <c r="S29" s="10" t="s">
        <v>78</v>
      </c>
      <c r="T29" s="10" t="s">
        <v>79</v>
      </c>
      <c r="U29" s="10" t="s">
        <v>80</v>
      </c>
      <c r="V29" s="10" t="s">
        <v>140</v>
      </c>
      <c r="W29" s="10" t="s">
        <v>82</v>
      </c>
      <c r="X29" s="10" t="s">
        <v>83</v>
      </c>
      <c r="Y29" s="10" t="s">
        <v>84</v>
      </c>
      <c r="Z29" s="10" t="s">
        <v>85</v>
      </c>
      <c r="AA29" s="10" t="s">
        <v>500</v>
      </c>
      <c r="AB29" s="12">
        <v>3.0</v>
      </c>
      <c r="AC29" s="12">
        <v>30.0</v>
      </c>
      <c r="AD29" s="12">
        <v>15.0</v>
      </c>
      <c r="AE29" s="12">
        <v>2.0</v>
      </c>
      <c r="AF29" s="10" t="s">
        <v>146</v>
      </c>
      <c r="AG29" s="10" t="s">
        <v>146</v>
      </c>
      <c r="AH29" s="10" t="s">
        <v>168</v>
      </c>
      <c r="AI29" s="10" t="s">
        <v>140</v>
      </c>
      <c r="AJ29" s="10" t="s">
        <v>189</v>
      </c>
      <c r="AK29" s="10" t="s">
        <v>140</v>
      </c>
      <c r="AL29" s="10" t="s">
        <v>140</v>
      </c>
      <c r="AM29" s="10" t="s">
        <v>140</v>
      </c>
      <c r="AN29" s="10" t="s">
        <v>99</v>
      </c>
      <c r="AO29" s="10" t="s">
        <v>100</v>
      </c>
      <c r="AP29" s="10" t="s">
        <v>140</v>
      </c>
      <c r="AQ29" s="10" t="s">
        <v>140</v>
      </c>
      <c r="AR29" s="10" t="s">
        <v>149</v>
      </c>
      <c r="AS29" s="10" t="s">
        <v>140</v>
      </c>
      <c r="AT29" s="10" t="s">
        <v>102</v>
      </c>
      <c r="AU29" s="10" t="s">
        <v>140</v>
      </c>
      <c r="AV29" s="10" t="s">
        <v>140</v>
      </c>
      <c r="AW29" s="10" t="s">
        <v>140</v>
      </c>
      <c r="AX29" s="10" t="s">
        <v>140</v>
      </c>
      <c r="AY29" s="10" t="s">
        <v>140</v>
      </c>
      <c r="AZ29" s="10" t="s">
        <v>140</v>
      </c>
      <c r="BA29" s="10" t="s">
        <v>140</v>
      </c>
      <c r="BB29" s="10" t="s">
        <v>140</v>
      </c>
      <c r="BC29" s="12">
        <v>7.0</v>
      </c>
      <c r="BD29" s="12">
        <v>3.0</v>
      </c>
      <c r="BE29" s="10" t="s">
        <v>168</v>
      </c>
      <c r="BF29" s="10" t="s">
        <v>140</v>
      </c>
      <c r="BG29" s="10" t="s">
        <v>140</v>
      </c>
      <c r="BH29" s="10" t="s">
        <v>146</v>
      </c>
      <c r="BI29" s="12">
        <v>5.0</v>
      </c>
      <c r="BJ29" s="12">
        <v>10.0</v>
      </c>
      <c r="BK29" s="12">
        <v>0.0</v>
      </c>
      <c r="BL29" s="12">
        <v>0.0</v>
      </c>
      <c r="BM29" s="12">
        <v>6.0</v>
      </c>
      <c r="BN29" s="12">
        <v>0.0</v>
      </c>
      <c r="BO29" s="10" t="s">
        <v>355</v>
      </c>
      <c r="BP29" s="10" t="s">
        <v>153</v>
      </c>
      <c r="BQ29" s="10" t="s">
        <v>140</v>
      </c>
      <c r="BR29" s="10" t="s">
        <v>146</v>
      </c>
      <c r="BS29" s="10" t="s">
        <v>140</v>
      </c>
      <c r="BT29" s="10" t="s">
        <v>168</v>
      </c>
      <c r="BU29" s="10" t="s">
        <v>501</v>
      </c>
      <c r="BV29" s="10" t="s">
        <v>161</v>
      </c>
      <c r="BW29" s="10" t="s">
        <v>174</v>
      </c>
      <c r="BX29" s="10" t="s">
        <v>496</v>
      </c>
      <c r="BY29" s="10" t="s">
        <v>502</v>
      </c>
      <c r="BZ29" s="10" t="s">
        <v>503</v>
      </c>
      <c r="CA29" s="10" t="s">
        <v>504</v>
      </c>
      <c r="CB29" s="10" t="s">
        <v>505</v>
      </c>
      <c r="CC29" s="10" t="s">
        <v>506</v>
      </c>
      <c r="CD29" s="10" t="s">
        <v>507</v>
      </c>
    </row>
    <row r="30" ht="15.75" customHeight="1">
      <c r="A30" s="10" t="s">
        <v>508</v>
      </c>
      <c r="B30" s="10"/>
      <c r="C30" s="10" t="s">
        <v>27</v>
      </c>
      <c r="D30" s="10" t="s">
        <v>509</v>
      </c>
      <c r="E30" s="10" t="s">
        <v>182</v>
      </c>
      <c r="F30" s="10" t="s">
        <v>140</v>
      </c>
      <c r="G30" s="10" t="s">
        <v>510</v>
      </c>
      <c r="H30" s="10" t="s">
        <v>511</v>
      </c>
      <c r="I30" s="10" t="s">
        <v>512</v>
      </c>
      <c r="J30" s="10" t="s">
        <v>513</v>
      </c>
      <c r="K30" s="10" t="s">
        <v>187</v>
      </c>
      <c r="L30" s="10" t="s">
        <v>140</v>
      </c>
      <c r="M30" s="10" t="s">
        <v>140</v>
      </c>
      <c r="N30" s="10" t="s">
        <v>73</v>
      </c>
      <c r="O30" s="10" t="s">
        <v>140</v>
      </c>
      <c r="P30" s="10" t="s">
        <v>140</v>
      </c>
      <c r="Q30" s="10" t="s">
        <v>140</v>
      </c>
      <c r="R30" s="10" t="s">
        <v>140</v>
      </c>
      <c r="S30" s="10" t="s">
        <v>78</v>
      </c>
      <c r="T30" s="10" t="s">
        <v>140</v>
      </c>
      <c r="U30" s="10" t="s">
        <v>80</v>
      </c>
      <c r="V30" s="10" t="s">
        <v>81</v>
      </c>
      <c r="W30" s="10" t="s">
        <v>140</v>
      </c>
      <c r="X30" s="10" t="s">
        <v>83</v>
      </c>
      <c r="Y30" s="10" t="s">
        <v>84</v>
      </c>
      <c r="Z30" s="10" t="s">
        <v>140</v>
      </c>
      <c r="AA30" s="10" t="s">
        <v>140</v>
      </c>
      <c r="AB30" s="12">
        <v>0.0</v>
      </c>
      <c r="AC30" s="12">
        <v>50.0</v>
      </c>
      <c r="AD30" s="12">
        <v>50.0</v>
      </c>
      <c r="AE30" s="12">
        <v>0.0</v>
      </c>
      <c r="AF30" s="10" t="s">
        <v>146</v>
      </c>
      <c r="AG30" s="10" t="s">
        <v>146</v>
      </c>
      <c r="AH30" s="10" t="s">
        <v>146</v>
      </c>
      <c r="AI30" s="10" t="s">
        <v>514</v>
      </c>
      <c r="AJ30" s="10" t="s">
        <v>140</v>
      </c>
      <c r="AK30" s="10" t="s">
        <v>140</v>
      </c>
      <c r="AL30" s="10" t="s">
        <v>97</v>
      </c>
      <c r="AM30" s="10" t="s">
        <v>140</v>
      </c>
      <c r="AN30" s="10" t="s">
        <v>99</v>
      </c>
      <c r="AO30" s="10" t="s">
        <v>100</v>
      </c>
      <c r="AP30" s="10" t="s">
        <v>140</v>
      </c>
      <c r="AQ30" s="10" t="s">
        <v>140</v>
      </c>
      <c r="AR30" s="10" t="s">
        <v>149</v>
      </c>
      <c r="AS30" s="10" t="s">
        <v>140</v>
      </c>
      <c r="AT30" s="10" t="s">
        <v>102</v>
      </c>
      <c r="AU30" s="10" t="s">
        <v>103</v>
      </c>
      <c r="AV30" s="10" t="s">
        <v>140</v>
      </c>
      <c r="AW30" s="10" t="s">
        <v>140</v>
      </c>
      <c r="AX30" s="10" t="s">
        <v>140</v>
      </c>
      <c r="AY30" s="10" t="s">
        <v>140</v>
      </c>
      <c r="AZ30" s="10" t="s">
        <v>140</v>
      </c>
      <c r="BA30" s="10" t="s">
        <v>140</v>
      </c>
      <c r="BB30" s="10" t="s">
        <v>140</v>
      </c>
      <c r="BC30" s="12">
        <v>6.0</v>
      </c>
      <c r="BD30" s="12">
        <v>6.0</v>
      </c>
      <c r="BE30" s="10" t="s">
        <v>146</v>
      </c>
      <c r="BF30" s="10" t="s">
        <v>515</v>
      </c>
      <c r="BG30" s="10" t="s">
        <v>146</v>
      </c>
      <c r="BH30" s="10" t="s">
        <v>146</v>
      </c>
      <c r="BI30" s="12">
        <v>5.0</v>
      </c>
      <c r="BJ30" s="12">
        <v>5.0</v>
      </c>
      <c r="BK30" s="12">
        <v>5.0</v>
      </c>
      <c r="BL30" s="12">
        <v>0.0</v>
      </c>
      <c r="BM30" s="12">
        <v>0.0</v>
      </c>
      <c r="BN30" s="12">
        <v>0.0</v>
      </c>
      <c r="BO30" s="10" t="s">
        <v>245</v>
      </c>
      <c r="BP30" s="10" t="s">
        <v>173</v>
      </c>
      <c r="BQ30" s="10" t="s">
        <v>140</v>
      </c>
      <c r="BR30" s="10" t="s">
        <v>146</v>
      </c>
      <c r="BS30" s="10" t="s">
        <v>140</v>
      </c>
      <c r="BT30" s="10" t="s">
        <v>146</v>
      </c>
      <c r="BU30" s="10" t="s">
        <v>140</v>
      </c>
      <c r="BV30" s="10" t="s">
        <v>140</v>
      </c>
      <c r="BW30" s="10" t="s">
        <v>140</v>
      </c>
      <c r="BX30" s="10" t="s">
        <v>140</v>
      </c>
      <c r="BY30" s="10" t="s">
        <v>140</v>
      </c>
      <c r="BZ30" s="10" t="s">
        <v>516</v>
      </c>
      <c r="CA30" s="10" t="s">
        <v>140</v>
      </c>
      <c r="CB30" s="10" t="s">
        <v>517</v>
      </c>
      <c r="CC30" s="10" t="s">
        <v>518</v>
      </c>
      <c r="CD30" s="10" t="s">
        <v>519</v>
      </c>
    </row>
    <row r="31" ht="15.75" customHeight="1">
      <c r="A31" s="10" t="s">
        <v>520</v>
      </c>
      <c r="B31" s="10"/>
      <c r="C31" s="10" t="s">
        <v>521</v>
      </c>
      <c r="D31" s="10" t="s">
        <v>522</v>
      </c>
      <c r="E31" s="10" t="s">
        <v>523</v>
      </c>
      <c r="F31" s="10" t="s">
        <v>140</v>
      </c>
      <c r="G31" s="10" t="s">
        <v>524</v>
      </c>
      <c r="H31" s="10" t="s">
        <v>525</v>
      </c>
      <c r="I31" s="10" t="s">
        <v>526</v>
      </c>
      <c r="J31" s="10" t="s">
        <v>527</v>
      </c>
      <c r="K31" s="10" t="s">
        <v>408</v>
      </c>
      <c r="L31" s="10" t="s">
        <v>140</v>
      </c>
      <c r="M31" s="10" t="s">
        <v>72</v>
      </c>
      <c r="N31" s="10" t="s">
        <v>73</v>
      </c>
      <c r="O31" s="10" t="s">
        <v>140</v>
      </c>
      <c r="P31" s="10" t="s">
        <v>140</v>
      </c>
      <c r="Q31" s="10" t="s">
        <v>76</v>
      </c>
      <c r="R31" s="10" t="s">
        <v>77</v>
      </c>
      <c r="S31" s="10" t="s">
        <v>140</v>
      </c>
      <c r="T31" s="10" t="s">
        <v>140</v>
      </c>
      <c r="U31" s="10" t="s">
        <v>80</v>
      </c>
      <c r="V31" s="10" t="s">
        <v>140</v>
      </c>
      <c r="W31" s="10" t="s">
        <v>82</v>
      </c>
      <c r="X31" s="10" t="s">
        <v>83</v>
      </c>
      <c r="Y31" s="10" t="s">
        <v>84</v>
      </c>
      <c r="Z31" s="10" t="s">
        <v>140</v>
      </c>
      <c r="AA31" s="10" t="s">
        <v>140</v>
      </c>
      <c r="AB31" s="12">
        <v>45.0</v>
      </c>
      <c r="AC31" s="12">
        <v>45.0</v>
      </c>
      <c r="AD31" s="12">
        <v>35.0</v>
      </c>
      <c r="AE31" s="12">
        <v>25.0</v>
      </c>
      <c r="AF31" s="10" t="s">
        <v>146</v>
      </c>
      <c r="AG31" s="10" t="s">
        <v>146</v>
      </c>
      <c r="AH31" s="10" t="s">
        <v>146</v>
      </c>
      <c r="AI31" s="10" t="s">
        <v>528</v>
      </c>
      <c r="AJ31" s="10" t="s">
        <v>140</v>
      </c>
      <c r="AK31" s="10" t="s">
        <v>140</v>
      </c>
      <c r="AL31" s="10" t="s">
        <v>97</v>
      </c>
      <c r="AM31" s="10" t="s">
        <v>140</v>
      </c>
      <c r="AN31" s="10" t="s">
        <v>99</v>
      </c>
      <c r="AO31" s="10" t="s">
        <v>140</v>
      </c>
      <c r="AP31" s="10" t="s">
        <v>140</v>
      </c>
      <c r="AQ31" s="10" t="s">
        <v>140</v>
      </c>
      <c r="AR31" s="10" t="s">
        <v>438</v>
      </c>
      <c r="AS31" s="10" t="s">
        <v>140</v>
      </c>
      <c r="AT31" s="10" t="s">
        <v>140</v>
      </c>
      <c r="AU31" s="10" t="s">
        <v>140</v>
      </c>
      <c r="AV31" s="10" t="s">
        <v>140</v>
      </c>
      <c r="AW31" s="10" t="s">
        <v>140</v>
      </c>
      <c r="AX31" s="10" t="s">
        <v>140</v>
      </c>
      <c r="AY31" s="10" t="s">
        <v>107</v>
      </c>
      <c r="AZ31" s="10" t="s">
        <v>140</v>
      </c>
      <c r="BA31" s="10" t="s">
        <v>140</v>
      </c>
      <c r="BB31" s="10" t="s">
        <v>140</v>
      </c>
      <c r="BC31" s="12">
        <v>3.0</v>
      </c>
      <c r="BD31" s="12">
        <v>2.0</v>
      </c>
      <c r="BE31" s="10" t="s">
        <v>168</v>
      </c>
      <c r="BF31" s="10" t="s">
        <v>140</v>
      </c>
      <c r="BG31" s="10" t="s">
        <v>140</v>
      </c>
      <c r="BH31" s="10" t="s">
        <v>168</v>
      </c>
      <c r="BI31" s="12">
        <v>0.0</v>
      </c>
      <c r="BJ31" s="12">
        <v>0.0</v>
      </c>
      <c r="BK31" s="12">
        <v>0.0</v>
      </c>
      <c r="BL31" s="12">
        <v>0.0</v>
      </c>
      <c r="BM31" s="12">
        <v>0.0</v>
      </c>
      <c r="BN31" s="12">
        <v>0.0</v>
      </c>
      <c r="BO31" s="10" t="s">
        <v>140</v>
      </c>
      <c r="BP31" s="10" t="s">
        <v>140</v>
      </c>
      <c r="BQ31" s="10" t="s">
        <v>140</v>
      </c>
      <c r="BR31" s="10" t="s">
        <v>140</v>
      </c>
      <c r="BS31" s="10" t="s">
        <v>140</v>
      </c>
      <c r="BT31" s="10" t="s">
        <v>140</v>
      </c>
      <c r="BU31" s="10" t="s">
        <v>140</v>
      </c>
      <c r="BV31" s="10" t="s">
        <v>140</v>
      </c>
      <c r="BW31" s="10" t="s">
        <v>140</v>
      </c>
      <c r="BX31" s="10" t="s">
        <v>140</v>
      </c>
      <c r="BY31" s="10" t="s">
        <v>140</v>
      </c>
      <c r="BZ31" s="10" t="s">
        <v>140</v>
      </c>
      <c r="CA31" s="10" t="s">
        <v>529</v>
      </c>
      <c r="CB31" s="10" t="s">
        <v>530</v>
      </c>
      <c r="CC31" s="10" t="s">
        <v>531</v>
      </c>
      <c r="CD31" s="10" t="s">
        <v>532</v>
      </c>
    </row>
    <row r="32" ht="15.75" customHeight="1">
      <c r="A32" s="10" t="s">
        <v>533</v>
      </c>
      <c r="B32" s="10"/>
      <c r="C32" s="10" t="s">
        <v>35</v>
      </c>
      <c r="D32" s="10" t="s">
        <v>534</v>
      </c>
      <c r="E32" s="10" t="s">
        <v>535</v>
      </c>
      <c r="F32" s="10" t="s">
        <v>140</v>
      </c>
      <c r="G32" s="10" t="s">
        <v>536</v>
      </c>
      <c r="H32" s="10" t="s">
        <v>537</v>
      </c>
      <c r="I32" s="10" t="s">
        <v>538</v>
      </c>
      <c r="J32" s="10" t="s">
        <v>539</v>
      </c>
      <c r="K32" s="10" t="s">
        <v>166</v>
      </c>
      <c r="L32" s="10" t="s">
        <v>140</v>
      </c>
      <c r="M32" s="10" t="s">
        <v>72</v>
      </c>
      <c r="N32" s="10" t="s">
        <v>73</v>
      </c>
      <c r="O32" s="10" t="s">
        <v>74</v>
      </c>
      <c r="P32" s="10" t="s">
        <v>75</v>
      </c>
      <c r="Q32" s="10" t="s">
        <v>76</v>
      </c>
      <c r="R32" s="10" t="s">
        <v>77</v>
      </c>
      <c r="S32" s="10" t="s">
        <v>78</v>
      </c>
      <c r="T32" s="10" t="s">
        <v>140</v>
      </c>
      <c r="U32" s="10" t="s">
        <v>140</v>
      </c>
      <c r="V32" s="10" t="s">
        <v>140</v>
      </c>
      <c r="W32" s="10" t="s">
        <v>82</v>
      </c>
      <c r="X32" s="10" t="s">
        <v>83</v>
      </c>
      <c r="Y32" s="10" t="s">
        <v>84</v>
      </c>
      <c r="Z32" s="10" t="s">
        <v>140</v>
      </c>
      <c r="AA32" s="10" t="s">
        <v>140</v>
      </c>
      <c r="AB32" s="12">
        <v>20.0</v>
      </c>
      <c r="AC32" s="12">
        <v>30.0</v>
      </c>
      <c r="AD32" s="12">
        <v>30.0</v>
      </c>
      <c r="AE32" s="12">
        <v>10.0</v>
      </c>
      <c r="AF32" s="10" t="s">
        <v>146</v>
      </c>
      <c r="AG32" s="10" t="s">
        <v>146</v>
      </c>
      <c r="AH32" s="10" t="s">
        <v>168</v>
      </c>
      <c r="AI32" s="10" t="s">
        <v>140</v>
      </c>
      <c r="AJ32" s="10" t="s">
        <v>189</v>
      </c>
      <c r="AK32" s="10" t="s">
        <v>140</v>
      </c>
      <c r="AL32" s="10" t="s">
        <v>97</v>
      </c>
      <c r="AM32" s="10" t="s">
        <v>98</v>
      </c>
      <c r="AN32" s="10" t="s">
        <v>99</v>
      </c>
      <c r="AO32" s="10" t="s">
        <v>140</v>
      </c>
      <c r="AP32" s="10" t="s">
        <v>140</v>
      </c>
      <c r="AQ32" s="10" t="s">
        <v>140</v>
      </c>
      <c r="AR32" s="10" t="s">
        <v>149</v>
      </c>
      <c r="AS32" s="10" t="s">
        <v>140</v>
      </c>
      <c r="AT32" s="10" t="s">
        <v>140</v>
      </c>
      <c r="AU32" s="10" t="s">
        <v>140</v>
      </c>
      <c r="AV32" s="10" t="s">
        <v>104</v>
      </c>
      <c r="AW32" s="10" t="s">
        <v>140</v>
      </c>
      <c r="AX32" s="10" t="s">
        <v>140</v>
      </c>
      <c r="AY32" s="10" t="s">
        <v>107</v>
      </c>
      <c r="AZ32" s="10" t="s">
        <v>108</v>
      </c>
      <c r="BA32" s="10" t="s">
        <v>140</v>
      </c>
      <c r="BB32" s="10" t="s">
        <v>140</v>
      </c>
      <c r="BC32" s="12">
        <v>3.0</v>
      </c>
      <c r="BD32" s="12">
        <v>3.0</v>
      </c>
      <c r="BE32" s="10" t="s">
        <v>168</v>
      </c>
      <c r="BF32" s="10" t="s">
        <v>140</v>
      </c>
      <c r="BG32" s="10" t="s">
        <v>140</v>
      </c>
      <c r="BH32" s="10" t="s">
        <v>146</v>
      </c>
      <c r="BI32" s="12">
        <v>5.0</v>
      </c>
      <c r="BJ32" s="12">
        <v>5.0</v>
      </c>
      <c r="BK32" s="12">
        <v>5.0</v>
      </c>
      <c r="BL32" s="12">
        <v>5.0</v>
      </c>
      <c r="BM32" s="12">
        <v>5.0</v>
      </c>
      <c r="BN32" s="12">
        <v>5.0</v>
      </c>
      <c r="BO32" s="10" t="s">
        <v>205</v>
      </c>
      <c r="BP32" s="10" t="s">
        <v>320</v>
      </c>
      <c r="BQ32" s="10" t="s">
        <v>140</v>
      </c>
      <c r="BR32" s="10" t="s">
        <v>146</v>
      </c>
      <c r="BS32" s="10" t="s">
        <v>140</v>
      </c>
      <c r="BT32" s="10" t="s">
        <v>146</v>
      </c>
      <c r="BU32" s="10" t="s">
        <v>140</v>
      </c>
      <c r="BV32" s="10" t="s">
        <v>140</v>
      </c>
      <c r="BW32" s="10" t="s">
        <v>140</v>
      </c>
      <c r="BX32" s="10" t="s">
        <v>140</v>
      </c>
      <c r="BY32" s="10" t="s">
        <v>140</v>
      </c>
      <c r="BZ32" s="10" t="s">
        <v>540</v>
      </c>
      <c r="CA32" s="10" t="s">
        <v>541</v>
      </c>
      <c r="CB32" s="10" t="s">
        <v>542</v>
      </c>
      <c r="CC32" s="10" t="s">
        <v>543</v>
      </c>
      <c r="CD32" s="10" t="s">
        <v>544</v>
      </c>
    </row>
    <row r="33" ht="15.75" customHeight="1">
      <c r="A33" s="10" t="s">
        <v>545</v>
      </c>
      <c r="B33" s="10"/>
      <c r="C33" s="10" t="s">
        <v>47</v>
      </c>
      <c r="D33" s="10" t="s">
        <v>546</v>
      </c>
      <c r="E33" s="10" t="s">
        <v>182</v>
      </c>
      <c r="F33" s="10" t="s">
        <v>140</v>
      </c>
      <c r="G33" s="10" t="s">
        <v>547</v>
      </c>
      <c r="H33" s="10" t="s">
        <v>548</v>
      </c>
      <c r="I33" s="10" t="s">
        <v>549</v>
      </c>
      <c r="J33" s="10" t="s">
        <v>550</v>
      </c>
      <c r="K33" s="10" t="s">
        <v>166</v>
      </c>
      <c r="L33" s="10" t="s">
        <v>140</v>
      </c>
      <c r="M33" s="10" t="s">
        <v>140</v>
      </c>
      <c r="N33" s="10" t="s">
        <v>140</v>
      </c>
      <c r="O33" s="10" t="s">
        <v>74</v>
      </c>
      <c r="P33" s="10" t="s">
        <v>75</v>
      </c>
      <c r="Q33" s="10" t="s">
        <v>140</v>
      </c>
      <c r="R33" s="10" t="s">
        <v>140</v>
      </c>
      <c r="S33" s="10" t="s">
        <v>78</v>
      </c>
      <c r="T33" s="10" t="s">
        <v>79</v>
      </c>
      <c r="U33" s="10" t="s">
        <v>140</v>
      </c>
      <c r="V33" s="10" t="s">
        <v>140</v>
      </c>
      <c r="W33" s="10" t="s">
        <v>82</v>
      </c>
      <c r="X33" s="10" t="s">
        <v>83</v>
      </c>
      <c r="Y33" s="10" t="s">
        <v>84</v>
      </c>
      <c r="Z33" s="10" t="s">
        <v>140</v>
      </c>
      <c r="AA33" s="10" t="s">
        <v>140</v>
      </c>
      <c r="AB33" s="12">
        <v>50.0</v>
      </c>
      <c r="AC33" s="12">
        <v>50.0</v>
      </c>
      <c r="AD33" s="12">
        <v>50.0</v>
      </c>
      <c r="AE33" s="12">
        <v>0.0</v>
      </c>
      <c r="AF33" s="10" t="s">
        <v>146</v>
      </c>
      <c r="AG33" s="10" t="s">
        <v>168</v>
      </c>
      <c r="AH33" s="10" t="s">
        <v>140</v>
      </c>
      <c r="AI33" s="10" t="s">
        <v>140</v>
      </c>
      <c r="AJ33" s="10" t="s">
        <v>140</v>
      </c>
      <c r="AK33" s="10" t="s">
        <v>140</v>
      </c>
      <c r="AL33" s="10" t="s">
        <v>140</v>
      </c>
      <c r="AM33" s="10" t="s">
        <v>140</v>
      </c>
      <c r="AN33" s="10" t="s">
        <v>140</v>
      </c>
      <c r="AO33" s="10" t="s">
        <v>140</v>
      </c>
      <c r="AP33" s="10" t="s">
        <v>85</v>
      </c>
      <c r="AQ33" s="10" t="s">
        <v>551</v>
      </c>
      <c r="AR33" s="10" t="s">
        <v>85</v>
      </c>
      <c r="AS33" s="10" t="s">
        <v>552</v>
      </c>
      <c r="AT33" s="10" t="s">
        <v>102</v>
      </c>
      <c r="AU33" s="10" t="s">
        <v>140</v>
      </c>
      <c r="AV33" s="10" t="s">
        <v>104</v>
      </c>
      <c r="AW33" s="10" t="s">
        <v>140</v>
      </c>
      <c r="AX33" s="10" t="s">
        <v>140</v>
      </c>
      <c r="AY33" s="10" t="s">
        <v>107</v>
      </c>
      <c r="AZ33" s="10" t="s">
        <v>108</v>
      </c>
      <c r="BA33" s="10" t="s">
        <v>140</v>
      </c>
      <c r="BB33" s="10" t="s">
        <v>140</v>
      </c>
      <c r="BC33" s="12">
        <v>3.0</v>
      </c>
      <c r="BD33" s="12">
        <v>4.0</v>
      </c>
      <c r="BE33" s="10" t="s">
        <v>168</v>
      </c>
      <c r="BF33" s="10" t="s">
        <v>140</v>
      </c>
      <c r="BG33" s="10" t="s">
        <v>140</v>
      </c>
      <c r="BH33" s="10" t="s">
        <v>146</v>
      </c>
      <c r="BI33" s="12">
        <v>10.0</v>
      </c>
      <c r="BJ33" s="12">
        <v>1.0</v>
      </c>
      <c r="BK33" s="12">
        <v>10.0</v>
      </c>
      <c r="BL33" s="12">
        <v>4.0</v>
      </c>
      <c r="BM33" s="12">
        <v>2.0</v>
      </c>
      <c r="BN33" s="12">
        <v>0.0</v>
      </c>
      <c r="BO33" s="10" t="s">
        <v>355</v>
      </c>
      <c r="BP33" s="10" t="s">
        <v>153</v>
      </c>
      <c r="BQ33" s="10" t="s">
        <v>140</v>
      </c>
      <c r="BR33" s="10" t="s">
        <v>146</v>
      </c>
      <c r="BS33" s="10" t="s">
        <v>140</v>
      </c>
      <c r="BT33" s="10" t="s">
        <v>146</v>
      </c>
      <c r="BU33" s="10" t="s">
        <v>140</v>
      </c>
      <c r="BV33" s="10" t="s">
        <v>140</v>
      </c>
      <c r="BW33" s="10" t="s">
        <v>140</v>
      </c>
      <c r="BX33" s="10" t="s">
        <v>140</v>
      </c>
      <c r="BY33" s="10" t="s">
        <v>140</v>
      </c>
      <c r="BZ33" s="10" t="s">
        <v>553</v>
      </c>
      <c r="CA33" s="10" t="s">
        <v>554</v>
      </c>
      <c r="CB33" s="10" t="s">
        <v>555</v>
      </c>
      <c r="CC33" s="10" t="s">
        <v>556</v>
      </c>
      <c r="CD33" s="10" t="s">
        <v>557</v>
      </c>
    </row>
    <row r="34" ht="15.75" customHeight="1">
      <c r="A34" s="10" t="s">
        <v>558</v>
      </c>
      <c r="B34" s="10"/>
      <c r="C34" s="10" t="s">
        <v>56</v>
      </c>
      <c r="D34" s="10" t="s">
        <v>559</v>
      </c>
      <c r="E34" s="10" t="s">
        <v>182</v>
      </c>
      <c r="F34" s="10" t="s">
        <v>140</v>
      </c>
      <c r="G34" s="10" t="s">
        <v>560</v>
      </c>
      <c r="H34" s="10" t="s">
        <v>561</v>
      </c>
      <c r="I34" s="10" t="s">
        <v>562</v>
      </c>
      <c r="J34" s="10" t="s">
        <v>563</v>
      </c>
      <c r="K34" s="10" t="s">
        <v>166</v>
      </c>
      <c r="L34" s="10" t="s">
        <v>140</v>
      </c>
      <c r="M34" s="10" t="s">
        <v>140</v>
      </c>
      <c r="N34" s="10" t="s">
        <v>140</v>
      </c>
      <c r="O34" s="10" t="s">
        <v>140</v>
      </c>
      <c r="P34" s="10" t="s">
        <v>140</v>
      </c>
      <c r="Q34" s="10" t="s">
        <v>140</v>
      </c>
      <c r="R34" s="10" t="s">
        <v>77</v>
      </c>
      <c r="S34" s="10" t="s">
        <v>140</v>
      </c>
      <c r="T34" s="10" t="s">
        <v>79</v>
      </c>
      <c r="U34" s="10" t="s">
        <v>80</v>
      </c>
      <c r="V34" s="10" t="s">
        <v>140</v>
      </c>
      <c r="W34" s="10" t="s">
        <v>140</v>
      </c>
      <c r="X34" s="10" t="s">
        <v>83</v>
      </c>
      <c r="Y34" s="10" t="s">
        <v>84</v>
      </c>
      <c r="Z34" s="10" t="s">
        <v>140</v>
      </c>
      <c r="AA34" s="10" t="s">
        <v>140</v>
      </c>
      <c r="AB34" s="12">
        <v>30.0</v>
      </c>
      <c r="AC34" s="12">
        <v>30.0</v>
      </c>
      <c r="AD34" s="12">
        <v>10.0</v>
      </c>
      <c r="AE34" s="12">
        <v>0.0</v>
      </c>
      <c r="AF34" s="10" t="s">
        <v>146</v>
      </c>
      <c r="AG34" s="10" t="s">
        <v>168</v>
      </c>
      <c r="AH34" s="10" t="s">
        <v>140</v>
      </c>
      <c r="AI34" s="10" t="s">
        <v>140</v>
      </c>
      <c r="AJ34" s="10" t="s">
        <v>140</v>
      </c>
      <c r="AK34" s="10" t="s">
        <v>140</v>
      </c>
      <c r="AL34" s="10" t="s">
        <v>97</v>
      </c>
      <c r="AM34" s="10" t="s">
        <v>140</v>
      </c>
      <c r="AN34" s="10" t="s">
        <v>140</v>
      </c>
      <c r="AO34" s="10" t="s">
        <v>140</v>
      </c>
      <c r="AP34" s="10" t="s">
        <v>140</v>
      </c>
      <c r="AQ34" s="10" t="s">
        <v>140</v>
      </c>
      <c r="AR34" s="10" t="s">
        <v>438</v>
      </c>
      <c r="AS34" s="10" t="s">
        <v>140</v>
      </c>
      <c r="AT34" s="10" t="s">
        <v>102</v>
      </c>
      <c r="AU34" s="10" t="s">
        <v>103</v>
      </c>
      <c r="AV34" s="10" t="s">
        <v>104</v>
      </c>
      <c r="AW34" s="10" t="s">
        <v>140</v>
      </c>
      <c r="AX34" s="10" t="s">
        <v>140</v>
      </c>
      <c r="AY34" s="10" t="s">
        <v>107</v>
      </c>
      <c r="AZ34" s="10" t="s">
        <v>140</v>
      </c>
      <c r="BA34" s="10" t="s">
        <v>140</v>
      </c>
      <c r="BB34" s="10" t="s">
        <v>140</v>
      </c>
      <c r="BC34" s="12">
        <v>5.0</v>
      </c>
      <c r="BD34" s="12">
        <v>4.0</v>
      </c>
      <c r="BE34" s="10" t="s">
        <v>146</v>
      </c>
      <c r="BF34" s="10" t="s">
        <v>564</v>
      </c>
      <c r="BG34" s="10" t="s">
        <v>146</v>
      </c>
      <c r="BH34" s="10" t="s">
        <v>146</v>
      </c>
      <c r="BI34" s="12">
        <v>6.0</v>
      </c>
      <c r="BJ34" s="12">
        <v>5.0</v>
      </c>
      <c r="BK34" s="12">
        <v>4.0</v>
      </c>
      <c r="BL34" s="12">
        <v>6.0</v>
      </c>
      <c r="BM34" s="12">
        <v>6.0</v>
      </c>
      <c r="BN34" s="12">
        <v>3.0</v>
      </c>
      <c r="BO34" s="10" t="s">
        <v>205</v>
      </c>
      <c r="BP34" s="10" t="s">
        <v>173</v>
      </c>
      <c r="BQ34" s="10" t="s">
        <v>140</v>
      </c>
      <c r="BR34" s="10" t="s">
        <v>146</v>
      </c>
      <c r="BS34" s="10" t="s">
        <v>140</v>
      </c>
      <c r="BT34" s="10" t="s">
        <v>146</v>
      </c>
      <c r="BU34" s="10" t="s">
        <v>140</v>
      </c>
      <c r="BV34" s="10" t="s">
        <v>140</v>
      </c>
      <c r="BW34" s="10" t="s">
        <v>140</v>
      </c>
      <c r="BX34" s="10" t="s">
        <v>140</v>
      </c>
      <c r="BY34" s="10" t="s">
        <v>140</v>
      </c>
      <c r="BZ34" s="10" t="s">
        <v>565</v>
      </c>
      <c r="CA34" s="10" t="s">
        <v>566</v>
      </c>
      <c r="CB34" s="10" t="s">
        <v>567</v>
      </c>
      <c r="CC34" s="10" t="s">
        <v>568</v>
      </c>
      <c r="CD34" s="10" t="s">
        <v>569</v>
      </c>
    </row>
    <row r="35" ht="15.75" customHeight="1">
      <c r="A35" s="10" t="s">
        <v>570</v>
      </c>
      <c r="B35" s="10"/>
      <c r="C35" s="10" t="s">
        <v>28</v>
      </c>
      <c r="D35" s="10" t="s">
        <v>571</v>
      </c>
      <c r="E35" s="10" t="s">
        <v>226</v>
      </c>
      <c r="F35" s="10" t="s">
        <v>140</v>
      </c>
      <c r="G35" s="10" t="s">
        <v>572</v>
      </c>
      <c r="H35" s="10" t="s">
        <v>573</v>
      </c>
      <c r="I35" s="10" t="s">
        <v>574</v>
      </c>
      <c r="J35" s="10" t="s">
        <v>575</v>
      </c>
      <c r="K35" s="10" t="s">
        <v>166</v>
      </c>
      <c r="L35" s="10" t="s">
        <v>140</v>
      </c>
      <c r="M35" s="10" t="s">
        <v>72</v>
      </c>
      <c r="N35" s="10" t="s">
        <v>73</v>
      </c>
      <c r="O35" s="10" t="s">
        <v>140</v>
      </c>
      <c r="P35" s="10" t="s">
        <v>140</v>
      </c>
      <c r="Q35" s="10" t="s">
        <v>76</v>
      </c>
      <c r="R35" s="10" t="s">
        <v>77</v>
      </c>
      <c r="S35" s="10" t="s">
        <v>140</v>
      </c>
      <c r="T35" s="10" t="s">
        <v>140</v>
      </c>
      <c r="U35" s="10" t="s">
        <v>140</v>
      </c>
      <c r="V35" s="10" t="s">
        <v>140</v>
      </c>
      <c r="W35" s="10" t="s">
        <v>140</v>
      </c>
      <c r="X35" s="10" t="s">
        <v>140</v>
      </c>
      <c r="Y35" s="10" t="s">
        <v>140</v>
      </c>
      <c r="Z35" s="10" t="s">
        <v>140</v>
      </c>
      <c r="AA35" s="10" t="s">
        <v>140</v>
      </c>
      <c r="AB35" s="12">
        <v>0.0</v>
      </c>
      <c r="AC35" s="12">
        <v>20.0</v>
      </c>
      <c r="AD35" s="12">
        <v>25.0</v>
      </c>
      <c r="AE35" s="12">
        <v>10.0</v>
      </c>
      <c r="AF35" s="10" t="s">
        <v>146</v>
      </c>
      <c r="AG35" s="10" t="s">
        <v>146</v>
      </c>
      <c r="AH35" s="10" t="s">
        <v>168</v>
      </c>
      <c r="AI35" s="10" t="s">
        <v>140</v>
      </c>
      <c r="AJ35" s="10" t="s">
        <v>140</v>
      </c>
      <c r="AK35" s="10" t="s">
        <v>140</v>
      </c>
      <c r="AL35" s="10" t="s">
        <v>97</v>
      </c>
      <c r="AM35" s="10" t="s">
        <v>98</v>
      </c>
      <c r="AN35" s="10" t="s">
        <v>99</v>
      </c>
      <c r="AO35" s="10" t="s">
        <v>140</v>
      </c>
      <c r="AP35" s="10" t="s">
        <v>140</v>
      </c>
      <c r="AQ35" s="10" t="s">
        <v>140</v>
      </c>
      <c r="AR35" s="10" t="s">
        <v>149</v>
      </c>
      <c r="AS35" s="10" t="s">
        <v>140</v>
      </c>
      <c r="AT35" s="10" t="s">
        <v>140</v>
      </c>
      <c r="AU35" s="10" t="s">
        <v>140</v>
      </c>
      <c r="AV35" s="10" t="s">
        <v>140</v>
      </c>
      <c r="AW35" s="10" t="s">
        <v>140</v>
      </c>
      <c r="AX35" s="10" t="s">
        <v>140</v>
      </c>
      <c r="AY35" s="10" t="s">
        <v>107</v>
      </c>
      <c r="AZ35" s="10" t="s">
        <v>140</v>
      </c>
      <c r="BA35" s="10" t="s">
        <v>85</v>
      </c>
      <c r="BB35" s="10" t="s">
        <v>576</v>
      </c>
      <c r="BC35" s="12">
        <v>4.0</v>
      </c>
      <c r="BD35" s="12">
        <v>4.0</v>
      </c>
      <c r="BE35" s="10" t="s">
        <v>146</v>
      </c>
      <c r="BF35" s="10" t="s">
        <v>577</v>
      </c>
      <c r="BG35" s="10" t="s">
        <v>146</v>
      </c>
      <c r="BH35" s="10" t="s">
        <v>146</v>
      </c>
      <c r="BI35" s="12">
        <v>5.0</v>
      </c>
      <c r="BJ35" s="12">
        <v>5.0</v>
      </c>
      <c r="BK35" s="12">
        <v>2.0</v>
      </c>
      <c r="BL35" s="12">
        <v>3.0</v>
      </c>
      <c r="BM35" s="12">
        <v>3.0</v>
      </c>
      <c r="BN35" s="12">
        <v>1.0</v>
      </c>
      <c r="BO35" s="10" t="s">
        <v>205</v>
      </c>
      <c r="BP35" s="10" t="s">
        <v>173</v>
      </c>
      <c r="BQ35" s="10" t="s">
        <v>140</v>
      </c>
      <c r="BR35" s="10" t="s">
        <v>146</v>
      </c>
      <c r="BS35" s="10" t="s">
        <v>140</v>
      </c>
      <c r="BT35" s="10" t="s">
        <v>146</v>
      </c>
      <c r="BU35" s="10" t="s">
        <v>140</v>
      </c>
      <c r="BV35" s="10" t="s">
        <v>140</v>
      </c>
      <c r="BW35" s="10" t="s">
        <v>140</v>
      </c>
      <c r="BX35" s="10" t="s">
        <v>140</v>
      </c>
      <c r="BY35" s="10" t="s">
        <v>140</v>
      </c>
      <c r="BZ35" s="10" t="s">
        <v>578</v>
      </c>
      <c r="CA35" s="10" t="s">
        <v>140</v>
      </c>
      <c r="CB35" s="10" t="s">
        <v>579</v>
      </c>
      <c r="CC35" s="10" t="s">
        <v>580</v>
      </c>
      <c r="CD35" s="10" t="s">
        <v>581</v>
      </c>
    </row>
    <row r="36" ht="15.75" customHeight="1">
      <c r="A36" s="10" t="s">
        <v>582</v>
      </c>
      <c r="B36" s="10"/>
      <c r="C36" s="10" t="s">
        <v>30</v>
      </c>
      <c r="D36" s="10" t="s">
        <v>583</v>
      </c>
      <c r="E36" s="10" t="s">
        <v>584</v>
      </c>
      <c r="F36" s="10" t="s">
        <v>140</v>
      </c>
      <c r="G36" s="10" t="s">
        <v>585</v>
      </c>
      <c r="H36" s="10" t="s">
        <v>586</v>
      </c>
      <c r="I36" s="10" t="s">
        <v>587</v>
      </c>
      <c r="J36" s="10" t="s">
        <v>588</v>
      </c>
      <c r="K36" s="10" t="s">
        <v>166</v>
      </c>
      <c r="L36" s="10" t="s">
        <v>140</v>
      </c>
      <c r="M36" s="10" t="s">
        <v>72</v>
      </c>
      <c r="N36" s="10" t="s">
        <v>73</v>
      </c>
      <c r="O36" s="10" t="s">
        <v>74</v>
      </c>
      <c r="P36" s="10" t="s">
        <v>140</v>
      </c>
      <c r="Q36" s="10" t="s">
        <v>76</v>
      </c>
      <c r="R36" s="10" t="s">
        <v>77</v>
      </c>
      <c r="S36" s="10" t="s">
        <v>140</v>
      </c>
      <c r="T36" s="10" t="s">
        <v>79</v>
      </c>
      <c r="U36" s="10" t="s">
        <v>80</v>
      </c>
      <c r="V36" s="10" t="s">
        <v>81</v>
      </c>
      <c r="W36" s="10" t="s">
        <v>82</v>
      </c>
      <c r="X36" s="10" t="s">
        <v>83</v>
      </c>
      <c r="Y36" s="10" t="s">
        <v>84</v>
      </c>
      <c r="Z36" s="10" t="s">
        <v>85</v>
      </c>
      <c r="AA36" s="10" t="s">
        <v>589</v>
      </c>
      <c r="AB36" s="12">
        <v>10.0</v>
      </c>
      <c r="AC36" s="12">
        <v>50.0</v>
      </c>
      <c r="AD36" s="12">
        <v>30.0</v>
      </c>
      <c r="AE36" s="12">
        <v>10.0</v>
      </c>
      <c r="AF36" s="10" t="s">
        <v>146</v>
      </c>
      <c r="AG36" s="10" t="s">
        <v>146</v>
      </c>
      <c r="AH36" s="10" t="s">
        <v>168</v>
      </c>
      <c r="AI36" s="10" t="s">
        <v>140</v>
      </c>
      <c r="AJ36" s="10" t="s">
        <v>189</v>
      </c>
      <c r="AK36" s="10" t="s">
        <v>140</v>
      </c>
      <c r="AL36" s="10" t="s">
        <v>140</v>
      </c>
      <c r="AM36" s="10" t="s">
        <v>140</v>
      </c>
      <c r="AN36" s="10" t="s">
        <v>140</v>
      </c>
      <c r="AO36" s="10" t="s">
        <v>100</v>
      </c>
      <c r="AP36" s="10" t="s">
        <v>85</v>
      </c>
      <c r="AQ36" s="10" t="s">
        <v>590</v>
      </c>
      <c r="AR36" s="10" t="s">
        <v>85</v>
      </c>
      <c r="AS36" s="10" t="s">
        <v>591</v>
      </c>
      <c r="AT36" s="10" t="s">
        <v>140</v>
      </c>
      <c r="AU36" s="10" t="s">
        <v>140</v>
      </c>
      <c r="AV36" s="10" t="s">
        <v>104</v>
      </c>
      <c r="AW36" s="10" t="s">
        <v>140</v>
      </c>
      <c r="AX36" s="10" t="s">
        <v>140</v>
      </c>
      <c r="AY36" s="10" t="s">
        <v>107</v>
      </c>
      <c r="AZ36" s="10" t="s">
        <v>108</v>
      </c>
      <c r="BA36" s="10" t="s">
        <v>85</v>
      </c>
      <c r="BB36" s="10" t="s">
        <v>592</v>
      </c>
      <c r="BC36" s="12">
        <v>7.0</v>
      </c>
      <c r="BD36" s="12">
        <v>6.0</v>
      </c>
      <c r="BE36" s="10" t="s">
        <v>146</v>
      </c>
      <c r="BF36" s="10" t="s">
        <v>593</v>
      </c>
      <c r="BG36" s="10" t="s">
        <v>146</v>
      </c>
      <c r="BH36" s="10" t="s">
        <v>146</v>
      </c>
      <c r="BI36" s="12">
        <v>10.0</v>
      </c>
      <c r="BJ36" s="12">
        <v>10.0</v>
      </c>
      <c r="BK36" s="12">
        <v>10.0</v>
      </c>
      <c r="BL36" s="12">
        <v>0.0</v>
      </c>
      <c r="BM36" s="12">
        <v>0.0</v>
      </c>
      <c r="BN36" s="12">
        <v>0.0</v>
      </c>
      <c r="BO36" s="10" t="s">
        <v>172</v>
      </c>
      <c r="BP36" s="10" t="s">
        <v>153</v>
      </c>
      <c r="BQ36" s="10" t="s">
        <v>140</v>
      </c>
      <c r="BR36" s="10" t="s">
        <v>146</v>
      </c>
      <c r="BS36" s="10" t="s">
        <v>140</v>
      </c>
      <c r="BT36" s="10" t="s">
        <v>168</v>
      </c>
      <c r="BU36" s="10" t="s">
        <v>583</v>
      </c>
      <c r="BV36" s="10" t="s">
        <v>584</v>
      </c>
      <c r="BW36" s="10" t="s">
        <v>174</v>
      </c>
      <c r="BX36" s="10" t="s">
        <v>585</v>
      </c>
      <c r="BY36" s="10" t="s">
        <v>594</v>
      </c>
      <c r="BZ36" s="10" t="s">
        <v>595</v>
      </c>
      <c r="CA36" s="10" t="s">
        <v>596</v>
      </c>
      <c r="CB36" s="10" t="s">
        <v>597</v>
      </c>
      <c r="CC36" s="10" t="s">
        <v>598</v>
      </c>
      <c r="CD36" s="10" t="s">
        <v>599</v>
      </c>
    </row>
    <row r="37" ht="15.75" customHeight="1">
      <c r="A37" s="10" t="s">
        <v>600</v>
      </c>
      <c r="B37" s="10"/>
      <c r="C37" s="10" t="s">
        <v>36</v>
      </c>
      <c r="D37" s="10" t="s">
        <v>601</v>
      </c>
      <c r="E37" s="10" t="s">
        <v>256</v>
      </c>
      <c r="F37" s="10" t="s">
        <v>140</v>
      </c>
      <c r="G37" s="10" t="s">
        <v>602</v>
      </c>
      <c r="H37" s="10" t="s">
        <v>603</v>
      </c>
      <c r="I37" s="10" t="s">
        <v>604</v>
      </c>
      <c r="J37" s="10" t="s">
        <v>605</v>
      </c>
      <c r="K37" s="10" t="s">
        <v>166</v>
      </c>
      <c r="L37" s="10" t="s">
        <v>140</v>
      </c>
      <c r="M37" s="10" t="s">
        <v>140</v>
      </c>
      <c r="N37" s="10" t="s">
        <v>140</v>
      </c>
      <c r="O37" s="10" t="s">
        <v>140</v>
      </c>
      <c r="P37" s="10" t="s">
        <v>140</v>
      </c>
      <c r="Q37" s="10" t="s">
        <v>140</v>
      </c>
      <c r="R37" s="10" t="s">
        <v>140</v>
      </c>
      <c r="S37" s="10" t="s">
        <v>140</v>
      </c>
      <c r="T37" s="10" t="s">
        <v>140</v>
      </c>
      <c r="U37" s="10" t="s">
        <v>140</v>
      </c>
      <c r="V37" s="10" t="s">
        <v>140</v>
      </c>
      <c r="W37" s="10" t="s">
        <v>140</v>
      </c>
      <c r="X37" s="10" t="s">
        <v>140</v>
      </c>
      <c r="Y37" s="10" t="s">
        <v>140</v>
      </c>
      <c r="Z37" s="10" t="s">
        <v>85</v>
      </c>
      <c r="AA37" s="10" t="s">
        <v>606</v>
      </c>
      <c r="AB37" s="12">
        <v>40.0</v>
      </c>
      <c r="AC37" s="12">
        <v>50.0</v>
      </c>
      <c r="AD37" s="12">
        <v>10.0</v>
      </c>
      <c r="AE37" s="12">
        <v>3.0</v>
      </c>
      <c r="AF37" s="10" t="s">
        <v>146</v>
      </c>
      <c r="AG37" s="10" t="s">
        <v>146</v>
      </c>
      <c r="AH37" s="10" t="s">
        <v>168</v>
      </c>
      <c r="AI37" s="10" t="s">
        <v>140</v>
      </c>
      <c r="AJ37" s="10" t="s">
        <v>189</v>
      </c>
      <c r="AK37" s="10" t="s">
        <v>140</v>
      </c>
      <c r="AL37" s="10" t="s">
        <v>140</v>
      </c>
      <c r="AM37" s="10" t="s">
        <v>140</v>
      </c>
      <c r="AN37" s="10" t="s">
        <v>99</v>
      </c>
      <c r="AO37" s="10" t="s">
        <v>140</v>
      </c>
      <c r="AP37" s="10" t="s">
        <v>140</v>
      </c>
      <c r="AQ37" s="10" t="s">
        <v>140</v>
      </c>
      <c r="AR37" s="10" t="s">
        <v>149</v>
      </c>
      <c r="AS37" s="10" t="s">
        <v>140</v>
      </c>
      <c r="AT37" s="10" t="s">
        <v>140</v>
      </c>
      <c r="AU37" s="10" t="s">
        <v>140</v>
      </c>
      <c r="AV37" s="10" t="s">
        <v>140</v>
      </c>
      <c r="AW37" s="10" t="s">
        <v>140</v>
      </c>
      <c r="AX37" s="10" t="s">
        <v>140</v>
      </c>
      <c r="AY37" s="10" t="s">
        <v>107</v>
      </c>
      <c r="AZ37" s="10" t="s">
        <v>108</v>
      </c>
      <c r="BA37" s="10" t="s">
        <v>140</v>
      </c>
      <c r="BB37" s="10" t="s">
        <v>140</v>
      </c>
      <c r="BC37" s="12">
        <v>6.0</v>
      </c>
      <c r="BD37" s="12">
        <v>6.0</v>
      </c>
      <c r="BE37" s="10" t="s">
        <v>146</v>
      </c>
      <c r="BF37" s="10" t="s">
        <v>607</v>
      </c>
      <c r="BG37" s="10" t="s">
        <v>146</v>
      </c>
      <c r="BH37" s="10" t="s">
        <v>146</v>
      </c>
      <c r="BI37" s="12">
        <v>10.0</v>
      </c>
      <c r="BJ37" s="12">
        <v>5.0</v>
      </c>
      <c r="BK37" s="12">
        <v>7.0</v>
      </c>
      <c r="BL37" s="12">
        <v>0.0</v>
      </c>
      <c r="BM37" s="12">
        <v>0.0</v>
      </c>
      <c r="BN37" s="12">
        <v>0.0</v>
      </c>
      <c r="BO37" s="10" t="s">
        <v>355</v>
      </c>
      <c r="BP37" s="10" t="s">
        <v>153</v>
      </c>
      <c r="BQ37" s="10" t="s">
        <v>140</v>
      </c>
      <c r="BR37" s="10" t="s">
        <v>146</v>
      </c>
      <c r="BS37" s="10" t="s">
        <v>140</v>
      </c>
      <c r="BT37" s="10" t="s">
        <v>146</v>
      </c>
      <c r="BU37" s="10" t="s">
        <v>140</v>
      </c>
      <c r="BV37" s="10" t="s">
        <v>140</v>
      </c>
      <c r="BW37" s="10" t="s">
        <v>140</v>
      </c>
      <c r="BX37" s="10" t="s">
        <v>140</v>
      </c>
      <c r="BY37" s="10" t="s">
        <v>140</v>
      </c>
      <c r="BZ37" s="10" t="s">
        <v>608</v>
      </c>
      <c r="CA37" s="10" t="s">
        <v>140</v>
      </c>
      <c r="CB37" s="10" t="s">
        <v>609</v>
      </c>
      <c r="CC37" s="10" t="s">
        <v>610</v>
      </c>
      <c r="CD37" s="10" t="s">
        <v>611</v>
      </c>
    </row>
    <row r="38" ht="15.75" customHeight="1">
      <c r="A38" s="10" t="s">
        <v>612</v>
      </c>
      <c r="B38" s="10"/>
      <c r="C38" s="10" t="s">
        <v>29</v>
      </c>
      <c r="D38" s="10" t="s">
        <v>613</v>
      </c>
      <c r="E38" s="10" t="s">
        <v>614</v>
      </c>
      <c r="F38" s="10" t="s">
        <v>140</v>
      </c>
      <c r="G38" s="10" t="s">
        <v>615</v>
      </c>
      <c r="H38" s="10" t="s">
        <v>616</v>
      </c>
      <c r="I38" s="10" t="s">
        <v>617</v>
      </c>
      <c r="J38" s="10" t="s">
        <v>618</v>
      </c>
      <c r="K38" s="10" t="s">
        <v>166</v>
      </c>
      <c r="L38" s="10" t="s">
        <v>140</v>
      </c>
      <c r="M38" s="10" t="s">
        <v>140</v>
      </c>
      <c r="N38" s="10" t="s">
        <v>140</v>
      </c>
      <c r="O38" s="10" t="s">
        <v>140</v>
      </c>
      <c r="P38" s="10" t="s">
        <v>140</v>
      </c>
      <c r="Q38" s="10" t="s">
        <v>140</v>
      </c>
      <c r="R38" s="10" t="s">
        <v>140</v>
      </c>
      <c r="S38" s="10" t="s">
        <v>140</v>
      </c>
      <c r="T38" s="10" t="s">
        <v>140</v>
      </c>
      <c r="U38" s="10" t="s">
        <v>140</v>
      </c>
      <c r="V38" s="10" t="s">
        <v>140</v>
      </c>
      <c r="W38" s="10" t="s">
        <v>140</v>
      </c>
      <c r="X38" s="10" t="s">
        <v>140</v>
      </c>
      <c r="Y38" s="10" t="s">
        <v>140</v>
      </c>
      <c r="Z38" s="10" t="s">
        <v>85</v>
      </c>
      <c r="AA38" s="10" t="s">
        <v>619</v>
      </c>
      <c r="AB38" s="12">
        <v>0.0</v>
      </c>
      <c r="AC38" s="12">
        <v>25.0</v>
      </c>
      <c r="AD38" s="12">
        <v>25.0</v>
      </c>
      <c r="AE38" s="12">
        <v>5.0</v>
      </c>
      <c r="AF38" s="10" t="s">
        <v>146</v>
      </c>
      <c r="AG38" s="10" t="s">
        <v>146</v>
      </c>
      <c r="AH38" s="10" t="s">
        <v>168</v>
      </c>
      <c r="AI38" s="10" t="s">
        <v>140</v>
      </c>
      <c r="AJ38" s="10" t="s">
        <v>189</v>
      </c>
      <c r="AK38" s="10" t="s">
        <v>140</v>
      </c>
      <c r="AL38" s="10" t="s">
        <v>97</v>
      </c>
      <c r="AM38" s="10" t="s">
        <v>140</v>
      </c>
      <c r="AN38" s="10" t="s">
        <v>99</v>
      </c>
      <c r="AO38" s="10" t="s">
        <v>140</v>
      </c>
      <c r="AP38" s="10" t="s">
        <v>140</v>
      </c>
      <c r="AQ38" s="10" t="s">
        <v>140</v>
      </c>
      <c r="AR38" s="10" t="s">
        <v>149</v>
      </c>
      <c r="AS38" s="10" t="s">
        <v>140</v>
      </c>
      <c r="AT38" s="10" t="s">
        <v>102</v>
      </c>
      <c r="AU38" s="10" t="s">
        <v>103</v>
      </c>
      <c r="AV38" s="10" t="s">
        <v>140</v>
      </c>
      <c r="AW38" s="10" t="s">
        <v>140</v>
      </c>
      <c r="AX38" s="10" t="s">
        <v>140</v>
      </c>
      <c r="AY38" s="10" t="s">
        <v>107</v>
      </c>
      <c r="AZ38" s="10" t="s">
        <v>108</v>
      </c>
      <c r="BA38" s="10" t="s">
        <v>140</v>
      </c>
      <c r="BB38" s="10" t="s">
        <v>140</v>
      </c>
      <c r="BC38" s="12">
        <v>3.0</v>
      </c>
      <c r="BD38" s="12">
        <v>4.0</v>
      </c>
      <c r="BE38" s="10" t="s">
        <v>146</v>
      </c>
      <c r="BF38" s="10" t="s">
        <v>620</v>
      </c>
      <c r="BG38" s="10" t="s">
        <v>146</v>
      </c>
      <c r="BH38" s="10" t="s">
        <v>146</v>
      </c>
      <c r="BI38" s="12">
        <v>2.0</v>
      </c>
      <c r="BJ38" s="12">
        <v>7.0</v>
      </c>
      <c r="BK38" s="12">
        <v>5.0</v>
      </c>
      <c r="BL38" s="12">
        <v>7.0</v>
      </c>
      <c r="BM38" s="12">
        <v>8.0</v>
      </c>
      <c r="BN38" s="12">
        <v>9.0</v>
      </c>
      <c r="BO38" s="10" t="s">
        <v>205</v>
      </c>
      <c r="BP38" s="10" t="s">
        <v>153</v>
      </c>
      <c r="BQ38" s="10" t="s">
        <v>140</v>
      </c>
      <c r="BR38" s="10" t="s">
        <v>146</v>
      </c>
      <c r="BS38" s="10" t="s">
        <v>140</v>
      </c>
      <c r="BT38" s="10" t="s">
        <v>146</v>
      </c>
      <c r="BU38" s="10" t="s">
        <v>140</v>
      </c>
      <c r="BV38" s="10" t="s">
        <v>140</v>
      </c>
      <c r="BW38" s="10" t="s">
        <v>140</v>
      </c>
      <c r="BX38" s="10" t="s">
        <v>140</v>
      </c>
      <c r="BY38" s="10" t="s">
        <v>140</v>
      </c>
      <c r="BZ38" s="10" t="s">
        <v>621</v>
      </c>
      <c r="CA38" s="10" t="s">
        <v>622</v>
      </c>
      <c r="CB38" s="10" t="s">
        <v>623</v>
      </c>
      <c r="CC38" s="10" t="s">
        <v>624</v>
      </c>
      <c r="CD38" s="10" t="s">
        <v>625</v>
      </c>
    </row>
    <row r="39" ht="15.75" customHeight="1">
      <c r="A39" s="10" t="s">
        <v>626</v>
      </c>
      <c r="B39" s="10"/>
      <c r="C39" s="10" t="s">
        <v>55</v>
      </c>
      <c r="D39" s="10" t="s">
        <v>627</v>
      </c>
      <c r="E39" s="10" t="s">
        <v>213</v>
      </c>
      <c r="F39" s="10" t="s">
        <v>140</v>
      </c>
      <c r="G39" s="10" t="s">
        <v>628</v>
      </c>
      <c r="H39" s="10" t="s">
        <v>629</v>
      </c>
      <c r="I39" s="10" t="s">
        <v>630</v>
      </c>
      <c r="J39" s="10" t="s">
        <v>631</v>
      </c>
      <c r="K39" s="10" t="s">
        <v>261</v>
      </c>
      <c r="L39" s="10" t="s">
        <v>140</v>
      </c>
      <c r="M39" s="10" t="s">
        <v>72</v>
      </c>
      <c r="N39" s="10" t="s">
        <v>140</v>
      </c>
      <c r="O39" s="10" t="s">
        <v>74</v>
      </c>
      <c r="P39" s="10" t="s">
        <v>75</v>
      </c>
      <c r="Q39" s="10" t="s">
        <v>76</v>
      </c>
      <c r="R39" s="10" t="s">
        <v>77</v>
      </c>
      <c r="S39" s="10" t="s">
        <v>78</v>
      </c>
      <c r="T39" s="10" t="s">
        <v>79</v>
      </c>
      <c r="U39" s="10" t="s">
        <v>80</v>
      </c>
      <c r="V39" s="10" t="s">
        <v>81</v>
      </c>
      <c r="W39" s="10" t="s">
        <v>82</v>
      </c>
      <c r="X39" s="10" t="s">
        <v>83</v>
      </c>
      <c r="Y39" s="10" t="s">
        <v>84</v>
      </c>
      <c r="Z39" s="10" t="s">
        <v>140</v>
      </c>
      <c r="AA39" s="10" t="s">
        <v>140</v>
      </c>
      <c r="AB39" s="12">
        <v>25.0</v>
      </c>
      <c r="AC39" s="12">
        <v>95.0</v>
      </c>
      <c r="AD39" s="12">
        <v>95.0</v>
      </c>
      <c r="AE39" s="12">
        <v>20.0</v>
      </c>
      <c r="AF39" s="10" t="s">
        <v>146</v>
      </c>
      <c r="AG39" s="10" t="s">
        <v>146</v>
      </c>
      <c r="AH39" s="10" t="s">
        <v>168</v>
      </c>
      <c r="AI39" s="10" t="s">
        <v>140</v>
      </c>
      <c r="AJ39" s="10" t="s">
        <v>189</v>
      </c>
      <c r="AK39" s="10" t="s">
        <v>140</v>
      </c>
      <c r="AL39" s="10" t="s">
        <v>97</v>
      </c>
      <c r="AM39" s="10" t="s">
        <v>98</v>
      </c>
      <c r="AN39" s="10" t="s">
        <v>99</v>
      </c>
      <c r="AO39" s="10" t="s">
        <v>100</v>
      </c>
      <c r="AP39" s="10" t="s">
        <v>140</v>
      </c>
      <c r="AQ39" s="10" t="s">
        <v>140</v>
      </c>
      <c r="AR39" s="10" t="s">
        <v>149</v>
      </c>
      <c r="AS39" s="10" t="s">
        <v>140</v>
      </c>
      <c r="AT39" s="10" t="s">
        <v>140</v>
      </c>
      <c r="AU39" s="10" t="s">
        <v>140</v>
      </c>
      <c r="AV39" s="10" t="s">
        <v>140</v>
      </c>
      <c r="AW39" s="10" t="s">
        <v>140</v>
      </c>
      <c r="AX39" s="10" t="s">
        <v>140</v>
      </c>
      <c r="AY39" s="10" t="s">
        <v>107</v>
      </c>
      <c r="AZ39" s="10" t="s">
        <v>140</v>
      </c>
      <c r="BA39" s="10" t="s">
        <v>140</v>
      </c>
      <c r="BB39" s="10" t="s">
        <v>140</v>
      </c>
      <c r="BC39" s="12">
        <v>3.0</v>
      </c>
      <c r="BD39" s="12">
        <v>3.0</v>
      </c>
      <c r="BE39" s="10" t="s">
        <v>168</v>
      </c>
      <c r="BF39" s="10" t="s">
        <v>140</v>
      </c>
      <c r="BG39" s="10" t="s">
        <v>140</v>
      </c>
      <c r="BH39" s="10" t="s">
        <v>146</v>
      </c>
      <c r="BI39" s="12">
        <v>6.0</v>
      </c>
      <c r="BJ39" s="12">
        <v>6.0</v>
      </c>
      <c r="BK39" s="12">
        <v>6.0</v>
      </c>
      <c r="BL39" s="12">
        <v>5.0</v>
      </c>
      <c r="BM39" s="12">
        <v>6.0</v>
      </c>
      <c r="BN39" s="12">
        <v>5.0</v>
      </c>
      <c r="BO39" s="10" t="s">
        <v>152</v>
      </c>
      <c r="BP39" s="10" t="s">
        <v>153</v>
      </c>
      <c r="BQ39" s="10" t="s">
        <v>140</v>
      </c>
      <c r="BR39" s="10" t="s">
        <v>146</v>
      </c>
      <c r="BS39" s="10" t="s">
        <v>140</v>
      </c>
      <c r="BT39" s="10" t="s">
        <v>146</v>
      </c>
      <c r="BU39" s="10" t="s">
        <v>140</v>
      </c>
      <c r="BV39" s="10" t="s">
        <v>140</v>
      </c>
      <c r="BW39" s="10" t="s">
        <v>140</v>
      </c>
      <c r="BX39" s="10" t="s">
        <v>140</v>
      </c>
      <c r="BY39" s="10" t="s">
        <v>140</v>
      </c>
      <c r="BZ39" s="10" t="s">
        <v>632</v>
      </c>
      <c r="CA39" s="10" t="s">
        <v>633</v>
      </c>
      <c r="CB39" s="10" t="s">
        <v>634</v>
      </c>
      <c r="CC39" s="10" t="s">
        <v>635</v>
      </c>
      <c r="CD39" s="10" t="s">
        <v>636</v>
      </c>
    </row>
    <row r="40" ht="15.75" customHeight="1">
      <c r="A40" s="10" t="s">
        <v>637</v>
      </c>
      <c r="B40" s="10"/>
      <c r="C40" s="10" t="s">
        <v>37</v>
      </c>
      <c r="D40" s="10" t="s">
        <v>638</v>
      </c>
      <c r="E40" s="10" t="s">
        <v>584</v>
      </c>
      <c r="F40" s="10" t="s">
        <v>140</v>
      </c>
      <c r="G40" s="10" t="s">
        <v>639</v>
      </c>
      <c r="H40" s="10" t="s">
        <v>640</v>
      </c>
      <c r="I40" s="10" t="s">
        <v>641</v>
      </c>
      <c r="J40" s="10" t="s">
        <v>642</v>
      </c>
      <c r="K40" s="10" t="s">
        <v>166</v>
      </c>
      <c r="L40" s="10" t="s">
        <v>140</v>
      </c>
      <c r="M40" s="10" t="s">
        <v>72</v>
      </c>
      <c r="N40" s="10" t="s">
        <v>73</v>
      </c>
      <c r="O40" s="10" t="s">
        <v>74</v>
      </c>
      <c r="P40" s="10" t="s">
        <v>75</v>
      </c>
      <c r="Q40" s="10" t="s">
        <v>76</v>
      </c>
      <c r="R40" s="10" t="s">
        <v>77</v>
      </c>
      <c r="S40" s="10" t="s">
        <v>140</v>
      </c>
      <c r="T40" s="10" t="s">
        <v>79</v>
      </c>
      <c r="U40" s="10" t="s">
        <v>140</v>
      </c>
      <c r="V40" s="10" t="s">
        <v>81</v>
      </c>
      <c r="W40" s="10" t="s">
        <v>82</v>
      </c>
      <c r="X40" s="10" t="s">
        <v>83</v>
      </c>
      <c r="Y40" s="10" t="s">
        <v>84</v>
      </c>
      <c r="Z40" s="10" t="s">
        <v>140</v>
      </c>
      <c r="AA40" s="10" t="s">
        <v>140</v>
      </c>
      <c r="AB40" s="12">
        <v>30.0</v>
      </c>
      <c r="AC40" s="12">
        <v>80.0</v>
      </c>
      <c r="AD40" s="12">
        <v>25.0</v>
      </c>
      <c r="AE40" s="12">
        <v>15.0</v>
      </c>
      <c r="AF40" s="10" t="s">
        <v>146</v>
      </c>
      <c r="AG40" s="10" t="s">
        <v>146</v>
      </c>
      <c r="AH40" s="10" t="s">
        <v>146</v>
      </c>
      <c r="AI40" s="10" t="s">
        <v>643</v>
      </c>
      <c r="AJ40" s="10" t="s">
        <v>140</v>
      </c>
      <c r="AK40" s="10" t="s">
        <v>140</v>
      </c>
      <c r="AL40" s="10" t="s">
        <v>140</v>
      </c>
      <c r="AM40" s="10" t="s">
        <v>140</v>
      </c>
      <c r="AN40" s="10" t="s">
        <v>99</v>
      </c>
      <c r="AO40" s="10" t="s">
        <v>100</v>
      </c>
      <c r="AP40" s="10" t="s">
        <v>140</v>
      </c>
      <c r="AQ40" s="10" t="s">
        <v>140</v>
      </c>
      <c r="AR40" s="10" t="s">
        <v>149</v>
      </c>
      <c r="AS40" s="10" t="s">
        <v>140</v>
      </c>
      <c r="AT40" s="10" t="s">
        <v>102</v>
      </c>
      <c r="AU40" s="10" t="s">
        <v>103</v>
      </c>
      <c r="AV40" s="10" t="s">
        <v>104</v>
      </c>
      <c r="AW40" s="10" t="s">
        <v>105</v>
      </c>
      <c r="AX40" s="10" t="s">
        <v>140</v>
      </c>
      <c r="AY40" s="10" t="s">
        <v>107</v>
      </c>
      <c r="AZ40" s="10" t="s">
        <v>108</v>
      </c>
      <c r="BA40" s="10" t="s">
        <v>140</v>
      </c>
      <c r="BB40" s="10" t="s">
        <v>140</v>
      </c>
      <c r="BC40" s="12">
        <v>7.0</v>
      </c>
      <c r="BD40" s="12">
        <v>7.0</v>
      </c>
      <c r="BE40" s="10" t="s">
        <v>146</v>
      </c>
      <c r="BF40" s="10" t="s">
        <v>644</v>
      </c>
      <c r="BG40" s="10" t="s">
        <v>146</v>
      </c>
      <c r="BH40" s="10" t="s">
        <v>146</v>
      </c>
      <c r="BI40" s="12">
        <v>10.0</v>
      </c>
      <c r="BJ40" s="12">
        <v>9.0</v>
      </c>
      <c r="BK40" s="12">
        <v>9.0</v>
      </c>
      <c r="BL40" s="12">
        <v>10.0</v>
      </c>
      <c r="BM40" s="12">
        <v>10.0</v>
      </c>
      <c r="BN40" s="12">
        <v>10.0</v>
      </c>
      <c r="BO40" s="10" t="s">
        <v>355</v>
      </c>
      <c r="BP40" s="10" t="s">
        <v>173</v>
      </c>
      <c r="BQ40" s="10" t="s">
        <v>140</v>
      </c>
      <c r="BR40" s="10" t="s">
        <v>146</v>
      </c>
      <c r="BS40" s="10" t="s">
        <v>140</v>
      </c>
      <c r="BT40" s="10" t="s">
        <v>146</v>
      </c>
      <c r="BU40" s="10" t="s">
        <v>140</v>
      </c>
      <c r="BV40" s="10" t="s">
        <v>140</v>
      </c>
      <c r="BW40" s="10" t="s">
        <v>140</v>
      </c>
      <c r="BX40" s="10" t="s">
        <v>140</v>
      </c>
      <c r="BY40" s="10" t="s">
        <v>140</v>
      </c>
      <c r="BZ40" s="10" t="s">
        <v>645</v>
      </c>
      <c r="CA40" s="10" t="s">
        <v>646</v>
      </c>
      <c r="CB40" s="10" t="s">
        <v>647</v>
      </c>
      <c r="CC40" s="10" t="s">
        <v>648</v>
      </c>
      <c r="CD40" s="10" t="s">
        <v>649</v>
      </c>
    </row>
    <row r="41" ht="15.75" customHeight="1">
      <c r="A41" s="10" t="s">
        <v>650</v>
      </c>
      <c r="B41" s="10"/>
      <c r="C41" s="10" t="s">
        <v>52</v>
      </c>
      <c r="D41" s="10" t="s">
        <v>651</v>
      </c>
      <c r="E41" s="10" t="s">
        <v>470</v>
      </c>
      <c r="F41" s="10" t="s">
        <v>140</v>
      </c>
      <c r="G41" s="10" t="s">
        <v>652</v>
      </c>
      <c r="H41" s="10" t="s">
        <v>653</v>
      </c>
      <c r="I41" s="10" t="s">
        <v>654</v>
      </c>
      <c r="J41" s="10" t="s">
        <v>655</v>
      </c>
      <c r="K41" s="10" t="s">
        <v>166</v>
      </c>
      <c r="L41" s="10" t="s">
        <v>140</v>
      </c>
      <c r="M41" s="10" t="s">
        <v>72</v>
      </c>
      <c r="N41" s="10" t="s">
        <v>73</v>
      </c>
      <c r="O41" s="10" t="s">
        <v>74</v>
      </c>
      <c r="P41" s="10" t="s">
        <v>75</v>
      </c>
      <c r="Q41" s="10" t="s">
        <v>76</v>
      </c>
      <c r="R41" s="10" t="s">
        <v>77</v>
      </c>
      <c r="S41" s="10" t="s">
        <v>140</v>
      </c>
      <c r="T41" s="10" t="s">
        <v>79</v>
      </c>
      <c r="U41" s="10" t="s">
        <v>140</v>
      </c>
      <c r="V41" s="10" t="s">
        <v>140</v>
      </c>
      <c r="W41" s="10" t="s">
        <v>82</v>
      </c>
      <c r="X41" s="10" t="s">
        <v>83</v>
      </c>
      <c r="Y41" s="10" t="s">
        <v>84</v>
      </c>
      <c r="Z41" s="10" t="s">
        <v>140</v>
      </c>
      <c r="AA41" s="10" t="s">
        <v>140</v>
      </c>
      <c r="AB41" s="12">
        <v>5.0</v>
      </c>
      <c r="AC41" s="12">
        <v>35.0</v>
      </c>
      <c r="AD41" s="12">
        <v>50.0</v>
      </c>
      <c r="AE41" s="12">
        <v>10.0</v>
      </c>
      <c r="AF41" s="10" t="s">
        <v>146</v>
      </c>
      <c r="AG41" s="10" t="s">
        <v>146</v>
      </c>
      <c r="AH41" s="10" t="s">
        <v>146</v>
      </c>
      <c r="AI41" s="10" t="s">
        <v>656</v>
      </c>
      <c r="AJ41" s="10" t="s">
        <v>140</v>
      </c>
      <c r="AK41" s="10" t="s">
        <v>140</v>
      </c>
      <c r="AL41" s="10" t="s">
        <v>140</v>
      </c>
      <c r="AM41" s="10" t="s">
        <v>140</v>
      </c>
      <c r="AN41" s="10" t="s">
        <v>140</v>
      </c>
      <c r="AO41" s="10" t="s">
        <v>140</v>
      </c>
      <c r="AP41" s="10" t="s">
        <v>85</v>
      </c>
      <c r="AQ41" s="10" t="s">
        <v>657</v>
      </c>
      <c r="AR41" s="10" t="s">
        <v>149</v>
      </c>
      <c r="AS41" s="10" t="s">
        <v>140</v>
      </c>
      <c r="AT41" s="10" t="s">
        <v>102</v>
      </c>
      <c r="AU41" s="10" t="s">
        <v>140</v>
      </c>
      <c r="AV41" s="10" t="s">
        <v>140</v>
      </c>
      <c r="AW41" s="10" t="s">
        <v>140</v>
      </c>
      <c r="AX41" s="10" t="s">
        <v>140</v>
      </c>
      <c r="AY41" s="10" t="s">
        <v>107</v>
      </c>
      <c r="AZ41" s="10" t="s">
        <v>108</v>
      </c>
      <c r="BA41" s="10" t="s">
        <v>140</v>
      </c>
      <c r="BB41" s="10" t="s">
        <v>140</v>
      </c>
      <c r="BC41" s="12">
        <v>7.0</v>
      </c>
      <c r="BD41" s="12">
        <v>5.0</v>
      </c>
      <c r="BE41" s="10" t="s">
        <v>168</v>
      </c>
      <c r="BF41" s="10" t="s">
        <v>140</v>
      </c>
      <c r="BG41" s="10" t="s">
        <v>140</v>
      </c>
      <c r="BH41" s="10" t="s">
        <v>146</v>
      </c>
      <c r="BI41" s="12">
        <v>7.0</v>
      </c>
      <c r="BJ41" s="12">
        <v>7.0</v>
      </c>
      <c r="BK41" s="12">
        <v>7.0</v>
      </c>
      <c r="BL41" s="12">
        <v>2.0</v>
      </c>
      <c r="BM41" s="12">
        <v>9.0</v>
      </c>
      <c r="BN41" s="12">
        <v>2.0</v>
      </c>
      <c r="BO41" s="10" t="s">
        <v>152</v>
      </c>
      <c r="BP41" s="10" t="s">
        <v>153</v>
      </c>
      <c r="BQ41" s="10" t="s">
        <v>140</v>
      </c>
      <c r="BR41" s="10" t="s">
        <v>146</v>
      </c>
      <c r="BS41" s="10" t="s">
        <v>140</v>
      </c>
      <c r="BT41" s="10" t="s">
        <v>146</v>
      </c>
      <c r="BU41" s="10" t="s">
        <v>140</v>
      </c>
      <c r="BV41" s="10" t="s">
        <v>140</v>
      </c>
      <c r="BW41" s="10" t="s">
        <v>140</v>
      </c>
      <c r="BX41" s="10" t="s">
        <v>140</v>
      </c>
      <c r="BY41" s="10" t="s">
        <v>140</v>
      </c>
      <c r="BZ41" s="10" t="s">
        <v>658</v>
      </c>
      <c r="CA41" s="10" t="s">
        <v>659</v>
      </c>
      <c r="CB41" s="10" t="s">
        <v>660</v>
      </c>
      <c r="CC41" s="10" t="s">
        <v>661</v>
      </c>
      <c r="CD41" s="10" t="s">
        <v>662</v>
      </c>
    </row>
    <row r="42" ht="15.75" customHeight="1">
      <c r="A42" s="10" t="s">
        <v>663</v>
      </c>
      <c r="B42" s="10"/>
      <c r="C42" s="10" t="s">
        <v>58</v>
      </c>
      <c r="D42" s="10" t="s">
        <v>664</v>
      </c>
      <c r="E42" s="10" t="s">
        <v>665</v>
      </c>
      <c r="F42" s="10" t="s">
        <v>140</v>
      </c>
      <c r="G42" s="10" t="s">
        <v>666</v>
      </c>
      <c r="H42" s="10" t="s">
        <v>667</v>
      </c>
      <c r="I42" s="10" t="s">
        <v>668</v>
      </c>
      <c r="J42" s="10" t="s">
        <v>669</v>
      </c>
      <c r="K42" s="10" t="s">
        <v>187</v>
      </c>
      <c r="L42" s="10" t="s">
        <v>140</v>
      </c>
      <c r="M42" s="10" t="s">
        <v>140</v>
      </c>
      <c r="N42" s="10" t="s">
        <v>73</v>
      </c>
      <c r="O42" s="10" t="s">
        <v>140</v>
      </c>
      <c r="P42" s="10" t="s">
        <v>140</v>
      </c>
      <c r="Q42" s="10" t="s">
        <v>76</v>
      </c>
      <c r="R42" s="10" t="s">
        <v>77</v>
      </c>
      <c r="S42" s="10" t="s">
        <v>78</v>
      </c>
      <c r="T42" s="10" t="s">
        <v>79</v>
      </c>
      <c r="U42" s="10" t="s">
        <v>80</v>
      </c>
      <c r="V42" s="10" t="s">
        <v>140</v>
      </c>
      <c r="W42" s="10" t="s">
        <v>82</v>
      </c>
      <c r="X42" s="10" t="s">
        <v>83</v>
      </c>
      <c r="Y42" s="10" t="s">
        <v>84</v>
      </c>
      <c r="Z42" s="10" t="s">
        <v>140</v>
      </c>
      <c r="AA42" s="10" t="s">
        <v>140</v>
      </c>
      <c r="AB42" s="12">
        <v>20.0</v>
      </c>
      <c r="AC42" s="12">
        <v>35.0</v>
      </c>
      <c r="AD42" s="12">
        <v>15.0</v>
      </c>
      <c r="AE42" s="12">
        <v>15.0</v>
      </c>
      <c r="AF42" s="10" t="s">
        <v>146</v>
      </c>
      <c r="AG42" s="10" t="s">
        <v>146</v>
      </c>
      <c r="AH42" s="10" t="s">
        <v>168</v>
      </c>
      <c r="AI42" s="10" t="s">
        <v>140</v>
      </c>
      <c r="AJ42" s="10" t="s">
        <v>189</v>
      </c>
      <c r="AK42" s="10" t="s">
        <v>140</v>
      </c>
      <c r="AL42" s="10" t="s">
        <v>97</v>
      </c>
      <c r="AM42" s="10" t="s">
        <v>140</v>
      </c>
      <c r="AN42" s="10" t="s">
        <v>140</v>
      </c>
      <c r="AO42" s="10" t="s">
        <v>140</v>
      </c>
      <c r="AP42" s="10" t="s">
        <v>85</v>
      </c>
      <c r="AQ42" s="10" t="s">
        <v>670</v>
      </c>
      <c r="AR42" s="10" t="s">
        <v>149</v>
      </c>
      <c r="AS42" s="10" t="s">
        <v>140</v>
      </c>
      <c r="AT42" s="10" t="s">
        <v>102</v>
      </c>
      <c r="AU42" s="10" t="s">
        <v>103</v>
      </c>
      <c r="AV42" s="10" t="s">
        <v>104</v>
      </c>
      <c r="AW42" s="10" t="s">
        <v>105</v>
      </c>
      <c r="AX42" s="10" t="s">
        <v>106</v>
      </c>
      <c r="AY42" s="10" t="s">
        <v>140</v>
      </c>
      <c r="AZ42" s="10" t="s">
        <v>108</v>
      </c>
      <c r="BA42" s="10" t="s">
        <v>140</v>
      </c>
      <c r="BB42" s="10" t="s">
        <v>140</v>
      </c>
      <c r="BC42" s="12">
        <v>4.0</v>
      </c>
      <c r="BD42" s="12">
        <v>4.0</v>
      </c>
      <c r="BE42" s="10" t="s">
        <v>168</v>
      </c>
      <c r="BF42" s="10" t="s">
        <v>140</v>
      </c>
      <c r="BG42" s="10" t="s">
        <v>140</v>
      </c>
      <c r="BH42" s="10" t="s">
        <v>146</v>
      </c>
      <c r="BI42" s="12">
        <v>5.0</v>
      </c>
      <c r="BJ42" s="12">
        <v>5.0</v>
      </c>
      <c r="BK42" s="12">
        <v>5.0</v>
      </c>
      <c r="BL42" s="12">
        <v>0.0</v>
      </c>
      <c r="BM42" s="12">
        <v>0.0</v>
      </c>
      <c r="BN42" s="12">
        <v>0.0</v>
      </c>
      <c r="BO42" s="10" t="s">
        <v>152</v>
      </c>
      <c r="BP42" s="10" t="s">
        <v>153</v>
      </c>
      <c r="BQ42" s="10" t="s">
        <v>140</v>
      </c>
      <c r="BR42" s="10" t="s">
        <v>168</v>
      </c>
      <c r="BS42" s="10" t="s">
        <v>671</v>
      </c>
      <c r="BT42" s="10" t="s">
        <v>168</v>
      </c>
      <c r="BU42" s="10" t="s">
        <v>664</v>
      </c>
      <c r="BV42" s="10" t="s">
        <v>665</v>
      </c>
      <c r="BW42" s="10" t="s">
        <v>174</v>
      </c>
      <c r="BX42" s="10" t="s">
        <v>666</v>
      </c>
      <c r="BY42" s="10" t="s">
        <v>672</v>
      </c>
      <c r="BZ42" s="10" t="s">
        <v>673</v>
      </c>
      <c r="CA42" s="10" t="s">
        <v>674</v>
      </c>
      <c r="CB42" s="10" t="s">
        <v>675</v>
      </c>
      <c r="CC42" s="10" t="s">
        <v>676</v>
      </c>
      <c r="CD42" s="10" t="s">
        <v>677</v>
      </c>
    </row>
    <row r="43" ht="15.75" customHeight="1">
      <c r="A43" s="10" t="s">
        <v>678</v>
      </c>
      <c r="B43" s="10"/>
      <c r="C43" s="10" t="s">
        <v>679</v>
      </c>
      <c r="D43" s="10" t="s">
        <v>680</v>
      </c>
      <c r="E43" s="10" t="s">
        <v>523</v>
      </c>
      <c r="F43" s="10" t="s">
        <v>140</v>
      </c>
      <c r="G43" s="10" t="s">
        <v>681</v>
      </c>
      <c r="H43" s="10" t="s">
        <v>682</v>
      </c>
      <c r="I43" s="10" t="s">
        <v>683</v>
      </c>
      <c r="J43" s="10" t="s">
        <v>684</v>
      </c>
      <c r="K43" s="10" t="s">
        <v>166</v>
      </c>
      <c r="L43" s="10" t="s">
        <v>140</v>
      </c>
      <c r="M43" s="10" t="s">
        <v>72</v>
      </c>
      <c r="N43" s="10" t="s">
        <v>73</v>
      </c>
      <c r="O43" s="10" t="s">
        <v>74</v>
      </c>
      <c r="P43" s="10" t="s">
        <v>75</v>
      </c>
      <c r="Q43" s="10" t="s">
        <v>76</v>
      </c>
      <c r="R43" s="10" t="s">
        <v>77</v>
      </c>
      <c r="S43" s="10" t="s">
        <v>78</v>
      </c>
      <c r="T43" s="10" t="s">
        <v>79</v>
      </c>
      <c r="U43" s="10" t="s">
        <v>80</v>
      </c>
      <c r="V43" s="10" t="s">
        <v>140</v>
      </c>
      <c r="W43" s="10" t="s">
        <v>140</v>
      </c>
      <c r="X43" s="10" t="s">
        <v>83</v>
      </c>
      <c r="Y43" s="10" t="s">
        <v>84</v>
      </c>
      <c r="Z43" s="10" t="s">
        <v>140</v>
      </c>
      <c r="AA43" s="10" t="s">
        <v>140</v>
      </c>
      <c r="AB43" s="12">
        <v>20.0</v>
      </c>
      <c r="AC43" s="12">
        <v>20.0</v>
      </c>
      <c r="AD43" s="12">
        <v>10.0</v>
      </c>
      <c r="AE43" s="12">
        <v>0.0</v>
      </c>
      <c r="AF43" s="10" t="s">
        <v>146</v>
      </c>
      <c r="AG43" s="10" t="s">
        <v>146</v>
      </c>
      <c r="AH43" s="10" t="s">
        <v>146</v>
      </c>
      <c r="AI43" s="10" t="s">
        <v>685</v>
      </c>
      <c r="AJ43" s="10" t="s">
        <v>140</v>
      </c>
      <c r="AK43" s="10" t="s">
        <v>140</v>
      </c>
      <c r="AL43" s="10" t="s">
        <v>97</v>
      </c>
      <c r="AM43" s="10" t="s">
        <v>140</v>
      </c>
      <c r="AN43" s="10" t="s">
        <v>99</v>
      </c>
      <c r="AO43" s="10" t="s">
        <v>100</v>
      </c>
      <c r="AP43" s="10" t="s">
        <v>140</v>
      </c>
      <c r="AQ43" s="10" t="s">
        <v>140</v>
      </c>
      <c r="AR43" s="10" t="s">
        <v>149</v>
      </c>
      <c r="AS43" s="10" t="s">
        <v>140</v>
      </c>
      <c r="AT43" s="10" t="s">
        <v>102</v>
      </c>
      <c r="AU43" s="10" t="s">
        <v>103</v>
      </c>
      <c r="AV43" s="10" t="s">
        <v>104</v>
      </c>
      <c r="AW43" s="10" t="s">
        <v>140</v>
      </c>
      <c r="AX43" s="10" t="s">
        <v>140</v>
      </c>
      <c r="AY43" s="10" t="s">
        <v>140</v>
      </c>
      <c r="AZ43" s="10" t="s">
        <v>140</v>
      </c>
      <c r="BA43" s="10" t="s">
        <v>140</v>
      </c>
      <c r="BB43" s="10" t="s">
        <v>140</v>
      </c>
      <c r="BC43" s="12">
        <v>7.0</v>
      </c>
      <c r="BD43" s="12">
        <v>3.0</v>
      </c>
      <c r="BE43" s="10" t="s">
        <v>146</v>
      </c>
      <c r="BF43" s="10" t="s">
        <v>686</v>
      </c>
      <c r="BG43" s="10" t="s">
        <v>146</v>
      </c>
      <c r="BH43" s="10" t="s">
        <v>146</v>
      </c>
      <c r="BI43" s="12">
        <v>0.0</v>
      </c>
      <c r="BJ43" s="12">
        <v>0.0</v>
      </c>
      <c r="BK43" s="12">
        <v>5.0</v>
      </c>
      <c r="BL43" s="12">
        <v>3.0</v>
      </c>
      <c r="BM43" s="12">
        <v>3.0</v>
      </c>
      <c r="BN43" s="12">
        <v>3.0</v>
      </c>
      <c r="BO43" s="10" t="s">
        <v>355</v>
      </c>
      <c r="BP43" s="10" t="s">
        <v>153</v>
      </c>
      <c r="BQ43" s="10" t="s">
        <v>140</v>
      </c>
      <c r="BR43" s="10" t="s">
        <v>146</v>
      </c>
      <c r="BS43" s="10" t="s">
        <v>140</v>
      </c>
      <c r="BT43" s="10" t="s">
        <v>146</v>
      </c>
      <c r="BU43" s="10" t="s">
        <v>140</v>
      </c>
      <c r="BV43" s="10" t="s">
        <v>140</v>
      </c>
      <c r="BW43" s="10" t="s">
        <v>140</v>
      </c>
      <c r="BX43" s="10" t="s">
        <v>140</v>
      </c>
      <c r="BY43" s="10" t="s">
        <v>140</v>
      </c>
      <c r="BZ43" s="10" t="s">
        <v>687</v>
      </c>
      <c r="CA43" s="10" t="s">
        <v>688</v>
      </c>
      <c r="CB43" s="10" t="s">
        <v>689</v>
      </c>
      <c r="CC43" s="10" t="s">
        <v>690</v>
      </c>
      <c r="CD43" s="10" t="s">
        <v>691</v>
      </c>
    </row>
    <row r="44" ht="15.75" customHeight="1">
      <c r="A44" s="10"/>
      <c r="B44" s="10"/>
      <c r="C44" s="10" t="s">
        <v>692</v>
      </c>
      <c r="D44" s="10"/>
      <c r="E44" s="10"/>
      <c r="F44" s="10"/>
      <c r="G44" s="10"/>
      <c r="H44" s="10"/>
      <c r="I44" s="10"/>
      <c r="J44" s="10"/>
      <c r="K44" s="10"/>
      <c r="L44" s="10"/>
      <c r="M44" s="10"/>
      <c r="N44" s="10"/>
      <c r="O44" s="10"/>
      <c r="P44" s="10"/>
      <c r="Q44" s="10"/>
      <c r="R44" s="10"/>
      <c r="S44" s="10"/>
      <c r="T44" s="10"/>
      <c r="U44" s="10"/>
      <c r="V44" s="10"/>
      <c r="W44" s="10"/>
      <c r="X44" s="10"/>
      <c r="Y44" s="10"/>
      <c r="Z44" s="10"/>
      <c r="AA44" s="10"/>
      <c r="AB44" s="12"/>
      <c r="AC44" s="12"/>
      <c r="AD44" s="12"/>
      <c r="AE44" s="12"/>
      <c r="AF44" s="10"/>
      <c r="AG44" s="10"/>
      <c r="AH44" s="10"/>
      <c r="AI44" s="10"/>
      <c r="AJ44" s="10"/>
      <c r="AK44" s="10"/>
      <c r="AL44" s="10"/>
      <c r="AM44" s="10"/>
      <c r="AN44" s="10"/>
      <c r="AO44" s="10"/>
      <c r="AP44" s="10"/>
      <c r="AQ44" s="10"/>
      <c r="AR44" s="10"/>
      <c r="AS44" s="10"/>
      <c r="AT44" s="10"/>
      <c r="AU44" s="10"/>
      <c r="AV44" s="10"/>
      <c r="AW44" s="10"/>
      <c r="AX44" s="10"/>
      <c r="AY44" s="10"/>
      <c r="AZ44" s="10"/>
      <c r="BA44" s="10"/>
      <c r="BB44" s="10"/>
      <c r="BC44" s="12"/>
      <c r="BD44" s="12"/>
      <c r="BE44" s="10"/>
      <c r="BF44" s="10"/>
      <c r="BG44" s="10"/>
      <c r="BH44" s="10"/>
      <c r="BI44" s="12">
        <v>10.0</v>
      </c>
      <c r="BJ44" s="12">
        <v>10.0</v>
      </c>
      <c r="BK44" s="12">
        <v>0.0</v>
      </c>
      <c r="BL44" s="12">
        <v>0.0</v>
      </c>
      <c r="BM44" s="12">
        <v>0.0</v>
      </c>
      <c r="BN44" s="12">
        <v>0.0</v>
      </c>
      <c r="BO44" s="10"/>
      <c r="BP44" s="10"/>
      <c r="BQ44" s="10"/>
      <c r="BR44" s="10"/>
      <c r="BS44" s="10"/>
      <c r="BT44" s="10"/>
      <c r="BU44" s="10"/>
      <c r="BV44" s="10"/>
      <c r="BW44" s="10"/>
      <c r="BX44" s="10"/>
      <c r="BY44" s="10"/>
      <c r="BZ44" s="10"/>
      <c r="CA44" s="10"/>
      <c r="CB44" s="10"/>
      <c r="CC44" s="10"/>
      <c r="CD44" s="10"/>
    </row>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26" width="8.71"/>
  </cols>
  <sheetData>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8.71"/>
    <col customWidth="1" min="2" max="2" width="10.0"/>
    <col customWidth="1" hidden="1" min="3" max="31" width="8.71"/>
    <col customWidth="1" min="32" max="35" width="8.71"/>
    <col customWidth="1" hidden="1" min="36" max="58" width="8.71"/>
    <col customWidth="1" min="59" max="59" width="8.71"/>
    <col customWidth="1" hidden="1" min="60" max="60" width="9.0"/>
    <col customWidth="1" min="61" max="62" width="9.0"/>
    <col customWidth="1" hidden="1" min="63" max="63" width="9.0"/>
    <col customWidth="1" min="64" max="65" width="9.0"/>
    <col customWidth="1" hidden="1" min="66" max="66" width="9.0"/>
    <col customWidth="1" min="67" max="68" width="9.0"/>
    <col customWidth="1" hidden="1" min="69" max="69" width="9.0"/>
    <col customWidth="1" min="70" max="71" width="9.0"/>
    <col customWidth="1" hidden="1" min="72" max="72" width="9.0"/>
    <col customWidth="1" min="73" max="74" width="9.0"/>
    <col customWidth="1" hidden="1" min="75" max="75" width="9.0"/>
    <col customWidth="1" min="76" max="77" width="9.0"/>
    <col customWidth="1" hidden="1" min="78" max="78" width="8.71"/>
    <col customWidth="1" min="79" max="79" width="8.71"/>
    <col customWidth="1" hidden="1" min="80" max="82" width="8.71"/>
    <col customWidth="1" min="83" max="83" width="8.71"/>
    <col customWidth="1" hidden="1" min="84" max="87" width="8.71"/>
    <col customWidth="1" min="88" max="89" width="8.71"/>
    <col customWidth="1" hidden="1" min="90" max="93" width="8.71"/>
    <col customWidth="1" min="94" max="98" width="8.71"/>
  </cols>
  <sheetData>
    <row r="1">
      <c r="A1" s="1" t="s">
        <v>0</v>
      </c>
      <c r="B1" s="2">
        <v>44014.0</v>
      </c>
      <c r="BI1" s="1"/>
      <c r="BJ1" s="18"/>
      <c r="BL1" s="1"/>
      <c r="BM1" s="18"/>
      <c r="BO1" s="1"/>
      <c r="BP1" s="18"/>
      <c r="BR1" s="1"/>
      <c r="BS1" s="18"/>
      <c r="BU1" s="1"/>
      <c r="BV1" s="18"/>
      <c r="BX1" s="1"/>
      <c r="BY1" s="18"/>
    </row>
    <row r="2">
      <c r="BH2" s="3" t="s">
        <v>693</v>
      </c>
      <c r="BI2" s="1" t="s">
        <v>694</v>
      </c>
      <c r="BJ2" s="18"/>
      <c r="BK2" s="3" t="s">
        <v>693</v>
      </c>
      <c r="BL2" s="1" t="s">
        <v>694</v>
      </c>
      <c r="BM2" s="18"/>
      <c r="BN2" s="3" t="s">
        <v>693</v>
      </c>
      <c r="BO2" s="1" t="s">
        <v>694</v>
      </c>
      <c r="BP2" s="18"/>
      <c r="BQ2" s="3" t="s">
        <v>693</v>
      </c>
      <c r="BR2" s="1" t="s">
        <v>694</v>
      </c>
      <c r="BS2" s="18"/>
      <c r="BT2" s="3" t="s">
        <v>693</v>
      </c>
      <c r="BU2" s="1" t="s">
        <v>694</v>
      </c>
      <c r="BV2" s="18"/>
      <c r="BW2" s="3" t="s">
        <v>693</v>
      </c>
      <c r="BX2" s="1" t="s">
        <v>694</v>
      </c>
      <c r="BY2" s="18"/>
    </row>
    <row r="3">
      <c r="A3" s="1" t="s">
        <v>1</v>
      </c>
      <c r="B3" s="3" t="s">
        <v>62</v>
      </c>
      <c r="C3" s="3" t="s">
        <v>63</v>
      </c>
      <c r="D3" s="3" t="s">
        <v>64</v>
      </c>
      <c r="E3" s="3" t="s">
        <v>65</v>
      </c>
      <c r="F3" s="3" t="s">
        <v>66</v>
      </c>
      <c r="G3" s="3" t="s">
        <v>67</v>
      </c>
      <c r="H3" s="3" t="s">
        <v>68</v>
      </c>
      <c r="I3" s="3" t="s">
        <v>69</v>
      </c>
      <c r="J3" s="3" t="s">
        <v>70</v>
      </c>
      <c r="K3" s="3" t="s">
        <v>71</v>
      </c>
      <c r="L3" s="3" t="s">
        <v>72</v>
      </c>
      <c r="M3" s="3" t="s">
        <v>73</v>
      </c>
      <c r="N3" s="3" t="s">
        <v>74</v>
      </c>
      <c r="O3" s="3" t="s">
        <v>75</v>
      </c>
      <c r="P3" s="3" t="s">
        <v>76</v>
      </c>
      <c r="Q3" s="3" t="s">
        <v>77</v>
      </c>
      <c r="R3" s="3" t="s">
        <v>78</v>
      </c>
      <c r="S3" s="3" t="s">
        <v>79</v>
      </c>
      <c r="T3" s="3" t="s">
        <v>80</v>
      </c>
      <c r="U3" s="3" t="s">
        <v>81</v>
      </c>
      <c r="V3" s="3" t="s">
        <v>82</v>
      </c>
      <c r="W3" s="3" t="s">
        <v>83</v>
      </c>
      <c r="X3" s="3" t="s">
        <v>84</v>
      </c>
      <c r="Y3" s="3" t="s">
        <v>85</v>
      </c>
      <c r="Z3" s="3" t="s">
        <v>86</v>
      </c>
      <c r="AA3" s="3" t="s">
        <v>87</v>
      </c>
      <c r="AB3" s="3" t="s">
        <v>88</v>
      </c>
      <c r="AC3" s="3" t="s">
        <v>89</v>
      </c>
      <c r="AD3" s="3" t="s">
        <v>90</v>
      </c>
      <c r="AE3" s="3" t="s">
        <v>91</v>
      </c>
      <c r="AF3" s="3" t="s">
        <v>92</v>
      </c>
      <c r="AG3" s="3" t="s">
        <v>93</v>
      </c>
      <c r="AH3" s="3" t="s">
        <v>94</v>
      </c>
      <c r="AI3" s="3" t="s">
        <v>95</v>
      </c>
      <c r="AJ3" s="3" t="s">
        <v>96</v>
      </c>
      <c r="AK3" s="3" t="s">
        <v>97</v>
      </c>
      <c r="AL3" s="3" t="s">
        <v>98</v>
      </c>
      <c r="AM3" s="3" t="s">
        <v>99</v>
      </c>
      <c r="AN3" s="3" t="s">
        <v>100</v>
      </c>
      <c r="AO3" s="3" t="s">
        <v>85</v>
      </c>
      <c r="AP3" s="3" t="s">
        <v>71</v>
      </c>
      <c r="AQ3" s="3" t="s">
        <v>101</v>
      </c>
      <c r="AR3" s="3" t="s">
        <v>71</v>
      </c>
      <c r="AS3" s="3" t="s">
        <v>102</v>
      </c>
      <c r="AT3" s="3" t="s">
        <v>103</v>
      </c>
      <c r="AU3" s="3" t="s">
        <v>104</v>
      </c>
      <c r="AV3" s="3" t="s">
        <v>105</v>
      </c>
      <c r="AW3" s="3" t="s">
        <v>106</v>
      </c>
      <c r="AX3" s="3" t="s">
        <v>107</v>
      </c>
      <c r="AY3" s="3" t="s">
        <v>108</v>
      </c>
      <c r="AZ3" s="3" t="s">
        <v>85</v>
      </c>
      <c r="BA3" s="3" t="s">
        <v>86</v>
      </c>
      <c r="BB3" s="3" t="s">
        <v>109</v>
      </c>
      <c r="BC3" s="3" t="s">
        <v>110</v>
      </c>
      <c r="BD3" s="3" t="s">
        <v>111</v>
      </c>
      <c r="BE3" s="3" t="s">
        <v>112</v>
      </c>
      <c r="BF3" s="3" t="s">
        <v>113</v>
      </c>
      <c r="BG3" s="1" t="s">
        <v>114</v>
      </c>
      <c r="BH3" s="3" t="s">
        <v>115</v>
      </c>
      <c r="BI3" s="1" t="s">
        <v>115</v>
      </c>
      <c r="BJ3" s="6" t="s">
        <v>695</v>
      </c>
      <c r="BK3" s="3" t="s">
        <v>116</v>
      </c>
      <c r="BL3" s="1" t="s">
        <v>116</v>
      </c>
      <c r="BM3" s="6" t="s">
        <v>695</v>
      </c>
      <c r="BN3" s="3" t="s">
        <v>117</v>
      </c>
      <c r="BO3" s="1" t="s">
        <v>117</v>
      </c>
      <c r="BP3" s="6" t="s">
        <v>695</v>
      </c>
      <c r="BQ3" s="3" t="s">
        <v>118</v>
      </c>
      <c r="BR3" s="1" t="s">
        <v>118</v>
      </c>
      <c r="BS3" s="6" t="s">
        <v>695</v>
      </c>
      <c r="BT3" s="3" t="s">
        <v>119</v>
      </c>
      <c r="BU3" s="1" t="s">
        <v>119</v>
      </c>
      <c r="BV3" s="6" t="s">
        <v>695</v>
      </c>
      <c r="BW3" s="3" t="s">
        <v>120</v>
      </c>
      <c r="BX3" s="1" t="s">
        <v>120</v>
      </c>
      <c r="BY3" s="6" t="s">
        <v>695</v>
      </c>
      <c r="BZ3" s="3" t="s">
        <v>121</v>
      </c>
      <c r="CA3" s="3" t="s">
        <v>122</v>
      </c>
      <c r="CB3" s="3" t="s">
        <v>123</v>
      </c>
      <c r="CC3" s="3" t="s">
        <v>124</v>
      </c>
      <c r="CD3" s="3" t="s">
        <v>125</v>
      </c>
      <c r="CE3" s="3" t="s">
        <v>126</v>
      </c>
      <c r="CF3" s="3" t="s">
        <v>127</v>
      </c>
      <c r="CG3" s="3" t="s">
        <v>128</v>
      </c>
      <c r="CH3" s="3" t="s">
        <v>129</v>
      </c>
      <c r="CI3" s="3" t="s">
        <v>130</v>
      </c>
      <c r="CJ3" s="3" t="s">
        <v>131</v>
      </c>
      <c r="CK3" s="3" t="s">
        <v>132</v>
      </c>
      <c r="CL3" s="3" t="s">
        <v>133</v>
      </c>
      <c r="CM3" s="3" t="s">
        <v>134</v>
      </c>
      <c r="CN3" s="3" t="s">
        <v>135</v>
      </c>
      <c r="CO3" s="3" t="s">
        <v>136</v>
      </c>
      <c r="CP3" s="3" t="s">
        <v>696</v>
      </c>
    </row>
    <row r="4">
      <c r="B4" s="10" t="s">
        <v>51</v>
      </c>
      <c r="C4" s="10" t="s">
        <v>138</v>
      </c>
      <c r="D4" s="10" t="s">
        <v>139</v>
      </c>
      <c r="E4" s="10" t="s">
        <v>140</v>
      </c>
      <c r="F4" s="10" t="s">
        <v>141</v>
      </c>
      <c r="G4" s="10" t="s">
        <v>142</v>
      </c>
      <c r="H4" s="10" t="s">
        <v>143</v>
      </c>
      <c r="I4" s="10" t="s">
        <v>144</v>
      </c>
      <c r="J4" s="10" t="s">
        <v>85</v>
      </c>
      <c r="K4" s="10" t="s">
        <v>145</v>
      </c>
      <c r="L4" s="10" t="s">
        <v>140</v>
      </c>
      <c r="M4" s="10" t="s">
        <v>73</v>
      </c>
      <c r="N4" s="10" t="s">
        <v>140</v>
      </c>
      <c r="O4" s="10" t="s">
        <v>140</v>
      </c>
      <c r="P4" s="10" t="s">
        <v>140</v>
      </c>
      <c r="Q4" s="10" t="s">
        <v>140</v>
      </c>
      <c r="R4" s="10" t="s">
        <v>78</v>
      </c>
      <c r="S4" s="10" t="s">
        <v>79</v>
      </c>
      <c r="T4" s="10" t="s">
        <v>80</v>
      </c>
      <c r="U4" s="10" t="s">
        <v>81</v>
      </c>
      <c r="V4" s="10" t="s">
        <v>140</v>
      </c>
      <c r="W4" s="10" t="s">
        <v>83</v>
      </c>
      <c r="X4" s="10" t="s">
        <v>140</v>
      </c>
      <c r="Y4" s="10" t="s">
        <v>140</v>
      </c>
      <c r="Z4" s="10" t="s">
        <v>140</v>
      </c>
      <c r="AA4" s="12">
        <v>12.0</v>
      </c>
      <c r="AB4" s="12">
        <v>60.0</v>
      </c>
      <c r="AC4" s="12">
        <v>25.0</v>
      </c>
      <c r="AD4" s="12">
        <v>3.0</v>
      </c>
      <c r="AE4" s="10" t="s">
        <v>146</v>
      </c>
      <c r="AF4" s="10" t="s">
        <v>146</v>
      </c>
      <c r="AG4" s="10" t="s">
        <v>146</v>
      </c>
      <c r="AH4" s="10" t="s">
        <v>147</v>
      </c>
      <c r="AI4" s="10" t="s">
        <v>140</v>
      </c>
      <c r="AJ4" s="10" t="s">
        <v>140</v>
      </c>
      <c r="AK4" s="10" t="s">
        <v>97</v>
      </c>
      <c r="AL4" s="10" t="s">
        <v>98</v>
      </c>
      <c r="AM4" s="10" t="s">
        <v>99</v>
      </c>
      <c r="AN4" s="10" t="s">
        <v>100</v>
      </c>
      <c r="AO4" s="10" t="s">
        <v>85</v>
      </c>
      <c r="AP4" s="10" t="s">
        <v>148</v>
      </c>
      <c r="AQ4" s="10" t="s">
        <v>149</v>
      </c>
      <c r="AR4" s="10" t="s">
        <v>140</v>
      </c>
      <c r="AS4" s="10" t="s">
        <v>140</v>
      </c>
      <c r="AT4" s="10" t="s">
        <v>140</v>
      </c>
      <c r="AU4" s="10" t="s">
        <v>140</v>
      </c>
      <c r="AV4" s="10" t="s">
        <v>140</v>
      </c>
      <c r="AW4" s="10" t="s">
        <v>140</v>
      </c>
      <c r="AX4" s="10" t="s">
        <v>140</v>
      </c>
      <c r="AY4" s="10" t="s">
        <v>140</v>
      </c>
      <c r="AZ4" s="10" t="s">
        <v>85</v>
      </c>
      <c r="BA4" s="10" t="s">
        <v>150</v>
      </c>
      <c r="BB4" s="12">
        <v>7.0</v>
      </c>
      <c r="BC4" s="12">
        <v>6.0</v>
      </c>
      <c r="BD4" s="10" t="s">
        <v>146</v>
      </c>
      <c r="BE4" s="10" t="s">
        <v>151</v>
      </c>
      <c r="BF4" s="10" t="s">
        <v>146</v>
      </c>
      <c r="BG4" s="10" t="s">
        <v>146</v>
      </c>
      <c r="BH4" s="12">
        <v>0.0</v>
      </c>
      <c r="BI4" s="12">
        <v>0.0</v>
      </c>
      <c r="BJ4" s="19">
        <f t="shared" ref="BJ4:BJ45" si="1">SUM($BI$48/(SUM($BI$4:$BI$45)))*BI4</f>
        <v>0</v>
      </c>
      <c r="BK4" s="12">
        <v>7.0</v>
      </c>
      <c r="BL4" s="12">
        <v>7.0</v>
      </c>
      <c r="BM4" s="19">
        <f t="shared" ref="BM4:BM45" si="2">SUM($BL$48/(SUM($BL$4:$BL$45)))*BL4</f>
        <v>4289.552632</v>
      </c>
      <c r="BN4" s="12">
        <v>5.0</v>
      </c>
      <c r="BO4" s="12">
        <v>5.0</v>
      </c>
      <c r="BP4" s="19">
        <f t="shared" ref="BP4:BP45" si="3">SUM($BO$48/(SUM($BO$4:$BO$45)))*BO4</f>
        <v>184.1223404</v>
      </c>
      <c r="BQ4" s="12">
        <v>1.0</v>
      </c>
      <c r="BR4" s="12">
        <v>1.0</v>
      </c>
      <c r="BS4" s="19">
        <f t="shared" ref="BS4:BS45" si="4">SUM($BR$48/(SUM($BR$4:$BR$45)))*BR4</f>
        <v>7.587719298</v>
      </c>
      <c r="BT4" s="12">
        <v>2.0</v>
      </c>
      <c r="BU4" s="12">
        <v>2.0</v>
      </c>
      <c r="BV4" s="19">
        <f t="shared" ref="BV4:BV45" si="5">SUM($BU$48/(SUM($BU$4:$BU$45)))*BU4</f>
        <v>0</v>
      </c>
      <c r="BW4" s="12">
        <v>2.0</v>
      </c>
      <c r="BX4" s="12">
        <v>2.0</v>
      </c>
      <c r="BY4" s="19">
        <f t="shared" ref="BY4:BY45" si="6">SUM($BX$48/(SUM($BX$4:$BX$45)))*BX4</f>
        <v>5.835051546</v>
      </c>
      <c r="BZ4" s="10" t="s">
        <v>152</v>
      </c>
      <c r="CA4" s="10" t="s">
        <v>153</v>
      </c>
      <c r="CB4" s="10" t="s">
        <v>140</v>
      </c>
      <c r="CC4" s="10" t="s">
        <v>146</v>
      </c>
      <c r="CD4" s="10" t="s">
        <v>140</v>
      </c>
      <c r="CE4" s="10" t="s">
        <v>146</v>
      </c>
      <c r="CF4" s="10" t="s">
        <v>140</v>
      </c>
      <c r="CG4" s="10" t="s">
        <v>140</v>
      </c>
      <c r="CH4" s="10" t="s">
        <v>140</v>
      </c>
      <c r="CI4" s="10" t="s">
        <v>140</v>
      </c>
      <c r="CJ4" s="10" t="s">
        <v>140</v>
      </c>
      <c r="CK4" s="10" t="s">
        <v>154</v>
      </c>
      <c r="CL4" s="10" t="s">
        <v>155</v>
      </c>
      <c r="CM4" s="10" t="s">
        <v>156</v>
      </c>
      <c r="CN4" s="10" t="s">
        <v>157</v>
      </c>
      <c r="CO4" s="10" t="s">
        <v>158</v>
      </c>
      <c r="CP4" s="10" t="s">
        <v>146</v>
      </c>
    </row>
    <row r="5">
      <c r="B5" s="10" t="s">
        <v>38</v>
      </c>
      <c r="C5" s="10" t="s">
        <v>160</v>
      </c>
      <c r="D5" s="10" t="s">
        <v>161</v>
      </c>
      <c r="E5" s="10" t="s">
        <v>140</v>
      </c>
      <c r="F5" s="10" t="s">
        <v>162</v>
      </c>
      <c r="G5" s="10" t="s">
        <v>163</v>
      </c>
      <c r="H5" s="10" t="s">
        <v>164</v>
      </c>
      <c r="I5" s="10" t="s">
        <v>165</v>
      </c>
      <c r="J5" s="10" t="s">
        <v>166</v>
      </c>
      <c r="K5" s="10" t="s">
        <v>140</v>
      </c>
      <c r="L5" s="10" t="s">
        <v>140</v>
      </c>
      <c r="M5" s="10" t="s">
        <v>140</v>
      </c>
      <c r="N5" s="10" t="s">
        <v>140</v>
      </c>
      <c r="O5" s="10" t="s">
        <v>140</v>
      </c>
      <c r="P5" s="10" t="s">
        <v>140</v>
      </c>
      <c r="Q5" s="10" t="s">
        <v>140</v>
      </c>
      <c r="R5" s="10" t="s">
        <v>140</v>
      </c>
      <c r="S5" s="10" t="s">
        <v>140</v>
      </c>
      <c r="T5" s="10" t="s">
        <v>140</v>
      </c>
      <c r="U5" s="10" t="s">
        <v>140</v>
      </c>
      <c r="V5" s="10" t="s">
        <v>140</v>
      </c>
      <c r="W5" s="10" t="s">
        <v>140</v>
      </c>
      <c r="X5" s="10" t="s">
        <v>140</v>
      </c>
      <c r="Y5" s="10" t="s">
        <v>85</v>
      </c>
      <c r="Z5" s="10" t="s">
        <v>167</v>
      </c>
      <c r="AA5" s="12">
        <v>0.0</v>
      </c>
      <c r="AB5" s="12">
        <v>15.0</v>
      </c>
      <c r="AC5" s="12">
        <v>8.0</v>
      </c>
      <c r="AD5" s="12">
        <v>3.0</v>
      </c>
      <c r="AE5" s="10" t="s">
        <v>146</v>
      </c>
      <c r="AF5" s="10" t="s">
        <v>168</v>
      </c>
      <c r="AG5" s="10" t="s">
        <v>140</v>
      </c>
      <c r="AH5" s="10" t="s">
        <v>140</v>
      </c>
      <c r="AI5" s="10" t="s">
        <v>140</v>
      </c>
      <c r="AJ5" s="10" t="s">
        <v>140</v>
      </c>
      <c r="AK5" s="10" t="s">
        <v>140</v>
      </c>
      <c r="AL5" s="10" t="s">
        <v>140</v>
      </c>
      <c r="AM5" s="10" t="s">
        <v>140</v>
      </c>
      <c r="AN5" s="10" t="s">
        <v>140</v>
      </c>
      <c r="AO5" s="10" t="s">
        <v>85</v>
      </c>
      <c r="AP5" s="10" t="s">
        <v>169</v>
      </c>
      <c r="AQ5" s="10" t="s">
        <v>85</v>
      </c>
      <c r="AR5" s="10" t="s">
        <v>170</v>
      </c>
      <c r="AS5" s="10" t="s">
        <v>102</v>
      </c>
      <c r="AT5" s="10" t="s">
        <v>103</v>
      </c>
      <c r="AU5" s="10" t="s">
        <v>140</v>
      </c>
      <c r="AV5" s="10" t="s">
        <v>140</v>
      </c>
      <c r="AW5" s="10" t="s">
        <v>140</v>
      </c>
      <c r="AX5" s="10" t="s">
        <v>107</v>
      </c>
      <c r="AY5" s="10" t="s">
        <v>108</v>
      </c>
      <c r="AZ5" s="10" t="s">
        <v>85</v>
      </c>
      <c r="BA5" s="10" t="s">
        <v>171</v>
      </c>
      <c r="BB5" s="12">
        <v>4.0</v>
      </c>
      <c r="BC5" s="12">
        <v>6.0</v>
      </c>
      <c r="BD5" s="10" t="s">
        <v>168</v>
      </c>
      <c r="BE5" s="10" t="s">
        <v>140</v>
      </c>
      <c r="BF5" s="10" t="s">
        <v>140</v>
      </c>
      <c r="BG5" s="10" t="s">
        <v>146</v>
      </c>
      <c r="BH5" s="12">
        <v>5.0</v>
      </c>
      <c r="BI5" s="12">
        <v>5.0</v>
      </c>
      <c r="BJ5" s="19">
        <f t="shared" si="1"/>
        <v>2973.996139</v>
      </c>
      <c r="BK5" s="12">
        <v>5.0</v>
      </c>
      <c r="BL5" s="12">
        <v>5.0</v>
      </c>
      <c r="BM5" s="19">
        <f t="shared" si="2"/>
        <v>3063.966165</v>
      </c>
      <c r="BN5" s="12">
        <v>5.0</v>
      </c>
      <c r="BO5" s="12">
        <v>5.0</v>
      </c>
      <c r="BP5" s="19">
        <f t="shared" si="3"/>
        <v>184.1223404</v>
      </c>
      <c r="BQ5" s="12">
        <v>3.0</v>
      </c>
      <c r="BR5" s="12">
        <v>3.0</v>
      </c>
      <c r="BS5" s="19">
        <f t="shared" si="4"/>
        <v>22.76315789</v>
      </c>
      <c r="BT5" s="12">
        <v>4.0</v>
      </c>
      <c r="BU5" s="12">
        <v>4.0</v>
      </c>
      <c r="BV5" s="19">
        <f t="shared" si="5"/>
        <v>0</v>
      </c>
      <c r="BW5" s="12">
        <v>0.0</v>
      </c>
      <c r="BX5" s="12">
        <v>0.0</v>
      </c>
      <c r="BY5" s="19">
        <f t="shared" si="6"/>
        <v>0</v>
      </c>
      <c r="BZ5" s="10" t="s">
        <v>172</v>
      </c>
      <c r="CA5" s="10" t="s">
        <v>173</v>
      </c>
      <c r="CB5" s="10" t="s">
        <v>140</v>
      </c>
      <c r="CC5" s="10" t="s">
        <v>146</v>
      </c>
      <c r="CD5" s="10" t="s">
        <v>140</v>
      </c>
      <c r="CE5" s="10" t="s">
        <v>168</v>
      </c>
      <c r="CF5" s="10" t="s">
        <v>160</v>
      </c>
      <c r="CG5" s="10" t="s">
        <v>161</v>
      </c>
      <c r="CH5" s="10" t="s">
        <v>174</v>
      </c>
      <c r="CI5" s="10" t="s">
        <v>162</v>
      </c>
      <c r="CJ5" s="10" t="s">
        <v>175</v>
      </c>
      <c r="CK5" s="10" t="s">
        <v>176</v>
      </c>
      <c r="CL5" s="10" t="s">
        <v>140</v>
      </c>
      <c r="CM5" s="10" t="s">
        <v>177</v>
      </c>
      <c r="CN5" s="10" t="s">
        <v>178</v>
      </c>
      <c r="CO5" s="10" t="s">
        <v>179</v>
      </c>
      <c r="CP5" s="10" t="s">
        <v>146</v>
      </c>
    </row>
    <row r="6">
      <c r="B6" s="10" t="s">
        <v>48</v>
      </c>
      <c r="C6" s="10" t="s">
        <v>181</v>
      </c>
      <c r="D6" s="10" t="s">
        <v>182</v>
      </c>
      <c r="E6" s="10" t="s">
        <v>140</v>
      </c>
      <c r="F6" s="10" t="s">
        <v>183</v>
      </c>
      <c r="G6" s="10" t="s">
        <v>184</v>
      </c>
      <c r="H6" s="10" t="s">
        <v>185</v>
      </c>
      <c r="I6" s="10" t="s">
        <v>186</v>
      </c>
      <c r="J6" s="10" t="s">
        <v>187</v>
      </c>
      <c r="K6" s="10" t="s">
        <v>140</v>
      </c>
      <c r="L6" s="10" t="s">
        <v>140</v>
      </c>
      <c r="M6" s="10" t="s">
        <v>73</v>
      </c>
      <c r="N6" s="10" t="s">
        <v>74</v>
      </c>
      <c r="O6" s="10" t="s">
        <v>75</v>
      </c>
      <c r="P6" s="10" t="s">
        <v>76</v>
      </c>
      <c r="Q6" s="10" t="s">
        <v>77</v>
      </c>
      <c r="R6" s="10" t="s">
        <v>78</v>
      </c>
      <c r="S6" s="10" t="s">
        <v>79</v>
      </c>
      <c r="T6" s="10" t="s">
        <v>80</v>
      </c>
      <c r="U6" s="10" t="s">
        <v>81</v>
      </c>
      <c r="V6" s="10" t="s">
        <v>82</v>
      </c>
      <c r="W6" s="10" t="s">
        <v>83</v>
      </c>
      <c r="X6" s="10" t="s">
        <v>84</v>
      </c>
      <c r="Y6" s="10" t="s">
        <v>85</v>
      </c>
      <c r="Z6" s="10" t="s">
        <v>188</v>
      </c>
      <c r="AA6" s="12">
        <v>5.0</v>
      </c>
      <c r="AB6" s="12">
        <v>30.0</v>
      </c>
      <c r="AC6" s="12">
        <v>35.0</v>
      </c>
      <c r="AD6" s="12">
        <v>30.0</v>
      </c>
      <c r="AE6" s="10" t="s">
        <v>146</v>
      </c>
      <c r="AF6" s="10" t="s">
        <v>146</v>
      </c>
      <c r="AG6" s="10" t="s">
        <v>168</v>
      </c>
      <c r="AH6" s="10" t="s">
        <v>140</v>
      </c>
      <c r="AI6" s="10" t="s">
        <v>189</v>
      </c>
      <c r="AJ6" s="10" t="s">
        <v>140</v>
      </c>
      <c r="AK6" s="10" t="s">
        <v>140</v>
      </c>
      <c r="AL6" s="10" t="s">
        <v>140</v>
      </c>
      <c r="AM6" s="10" t="s">
        <v>140</v>
      </c>
      <c r="AN6" s="10" t="s">
        <v>140</v>
      </c>
      <c r="AO6" s="10" t="s">
        <v>85</v>
      </c>
      <c r="AP6" s="10" t="s">
        <v>190</v>
      </c>
      <c r="AQ6" s="10" t="s">
        <v>85</v>
      </c>
      <c r="AR6" s="10" t="s">
        <v>191</v>
      </c>
      <c r="AS6" s="10" t="s">
        <v>140</v>
      </c>
      <c r="AT6" s="10" t="s">
        <v>140</v>
      </c>
      <c r="AU6" s="10" t="s">
        <v>140</v>
      </c>
      <c r="AV6" s="10" t="s">
        <v>140</v>
      </c>
      <c r="AW6" s="10" t="s">
        <v>140</v>
      </c>
      <c r="AX6" s="10" t="s">
        <v>140</v>
      </c>
      <c r="AY6" s="10" t="s">
        <v>140</v>
      </c>
      <c r="AZ6" s="10" t="s">
        <v>85</v>
      </c>
      <c r="BA6" s="10" t="s">
        <v>192</v>
      </c>
      <c r="BB6" s="12">
        <v>7.0</v>
      </c>
      <c r="BC6" s="12">
        <v>7.0</v>
      </c>
      <c r="BD6" s="10" t="s">
        <v>146</v>
      </c>
      <c r="BE6" s="10" t="s">
        <v>193</v>
      </c>
      <c r="BF6" s="10" t="s">
        <v>146</v>
      </c>
      <c r="BG6" s="10" t="s">
        <v>146</v>
      </c>
      <c r="BH6" s="12">
        <v>10.0</v>
      </c>
      <c r="BI6" s="12">
        <v>10.0</v>
      </c>
      <c r="BJ6" s="19">
        <f t="shared" si="1"/>
        <v>5947.992278</v>
      </c>
      <c r="BK6" s="12">
        <v>10.0</v>
      </c>
      <c r="BL6" s="12">
        <v>10.0</v>
      </c>
      <c r="BM6" s="19">
        <f t="shared" si="2"/>
        <v>6127.932331</v>
      </c>
      <c r="BN6" s="12">
        <v>3.0</v>
      </c>
      <c r="BO6" s="12">
        <v>3.0</v>
      </c>
      <c r="BP6" s="19">
        <f t="shared" si="3"/>
        <v>110.4734043</v>
      </c>
      <c r="BQ6" s="12">
        <v>1.0</v>
      </c>
      <c r="BR6" s="12">
        <v>1.0</v>
      </c>
      <c r="BS6" s="19">
        <f t="shared" si="4"/>
        <v>7.587719298</v>
      </c>
      <c r="BT6" s="12">
        <v>0.0</v>
      </c>
      <c r="BU6" s="12">
        <v>0.0</v>
      </c>
      <c r="BV6" s="19">
        <f t="shared" si="5"/>
        <v>0</v>
      </c>
      <c r="BW6" s="12">
        <v>0.0</v>
      </c>
      <c r="BX6" s="12">
        <v>0.0</v>
      </c>
      <c r="BY6" s="19">
        <f t="shared" si="6"/>
        <v>0</v>
      </c>
      <c r="BZ6" s="10" t="s">
        <v>140</v>
      </c>
      <c r="CA6" s="10" t="s">
        <v>153</v>
      </c>
      <c r="CB6" s="10" t="s">
        <v>140</v>
      </c>
      <c r="CC6" s="10" t="s">
        <v>146</v>
      </c>
      <c r="CD6" s="10" t="s">
        <v>140</v>
      </c>
      <c r="CE6" s="10" t="s">
        <v>146</v>
      </c>
      <c r="CF6" s="10" t="s">
        <v>140</v>
      </c>
      <c r="CG6" s="10" t="s">
        <v>140</v>
      </c>
      <c r="CH6" s="10" t="s">
        <v>140</v>
      </c>
      <c r="CI6" s="10" t="s">
        <v>140</v>
      </c>
      <c r="CJ6" s="10" t="s">
        <v>140</v>
      </c>
      <c r="CK6" s="10" t="s">
        <v>194</v>
      </c>
      <c r="CL6" s="10" t="s">
        <v>195</v>
      </c>
      <c r="CM6" s="10" t="s">
        <v>196</v>
      </c>
      <c r="CN6" s="10" t="s">
        <v>197</v>
      </c>
      <c r="CO6" s="10" t="s">
        <v>198</v>
      </c>
      <c r="CP6" s="10" t="s">
        <v>146</v>
      </c>
    </row>
    <row r="7">
      <c r="B7" s="10" t="s">
        <v>42</v>
      </c>
      <c r="C7" s="10" t="s">
        <v>200</v>
      </c>
      <c r="D7" s="10" t="s">
        <v>182</v>
      </c>
      <c r="E7" s="10" t="s">
        <v>140</v>
      </c>
      <c r="F7" s="10" t="s">
        <v>201</v>
      </c>
      <c r="G7" s="10" t="s">
        <v>202</v>
      </c>
      <c r="H7" s="10" t="s">
        <v>203</v>
      </c>
      <c r="I7" s="10" t="s">
        <v>204</v>
      </c>
      <c r="J7" s="10" t="s">
        <v>187</v>
      </c>
      <c r="K7" s="10" t="s">
        <v>140</v>
      </c>
      <c r="L7" s="10" t="s">
        <v>140</v>
      </c>
      <c r="M7" s="10" t="s">
        <v>140</v>
      </c>
      <c r="N7" s="10" t="s">
        <v>140</v>
      </c>
      <c r="O7" s="10" t="s">
        <v>140</v>
      </c>
      <c r="P7" s="10" t="s">
        <v>140</v>
      </c>
      <c r="Q7" s="10" t="s">
        <v>140</v>
      </c>
      <c r="R7" s="10" t="s">
        <v>140</v>
      </c>
      <c r="S7" s="10" t="s">
        <v>140</v>
      </c>
      <c r="T7" s="10" t="s">
        <v>140</v>
      </c>
      <c r="U7" s="10" t="s">
        <v>140</v>
      </c>
      <c r="V7" s="10" t="s">
        <v>140</v>
      </c>
      <c r="W7" s="10" t="s">
        <v>83</v>
      </c>
      <c r="X7" s="10" t="s">
        <v>140</v>
      </c>
      <c r="Y7" s="10" t="s">
        <v>140</v>
      </c>
      <c r="Z7" s="10" t="s">
        <v>140</v>
      </c>
      <c r="AA7" s="12">
        <v>100.0</v>
      </c>
      <c r="AB7" s="12">
        <v>100.0</v>
      </c>
      <c r="AC7" s="12">
        <v>99.0</v>
      </c>
      <c r="AD7" s="12">
        <v>50.0</v>
      </c>
      <c r="AE7" s="10" t="s">
        <v>146</v>
      </c>
      <c r="AF7" s="10" t="s">
        <v>168</v>
      </c>
      <c r="AG7" s="10" t="s">
        <v>140</v>
      </c>
      <c r="AH7" s="10" t="s">
        <v>140</v>
      </c>
      <c r="AI7" s="10" t="s">
        <v>140</v>
      </c>
      <c r="AJ7" s="10" t="s">
        <v>140</v>
      </c>
      <c r="AK7" s="10" t="s">
        <v>97</v>
      </c>
      <c r="AL7" s="10" t="s">
        <v>140</v>
      </c>
      <c r="AM7" s="10" t="s">
        <v>140</v>
      </c>
      <c r="AN7" s="10" t="s">
        <v>140</v>
      </c>
      <c r="AO7" s="10" t="s">
        <v>140</v>
      </c>
      <c r="AP7" s="10" t="s">
        <v>140</v>
      </c>
      <c r="AQ7" s="10" t="s">
        <v>149</v>
      </c>
      <c r="AR7" s="10" t="s">
        <v>140</v>
      </c>
      <c r="AS7" s="10" t="s">
        <v>140</v>
      </c>
      <c r="AT7" s="10" t="s">
        <v>140</v>
      </c>
      <c r="AU7" s="10" t="s">
        <v>140</v>
      </c>
      <c r="AV7" s="10" t="s">
        <v>140</v>
      </c>
      <c r="AW7" s="10" t="s">
        <v>140</v>
      </c>
      <c r="AX7" s="10" t="s">
        <v>107</v>
      </c>
      <c r="AY7" s="10" t="s">
        <v>140</v>
      </c>
      <c r="AZ7" s="10" t="s">
        <v>140</v>
      </c>
      <c r="BA7" s="10" t="s">
        <v>140</v>
      </c>
      <c r="BB7" s="12">
        <v>7.0</v>
      </c>
      <c r="BC7" s="12">
        <v>4.0</v>
      </c>
      <c r="BD7" s="10" t="s">
        <v>168</v>
      </c>
      <c r="BE7" s="10" t="s">
        <v>140</v>
      </c>
      <c r="BF7" s="10" t="s">
        <v>140</v>
      </c>
      <c r="BG7" s="10" t="s">
        <v>146</v>
      </c>
      <c r="BH7" s="12">
        <v>7.0</v>
      </c>
      <c r="BI7" s="12">
        <v>7.0</v>
      </c>
      <c r="BJ7" s="19">
        <f t="shared" si="1"/>
        <v>4163.594595</v>
      </c>
      <c r="BK7" s="12">
        <v>7.0</v>
      </c>
      <c r="BL7" s="12">
        <v>7.0</v>
      </c>
      <c r="BM7" s="19">
        <f t="shared" si="2"/>
        <v>4289.552632</v>
      </c>
      <c r="BN7" s="12">
        <v>7.0</v>
      </c>
      <c r="BO7" s="12">
        <v>7.0</v>
      </c>
      <c r="BP7" s="19">
        <f t="shared" si="3"/>
        <v>257.7712766</v>
      </c>
      <c r="BQ7" s="12">
        <v>5.0</v>
      </c>
      <c r="BR7" s="12">
        <v>5.0</v>
      </c>
      <c r="BS7" s="19">
        <f t="shared" si="4"/>
        <v>37.93859649</v>
      </c>
      <c r="BT7" s="12">
        <v>3.0</v>
      </c>
      <c r="BU7" s="12">
        <v>3.0</v>
      </c>
      <c r="BV7" s="19">
        <f t="shared" si="5"/>
        <v>0</v>
      </c>
      <c r="BW7" s="12">
        <v>6.0</v>
      </c>
      <c r="BX7" s="12">
        <v>6.0</v>
      </c>
      <c r="BY7" s="19">
        <f t="shared" si="6"/>
        <v>17.50515464</v>
      </c>
      <c r="BZ7" s="10" t="s">
        <v>205</v>
      </c>
      <c r="CA7" s="10" t="s">
        <v>153</v>
      </c>
      <c r="CB7" s="10" t="s">
        <v>140</v>
      </c>
      <c r="CC7" s="10" t="s">
        <v>146</v>
      </c>
      <c r="CD7" s="10" t="s">
        <v>140</v>
      </c>
      <c r="CE7" s="10" t="s">
        <v>146</v>
      </c>
      <c r="CF7" s="10" t="s">
        <v>140</v>
      </c>
      <c r="CG7" s="10" t="s">
        <v>140</v>
      </c>
      <c r="CH7" s="10" t="s">
        <v>140</v>
      </c>
      <c r="CI7" s="10" t="s">
        <v>140</v>
      </c>
      <c r="CJ7" s="10" t="s">
        <v>140</v>
      </c>
      <c r="CK7" s="10" t="s">
        <v>206</v>
      </c>
      <c r="CL7" s="10" t="s">
        <v>207</v>
      </c>
      <c r="CM7" s="10" t="s">
        <v>208</v>
      </c>
      <c r="CN7" s="10" t="s">
        <v>209</v>
      </c>
      <c r="CO7" s="10" t="s">
        <v>210</v>
      </c>
      <c r="CP7" s="10" t="s">
        <v>146</v>
      </c>
    </row>
    <row r="8">
      <c r="B8" s="10" t="s">
        <v>40</v>
      </c>
      <c r="C8" s="10" t="s">
        <v>212</v>
      </c>
      <c r="D8" s="10" t="s">
        <v>213</v>
      </c>
      <c r="E8" s="10" t="s">
        <v>140</v>
      </c>
      <c r="F8" s="10" t="s">
        <v>214</v>
      </c>
      <c r="G8" s="10" t="s">
        <v>215</v>
      </c>
      <c r="H8" s="10" t="s">
        <v>216</v>
      </c>
      <c r="I8" s="10" t="s">
        <v>217</v>
      </c>
      <c r="J8" s="10" t="s">
        <v>166</v>
      </c>
      <c r="K8" s="10" t="s">
        <v>140</v>
      </c>
      <c r="L8" s="10" t="s">
        <v>140</v>
      </c>
      <c r="M8" s="10" t="s">
        <v>140</v>
      </c>
      <c r="N8" s="10" t="s">
        <v>140</v>
      </c>
      <c r="O8" s="10" t="s">
        <v>140</v>
      </c>
      <c r="P8" s="10" t="s">
        <v>140</v>
      </c>
      <c r="Q8" s="10" t="s">
        <v>140</v>
      </c>
      <c r="R8" s="10" t="s">
        <v>140</v>
      </c>
      <c r="S8" s="10" t="s">
        <v>140</v>
      </c>
      <c r="T8" s="10" t="s">
        <v>140</v>
      </c>
      <c r="U8" s="10" t="s">
        <v>140</v>
      </c>
      <c r="V8" s="10" t="s">
        <v>140</v>
      </c>
      <c r="W8" s="10" t="s">
        <v>140</v>
      </c>
      <c r="X8" s="10" t="s">
        <v>140</v>
      </c>
      <c r="Y8" s="10" t="s">
        <v>85</v>
      </c>
      <c r="Z8" s="10" t="s">
        <v>218</v>
      </c>
      <c r="AA8" s="12">
        <v>0.0</v>
      </c>
      <c r="AB8" s="12">
        <v>22.0</v>
      </c>
      <c r="AC8" s="12">
        <v>40.0</v>
      </c>
      <c r="AD8" s="12">
        <v>0.0</v>
      </c>
      <c r="AE8" s="10" t="s">
        <v>146</v>
      </c>
      <c r="AF8" s="10" t="s">
        <v>146</v>
      </c>
      <c r="AG8" s="10" t="s">
        <v>168</v>
      </c>
      <c r="AH8" s="10" t="s">
        <v>140</v>
      </c>
      <c r="AI8" s="10" t="s">
        <v>189</v>
      </c>
      <c r="AJ8" s="10" t="s">
        <v>140</v>
      </c>
      <c r="AK8" s="10" t="s">
        <v>97</v>
      </c>
      <c r="AL8" s="10" t="s">
        <v>140</v>
      </c>
      <c r="AM8" s="10" t="s">
        <v>99</v>
      </c>
      <c r="AN8" s="10" t="s">
        <v>100</v>
      </c>
      <c r="AO8" s="10" t="s">
        <v>140</v>
      </c>
      <c r="AP8" s="10" t="s">
        <v>140</v>
      </c>
      <c r="AQ8" s="10" t="s">
        <v>149</v>
      </c>
      <c r="AR8" s="10" t="s">
        <v>140</v>
      </c>
      <c r="AS8" s="10" t="s">
        <v>102</v>
      </c>
      <c r="AT8" s="10" t="s">
        <v>103</v>
      </c>
      <c r="AU8" s="10" t="s">
        <v>140</v>
      </c>
      <c r="AV8" s="10" t="s">
        <v>140</v>
      </c>
      <c r="AW8" s="10" t="s">
        <v>140</v>
      </c>
      <c r="AX8" s="10" t="s">
        <v>140</v>
      </c>
      <c r="AY8" s="10" t="s">
        <v>140</v>
      </c>
      <c r="AZ8" s="10" t="s">
        <v>85</v>
      </c>
      <c r="BA8" s="10" t="s">
        <v>219</v>
      </c>
      <c r="BB8" s="12">
        <v>3.0</v>
      </c>
      <c r="BC8" s="12">
        <v>4.0</v>
      </c>
      <c r="BD8" s="10" t="s">
        <v>168</v>
      </c>
      <c r="BE8" s="10" t="s">
        <v>140</v>
      </c>
      <c r="BF8" s="10" t="s">
        <v>140</v>
      </c>
      <c r="BG8" s="10" t="s">
        <v>146</v>
      </c>
      <c r="BH8" s="12">
        <v>2.0</v>
      </c>
      <c r="BI8" s="12">
        <v>2.0</v>
      </c>
      <c r="BJ8" s="19">
        <f t="shared" si="1"/>
        <v>1189.598456</v>
      </c>
      <c r="BK8" s="12">
        <v>2.0</v>
      </c>
      <c r="BL8" s="12">
        <v>2.0</v>
      </c>
      <c r="BM8" s="19">
        <f t="shared" si="2"/>
        <v>1225.586466</v>
      </c>
      <c r="BN8" s="12">
        <v>2.0</v>
      </c>
      <c r="BO8" s="12">
        <v>2.0</v>
      </c>
      <c r="BP8" s="19">
        <f t="shared" si="3"/>
        <v>73.64893617</v>
      </c>
      <c r="BQ8" s="12">
        <v>2.0</v>
      </c>
      <c r="BR8" s="12">
        <v>2.0</v>
      </c>
      <c r="BS8" s="19">
        <f t="shared" si="4"/>
        <v>15.1754386</v>
      </c>
      <c r="BT8" s="12">
        <v>1.0</v>
      </c>
      <c r="BU8" s="12">
        <v>1.0</v>
      </c>
      <c r="BV8" s="19">
        <f t="shared" si="5"/>
        <v>0</v>
      </c>
      <c r="BW8" s="12">
        <v>5.0</v>
      </c>
      <c r="BX8" s="12">
        <v>5.0</v>
      </c>
      <c r="BY8" s="19">
        <f t="shared" si="6"/>
        <v>14.58762887</v>
      </c>
      <c r="BZ8" s="10" t="s">
        <v>205</v>
      </c>
      <c r="CA8" s="10" t="s">
        <v>173</v>
      </c>
      <c r="CB8" s="10" t="s">
        <v>140</v>
      </c>
      <c r="CC8" s="10" t="s">
        <v>146</v>
      </c>
      <c r="CD8" s="10" t="s">
        <v>140</v>
      </c>
      <c r="CE8" s="10" t="s">
        <v>146</v>
      </c>
      <c r="CF8" s="10" t="s">
        <v>140</v>
      </c>
      <c r="CG8" s="10" t="s">
        <v>140</v>
      </c>
      <c r="CH8" s="10" t="s">
        <v>140</v>
      </c>
      <c r="CI8" s="10" t="s">
        <v>140</v>
      </c>
      <c r="CJ8" s="10" t="s">
        <v>140</v>
      </c>
      <c r="CK8" s="10" t="s">
        <v>220</v>
      </c>
      <c r="CL8" s="10" t="s">
        <v>140</v>
      </c>
      <c r="CM8" s="10" t="s">
        <v>221</v>
      </c>
      <c r="CN8" s="10" t="s">
        <v>222</v>
      </c>
      <c r="CO8" s="10" t="s">
        <v>223</v>
      </c>
      <c r="CP8" s="10" t="s">
        <v>146</v>
      </c>
    </row>
    <row r="9">
      <c r="B9" s="10" t="s">
        <v>49</v>
      </c>
      <c r="C9" s="10" t="s">
        <v>225</v>
      </c>
      <c r="D9" s="10" t="s">
        <v>226</v>
      </c>
      <c r="E9" s="10" t="s">
        <v>140</v>
      </c>
      <c r="F9" s="10" t="s">
        <v>227</v>
      </c>
      <c r="G9" s="10" t="s">
        <v>228</v>
      </c>
      <c r="H9" s="10" t="s">
        <v>229</v>
      </c>
      <c r="I9" s="10" t="s">
        <v>230</v>
      </c>
      <c r="J9" s="10" t="s">
        <v>187</v>
      </c>
      <c r="K9" s="10" t="s">
        <v>140</v>
      </c>
      <c r="L9" s="10" t="s">
        <v>140</v>
      </c>
      <c r="M9" s="10" t="s">
        <v>140</v>
      </c>
      <c r="N9" s="10" t="s">
        <v>140</v>
      </c>
      <c r="O9" s="10" t="s">
        <v>140</v>
      </c>
      <c r="P9" s="10" t="s">
        <v>140</v>
      </c>
      <c r="Q9" s="10" t="s">
        <v>140</v>
      </c>
      <c r="R9" s="10" t="s">
        <v>140</v>
      </c>
      <c r="S9" s="10" t="s">
        <v>140</v>
      </c>
      <c r="T9" s="10" t="s">
        <v>80</v>
      </c>
      <c r="U9" s="10" t="s">
        <v>140</v>
      </c>
      <c r="V9" s="10" t="s">
        <v>140</v>
      </c>
      <c r="W9" s="10" t="s">
        <v>140</v>
      </c>
      <c r="X9" s="10" t="s">
        <v>140</v>
      </c>
      <c r="Y9" s="10" t="s">
        <v>140</v>
      </c>
      <c r="Z9" s="10" t="s">
        <v>140</v>
      </c>
      <c r="AA9" s="12">
        <v>50.0</v>
      </c>
      <c r="AB9" s="12">
        <v>100.0</v>
      </c>
      <c r="AC9" s="12">
        <v>50.0</v>
      </c>
      <c r="AD9" s="12">
        <v>5.0</v>
      </c>
      <c r="AE9" s="10" t="s">
        <v>146</v>
      </c>
      <c r="AF9" s="10" t="s">
        <v>146</v>
      </c>
      <c r="AG9" s="10" t="s">
        <v>168</v>
      </c>
      <c r="AH9" s="10" t="s">
        <v>140</v>
      </c>
      <c r="AI9" s="10" t="s">
        <v>231</v>
      </c>
      <c r="AJ9" s="10" t="s">
        <v>140</v>
      </c>
      <c r="AK9" s="10" t="s">
        <v>97</v>
      </c>
      <c r="AL9" s="10" t="s">
        <v>98</v>
      </c>
      <c r="AM9" s="10" t="s">
        <v>99</v>
      </c>
      <c r="AN9" s="10" t="s">
        <v>140</v>
      </c>
      <c r="AO9" s="10" t="s">
        <v>140</v>
      </c>
      <c r="AP9" s="10" t="s">
        <v>140</v>
      </c>
      <c r="AQ9" s="10" t="s">
        <v>149</v>
      </c>
      <c r="AR9" s="10" t="s">
        <v>140</v>
      </c>
      <c r="AS9" s="10" t="s">
        <v>102</v>
      </c>
      <c r="AT9" s="10" t="s">
        <v>103</v>
      </c>
      <c r="AU9" s="10" t="s">
        <v>104</v>
      </c>
      <c r="AV9" s="10" t="s">
        <v>105</v>
      </c>
      <c r="AW9" s="10" t="s">
        <v>140</v>
      </c>
      <c r="AX9" s="10" t="s">
        <v>107</v>
      </c>
      <c r="AY9" s="10" t="s">
        <v>108</v>
      </c>
      <c r="AZ9" s="10" t="s">
        <v>140</v>
      </c>
      <c r="BA9" s="10" t="s">
        <v>140</v>
      </c>
      <c r="BB9" s="12">
        <v>5.0</v>
      </c>
      <c r="BC9" s="12">
        <v>3.0</v>
      </c>
      <c r="BD9" s="10" t="s">
        <v>168</v>
      </c>
      <c r="BE9" s="10" t="s">
        <v>140</v>
      </c>
      <c r="BF9" s="10" t="s">
        <v>140</v>
      </c>
      <c r="BG9" s="10" t="s">
        <v>146</v>
      </c>
      <c r="BH9" s="12">
        <v>3.0</v>
      </c>
      <c r="BI9" s="12">
        <v>3.0</v>
      </c>
      <c r="BJ9" s="19">
        <f t="shared" si="1"/>
        <v>1784.397683</v>
      </c>
      <c r="BK9" s="12">
        <v>3.0</v>
      </c>
      <c r="BL9" s="12">
        <v>3.0</v>
      </c>
      <c r="BM9" s="19">
        <f t="shared" si="2"/>
        <v>1838.379699</v>
      </c>
      <c r="BN9" s="12">
        <v>3.0</v>
      </c>
      <c r="BO9" s="12">
        <v>3.0</v>
      </c>
      <c r="BP9" s="19">
        <f t="shared" si="3"/>
        <v>110.4734043</v>
      </c>
      <c r="BQ9" s="12">
        <v>3.0</v>
      </c>
      <c r="BR9" s="12">
        <v>3.0</v>
      </c>
      <c r="BS9" s="19">
        <f t="shared" si="4"/>
        <v>22.76315789</v>
      </c>
      <c r="BT9" s="12">
        <v>3.0</v>
      </c>
      <c r="BU9" s="12">
        <v>3.0</v>
      </c>
      <c r="BV9" s="19">
        <f t="shared" si="5"/>
        <v>0</v>
      </c>
      <c r="BW9" s="12">
        <v>2.0</v>
      </c>
      <c r="BX9" s="12">
        <v>2.0</v>
      </c>
      <c r="BY9" s="19">
        <f t="shared" si="6"/>
        <v>5.835051546</v>
      </c>
      <c r="BZ9" s="10" t="s">
        <v>205</v>
      </c>
      <c r="CA9" s="10" t="s">
        <v>153</v>
      </c>
      <c r="CB9" s="10" t="s">
        <v>140</v>
      </c>
      <c r="CC9" s="10" t="s">
        <v>146</v>
      </c>
      <c r="CD9" s="10" t="s">
        <v>140</v>
      </c>
      <c r="CE9" s="10" t="s">
        <v>146</v>
      </c>
      <c r="CF9" s="10" t="s">
        <v>140</v>
      </c>
      <c r="CG9" s="10" t="s">
        <v>140</v>
      </c>
      <c r="CH9" s="10" t="s">
        <v>140</v>
      </c>
      <c r="CI9" s="10" t="s">
        <v>140</v>
      </c>
      <c r="CJ9" s="10" t="s">
        <v>140</v>
      </c>
      <c r="CK9" s="10" t="s">
        <v>232</v>
      </c>
      <c r="CL9" s="10" t="s">
        <v>233</v>
      </c>
      <c r="CM9" s="10" t="s">
        <v>234</v>
      </c>
      <c r="CN9" s="10" t="s">
        <v>235</v>
      </c>
      <c r="CO9" s="10" t="s">
        <v>236</v>
      </c>
      <c r="CP9" s="10" t="s">
        <v>146</v>
      </c>
    </row>
    <row r="10">
      <c r="B10" s="10" t="s">
        <v>59</v>
      </c>
      <c r="C10" s="10" t="s">
        <v>238</v>
      </c>
      <c r="D10" s="10" t="s">
        <v>182</v>
      </c>
      <c r="E10" s="10" t="s">
        <v>140</v>
      </c>
      <c r="F10" s="10" t="s">
        <v>239</v>
      </c>
      <c r="G10" s="10" t="s">
        <v>240</v>
      </c>
      <c r="H10" s="10" t="s">
        <v>241</v>
      </c>
      <c r="I10" s="10" t="s">
        <v>242</v>
      </c>
      <c r="J10" s="10" t="s">
        <v>166</v>
      </c>
      <c r="K10" s="10" t="s">
        <v>140</v>
      </c>
      <c r="L10" s="10" t="s">
        <v>140</v>
      </c>
      <c r="M10" s="10" t="s">
        <v>73</v>
      </c>
      <c r="N10" s="10" t="s">
        <v>74</v>
      </c>
      <c r="O10" s="10" t="s">
        <v>75</v>
      </c>
      <c r="P10" s="10" t="s">
        <v>140</v>
      </c>
      <c r="Q10" s="10" t="s">
        <v>77</v>
      </c>
      <c r="R10" s="10" t="s">
        <v>78</v>
      </c>
      <c r="S10" s="10" t="s">
        <v>79</v>
      </c>
      <c r="T10" s="10" t="s">
        <v>80</v>
      </c>
      <c r="U10" s="10" t="s">
        <v>81</v>
      </c>
      <c r="V10" s="10" t="s">
        <v>82</v>
      </c>
      <c r="W10" s="10" t="s">
        <v>83</v>
      </c>
      <c r="X10" s="10" t="s">
        <v>84</v>
      </c>
      <c r="Y10" s="10" t="s">
        <v>140</v>
      </c>
      <c r="Z10" s="10" t="s">
        <v>140</v>
      </c>
      <c r="AA10" s="12">
        <v>2.0</v>
      </c>
      <c r="AB10" s="12">
        <v>33.0</v>
      </c>
      <c r="AC10" s="12">
        <v>45.0</v>
      </c>
      <c r="AD10" s="12">
        <v>20.0</v>
      </c>
      <c r="AE10" s="10" t="s">
        <v>146</v>
      </c>
      <c r="AF10" s="10" t="s">
        <v>146</v>
      </c>
      <c r="AG10" s="10" t="s">
        <v>168</v>
      </c>
      <c r="AH10" s="10" t="s">
        <v>140</v>
      </c>
      <c r="AI10" s="10" t="s">
        <v>189</v>
      </c>
      <c r="AJ10" s="10" t="s">
        <v>140</v>
      </c>
      <c r="AK10" s="10" t="s">
        <v>140</v>
      </c>
      <c r="AL10" s="10" t="s">
        <v>140</v>
      </c>
      <c r="AM10" s="10" t="s">
        <v>99</v>
      </c>
      <c r="AN10" s="10" t="s">
        <v>140</v>
      </c>
      <c r="AO10" s="10" t="s">
        <v>140</v>
      </c>
      <c r="AP10" s="10" t="s">
        <v>140</v>
      </c>
      <c r="AQ10" s="10" t="s">
        <v>149</v>
      </c>
      <c r="AR10" s="10" t="s">
        <v>140</v>
      </c>
      <c r="AS10" s="10" t="s">
        <v>102</v>
      </c>
      <c r="AT10" s="10" t="s">
        <v>140</v>
      </c>
      <c r="AU10" s="10" t="s">
        <v>104</v>
      </c>
      <c r="AV10" s="10" t="s">
        <v>140</v>
      </c>
      <c r="AW10" s="10" t="s">
        <v>140</v>
      </c>
      <c r="AX10" s="10" t="s">
        <v>140</v>
      </c>
      <c r="AY10" s="10" t="s">
        <v>108</v>
      </c>
      <c r="AZ10" s="10" t="s">
        <v>85</v>
      </c>
      <c r="BA10" s="10" t="s">
        <v>243</v>
      </c>
      <c r="BB10" s="12">
        <v>4.0</v>
      </c>
      <c r="BC10" s="12">
        <v>4.0</v>
      </c>
      <c r="BD10" s="10" t="s">
        <v>146</v>
      </c>
      <c r="BE10" s="10" t="s">
        <v>244</v>
      </c>
      <c r="BF10" s="10" t="s">
        <v>146</v>
      </c>
      <c r="BG10" s="10" t="s">
        <v>146</v>
      </c>
      <c r="BH10" s="12">
        <v>6.0</v>
      </c>
      <c r="BI10" s="12">
        <v>6.0</v>
      </c>
      <c r="BJ10" s="19">
        <f t="shared" si="1"/>
        <v>3568.795367</v>
      </c>
      <c r="BK10" s="12">
        <v>4.0</v>
      </c>
      <c r="BL10" s="12">
        <v>4.0</v>
      </c>
      <c r="BM10" s="19">
        <f t="shared" si="2"/>
        <v>2451.172932</v>
      </c>
      <c r="BN10" s="12">
        <v>6.0</v>
      </c>
      <c r="BO10" s="12">
        <v>6.0</v>
      </c>
      <c r="BP10" s="19">
        <f t="shared" si="3"/>
        <v>220.9468085</v>
      </c>
      <c r="BQ10" s="12">
        <v>1.0</v>
      </c>
      <c r="BR10" s="12">
        <v>1.0</v>
      </c>
      <c r="BS10" s="19">
        <f t="shared" si="4"/>
        <v>7.587719298</v>
      </c>
      <c r="BT10" s="12">
        <v>1.0</v>
      </c>
      <c r="BU10" s="12">
        <v>1.0</v>
      </c>
      <c r="BV10" s="19">
        <f t="shared" si="5"/>
        <v>0</v>
      </c>
      <c r="BW10" s="12">
        <v>0.0</v>
      </c>
      <c r="BX10" s="12">
        <v>0.0</v>
      </c>
      <c r="BY10" s="19">
        <f t="shared" si="6"/>
        <v>0</v>
      </c>
      <c r="BZ10" s="10" t="s">
        <v>245</v>
      </c>
      <c r="CA10" s="10" t="s">
        <v>153</v>
      </c>
      <c r="CB10" s="10" t="s">
        <v>140</v>
      </c>
      <c r="CC10" s="10" t="s">
        <v>146</v>
      </c>
      <c r="CD10" s="10" t="s">
        <v>140</v>
      </c>
      <c r="CE10" s="10" t="s">
        <v>168</v>
      </c>
      <c r="CF10" s="10" t="s">
        <v>246</v>
      </c>
      <c r="CG10" s="10" t="s">
        <v>182</v>
      </c>
      <c r="CH10" s="10" t="s">
        <v>174</v>
      </c>
      <c r="CI10" s="10" t="s">
        <v>247</v>
      </c>
      <c r="CJ10" s="10" t="s">
        <v>248</v>
      </c>
      <c r="CK10" s="10" t="s">
        <v>249</v>
      </c>
      <c r="CL10" s="10" t="s">
        <v>250</v>
      </c>
      <c r="CM10" s="10" t="s">
        <v>251</v>
      </c>
      <c r="CN10" s="10" t="s">
        <v>252</v>
      </c>
      <c r="CO10" s="10" t="s">
        <v>253</v>
      </c>
      <c r="CP10" s="10" t="s">
        <v>146</v>
      </c>
    </row>
    <row r="11">
      <c r="B11" s="10" t="s">
        <v>43</v>
      </c>
      <c r="C11" s="10" t="s">
        <v>255</v>
      </c>
      <c r="D11" s="10" t="s">
        <v>256</v>
      </c>
      <c r="E11" s="10" t="s">
        <v>140</v>
      </c>
      <c r="F11" s="10" t="s">
        <v>257</v>
      </c>
      <c r="G11" s="10" t="s">
        <v>258</v>
      </c>
      <c r="H11" s="10" t="s">
        <v>259</v>
      </c>
      <c r="I11" s="10" t="s">
        <v>260</v>
      </c>
      <c r="J11" s="10" t="s">
        <v>261</v>
      </c>
      <c r="K11" s="10" t="s">
        <v>140</v>
      </c>
      <c r="L11" s="10" t="s">
        <v>140</v>
      </c>
      <c r="M11" s="10" t="s">
        <v>73</v>
      </c>
      <c r="N11" s="10" t="s">
        <v>74</v>
      </c>
      <c r="O11" s="10" t="s">
        <v>140</v>
      </c>
      <c r="P11" s="10" t="s">
        <v>140</v>
      </c>
      <c r="Q11" s="10" t="s">
        <v>140</v>
      </c>
      <c r="R11" s="10" t="s">
        <v>140</v>
      </c>
      <c r="S11" s="10" t="s">
        <v>79</v>
      </c>
      <c r="T11" s="10" t="s">
        <v>140</v>
      </c>
      <c r="U11" s="10" t="s">
        <v>140</v>
      </c>
      <c r="V11" s="10" t="s">
        <v>140</v>
      </c>
      <c r="W11" s="10" t="s">
        <v>83</v>
      </c>
      <c r="X11" s="10" t="s">
        <v>140</v>
      </c>
      <c r="Y11" s="10" t="s">
        <v>140</v>
      </c>
      <c r="Z11" s="10" t="s">
        <v>140</v>
      </c>
      <c r="AA11" s="12">
        <v>17.0</v>
      </c>
      <c r="AB11" s="12">
        <v>28.0</v>
      </c>
      <c r="AC11" s="12">
        <v>45.0</v>
      </c>
      <c r="AD11" s="12">
        <v>12.0</v>
      </c>
      <c r="AE11" s="10" t="s">
        <v>146</v>
      </c>
      <c r="AF11" s="10" t="s">
        <v>168</v>
      </c>
      <c r="AG11" s="10" t="s">
        <v>140</v>
      </c>
      <c r="AH11" s="10" t="s">
        <v>140</v>
      </c>
      <c r="AI11" s="10" t="s">
        <v>140</v>
      </c>
      <c r="AJ11" s="10" t="s">
        <v>140</v>
      </c>
      <c r="AK11" s="10" t="s">
        <v>140</v>
      </c>
      <c r="AL11" s="10" t="s">
        <v>140</v>
      </c>
      <c r="AM11" s="10" t="s">
        <v>140</v>
      </c>
      <c r="AN11" s="10" t="s">
        <v>140</v>
      </c>
      <c r="AO11" s="10" t="s">
        <v>85</v>
      </c>
      <c r="AP11" s="10" t="s">
        <v>262</v>
      </c>
      <c r="AQ11" s="10" t="s">
        <v>85</v>
      </c>
      <c r="AR11" s="10" t="s">
        <v>263</v>
      </c>
      <c r="AS11" s="10" t="s">
        <v>140</v>
      </c>
      <c r="AT11" s="10" t="s">
        <v>140</v>
      </c>
      <c r="AU11" s="10" t="s">
        <v>140</v>
      </c>
      <c r="AV11" s="10" t="s">
        <v>140</v>
      </c>
      <c r="AW11" s="10" t="s">
        <v>140</v>
      </c>
      <c r="AX11" s="10" t="s">
        <v>140</v>
      </c>
      <c r="AY11" s="10" t="s">
        <v>140</v>
      </c>
      <c r="AZ11" s="10" t="s">
        <v>85</v>
      </c>
      <c r="BA11" s="10" t="s">
        <v>264</v>
      </c>
      <c r="BB11" s="12">
        <v>6.0</v>
      </c>
      <c r="BC11" s="12">
        <v>6.0</v>
      </c>
      <c r="BD11" s="10" t="s">
        <v>168</v>
      </c>
      <c r="BE11" s="10" t="s">
        <v>140</v>
      </c>
      <c r="BF11" s="10" t="s">
        <v>140</v>
      </c>
      <c r="BG11" s="10" t="s">
        <v>146</v>
      </c>
      <c r="BH11" s="12">
        <v>8.0</v>
      </c>
      <c r="BI11" s="12">
        <v>8.0</v>
      </c>
      <c r="BJ11" s="19">
        <f t="shared" si="1"/>
        <v>4758.393822</v>
      </c>
      <c r="BK11" s="12">
        <v>4.0</v>
      </c>
      <c r="BL11" s="12">
        <v>4.0</v>
      </c>
      <c r="BM11" s="19">
        <f t="shared" si="2"/>
        <v>2451.172932</v>
      </c>
      <c r="BN11" s="12">
        <v>7.0</v>
      </c>
      <c r="BO11" s="12">
        <v>7.0</v>
      </c>
      <c r="BP11" s="19">
        <f t="shared" si="3"/>
        <v>257.7712766</v>
      </c>
      <c r="BQ11" s="12">
        <v>3.0</v>
      </c>
      <c r="BR11" s="12">
        <v>3.0</v>
      </c>
      <c r="BS11" s="19">
        <f t="shared" si="4"/>
        <v>22.76315789</v>
      </c>
      <c r="BT11" s="12">
        <v>4.0</v>
      </c>
      <c r="BU11" s="12">
        <v>4.0</v>
      </c>
      <c r="BV11" s="19">
        <f t="shared" si="5"/>
        <v>0</v>
      </c>
      <c r="BW11" s="12">
        <v>3.0</v>
      </c>
      <c r="BX11" s="12">
        <v>3.0</v>
      </c>
      <c r="BY11" s="19">
        <f t="shared" si="6"/>
        <v>8.75257732</v>
      </c>
      <c r="BZ11" s="10" t="s">
        <v>152</v>
      </c>
      <c r="CA11" s="10" t="s">
        <v>153</v>
      </c>
      <c r="CB11" s="10" t="s">
        <v>140</v>
      </c>
      <c r="CC11" s="10" t="s">
        <v>146</v>
      </c>
      <c r="CD11" s="10" t="s">
        <v>140</v>
      </c>
      <c r="CE11" s="10" t="s">
        <v>146</v>
      </c>
      <c r="CF11" s="10" t="s">
        <v>140</v>
      </c>
      <c r="CG11" s="10" t="s">
        <v>140</v>
      </c>
      <c r="CH11" s="10" t="s">
        <v>140</v>
      </c>
      <c r="CI11" s="10" t="s">
        <v>140</v>
      </c>
      <c r="CJ11" s="10" t="s">
        <v>140</v>
      </c>
      <c r="CK11" s="10" t="s">
        <v>265</v>
      </c>
      <c r="CL11" s="10" t="s">
        <v>266</v>
      </c>
      <c r="CM11" s="10" t="s">
        <v>267</v>
      </c>
      <c r="CN11" s="10" t="s">
        <v>268</v>
      </c>
      <c r="CO11" s="10" t="s">
        <v>269</v>
      </c>
      <c r="CP11" s="10" t="s">
        <v>146</v>
      </c>
    </row>
    <row r="12">
      <c r="B12" s="10" t="s">
        <v>45</v>
      </c>
      <c r="C12" s="10" t="s">
        <v>271</v>
      </c>
      <c r="D12" s="10" t="s">
        <v>272</v>
      </c>
      <c r="E12" s="10" t="s">
        <v>140</v>
      </c>
      <c r="F12" s="10" t="s">
        <v>273</v>
      </c>
      <c r="G12" s="10" t="s">
        <v>274</v>
      </c>
      <c r="H12" s="10" t="s">
        <v>275</v>
      </c>
      <c r="I12" s="10" t="s">
        <v>276</v>
      </c>
      <c r="J12" s="10" t="s">
        <v>85</v>
      </c>
      <c r="K12" s="10" t="s">
        <v>277</v>
      </c>
      <c r="L12" s="10" t="s">
        <v>140</v>
      </c>
      <c r="M12" s="10" t="s">
        <v>73</v>
      </c>
      <c r="N12" s="10" t="s">
        <v>140</v>
      </c>
      <c r="O12" s="10" t="s">
        <v>140</v>
      </c>
      <c r="P12" s="10" t="s">
        <v>140</v>
      </c>
      <c r="Q12" s="10" t="s">
        <v>140</v>
      </c>
      <c r="R12" s="10" t="s">
        <v>140</v>
      </c>
      <c r="S12" s="10" t="s">
        <v>140</v>
      </c>
      <c r="T12" s="10" t="s">
        <v>140</v>
      </c>
      <c r="U12" s="10" t="s">
        <v>140</v>
      </c>
      <c r="V12" s="10" t="s">
        <v>140</v>
      </c>
      <c r="W12" s="10" t="s">
        <v>140</v>
      </c>
      <c r="X12" s="10" t="s">
        <v>84</v>
      </c>
      <c r="Y12" s="10" t="s">
        <v>140</v>
      </c>
      <c r="Z12" s="10" t="s">
        <v>140</v>
      </c>
      <c r="AA12" s="12">
        <v>15.0</v>
      </c>
      <c r="AB12" s="12">
        <v>70.0</v>
      </c>
      <c r="AC12" s="12">
        <v>15.0</v>
      </c>
      <c r="AD12" s="12">
        <v>0.0</v>
      </c>
      <c r="AE12" s="10" t="s">
        <v>146</v>
      </c>
      <c r="AF12" s="10" t="s">
        <v>168</v>
      </c>
      <c r="AG12" s="10" t="s">
        <v>140</v>
      </c>
      <c r="AH12" s="10" t="s">
        <v>140</v>
      </c>
      <c r="AI12" s="10" t="s">
        <v>140</v>
      </c>
      <c r="AJ12" s="10" t="s">
        <v>140</v>
      </c>
      <c r="AK12" s="10" t="s">
        <v>140</v>
      </c>
      <c r="AL12" s="10" t="s">
        <v>140</v>
      </c>
      <c r="AM12" s="10" t="s">
        <v>140</v>
      </c>
      <c r="AN12" s="10" t="s">
        <v>140</v>
      </c>
      <c r="AO12" s="10" t="s">
        <v>85</v>
      </c>
      <c r="AP12" s="10" t="s">
        <v>278</v>
      </c>
      <c r="AQ12" s="10" t="s">
        <v>85</v>
      </c>
      <c r="AR12" s="10" t="s">
        <v>279</v>
      </c>
      <c r="AS12" s="10" t="s">
        <v>140</v>
      </c>
      <c r="AT12" s="10" t="s">
        <v>140</v>
      </c>
      <c r="AU12" s="10" t="s">
        <v>140</v>
      </c>
      <c r="AV12" s="10" t="s">
        <v>140</v>
      </c>
      <c r="AW12" s="10" t="s">
        <v>140</v>
      </c>
      <c r="AX12" s="10" t="s">
        <v>140</v>
      </c>
      <c r="AY12" s="10" t="s">
        <v>140</v>
      </c>
      <c r="AZ12" s="10" t="s">
        <v>85</v>
      </c>
      <c r="BA12" s="10" t="s">
        <v>280</v>
      </c>
      <c r="BB12" s="12">
        <v>7.0</v>
      </c>
      <c r="BC12" s="12">
        <v>7.0</v>
      </c>
      <c r="BD12" s="10" t="s">
        <v>168</v>
      </c>
      <c r="BE12" s="10" t="s">
        <v>140</v>
      </c>
      <c r="BF12" s="10" t="s">
        <v>140</v>
      </c>
      <c r="BG12" s="10" t="s">
        <v>146</v>
      </c>
      <c r="BH12" s="12">
        <v>2.0</v>
      </c>
      <c r="BI12" s="12">
        <v>2.0</v>
      </c>
      <c r="BJ12" s="19">
        <f t="shared" si="1"/>
        <v>1189.598456</v>
      </c>
      <c r="BK12" s="12">
        <v>10.0</v>
      </c>
      <c r="BL12" s="12">
        <v>10.0</v>
      </c>
      <c r="BM12" s="19">
        <f t="shared" si="2"/>
        <v>6127.932331</v>
      </c>
      <c r="BN12" s="12">
        <v>10.0</v>
      </c>
      <c r="BO12" s="12">
        <v>10.0</v>
      </c>
      <c r="BP12" s="19">
        <f t="shared" si="3"/>
        <v>368.2446809</v>
      </c>
      <c r="BQ12" s="12">
        <v>0.0</v>
      </c>
      <c r="BR12" s="12">
        <v>0.0</v>
      </c>
      <c r="BS12" s="19">
        <f t="shared" si="4"/>
        <v>0</v>
      </c>
      <c r="BT12" s="12">
        <v>4.0</v>
      </c>
      <c r="BU12" s="12">
        <v>4.0</v>
      </c>
      <c r="BV12" s="19">
        <f t="shared" si="5"/>
        <v>0</v>
      </c>
      <c r="BW12" s="12">
        <v>5.0</v>
      </c>
      <c r="BX12" s="12">
        <v>5.0</v>
      </c>
      <c r="BY12" s="19">
        <f t="shared" si="6"/>
        <v>14.58762887</v>
      </c>
      <c r="BZ12" s="10" t="s">
        <v>172</v>
      </c>
      <c r="CA12" s="10" t="s">
        <v>153</v>
      </c>
      <c r="CB12" s="10" t="s">
        <v>140</v>
      </c>
      <c r="CC12" s="10" t="s">
        <v>146</v>
      </c>
      <c r="CD12" s="10" t="s">
        <v>140</v>
      </c>
      <c r="CE12" s="10" t="s">
        <v>146</v>
      </c>
      <c r="CF12" s="10" t="s">
        <v>140</v>
      </c>
      <c r="CG12" s="10" t="s">
        <v>140</v>
      </c>
      <c r="CH12" s="10" t="s">
        <v>140</v>
      </c>
      <c r="CI12" s="10" t="s">
        <v>140</v>
      </c>
      <c r="CJ12" s="10" t="s">
        <v>140</v>
      </c>
      <c r="CK12" s="10" t="s">
        <v>281</v>
      </c>
      <c r="CL12" s="10" t="s">
        <v>282</v>
      </c>
      <c r="CM12" s="10" t="s">
        <v>283</v>
      </c>
      <c r="CN12" s="10" t="s">
        <v>284</v>
      </c>
      <c r="CO12" s="10" t="s">
        <v>285</v>
      </c>
      <c r="CP12" s="10" t="s">
        <v>146</v>
      </c>
    </row>
    <row r="13">
      <c r="B13" s="10" t="s">
        <v>33</v>
      </c>
      <c r="C13" s="10" t="s">
        <v>287</v>
      </c>
      <c r="D13" s="10" t="s">
        <v>161</v>
      </c>
      <c r="E13" s="10" t="s">
        <v>140</v>
      </c>
      <c r="F13" s="10" t="s">
        <v>288</v>
      </c>
      <c r="G13" s="10" t="s">
        <v>289</v>
      </c>
      <c r="H13" s="10" t="s">
        <v>290</v>
      </c>
      <c r="I13" s="10" t="s">
        <v>291</v>
      </c>
      <c r="J13" s="10" t="s">
        <v>166</v>
      </c>
      <c r="K13" s="10" t="s">
        <v>140</v>
      </c>
      <c r="L13" s="10" t="s">
        <v>140</v>
      </c>
      <c r="M13" s="10" t="s">
        <v>73</v>
      </c>
      <c r="N13" s="10" t="s">
        <v>74</v>
      </c>
      <c r="O13" s="10" t="s">
        <v>75</v>
      </c>
      <c r="P13" s="10" t="s">
        <v>76</v>
      </c>
      <c r="Q13" s="10" t="s">
        <v>77</v>
      </c>
      <c r="R13" s="10" t="s">
        <v>78</v>
      </c>
      <c r="S13" s="10" t="s">
        <v>79</v>
      </c>
      <c r="T13" s="10" t="s">
        <v>80</v>
      </c>
      <c r="U13" s="10" t="s">
        <v>140</v>
      </c>
      <c r="V13" s="10" t="s">
        <v>82</v>
      </c>
      <c r="W13" s="10" t="s">
        <v>83</v>
      </c>
      <c r="X13" s="10" t="s">
        <v>84</v>
      </c>
      <c r="Y13" s="10" t="s">
        <v>140</v>
      </c>
      <c r="Z13" s="10" t="s">
        <v>140</v>
      </c>
      <c r="AA13" s="12">
        <v>30.0</v>
      </c>
      <c r="AB13" s="12">
        <v>20.0</v>
      </c>
      <c r="AC13" s="12">
        <v>10.0</v>
      </c>
      <c r="AD13" s="12">
        <v>0.0</v>
      </c>
      <c r="AE13" s="10" t="s">
        <v>146</v>
      </c>
      <c r="AF13" s="10" t="s">
        <v>146</v>
      </c>
      <c r="AG13" s="10" t="s">
        <v>146</v>
      </c>
      <c r="AH13" s="10" t="s">
        <v>292</v>
      </c>
      <c r="AI13" s="10" t="s">
        <v>140</v>
      </c>
      <c r="AJ13" s="10" t="s">
        <v>140</v>
      </c>
      <c r="AK13" s="10" t="s">
        <v>140</v>
      </c>
      <c r="AL13" s="10" t="s">
        <v>140</v>
      </c>
      <c r="AM13" s="10" t="s">
        <v>99</v>
      </c>
      <c r="AN13" s="10" t="s">
        <v>140</v>
      </c>
      <c r="AO13" s="10" t="s">
        <v>140</v>
      </c>
      <c r="AP13" s="10" t="s">
        <v>140</v>
      </c>
      <c r="AQ13" s="10" t="s">
        <v>85</v>
      </c>
      <c r="AR13" s="10" t="s">
        <v>293</v>
      </c>
      <c r="AS13" s="10" t="s">
        <v>102</v>
      </c>
      <c r="AT13" s="10" t="s">
        <v>103</v>
      </c>
      <c r="AU13" s="10" t="s">
        <v>140</v>
      </c>
      <c r="AV13" s="10" t="s">
        <v>105</v>
      </c>
      <c r="AW13" s="10" t="s">
        <v>140</v>
      </c>
      <c r="AX13" s="10" t="s">
        <v>107</v>
      </c>
      <c r="AY13" s="10" t="s">
        <v>108</v>
      </c>
      <c r="AZ13" s="10" t="s">
        <v>140</v>
      </c>
      <c r="BA13" s="10" t="s">
        <v>140</v>
      </c>
      <c r="BB13" s="12">
        <v>7.0</v>
      </c>
      <c r="BC13" s="12">
        <v>5.0</v>
      </c>
      <c r="BD13" s="10" t="s">
        <v>146</v>
      </c>
      <c r="BE13" s="10" t="s">
        <v>294</v>
      </c>
      <c r="BF13" s="10" t="s">
        <v>146</v>
      </c>
      <c r="BG13" s="10" t="s">
        <v>146</v>
      </c>
      <c r="BH13" s="12">
        <v>10.0</v>
      </c>
      <c r="BI13" s="12">
        <v>10.0</v>
      </c>
      <c r="BJ13" s="19">
        <f t="shared" si="1"/>
        <v>5947.992278</v>
      </c>
      <c r="BK13" s="12">
        <v>10.0</v>
      </c>
      <c r="BL13" s="12">
        <v>10.0</v>
      </c>
      <c r="BM13" s="19">
        <f t="shared" si="2"/>
        <v>6127.932331</v>
      </c>
      <c r="BN13" s="12">
        <v>5.0</v>
      </c>
      <c r="BO13" s="12">
        <v>5.0</v>
      </c>
      <c r="BP13" s="19">
        <f t="shared" si="3"/>
        <v>184.1223404</v>
      </c>
      <c r="BQ13" s="12">
        <v>10.0</v>
      </c>
      <c r="BR13" s="12">
        <v>10.0</v>
      </c>
      <c r="BS13" s="19">
        <f t="shared" si="4"/>
        <v>75.87719298</v>
      </c>
      <c r="BT13" s="12">
        <v>5.0</v>
      </c>
      <c r="BU13" s="12">
        <v>5.0</v>
      </c>
      <c r="BV13" s="19">
        <f t="shared" si="5"/>
        <v>0</v>
      </c>
      <c r="BW13" s="12">
        <v>5.0</v>
      </c>
      <c r="BX13" s="12">
        <v>5.0</v>
      </c>
      <c r="BY13" s="19">
        <f t="shared" si="6"/>
        <v>14.58762887</v>
      </c>
      <c r="BZ13" s="10" t="s">
        <v>152</v>
      </c>
      <c r="CA13" s="10" t="s">
        <v>173</v>
      </c>
      <c r="CB13" s="10" t="s">
        <v>140</v>
      </c>
      <c r="CC13" s="10" t="s">
        <v>146</v>
      </c>
      <c r="CD13" s="10" t="s">
        <v>140</v>
      </c>
      <c r="CE13" s="10" t="s">
        <v>146</v>
      </c>
      <c r="CF13" s="10" t="s">
        <v>140</v>
      </c>
      <c r="CG13" s="10" t="s">
        <v>140</v>
      </c>
      <c r="CH13" s="10" t="s">
        <v>140</v>
      </c>
      <c r="CI13" s="10" t="s">
        <v>140</v>
      </c>
      <c r="CJ13" s="10" t="s">
        <v>140</v>
      </c>
      <c r="CK13" s="10" t="s">
        <v>295</v>
      </c>
      <c r="CL13" s="10" t="s">
        <v>296</v>
      </c>
      <c r="CM13" s="10" t="s">
        <v>297</v>
      </c>
      <c r="CN13" s="10" t="s">
        <v>298</v>
      </c>
      <c r="CO13" s="10" t="s">
        <v>299</v>
      </c>
      <c r="CP13" s="10" t="s">
        <v>146</v>
      </c>
    </row>
    <row r="14">
      <c r="B14" s="10" t="s">
        <v>24</v>
      </c>
      <c r="C14" s="10" t="s">
        <v>301</v>
      </c>
      <c r="D14" s="10" t="s">
        <v>226</v>
      </c>
      <c r="E14" s="10" t="s">
        <v>140</v>
      </c>
      <c r="F14" s="10" t="s">
        <v>302</v>
      </c>
      <c r="G14" s="10" t="s">
        <v>303</v>
      </c>
      <c r="H14" s="10" t="s">
        <v>304</v>
      </c>
      <c r="I14" s="10" t="s">
        <v>305</v>
      </c>
      <c r="J14" s="10" t="s">
        <v>261</v>
      </c>
      <c r="K14" s="10" t="s">
        <v>140</v>
      </c>
      <c r="L14" s="10" t="s">
        <v>140</v>
      </c>
      <c r="M14" s="10" t="s">
        <v>73</v>
      </c>
      <c r="N14" s="10" t="s">
        <v>140</v>
      </c>
      <c r="O14" s="10" t="s">
        <v>140</v>
      </c>
      <c r="P14" s="10" t="s">
        <v>76</v>
      </c>
      <c r="Q14" s="10" t="s">
        <v>77</v>
      </c>
      <c r="R14" s="10" t="s">
        <v>140</v>
      </c>
      <c r="S14" s="10" t="s">
        <v>79</v>
      </c>
      <c r="T14" s="10" t="s">
        <v>80</v>
      </c>
      <c r="U14" s="10" t="s">
        <v>81</v>
      </c>
      <c r="V14" s="10" t="s">
        <v>82</v>
      </c>
      <c r="W14" s="10" t="s">
        <v>83</v>
      </c>
      <c r="X14" s="10" t="s">
        <v>84</v>
      </c>
      <c r="Y14" s="10" t="s">
        <v>140</v>
      </c>
      <c r="Z14" s="10" t="s">
        <v>140</v>
      </c>
      <c r="AA14" s="12">
        <v>30.0</v>
      </c>
      <c r="AB14" s="12">
        <v>60.0</v>
      </c>
      <c r="AC14" s="12">
        <v>10.0</v>
      </c>
      <c r="AD14" s="12">
        <v>0.0</v>
      </c>
      <c r="AE14" s="10" t="s">
        <v>146</v>
      </c>
      <c r="AF14" s="10" t="s">
        <v>146</v>
      </c>
      <c r="AG14" s="10" t="s">
        <v>146</v>
      </c>
      <c r="AH14" s="10" t="s">
        <v>306</v>
      </c>
      <c r="AI14" s="10" t="s">
        <v>140</v>
      </c>
      <c r="AJ14" s="10" t="s">
        <v>140</v>
      </c>
      <c r="AK14" s="10" t="s">
        <v>140</v>
      </c>
      <c r="AL14" s="10" t="s">
        <v>140</v>
      </c>
      <c r="AM14" s="10" t="s">
        <v>99</v>
      </c>
      <c r="AN14" s="10" t="s">
        <v>100</v>
      </c>
      <c r="AO14" s="10" t="s">
        <v>140</v>
      </c>
      <c r="AP14" s="10" t="s">
        <v>140</v>
      </c>
      <c r="AQ14" s="10" t="s">
        <v>149</v>
      </c>
      <c r="AR14" s="10" t="s">
        <v>140</v>
      </c>
      <c r="AS14" s="10" t="s">
        <v>102</v>
      </c>
      <c r="AT14" s="10" t="s">
        <v>140</v>
      </c>
      <c r="AU14" s="10" t="s">
        <v>104</v>
      </c>
      <c r="AV14" s="10" t="s">
        <v>140</v>
      </c>
      <c r="AW14" s="10" t="s">
        <v>140</v>
      </c>
      <c r="AX14" s="10" t="s">
        <v>140</v>
      </c>
      <c r="AY14" s="10" t="s">
        <v>108</v>
      </c>
      <c r="AZ14" s="10" t="s">
        <v>140</v>
      </c>
      <c r="BA14" s="10" t="s">
        <v>140</v>
      </c>
      <c r="BB14" s="12">
        <v>3.0</v>
      </c>
      <c r="BC14" s="12">
        <v>3.0</v>
      </c>
      <c r="BD14" s="10" t="s">
        <v>146</v>
      </c>
      <c r="BE14" s="10" t="s">
        <v>307</v>
      </c>
      <c r="BF14" s="10" t="s">
        <v>146</v>
      </c>
      <c r="BG14" s="10" t="s">
        <v>146</v>
      </c>
      <c r="BH14" s="12">
        <v>0.0</v>
      </c>
      <c r="BI14" s="12">
        <v>0.0</v>
      </c>
      <c r="BJ14" s="19">
        <f t="shared" si="1"/>
        <v>0</v>
      </c>
      <c r="BK14" s="12">
        <v>10.0</v>
      </c>
      <c r="BL14" s="12">
        <v>10.0</v>
      </c>
      <c r="BM14" s="19">
        <f t="shared" si="2"/>
        <v>6127.932331</v>
      </c>
      <c r="BN14" s="12">
        <v>0.0</v>
      </c>
      <c r="BO14" s="12">
        <v>0.0</v>
      </c>
      <c r="BP14" s="19">
        <f t="shared" si="3"/>
        <v>0</v>
      </c>
      <c r="BQ14" s="12">
        <v>0.0</v>
      </c>
      <c r="BR14" s="12">
        <v>0.0</v>
      </c>
      <c r="BS14" s="19">
        <f t="shared" si="4"/>
        <v>0</v>
      </c>
      <c r="BT14" s="12">
        <v>3.0</v>
      </c>
      <c r="BU14" s="12">
        <v>3.0</v>
      </c>
      <c r="BV14" s="19">
        <f t="shared" si="5"/>
        <v>0</v>
      </c>
      <c r="BW14" s="12">
        <v>0.0</v>
      </c>
      <c r="BX14" s="12">
        <v>0.0</v>
      </c>
      <c r="BY14" s="19">
        <f t="shared" si="6"/>
        <v>0</v>
      </c>
      <c r="BZ14" s="10" t="s">
        <v>172</v>
      </c>
      <c r="CA14" s="10" t="s">
        <v>153</v>
      </c>
      <c r="CB14" s="10" t="s">
        <v>140</v>
      </c>
      <c r="CC14" s="10" t="s">
        <v>146</v>
      </c>
      <c r="CD14" s="10" t="s">
        <v>140</v>
      </c>
      <c r="CE14" s="10" t="s">
        <v>168</v>
      </c>
      <c r="CF14" s="10" t="s">
        <v>308</v>
      </c>
      <c r="CG14" s="10" t="s">
        <v>226</v>
      </c>
      <c r="CH14" s="10" t="s">
        <v>174</v>
      </c>
      <c r="CI14" s="10" t="s">
        <v>302</v>
      </c>
      <c r="CJ14" s="10" t="s">
        <v>309</v>
      </c>
      <c r="CK14" s="10" t="s">
        <v>310</v>
      </c>
      <c r="CL14" s="10" t="s">
        <v>311</v>
      </c>
      <c r="CM14" s="10" t="s">
        <v>312</v>
      </c>
      <c r="CN14" s="10" t="s">
        <v>313</v>
      </c>
      <c r="CO14" s="10" t="s">
        <v>314</v>
      </c>
      <c r="CP14" s="10" t="s">
        <v>146</v>
      </c>
    </row>
    <row r="15">
      <c r="B15" s="10" t="s">
        <v>32</v>
      </c>
      <c r="C15" s="10" t="s">
        <v>316</v>
      </c>
      <c r="D15" s="10" t="s">
        <v>182</v>
      </c>
      <c r="E15" s="10" t="s">
        <v>140</v>
      </c>
      <c r="F15" s="10" t="s">
        <v>247</v>
      </c>
      <c r="G15" s="10" t="s">
        <v>317</v>
      </c>
      <c r="H15" s="10" t="s">
        <v>318</v>
      </c>
      <c r="I15" s="10" t="s">
        <v>319</v>
      </c>
      <c r="J15" s="10" t="s">
        <v>166</v>
      </c>
      <c r="K15" s="10" t="s">
        <v>140</v>
      </c>
      <c r="L15" s="10" t="s">
        <v>140</v>
      </c>
      <c r="M15" s="10" t="s">
        <v>140</v>
      </c>
      <c r="N15" s="10" t="s">
        <v>140</v>
      </c>
      <c r="O15" s="10" t="s">
        <v>140</v>
      </c>
      <c r="P15" s="10" t="s">
        <v>140</v>
      </c>
      <c r="Q15" s="10" t="s">
        <v>140</v>
      </c>
      <c r="R15" s="10" t="s">
        <v>140</v>
      </c>
      <c r="S15" s="10" t="s">
        <v>140</v>
      </c>
      <c r="T15" s="10" t="s">
        <v>140</v>
      </c>
      <c r="U15" s="10" t="s">
        <v>140</v>
      </c>
      <c r="V15" s="10" t="s">
        <v>140</v>
      </c>
      <c r="W15" s="10" t="s">
        <v>83</v>
      </c>
      <c r="X15" s="10" t="s">
        <v>140</v>
      </c>
      <c r="Y15" s="10" t="s">
        <v>140</v>
      </c>
      <c r="Z15" s="10" t="s">
        <v>140</v>
      </c>
      <c r="AA15" s="12">
        <v>25.0</v>
      </c>
      <c r="AB15" s="12">
        <v>50.0</v>
      </c>
      <c r="AC15" s="12">
        <v>25.0</v>
      </c>
      <c r="AD15" s="12">
        <v>10.0</v>
      </c>
      <c r="AE15" s="10" t="s">
        <v>146</v>
      </c>
      <c r="AF15" s="10" t="s">
        <v>146</v>
      </c>
      <c r="AG15" s="10" t="s">
        <v>168</v>
      </c>
      <c r="AH15" s="10" t="s">
        <v>140</v>
      </c>
      <c r="AI15" s="10" t="s">
        <v>189</v>
      </c>
      <c r="AJ15" s="10" t="s">
        <v>140</v>
      </c>
      <c r="AK15" s="10" t="s">
        <v>140</v>
      </c>
      <c r="AL15" s="10" t="s">
        <v>140</v>
      </c>
      <c r="AM15" s="10" t="s">
        <v>99</v>
      </c>
      <c r="AN15" s="10" t="s">
        <v>140</v>
      </c>
      <c r="AO15" s="10" t="s">
        <v>140</v>
      </c>
      <c r="AP15" s="10" t="s">
        <v>140</v>
      </c>
      <c r="AQ15" s="10" t="s">
        <v>149</v>
      </c>
      <c r="AR15" s="10" t="s">
        <v>140</v>
      </c>
      <c r="AS15" s="10" t="s">
        <v>102</v>
      </c>
      <c r="AT15" s="10" t="s">
        <v>103</v>
      </c>
      <c r="AU15" s="10" t="s">
        <v>104</v>
      </c>
      <c r="AV15" s="10" t="s">
        <v>140</v>
      </c>
      <c r="AW15" s="10" t="s">
        <v>140</v>
      </c>
      <c r="AX15" s="10" t="s">
        <v>107</v>
      </c>
      <c r="AY15" s="10" t="s">
        <v>108</v>
      </c>
      <c r="AZ15" s="10" t="s">
        <v>140</v>
      </c>
      <c r="BA15" s="10" t="s">
        <v>140</v>
      </c>
      <c r="BB15" s="12">
        <v>3.0</v>
      </c>
      <c r="BC15" s="12">
        <v>7.0</v>
      </c>
      <c r="BD15" s="10" t="s">
        <v>168</v>
      </c>
      <c r="BE15" s="10" t="s">
        <v>140</v>
      </c>
      <c r="BF15" s="10" t="s">
        <v>140</v>
      </c>
      <c r="BG15" s="10" t="s">
        <v>146</v>
      </c>
      <c r="BH15" s="12">
        <v>7.0</v>
      </c>
      <c r="BI15" s="12">
        <v>7.0</v>
      </c>
      <c r="BJ15" s="19">
        <f t="shared" si="1"/>
        <v>4163.594595</v>
      </c>
      <c r="BK15" s="12">
        <v>5.0</v>
      </c>
      <c r="BL15" s="12">
        <v>5.0</v>
      </c>
      <c r="BM15" s="19">
        <f t="shared" si="2"/>
        <v>3063.966165</v>
      </c>
      <c r="BN15" s="12">
        <v>8.0</v>
      </c>
      <c r="BO15" s="12">
        <v>8.0</v>
      </c>
      <c r="BP15" s="19">
        <f t="shared" si="3"/>
        <v>294.5957447</v>
      </c>
      <c r="BQ15" s="12">
        <v>2.0</v>
      </c>
      <c r="BR15" s="12">
        <v>2.0</v>
      </c>
      <c r="BS15" s="19">
        <f t="shared" si="4"/>
        <v>15.1754386</v>
      </c>
      <c r="BT15" s="12">
        <v>3.0</v>
      </c>
      <c r="BU15" s="12">
        <v>3.0</v>
      </c>
      <c r="BV15" s="19">
        <f t="shared" si="5"/>
        <v>0</v>
      </c>
      <c r="BW15" s="12">
        <v>1.0</v>
      </c>
      <c r="BX15" s="12">
        <v>1.0</v>
      </c>
      <c r="BY15" s="19">
        <f t="shared" si="6"/>
        <v>2.917525773</v>
      </c>
      <c r="BZ15" s="10" t="s">
        <v>245</v>
      </c>
      <c r="CA15" s="10" t="s">
        <v>320</v>
      </c>
      <c r="CB15" s="10" t="s">
        <v>140</v>
      </c>
      <c r="CC15" s="10" t="s">
        <v>146</v>
      </c>
      <c r="CD15" s="10" t="s">
        <v>140</v>
      </c>
      <c r="CE15" s="10" t="s">
        <v>146</v>
      </c>
      <c r="CF15" s="10" t="s">
        <v>140</v>
      </c>
      <c r="CG15" s="10" t="s">
        <v>140</v>
      </c>
      <c r="CH15" s="10" t="s">
        <v>140</v>
      </c>
      <c r="CI15" s="10" t="s">
        <v>140</v>
      </c>
      <c r="CJ15" s="10" t="s">
        <v>140</v>
      </c>
      <c r="CK15" s="10" t="s">
        <v>321</v>
      </c>
      <c r="CL15" s="10" t="s">
        <v>140</v>
      </c>
      <c r="CM15" s="10" t="s">
        <v>322</v>
      </c>
      <c r="CN15" s="10" t="s">
        <v>323</v>
      </c>
      <c r="CO15" s="10" t="s">
        <v>324</v>
      </c>
      <c r="CP15" s="10" t="s">
        <v>146</v>
      </c>
    </row>
    <row r="16">
      <c r="B16" s="10" t="s">
        <v>46</v>
      </c>
      <c r="C16" s="10" t="s">
        <v>326</v>
      </c>
      <c r="D16" s="10" t="s">
        <v>161</v>
      </c>
      <c r="E16" s="10" t="s">
        <v>140</v>
      </c>
      <c r="F16" s="10" t="s">
        <v>327</v>
      </c>
      <c r="G16" s="10" t="s">
        <v>328</v>
      </c>
      <c r="H16" s="10" t="s">
        <v>329</v>
      </c>
      <c r="I16" s="10" t="s">
        <v>330</v>
      </c>
      <c r="J16" s="10" t="s">
        <v>166</v>
      </c>
      <c r="K16" s="10" t="s">
        <v>140</v>
      </c>
      <c r="L16" s="10" t="s">
        <v>72</v>
      </c>
      <c r="M16" s="10" t="s">
        <v>73</v>
      </c>
      <c r="N16" s="10" t="s">
        <v>74</v>
      </c>
      <c r="O16" s="10" t="s">
        <v>75</v>
      </c>
      <c r="P16" s="10" t="s">
        <v>76</v>
      </c>
      <c r="Q16" s="10" t="s">
        <v>77</v>
      </c>
      <c r="R16" s="10" t="s">
        <v>78</v>
      </c>
      <c r="S16" s="10" t="s">
        <v>79</v>
      </c>
      <c r="T16" s="10" t="s">
        <v>80</v>
      </c>
      <c r="U16" s="10" t="s">
        <v>81</v>
      </c>
      <c r="V16" s="10" t="s">
        <v>82</v>
      </c>
      <c r="W16" s="10" t="s">
        <v>83</v>
      </c>
      <c r="X16" s="10" t="s">
        <v>84</v>
      </c>
      <c r="Y16" s="10" t="s">
        <v>140</v>
      </c>
      <c r="Z16" s="10" t="s">
        <v>140</v>
      </c>
      <c r="AA16" s="12">
        <v>20.0</v>
      </c>
      <c r="AB16" s="12">
        <v>40.0</v>
      </c>
      <c r="AC16" s="12">
        <v>30.0</v>
      </c>
      <c r="AD16" s="12">
        <v>10.0</v>
      </c>
      <c r="AE16" s="10" t="s">
        <v>146</v>
      </c>
      <c r="AF16" s="10" t="s">
        <v>146</v>
      </c>
      <c r="AG16" s="10" t="s">
        <v>168</v>
      </c>
      <c r="AH16" s="10" t="s">
        <v>140</v>
      </c>
      <c r="AI16" s="10" t="s">
        <v>189</v>
      </c>
      <c r="AJ16" s="10" t="s">
        <v>140</v>
      </c>
      <c r="AK16" s="10" t="s">
        <v>140</v>
      </c>
      <c r="AL16" s="10" t="s">
        <v>140</v>
      </c>
      <c r="AM16" s="10" t="s">
        <v>99</v>
      </c>
      <c r="AN16" s="10" t="s">
        <v>140</v>
      </c>
      <c r="AO16" s="10" t="s">
        <v>140</v>
      </c>
      <c r="AP16" s="10" t="s">
        <v>140</v>
      </c>
      <c r="AQ16" s="10" t="s">
        <v>149</v>
      </c>
      <c r="AR16" s="10" t="s">
        <v>140</v>
      </c>
      <c r="AS16" s="10" t="s">
        <v>102</v>
      </c>
      <c r="AT16" s="10" t="s">
        <v>140</v>
      </c>
      <c r="AU16" s="10" t="s">
        <v>140</v>
      </c>
      <c r="AV16" s="10" t="s">
        <v>140</v>
      </c>
      <c r="AW16" s="10" t="s">
        <v>140</v>
      </c>
      <c r="AX16" s="10" t="s">
        <v>107</v>
      </c>
      <c r="AY16" s="10" t="s">
        <v>140</v>
      </c>
      <c r="AZ16" s="10" t="s">
        <v>140</v>
      </c>
      <c r="BA16" s="10" t="s">
        <v>140</v>
      </c>
      <c r="BB16" s="12">
        <v>4.0</v>
      </c>
      <c r="BC16" s="12">
        <v>4.0</v>
      </c>
      <c r="BD16" s="10" t="s">
        <v>146</v>
      </c>
      <c r="BE16" s="10" t="s">
        <v>331</v>
      </c>
      <c r="BF16" s="10" t="s">
        <v>146</v>
      </c>
      <c r="BG16" s="10" t="s">
        <v>168</v>
      </c>
      <c r="BH16" s="12">
        <v>0.0</v>
      </c>
      <c r="BI16" s="12">
        <v>0.0</v>
      </c>
      <c r="BJ16" s="19">
        <f t="shared" si="1"/>
        <v>0</v>
      </c>
      <c r="BK16" s="12">
        <v>0.0</v>
      </c>
      <c r="BL16" s="12">
        <v>0.0</v>
      </c>
      <c r="BM16" s="19">
        <f t="shared" si="2"/>
        <v>0</v>
      </c>
      <c r="BN16" s="12">
        <v>0.0</v>
      </c>
      <c r="BO16" s="12">
        <v>0.0</v>
      </c>
      <c r="BP16" s="19">
        <f t="shared" si="3"/>
        <v>0</v>
      </c>
      <c r="BQ16" s="12">
        <v>0.0</v>
      </c>
      <c r="BR16" s="12">
        <v>0.0</v>
      </c>
      <c r="BS16" s="19">
        <f t="shared" si="4"/>
        <v>0</v>
      </c>
      <c r="BT16" s="12">
        <v>0.0</v>
      </c>
      <c r="BU16" s="12">
        <v>0.0</v>
      </c>
      <c r="BV16" s="19">
        <f t="shared" si="5"/>
        <v>0</v>
      </c>
      <c r="BW16" s="12">
        <v>0.0</v>
      </c>
      <c r="BX16" s="12">
        <v>0.0</v>
      </c>
      <c r="BY16" s="19">
        <f t="shared" si="6"/>
        <v>0</v>
      </c>
      <c r="BZ16" s="10" t="s">
        <v>140</v>
      </c>
      <c r="CA16" s="10" t="s">
        <v>140</v>
      </c>
      <c r="CB16" s="10" t="s">
        <v>140</v>
      </c>
      <c r="CC16" s="10" t="s">
        <v>140</v>
      </c>
      <c r="CD16" s="10" t="s">
        <v>140</v>
      </c>
      <c r="CE16" s="10" t="s">
        <v>140</v>
      </c>
      <c r="CF16" s="10" t="s">
        <v>140</v>
      </c>
      <c r="CG16" s="10" t="s">
        <v>140</v>
      </c>
      <c r="CH16" s="10" t="s">
        <v>140</v>
      </c>
      <c r="CI16" s="10" t="s">
        <v>140</v>
      </c>
      <c r="CJ16" s="10" t="s">
        <v>140</v>
      </c>
      <c r="CK16" s="10" t="s">
        <v>140</v>
      </c>
      <c r="CL16" s="10" t="s">
        <v>332</v>
      </c>
      <c r="CM16" s="10" t="s">
        <v>333</v>
      </c>
      <c r="CN16" s="10" t="s">
        <v>334</v>
      </c>
      <c r="CO16" s="10" t="s">
        <v>335</v>
      </c>
      <c r="CP16" s="10" t="s">
        <v>168</v>
      </c>
    </row>
    <row r="17">
      <c r="B17" s="10" t="s">
        <v>26</v>
      </c>
      <c r="C17" s="10" t="s">
        <v>337</v>
      </c>
      <c r="D17" s="10" t="s">
        <v>182</v>
      </c>
      <c r="E17" s="10" t="s">
        <v>140</v>
      </c>
      <c r="F17" s="10" t="s">
        <v>338</v>
      </c>
      <c r="G17" s="10" t="s">
        <v>339</v>
      </c>
      <c r="H17" s="10" t="s">
        <v>340</v>
      </c>
      <c r="I17" s="10" t="s">
        <v>341</v>
      </c>
      <c r="J17" s="10" t="s">
        <v>166</v>
      </c>
      <c r="K17" s="10" t="s">
        <v>140</v>
      </c>
      <c r="L17" s="10" t="s">
        <v>72</v>
      </c>
      <c r="M17" s="10" t="s">
        <v>73</v>
      </c>
      <c r="N17" s="10" t="s">
        <v>74</v>
      </c>
      <c r="O17" s="10" t="s">
        <v>140</v>
      </c>
      <c r="P17" s="10" t="s">
        <v>140</v>
      </c>
      <c r="Q17" s="10" t="s">
        <v>140</v>
      </c>
      <c r="R17" s="10" t="s">
        <v>140</v>
      </c>
      <c r="S17" s="10" t="s">
        <v>140</v>
      </c>
      <c r="T17" s="10" t="s">
        <v>140</v>
      </c>
      <c r="U17" s="10" t="s">
        <v>140</v>
      </c>
      <c r="V17" s="10" t="s">
        <v>140</v>
      </c>
      <c r="W17" s="10" t="s">
        <v>140</v>
      </c>
      <c r="X17" s="10" t="s">
        <v>84</v>
      </c>
      <c r="Y17" s="10" t="s">
        <v>140</v>
      </c>
      <c r="Z17" s="10" t="s">
        <v>140</v>
      </c>
      <c r="AA17" s="12">
        <v>80.0</v>
      </c>
      <c r="AB17" s="12">
        <v>50.0</v>
      </c>
      <c r="AC17" s="12">
        <v>0.0</v>
      </c>
      <c r="AD17" s="12">
        <v>0.0</v>
      </c>
      <c r="AE17" s="10" t="s">
        <v>146</v>
      </c>
      <c r="AF17" s="10" t="s">
        <v>168</v>
      </c>
      <c r="AG17" s="10" t="s">
        <v>140</v>
      </c>
      <c r="AH17" s="10" t="s">
        <v>140</v>
      </c>
      <c r="AI17" s="10" t="s">
        <v>140</v>
      </c>
      <c r="AJ17" s="10" t="s">
        <v>140</v>
      </c>
      <c r="AK17" s="10" t="s">
        <v>140</v>
      </c>
      <c r="AL17" s="10" t="s">
        <v>140</v>
      </c>
      <c r="AM17" s="10" t="s">
        <v>99</v>
      </c>
      <c r="AN17" s="10" t="s">
        <v>140</v>
      </c>
      <c r="AO17" s="10" t="s">
        <v>140</v>
      </c>
      <c r="AP17" s="10" t="s">
        <v>140</v>
      </c>
      <c r="AQ17" s="10" t="s">
        <v>149</v>
      </c>
      <c r="AR17" s="10" t="s">
        <v>140</v>
      </c>
      <c r="AS17" s="10" t="s">
        <v>102</v>
      </c>
      <c r="AT17" s="10" t="s">
        <v>103</v>
      </c>
      <c r="AU17" s="10" t="s">
        <v>104</v>
      </c>
      <c r="AV17" s="10" t="s">
        <v>105</v>
      </c>
      <c r="AW17" s="10" t="s">
        <v>140</v>
      </c>
      <c r="AX17" s="10" t="s">
        <v>140</v>
      </c>
      <c r="AY17" s="10" t="s">
        <v>108</v>
      </c>
      <c r="AZ17" s="10" t="s">
        <v>140</v>
      </c>
      <c r="BA17" s="10" t="s">
        <v>140</v>
      </c>
      <c r="BB17" s="12">
        <v>2.0</v>
      </c>
      <c r="BC17" s="12">
        <v>4.0</v>
      </c>
      <c r="BD17" s="10" t="s">
        <v>168</v>
      </c>
      <c r="BE17" s="10" t="s">
        <v>140</v>
      </c>
      <c r="BF17" s="10" t="s">
        <v>140</v>
      </c>
      <c r="BG17" s="10" t="s">
        <v>146</v>
      </c>
      <c r="BH17" s="12">
        <v>5.0</v>
      </c>
      <c r="BI17" s="12">
        <v>5.0</v>
      </c>
      <c r="BJ17" s="19">
        <f t="shared" si="1"/>
        <v>2973.996139</v>
      </c>
      <c r="BK17" s="12">
        <v>7.0</v>
      </c>
      <c r="BL17" s="12">
        <v>7.0</v>
      </c>
      <c r="BM17" s="19">
        <f t="shared" si="2"/>
        <v>4289.552632</v>
      </c>
      <c r="BN17" s="12">
        <v>4.0</v>
      </c>
      <c r="BO17" s="12">
        <v>4.0</v>
      </c>
      <c r="BP17" s="19">
        <f t="shared" si="3"/>
        <v>147.2978723</v>
      </c>
      <c r="BQ17" s="12">
        <v>5.0</v>
      </c>
      <c r="BR17" s="12">
        <v>5.0</v>
      </c>
      <c r="BS17" s="19">
        <f t="shared" si="4"/>
        <v>37.93859649</v>
      </c>
      <c r="BT17" s="12">
        <v>8.0</v>
      </c>
      <c r="BU17" s="12">
        <v>8.0</v>
      </c>
      <c r="BV17" s="19">
        <f t="shared" si="5"/>
        <v>0</v>
      </c>
      <c r="BW17" s="12">
        <v>8.0</v>
      </c>
      <c r="BX17" s="12">
        <v>8.0</v>
      </c>
      <c r="BY17" s="19">
        <f t="shared" si="6"/>
        <v>23.34020619</v>
      </c>
      <c r="BZ17" s="10" t="s">
        <v>205</v>
      </c>
      <c r="CA17" s="10" t="s">
        <v>153</v>
      </c>
      <c r="CB17" s="10" t="s">
        <v>140</v>
      </c>
      <c r="CC17" s="10" t="s">
        <v>146</v>
      </c>
      <c r="CD17" s="10" t="s">
        <v>140</v>
      </c>
      <c r="CE17" s="10" t="s">
        <v>168</v>
      </c>
      <c r="CF17" s="10" t="s">
        <v>342</v>
      </c>
      <c r="CG17" s="10" t="s">
        <v>182</v>
      </c>
      <c r="CH17" s="10" t="s">
        <v>174</v>
      </c>
      <c r="CI17" s="10" t="s">
        <v>338</v>
      </c>
      <c r="CJ17" s="10" t="s">
        <v>343</v>
      </c>
      <c r="CK17" s="10" t="s">
        <v>344</v>
      </c>
      <c r="CL17" s="10" t="s">
        <v>345</v>
      </c>
      <c r="CM17" s="10" t="s">
        <v>346</v>
      </c>
      <c r="CN17" s="10" t="s">
        <v>347</v>
      </c>
      <c r="CO17" s="10" t="s">
        <v>348</v>
      </c>
      <c r="CP17" s="10" t="s">
        <v>146</v>
      </c>
    </row>
    <row r="18">
      <c r="B18" s="10" t="s">
        <v>25</v>
      </c>
      <c r="C18" s="10" t="s">
        <v>350</v>
      </c>
      <c r="D18" s="10" t="s">
        <v>182</v>
      </c>
      <c r="E18" s="10" t="s">
        <v>140</v>
      </c>
      <c r="F18" s="10" t="s">
        <v>351</v>
      </c>
      <c r="G18" s="10" t="s">
        <v>352</v>
      </c>
      <c r="H18" s="10" t="s">
        <v>353</v>
      </c>
      <c r="I18" s="10" t="s">
        <v>354</v>
      </c>
      <c r="J18" s="10" t="s">
        <v>261</v>
      </c>
      <c r="K18" s="10" t="s">
        <v>140</v>
      </c>
      <c r="L18" s="10" t="s">
        <v>140</v>
      </c>
      <c r="M18" s="10" t="s">
        <v>73</v>
      </c>
      <c r="N18" s="10" t="s">
        <v>140</v>
      </c>
      <c r="O18" s="10" t="s">
        <v>140</v>
      </c>
      <c r="P18" s="10" t="s">
        <v>140</v>
      </c>
      <c r="Q18" s="10" t="s">
        <v>77</v>
      </c>
      <c r="R18" s="10" t="s">
        <v>78</v>
      </c>
      <c r="S18" s="10" t="s">
        <v>79</v>
      </c>
      <c r="T18" s="10" t="s">
        <v>80</v>
      </c>
      <c r="U18" s="10" t="s">
        <v>81</v>
      </c>
      <c r="V18" s="10" t="s">
        <v>140</v>
      </c>
      <c r="W18" s="10" t="s">
        <v>83</v>
      </c>
      <c r="X18" s="10" t="s">
        <v>140</v>
      </c>
      <c r="Y18" s="10" t="s">
        <v>140</v>
      </c>
      <c r="Z18" s="10" t="s">
        <v>140</v>
      </c>
      <c r="AA18" s="12">
        <v>0.0</v>
      </c>
      <c r="AB18" s="12">
        <v>75.0</v>
      </c>
      <c r="AC18" s="12">
        <v>20.0</v>
      </c>
      <c r="AD18" s="12">
        <v>5.0</v>
      </c>
      <c r="AE18" s="10" t="s">
        <v>146</v>
      </c>
      <c r="AF18" s="10" t="s">
        <v>146</v>
      </c>
      <c r="AG18" s="10" t="s">
        <v>168</v>
      </c>
      <c r="AH18" s="10" t="s">
        <v>140</v>
      </c>
      <c r="AI18" s="10" t="s">
        <v>189</v>
      </c>
      <c r="AJ18" s="10" t="s">
        <v>140</v>
      </c>
      <c r="AK18" s="10" t="s">
        <v>140</v>
      </c>
      <c r="AL18" s="10" t="s">
        <v>140</v>
      </c>
      <c r="AM18" s="10" t="s">
        <v>99</v>
      </c>
      <c r="AN18" s="10" t="s">
        <v>140</v>
      </c>
      <c r="AO18" s="10" t="s">
        <v>140</v>
      </c>
      <c r="AP18" s="10" t="s">
        <v>140</v>
      </c>
      <c r="AQ18" s="10" t="s">
        <v>149</v>
      </c>
      <c r="AR18" s="10" t="s">
        <v>140</v>
      </c>
      <c r="AS18" s="10" t="s">
        <v>140</v>
      </c>
      <c r="AT18" s="10" t="s">
        <v>140</v>
      </c>
      <c r="AU18" s="10" t="s">
        <v>104</v>
      </c>
      <c r="AV18" s="10" t="s">
        <v>140</v>
      </c>
      <c r="AW18" s="10" t="s">
        <v>140</v>
      </c>
      <c r="AX18" s="10" t="s">
        <v>107</v>
      </c>
      <c r="AY18" s="10" t="s">
        <v>140</v>
      </c>
      <c r="AZ18" s="10" t="s">
        <v>140</v>
      </c>
      <c r="BA18" s="10" t="s">
        <v>140</v>
      </c>
      <c r="BB18" s="12">
        <v>2.0</v>
      </c>
      <c r="BC18" s="12">
        <v>3.0</v>
      </c>
      <c r="BD18" s="10" t="s">
        <v>146</v>
      </c>
      <c r="BE18" s="10" t="s">
        <v>140</v>
      </c>
      <c r="BF18" s="10" t="s">
        <v>146</v>
      </c>
      <c r="BG18" s="10" t="s">
        <v>146</v>
      </c>
      <c r="BH18" s="12">
        <v>7.0</v>
      </c>
      <c r="BI18" s="12">
        <v>7.0</v>
      </c>
      <c r="BJ18" s="19">
        <f t="shared" si="1"/>
        <v>4163.594595</v>
      </c>
      <c r="BK18" s="12">
        <v>7.0</v>
      </c>
      <c r="BL18" s="12">
        <v>7.0</v>
      </c>
      <c r="BM18" s="19">
        <f t="shared" si="2"/>
        <v>4289.552632</v>
      </c>
      <c r="BN18" s="12">
        <v>5.0</v>
      </c>
      <c r="BO18" s="12">
        <v>5.0</v>
      </c>
      <c r="BP18" s="19">
        <f t="shared" si="3"/>
        <v>184.1223404</v>
      </c>
      <c r="BQ18" s="12">
        <v>0.0</v>
      </c>
      <c r="BR18" s="12">
        <v>0.0</v>
      </c>
      <c r="BS18" s="19">
        <f t="shared" si="4"/>
        <v>0</v>
      </c>
      <c r="BT18" s="12">
        <v>2.0</v>
      </c>
      <c r="BU18" s="12">
        <v>2.0</v>
      </c>
      <c r="BV18" s="19">
        <f t="shared" si="5"/>
        <v>0</v>
      </c>
      <c r="BW18" s="12">
        <v>2.0</v>
      </c>
      <c r="BX18" s="12">
        <v>2.0</v>
      </c>
      <c r="BY18" s="19">
        <f t="shared" si="6"/>
        <v>5.835051546</v>
      </c>
      <c r="BZ18" s="10" t="s">
        <v>355</v>
      </c>
      <c r="CA18" s="10" t="s">
        <v>153</v>
      </c>
      <c r="CB18" s="10" t="s">
        <v>140</v>
      </c>
      <c r="CC18" s="10" t="s">
        <v>146</v>
      </c>
      <c r="CD18" s="10" t="s">
        <v>140</v>
      </c>
      <c r="CE18" s="10" t="s">
        <v>146</v>
      </c>
      <c r="CF18" s="10" t="s">
        <v>140</v>
      </c>
      <c r="CG18" s="10" t="s">
        <v>140</v>
      </c>
      <c r="CH18" s="10" t="s">
        <v>140</v>
      </c>
      <c r="CI18" s="10" t="s">
        <v>140</v>
      </c>
      <c r="CJ18" s="10" t="s">
        <v>140</v>
      </c>
      <c r="CK18" s="10" t="s">
        <v>356</v>
      </c>
      <c r="CL18" s="10" t="s">
        <v>140</v>
      </c>
      <c r="CM18" s="10" t="s">
        <v>357</v>
      </c>
      <c r="CN18" s="10" t="s">
        <v>358</v>
      </c>
      <c r="CO18" s="10" t="s">
        <v>359</v>
      </c>
      <c r="CP18" s="10" t="s">
        <v>146</v>
      </c>
    </row>
    <row r="19">
      <c r="B19" s="10" t="s">
        <v>53</v>
      </c>
      <c r="C19" s="10" t="s">
        <v>361</v>
      </c>
      <c r="D19" s="10" t="s">
        <v>182</v>
      </c>
      <c r="E19" s="10" t="s">
        <v>140</v>
      </c>
      <c r="F19" s="10" t="s">
        <v>362</v>
      </c>
      <c r="G19" s="10" t="s">
        <v>363</v>
      </c>
      <c r="H19" s="10" t="s">
        <v>364</v>
      </c>
      <c r="I19" s="10" t="s">
        <v>365</v>
      </c>
      <c r="J19" s="10" t="s">
        <v>261</v>
      </c>
      <c r="K19" s="10" t="s">
        <v>140</v>
      </c>
      <c r="L19" s="10" t="s">
        <v>140</v>
      </c>
      <c r="M19" s="10" t="s">
        <v>73</v>
      </c>
      <c r="N19" s="10" t="s">
        <v>140</v>
      </c>
      <c r="O19" s="10" t="s">
        <v>140</v>
      </c>
      <c r="P19" s="10" t="s">
        <v>140</v>
      </c>
      <c r="Q19" s="10" t="s">
        <v>140</v>
      </c>
      <c r="R19" s="10" t="s">
        <v>140</v>
      </c>
      <c r="S19" s="10" t="s">
        <v>140</v>
      </c>
      <c r="T19" s="10" t="s">
        <v>80</v>
      </c>
      <c r="U19" s="10" t="s">
        <v>81</v>
      </c>
      <c r="V19" s="10" t="s">
        <v>140</v>
      </c>
      <c r="W19" s="10" t="s">
        <v>83</v>
      </c>
      <c r="X19" s="10" t="s">
        <v>140</v>
      </c>
      <c r="Y19" s="10" t="s">
        <v>140</v>
      </c>
      <c r="Z19" s="10" t="s">
        <v>140</v>
      </c>
      <c r="AA19" s="12">
        <v>0.0</v>
      </c>
      <c r="AB19" s="12">
        <v>80.0</v>
      </c>
      <c r="AC19" s="12">
        <v>70.0</v>
      </c>
      <c r="AD19" s="12">
        <v>0.0</v>
      </c>
      <c r="AE19" s="10" t="s">
        <v>146</v>
      </c>
      <c r="AF19" s="10" t="s">
        <v>168</v>
      </c>
      <c r="AG19" s="10" t="s">
        <v>140</v>
      </c>
      <c r="AH19" s="10" t="s">
        <v>140</v>
      </c>
      <c r="AI19" s="10" t="s">
        <v>140</v>
      </c>
      <c r="AJ19" s="10" t="s">
        <v>140</v>
      </c>
      <c r="AK19" s="10" t="s">
        <v>140</v>
      </c>
      <c r="AL19" s="10" t="s">
        <v>140</v>
      </c>
      <c r="AM19" s="10" t="s">
        <v>99</v>
      </c>
      <c r="AN19" s="10" t="s">
        <v>100</v>
      </c>
      <c r="AO19" s="10" t="s">
        <v>140</v>
      </c>
      <c r="AP19" s="10" t="s">
        <v>140</v>
      </c>
      <c r="AQ19" s="10" t="s">
        <v>149</v>
      </c>
      <c r="AR19" s="10" t="s">
        <v>140</v>
      </c>
      <c r="AS19" s="10" t="s">
        <v>102</v>
      </c>
      <c r="AT19" s="10" t="s">
        <v>103</v>
      </c>
      <c r="AU19" s="10" t="s">
        <v>104</v>
      </c>
      <c r="AV19" s="10" t="s">
        <v>140</v>
      </c>
      <c r="AW19" s="10" t="s">
        <v>140</v>
      </c>
      <c r="AX19" s="10" t="s">
        <v>107</v>
      </c>
      <c r="AY19" s="10" t="s">
        <v>140</v>
      </c>
      <c r="AZ19" s="10" t="s">
        <v>140</v>
      </c>
      <c r="BA19" s="10" t="s">
        <v>140</v>
      </c>
      <c r="BB19" s="12">
        <v>4.0</v>
      </c>
      <c r="BC19" s="12">
        <v>6.0</v>
      </c>
      <c r="BD19" s="10" t="s">
        <v>146</v>
      </c>
      <c r="BE19" s="10" t="s">
        <v>366</v>
      </c>
      <c r="BF19" s="10" t="s">
        <v>146</v>
      </c>
      <c r="BG19" s="10" t="s">
        <v>146</v>
      </c>
      <c r="BH19" s="12">
        <v>5.0</v>
      </c>
      <c r="BI19" s="12">
        <v>5.0</v>
      </c>
      <c r="BJ19" s="19">
        <f t="shared" si="1"/>
        <v>2973.996139</v>
      </c>
      <c r="BK19" s="12">
        <v>7.0</v>
      </c>
      <c r="BL19" s="12">
        <v>7.0</v>
      </c>
      <c r="BM19" s="19">
        <f t="shared" si="2"/>
        <v>4289.552632</v>
      </c>
      <c r="BN19" s="12">
        <v>4.0</v>
      </c>
      <c r="BO19" s="12">
        <v>4.0</v>
      </c>
      <c r="BP19" s="19">
        <f t="shared" si="3"/>
        <v>147.2978723</v>
      </c>
      <c r="BQ19" s="12">
        <v>0.0</v>
      </c>
      <c r="BR19" s="12">
        <v>0.0</v>
      </c>
      <c r="BS19" s="19">
        <f t="shared" si="4"/>
        <v>0</v>
      </c>
      <c r="BT19" s="12">
        <v>8.0</v>
      </c>
      <c r="BU19" s="12">
        <v>8.0</v>
      </c>
      <c r="BV19" s="19">
        <f t="shared" si="5"/>
        <v>0</v>
      </c>
      <c r="BW19" s="12">
        <v>0.0</v>
      </c>
      <c r="BX19" s="12">
        <v>0.0</v>
      </c>
      <c r="BY19" s="19">
        <f t="shared" si="6"/>
        <v>0</v>
      </c>
      <c r="BZ19" s="10" t="s">
        <v>152</v>
      </c>
      <c r="CA19" s="10" t="s">
        <v>153</v>
      </c>
      <c r="CB19" s="10" t="s">
        <v>140</v>
      </c>
      <c r="CC19" s="10" t="s">
        <v>146</v>
      </c>
      <c r="CD19" s="10" t="s">
        <v>140</v>
      </c>
      <c r="CE19" s="10" t="s">
        <v>146</v>
      </c>
      <c r="CF19" s="10" t="s">
        <v>140</v>
      </c>
      <c r="CG19" s="10" t="s">
        <v>140</v>
      </c>
      <c r="CH19" s="10" t="s">
        <v>140</v>
      </c>
      <c r="CI19" s="10" t="s">
        <v>140</v>
      </c>
      <c r="CJ19" s="10" t="s">
        <v>140</v>
      </c>
      <c r="CK19" s="10" t="s">
        <v>367</v>
      </c>
      <c r="CL19" s="10" t="s">
        <v>368</v>
      </c>
      <c r="CM19" s="10" t="s">
        <v>369</v>
      </c>
      <c r="CN19" s="10" t="s">
        <v>370</v>
      </c>
      <c r="CO19" s="10" t="s">
        <v>371</v>
      </c>
      <c r="CP19" s="10" t="s">
        <v>146</v>
      </c>
      <c r="CQ19" s="19"/>
    </row>
    <row r="20">
      <c r="A20" s="7"/>
      <c r="B20" s="11" t="s">
        <v>23</v>
      </c>
      <c r="C20" s="11" t="s">
        <v>373</v>
      </c>
      <c r="D20" s="11" t="s">
        <v>374</v>
      </c>
      <c r="E20" s="11" t="s">
        <v>140</v>
      </c>
      <c r="F20" s="11" t="s">
        <v>375</v>
      </c>
      <c r="G20" s="11" t="s">
        <v>376</v>
      </c>
      <c r="H20" s="11" t="s">
        <v>377</v>
      </c>
      <c r="I20" s="11" t="s">
        <v>378</v>
      </c>
      <c r="J20" s="11" t="s">
        <v>166</v>
      </c>
      <c r="K20" s="11" t="s">
        <v>140</v>
      </c>
      <c r="L20" s="11" t="s">
        <v>140</v>
      </c>
      <c r="M20" s="11" t="s">
        <v>73</v>
      </c>
      <c r="N20" s="11" t="s">
        <v>74</v>
      </c>
      <c r="O20" s="11" t="s">
        <v>140</v>
      </c>
      <c r="P20" s="11" t="s">
        <v>140</v>
      </c>
      <c r="Q20" s="11" t="s">
        <v>77</v>
      </c>
      <c r="R20" s="11" t="s">
        <v>140</v>
      </c>
      <c r="S20" s="11" t="s">
        <v>140</v>
      </c>
      <c r="T20" s="11" t="s">
        <v>140</v>
      </c>
      <c r="U20" s="11" t="s">
        <v>140</v>
      </c>
      <c r="V20" s="11" t="s">
        <v>82</v>
      </c>
      <c r="W20" s="11" t="s">
        <v>83</v>
      </c>
      <c r="X20" s="11" t="s">
        <v>84</v>
      </c>
      <c r="Y20" s="11" t="s">
        <v>140</v>
      </c>
      <c r="Z20" s="11" t="s">
        <v>140</v>
      </c>
      <c r="AA20" s="9">
        <v>10.0</v>
      </c>
      <c r="AB20" s="9">
        <v>60.0</v>
      </c>
      <c r="AC20" s="9">
        <v>30.0</v>
      </c>
      <c r="AD20" s="9">
        <v>0.0</v>
      </c>
      <c r="AE20" s="11" t="s">
        <v>146</v>
      </c>
      <c r="AF20" s="11" t="s">
        <v>146</v>
      </c>
      <c r="AG20" s="11" t="s">
        <v>168</v>
      </c>
      <c r="AH20" s="11" t="s">
        <v>140</v>
      </c>
      <c r="AI20" s="11" t="s">
        <v>189</v>
      </c>
      <c r="AJ20" s="11" t="s">
        <v>140</v>
      </c>
      <c r="AK20" s="11" t="s">
        <v>140</v>
      </c>
      <c r="AL20" s="11" t="s">
        <v>98</v>
      </c>
      <c r="AM20" s="11" t="s">
        <v>99</v>
      </c>
      <c r="AN20" s="11" t="s">
        <v>140</v>
      </c>
      <c r="AO20" s="11" t="s">
        <v>140</v>
      </c>
      <c r="AP20" s="11" t="s">
        <v>140</v>
      </c>
      <c r="AQ20" s="11" t="s">
        <v>149</v>
      </c>
      <c r="AR20" s="11" t="s">
        <v>140</v>
      </c>
      <c r="AS20" s="11" t="s">
        <v>102</v>
      </c>
      <c r="AT20" s="11" t="s">
        <v>103</v>
      </c>
      <c r="AU20" s="11" t="s">
        <v>104</v>
      </c>
      <c r="AV20" s="11" t="s">
        <v>140</v>
      </c>
      <c r="AW20" s="11" t="s">
        <v>140</v>
      </c>
      <c r="AX20" s="11" t="s">
        <v>107</v>
      </c>
      <c r="AY20" s="11" t="s">
        <v>108</v>
      </c>
      <c r="AZ20" s="11" t="s">
        <v>140</v>
      </c>
      <c r="BA20" s="11" t="s">
        <v>140</v>
      </c>
      <c r="BB20" s="9">
        <v>6.0</v>
      </c>
      <c r="BC20" s="9">
        <v>4.0</v>
      </c>
      <c r="BD20" s="11" t="s">
        <v>168</v>
      </c>
      <c r="BE20" s="11" t="s">
        <v>140</v>
      </c>
      <c r="BF20" s="11" t="s">
        <v>140</v>
      </c>
      <c r="BG20" s="11" t="s">
        <v>146</v>
      </c>
      <c r="BH20" s="9">
        <v>5.0</v>
      </c>
      <c r="BI20" s="9">
        <v>5.0</v>
      </c>
      <c r="BJ20" s="20">
        <f t="shared" si="1"/>
        <v>2973.996139</v>
      </c>
      <c r="BK20" s="9">
        <v>5.0</v>
      </c>
      <c r="BL20" s="9">
        <v>5.0</v>
      </c>
      <c r="BM20" s="20">
        <f t="shared" si="2"/>
        <v>3063.966165</v>
      </c>
      <c r="BN20" s="9">
        <v>0.0</v>
      </c>
      <c r="BO20" s="9">
        <v>0.0</v>
      </c>
      <c r="BP20" s="20">
        <f t="shared" si="3"/>
        <v>0</v>
      </c>
      <c r="BQ20" s="9">
        <v>5.0</v>
      </c>
      <c r="BR20" s="9">
        <v>5.0</v>
      </c>
      <c r="BS20" s="20">
        <f t="shared" si="4"/>
        <v>37.93859649</v>
      </c>
      <c r="BT20" s="9">
        <v>2.0</v>
      </c>
      <c r="BU20" s="9">
        <v>2.0</v>
      </c>
      <c r="BV20" s="20">
        <f t="shared" si="5"/>
        <v>0</v>
      </c>
      <c r="BW20" s="9">
        <v>2.0</v>
      </c>
      <c r="BX20" s="9">
        <v>2.0</v>
      </c>
      <c r="BY20" s="20">
        <f t="shared" si="6"/>
        <v>5.835051546</v>
      </c>
      <c r="BZ20" s="11" t="s">
        <v>355</v>
      </c>
      <c r="CA20" s="11" t="s">
        <v>153</v>
      </c>
      <c r="CB20" s="11" t="s">
        <v>140</v>
      </c>
      <c r="CC20" s="11" t="s">
        <v>146</v>
      </c>
      <c r="CD20" s="11" t="s">
        <v>140</v>
      </c>
      <c r="CE20" s="11" t="s">
        <v>168</v>
      </c>
      <c r="CF20" s="11" t="s">
        <v>373</v>
      </c>
      <c r="CG20" s="11" t="s">
        <v>374</v>
      </c>
      <c r="CH20" s="11" t="s">
        <v>174</v>
      </c>
      <c r="CI20" s="11" t="s">
        <v>375</v>
      </c>
      <c r="CJ20" s="11" t="s">
        <v>379</v>
      </c>
      <c r="CK20" s="11" t="s">
        <v>380</v>
      </c>
      <c r="CL20" s="11" t="s">
        <v>381</v>
      </c>
      <c r="CM20" s="11" t="s">
        <v>382</v>
      </c>
      <c r="CN20" s="11" t="s">
        <v>383</v>
      </c>
      <c r="CO20" s="11" t="s">
        <v>384</v>
      </c>
      <c r="CP20" s="11" t="s">
        <v>146</v>
      </c>
      <c r="CQ20" s="7"/>
      <c r="CR20" s="7"/>
      <c r="CS20" s="7"/>
      <c r="CT20" s="7"/>
    </row>
    <row r="21" ht="15.75" customHeight="1">
      <c r="B21" s="10" t="s">
        <v>31</v>
      </c>
      <c r="C21" s="10" t="s">
        <v>386</v>
      </c>
      <c r="D21" s="10" t="s">
        <v>387</v>
      </c>
      <c r="E21" s="10" t="s">
        <v>140</v>
      </c>
      <c r="F21" s="10" t="s">
        <v>388</v>
      </c>
      <c r="G21" s="10" t="s">
        <v>389</v>
      </c>
      <c r="H21" s="10" t="s">
        <v>390</v>
      </c>
      <c r="I21" s="10" t="s">
        <v>391</v>
      </c>
      <c r="J21" s="10" t="s">
        <v>261</v>
      </c>
      <c r="K21" s="10" t="s">
        <v>140</v>
      </c>
      <c r="L21" s="10" t="s">
        <v>140</v>
      </c>
      <c r="M21" s="10" t="s">
        <v>140</v>
      </c>
      <c r="N21" s="10" t="s">
        <v>74</v>
      </c>
      <c r="O21" s="10" t="s">
        <v>75</v>
      </c>
      <c r="P21" s="10" t="s">
        <v>76</v>
      </c>
      <c r="Q21" s="10" t="s">
        <v>77</v>
      </c>
      <c r="R21" s="10" t="s">
        <v>78</v>
      </c>
      <c r="S21" s="10" t="s">
        <v>79</v>
      </c>
      <c r="T21" s="10" t="s">
        <v>80</v>
      </c>
      <c r="U21" s="10" t="s">
        <v>140</v>
      </c>
      <c r="V21" s="10" t="s">
        <v>82</v>
      </c>
      <c r="W21" s="10" t="s">
        <v>83</v>
      </c>
      <c r="X21" s="10" t="s">
        <v>84</v>
      </c>
      <c r="Y21" s="10" t="s">
        <v>140</v>
      </c>
      <c r="Z21" s="10" t="s">
        <v>140</v>
      </c>
      <c r="AA21" s="12">
        <v>30.0</v>
      </c>
      <c r="AB21" s="12">
        <v>70.0</v>
      </c>
      <c r="AC21" s="12">
        <v>90.0</v>
      </c>
      <c r="AD21" s="12">
        <v>70.0</v>
      </c>
      <c r="AE21" s="10" t="s">
        <v>146</v>
      </c>
      <c r="AF21" s="10" t="s">
        <v>146</v>
      </c>
      <c r="AG21" s="10" t="s">
        <v>146</v>
      </c>
      <c r="AH21" s="10" t="s">
        <v>392</v>
      </c>
      <c r="AI21" s="10" t="s">
        <v>140</v>
      </c>
      <c r="AJ21" s="10" t="s">
        <v>140</v>
      </c>
      <c r="AK21" s="10" t="s">
        <v>140</v>
      </c>
      <c r="AL21" s="10" t="s">
        <v>140</v>
      </c>
      <c r="AM21" s="10" t="s">
        <v>99</v>
      </c>
      <c r="AN21" s="10" t="s">
        <v>140</v>
      </c>
      <c r="AO21" s="10" t="s">
        <v>140</v>
      </c>
      <c r="AP21" s="10" t="s">
        <v>140</v>
      </c>
      <c r="AQ21" s="10" t="s">
        <v>85</v>
      </c>
      <c r="AR21" s="10" t="s">
        <v>393</v>
      </c>
      <c r="AS21" s="10" t="s">
        <v>140</v>
      </c>
      <c r="AT21" s="10" t="s">
        <v>140</v>
      </c>
      <c r="AU21" s="10" t="s">
        <v>140</v>
      </c>
      <c r="AV21" s="10" t="s">
        <v>140</v>
      </c>
      <c r="AW21" s="10" t="s">
        <v>140</v>
      </c>
      <c r="AX21" s="10" t="s">
        <v>140</v>
      </c>
      <c r="AY21" s="10" t="s">
        <v>140</v>
      </c>
      <c r="AZ21" s="10" t="s">
        <v>85</v>
      </c>
      <c r="BA21" s="10" t="s">
        <v>394</v>
      </c>
      <c r="BB21" s="12">
        <v>6.0</v>
      </c>
      <c r="BC21" s="12">
        <v>6.0</v>
      </c>
      <c r="BD21" s="10" t="s">
        <v>168</v>
      </c>
      <c r="BE21" s="10" t="s">
        <v>140</v>
      </c>
      <c r="BF21" s="10" t="s">
        <v>140</v>
      </c>
      <c r="BG21" s="10" t="s">
        <v>146</v>
      </c>
      <c r="BH21" s="12">
        <v>10.0</v>
      </c>
      <c r="BI21" s="12">
        <v>10.0</v>
      </c>
      <c r="BJ21" s="19">
        <f t="shared" si="1"/>
        <v>5947.992278</v>
      </c>
      <c r="BK21" s="12">
        <v>3.0</v>
      </c>
      <c r="BL21" s="12">
        <v>3.0</v>
      </c>
      <c r="BM21" s="19">
        <f t="shared" si="2"/>
        <v>1838.379699</v>
      </c>
      <c r="BN21" s="12">
        <v>5.0</v>
      </c>
      <c r="BO21" s="12">
        <v>5.0</v>
      </c>
      <c r="BP21" s="19">
        <f t="shared" si="3"/>
        <v>184.1223404</v>
      </c>
      <c r="BQ21" s="12">
        <v>4.0</v>
      </c>
      <c r="BR21" s="12">
        <v>4.0</v>
      </c>
      <c r="BS21" s="19">
        <f t="shared" si="4"/>
        <v>30.35087719</v>
      </c>
      <c r="BT21" s="12">
        <v>3.0</v>
      </c>
      <c r="BU21" s="12">
        <v>3.0</v>
      </c>
      <c r="BV21" s="19">
        <f t="shared" si="5"/>
        <v>0</v>
      </c>
      <c r="BW21" s="12">
        <v>1.0</v>
      </c>
      <c r="BX21" s="12">
        <v>1.0</v>
      </c>
      <c r="BY21" s="19">
        <f t="shared" si="6"/>
        <v>2.917525773</v>
      </c>
      <c r="BZ21" s="10" t="s">
        <v>355</v>
      </c>
      <c r="CA21" s="10" t="s">
        <v>320</v>
      </c>
      <c r="CB21" s="10" t="s">
        <v>140</v>
      </c>
      <c r="CC21" s="10" t="s">
        <v>146</v>
      </c>
      <c r="CD21" s="10" t="s">
        <v>140</v>
      </c>
      <c r="CE21" s="10" t="s">
        <v>146</v>
      </c>
      <c r="CF21" s="10" t="s">
        <v>140</v>
      </c>
      <c r="CG21" s="10" t="s">
        <v>140</v>
      </c>
      <c r="CH21" s="10" t="s">
        <v>140</v>
      </c>
      <c r="CI21" s="10" t="s">
        <v>140</v>
      </c>
      <c r="CJ21" s="10" t="s">
        <v>140</v>
      </c>
      <c r="CK21" s="10" t="s">
        <v>395</v>
      </c>
      <c r="CL21" s="10" t="s">
        <v>396</v>
      </c>
      <c r="CM21" s="10" t="s">
        <v>397</v>
      </c>
      <c r="CN21" s="10" t="s">
        <v>398</v>
      </c>
      <c r="CO21" s="10" t="s">
        <v>399</v>
      </c>
      <c r="CP21" s="10" t="s">
        <v>146</v>
      </c>
    </row>
    <row r="22" ht="15.75" customHeight="1">
      <c r="B22" s="10" t="s">
        <v>401</v>
      </c>
      <c r="C22" s="10" t="s">
        <v>402</v>
      </c>
      <c r="D22" s="10" t="s">
        <v>403</v>
      </c>
      <c r="E22" s="10" t="s">
        <v>140</v>
      </c>
      <c r="F22" s="10" t="s">
        <v>404</v>
      </c>
      <c r="G22" s="10" t="s">
        <v>405</v>
      </c>
      <c r="H22" s="10" t="s">
        <v>406</v>
      </c>
      <c r="I22" s="10" t="s">
        <v>407</v>
      </c>
      <c r="J22" s="10" t="s">
        <v>408</v>
      </c>
      <c r="K22" s="10" t="s">
        <v>140</v>
      </c>
      <c r="L22" s="10" t="s">
        <v>72</v>
      </c>
      <c r="M22" s="10" t="s">
        <v>73</v>
      </c>
      <c r="N22" s="10" t="s">
        <v>74</v>
      </c>
      <c r="O22" s="10" t="s">
        <v>140</v>
      </c>
      <c r="P22" s="10" t="s">
        <v>76</v>
      </c>
      <c r="Q22" s="10" t="s">
        <v>77</v>
      </c>
      <c r="R22" s="10" t="s">
        <v>140</v>
      </c>
      <c r="S22" s="10" t="s">
        <v>140</v>
      </c>
      <c r="T22" s="10" t="s">
        <v>80</v>
      </c>
      <c r="U22" s="10" t="s">
        <v>140</v>
      </c>
      <c r="V22" s="10" t="s">
        <v>82</v>
      </c>
      <c r="W22" s="10" t="s">
        <v>140</v>
      </c>
      <c r="X22" s="10" t="s">
        <v>84</v>
      </c>
      <c r="Y22" s="10" t="s">
        <v>140</v>
      </c>
      <c r="Z22" s="10" t="s">
        <v>140</v>
      </c>
      <c r="AA22" s="12">
        <v>60.0</v>
      </c>
      <c r="AB22" s="12">
        <v>20.0</v>
      </c>
      <c r="AC22" s="12">
        <v>10.0</v>
      </c>
      <c r="AD22" s="12">
        <v>15.0</v>
      </c>
      <c r="AE22" s="10" t="s">
        <v>146</v>
      </c>
      <c r="AF22" s="10" t="s">
        <v>146</v>
      </c>
      <c r="AG22" s="10" t="s">
        <v>146</v>
      </c>
      <c r="AH22" s="10" t="s">
        <v>409</v>
      </c>
      <c r="AI22" s="10" t="s">
        <v>140</v>
      </c>
      <c r="AJ22" s="10" t="s">
        <v>140</v>
      </c>
      <c r="AK22" s="10" t="s">
        <v>97</v>
      </c>
      <c r="AL22" s="10" t="s">
        <v>140</v>
      </c>
      <c r="AM22" s="10" t="s">
        <v>99</v>
      </c>
      <c r="AN22" s="10" t="s">
        <v>140</v>
      </c>
      <c r="AO22" s="10" t="s">
        <v>85</v>
      </c>
      <c r="AP22" s="10" t="s">
        <v>410</v>
      </c>
      <c r="AQ22" s="10" t="s">
        <v>149</v>
      </c>
      <c r="AR22" s="10" t="s">
        <v>140</v>
      </c>
      <c r="AS22" s="10" t="s">
        <v>140</v>
      </c>
      <c r="AT22" s="10" t="s">
        <v>140</v>
      </c>
      <c r="AU22" s="10" t="s">
        <v>104</v>
      </c>
      <c r="AV22" s="10" t="s">
        <v>140</v>
      </c>
      <c r="AW22" s="10" t="s">
        <v>140</v>
      </c>
      <c r="AX22" s="10" t="s">
        <v>107</v>
      </c>
      <c r="AY22" s="10" t="s">
        <v>108</v>
      </c>
      <c r="AZ22" s="10" t="s">
        <v>85</v>
      </c>
      <c r="BA22" s="10" t="s">
        <v>411</v>
      </c>
      <c r="BB22" s="12">
        <v>3.0</v>
      </c>
      <c r="BC22" s="12">
        <v>3.0</v>
      </c>
      <c r="BD22" s="10" t="s">
        <v>146</v>
      </c>
      <c r="BE22" s="10" t="s">
        <v>412</v>
      </c>
      <c r="BF22" s="10" t="s">
        <v>168</v>
      </c>
      <c r="BG22" s="10" t="s">
        <v>168</v>
      </c>
      <c r="BH22" s="12">
        <v>0.0</v>
      </c>
      <c r="BI22" s="12">
        <v>0.0</v>
      </c>
      <c r="BJ22" s="19">
        <f t="shared" si="1"/>
        <v>0</v>
      </c>
      <c r="BK22" s="12">
        <v>0.0</v>
      </c>
      <c r="BL22" s="12">
        <v>0.0</v>
      </c>
      <c r="BM22" s="19">
        <f t="shared" si="2"/>
        <v>0</v>
      </c>
      <c r="BN22" s="12">
        <v>0.0</v>
      </c>
      <c r="BO22" s="12">
        <v>0.0</v>
      </c>
      <c r="BP22" s="19">
        <f t="shared" si="3"/>
        <v>0</v>
      </c>
      <c r="BQ22" s="12">
        <v>0.0</v>
      </c>
      <c r="BR22" s="12">
        <v>0.0</v>
      </c>
      <c r="BS22" s="19">
        <f t="shared" si="4"/>
        <v>0</v>
      </c>
      <c r="BT22" s="12">
        <v>0.0</v>
      </c>
      <c r="BU22" s="12">
        <v>0.0</v>
      </c>
      <c r="BV22" s="19">
        <f t="shared" si="5"/>
        <v>0</v>
      </c>
      <c r="BW22" s="12">
        <v>0.0</v>
      </c>
      <c r="BX22" s="12">
        <v>0.0</v>
      </c>
      <c r="BY22" s="19">
        <f t="shared" si="6"/>
        <v>0</v>
      </c>
      <c r="BZ22" s="10" t="s">
        <v>140</v>
      </c>
      <c r="CA22" s="10" t="s">
        <v>140</v>
      </c>
      <c r="CB22" s="10" t="s">
        <v>140</v>
      </c>
      <c r="CC22" s="10" t="s">
        <v>140</v>
      </c>
      <c r="CD22" s="10" t="s">
        <v>140</v>
      </c>
      <c r="CE22" s="10" t="s">
        <v>140</v>
      </c>
      <c r="CF22" s="10" t="s">
        <v>140</v>
      </c>
      <c r="CG22" s="10" t="s">
        <v>140</v>
      </c>
      <c r="CH22" s="10" t="s">
        <v>140</v>
      </c>
      <c r="CI22" s="10" t="s">
        <v>140</v>
      </c>
      <c r="CJ22" s="10" t="s">
        <v>140</v>
      </c>
      <c r="CK22" s="10" t="s">
        <v>140</v>
      </c>
      <c r="CL22" s="10" t="s">
        <v>413</v>
      </c>
      <c r="CM22" s="10" t="s">
        <v>414</v>
      </c>
      <c r="CN22" s="10" t="s">
        <v>415</v>
      </c>
      <c r="CO22" s="10" t="s">
        <v>416</v>
      </c>
      <c r="CP22" s="10" t="s">
        <v>168</v>
      </c>
    </row>
    <row r="23" ht="15.75" customHeight="1">
      <c r="B23" s="10" t="s">
        <v>50</v>
      </c>
      <c r="C23" s="10" t="s">
        <v>418</v>
      </c>
      <c r="D23" s="10" t="s">
        <v>85</v>
      </c>
      <c r="E23" s="10" t="s">
        <v>140</v>
      </c>
      <c r="F23" s="10" t="s">
        <v>419</v>
      </c>
      <c r="G23" s="10" t="s">
        <v>420</v>
      </c>
      <c r="H23" s="10" t="s">
        <v>421</v>
      </c>
      <c r="I23" s="10" t="s">
        <v>422</v>
      </c>
      <c r="J23" s="10" t="s">
        <v>166</v>
      </c>
      <c r="K23" s="10" t="s">
        <v>140</v>
      </c>
      <c r="L23" s="10" t="s">
        <v>140</v>
      </c>
      <c r="M23" s="10" t="s">
        <v>73</v>
      </c>
      <c r="N23" s="10" t="s">
        <v>140</v>
      </c>
      <c r="O23" s="10" t="s">
        <v>140</v>
      </c>
      <c r="P23" s="10" t="s">
        <v>76</v>
      </c>
      <c r="Q23" s="10" t="s">
        <v>77</v>
      </c>
      <c r="R23" s="10" t="s">
        <v>140</v>
      </c>
      <c r="S23" s="10" t="s">
        <v>79</v>
      </c>
      <c r="T23" s="10" t="s">
        <v>80</v>
      </c>
      <c r="U23" s="10" t="s">
        <v>140</v>
      </c>
      <c r="V23" s="10" t="s">
        <v>140</v>
      </c>
      <c r="W23" s="10" t="s">
        <v>83</v>
      </c>
      <c r="X23" s="10" t="s">
        <v>84</v>
      </c>
      <c r="Y23" s="10" t="s">
        <v>140</v>
      </c>
      <c r="Z23" s="10" t="s">
        <v>140</v>
      </c>
      <c r="AA23" s="12">
        <v>35.0</v>
      </c>
      <c r="AB23" s="12">
        <v>35.0</v>
      </c>
      <c r="AC23" s="12">
        <v>30.0</v>
      </c>
      <c r="AD23" s="12">
        <v>5.0</v>
      </c>
      <c r="AE23" s="10" t="s">
        <v>146</v>
      </c>
      <c r="AF23" s="10" t="s">
        <v>146</v>
      </c>
      <c r="AG23" s="10" t="s">
        <v>168</v>
      </c>
      <c r="AH23" s="10" t="s">
        <v>140</v>
      </c>
      <c r="AI23" s="10" t="s">
        <v>189</v>
      </c>
      <c r="AJ23" s="10" t="s">
        <v>140</v>
      </c>
      <c r="AK23" s="10" t="s">
        <v>97</v>
      </c>
      <c r="AL23" s="10" t="s">
        <v>140</v>
      </c>
      <c r="AM23" s="10" t="s">
        <v>99</v>
      </c>
      <c r="AN23" s="10" t="s">
        <v>100</v>
      </c>
      <c r="AO23" s="10" t="s">
        <v>140</v>
      </c>
      <c r="AP23" s="10" t="s">
        <v>140</v>
      </c>
      <c r="AQ23" s="10" t="s">
        <v>149</v>
      </c>
      <c r="AR23" s="10" t="s">
        <v>140</v>
      </c>
      <c r="AS23" s="10" t="s">
        <v>140</v>
      </c>
      <c r="AT23" s="10" t="s">
        <v>140</v>
      </c>
      <c r="AU23" s="10" t="s">
        <v>104</v>
      </c>
      <c r="AV23" s="10" t="s">
        <v>140</v>
      </c>
      <c r="AW23" s="10" t="s">
        <v>140</v>
      </c>
      <c r="AX23" s="10" t="s">
        <v>107</v>
      </c>
      <c r="AY23" s="10" t="s">
        <v>108</v>
      </c>
      <c r="AZ23" s="10" t="s">
        <v>140</v>
      </c>
      <c r="BA23" s="10" t="s">
        <v>140</v>
      </c>
      <c r="BB23" s="12">
        <v>4.0</v>
      </c>
      <c r="BC23" s="12">
        <v>5.0</v>
      </c>
      <c r="BD23" s="10" t="s">
        <v>168</v>
      </c>
      <c r="BE23" s="10" t="s">
        <v>140</v>
      </c>
      <c r="BF23" s="10" t="s">
        <v>140</v>
      </c>
      <c r="BG23" s="10" t="s">
        <v>146</v>
      </c>
      <c r="BH23" s="12">
        <v>4.0</v>
      </c>
      <c r="BI23" s="12">
        <v>4.0</v>
      </c>
      <c r="BJ23" s="19">
        <f t="shared" si="1"/>
        <v>2379.196911</v>
      </c>
      <c r="BK23" s="12">
        <v>7.0</v>
      </c>
      <c r="BL23" s="12">
        <v>7.0</v>
      </c>
      <c r="BM23" s="19">
        <f t="shared" si="2"/>
        <v>4289.552632</v>
      </c>
      <c r="BN23" s="12">
        <v>4.0</v>
      </c>
      <c r="BO23" s="12">
        <v>4.0</v>
      </c>
      <c r="BP23" s="19">
        <f t="shared" si="3"/>
        <v>147.2978723</v>
      </c>
      <c r="BQ23" s="12">
        <v>4.0</v>
      </c>
      <c r="BR23" s="12">
        <v>4.0</v>
      </c>
      <c r="BS23" s="19">
        <f t="shared" si="4"/>
        <v>30.35087719</v>
      </c>
      <c r="BT23" s="12">
        <v>2.0</v>
      </c>
      <c r="BU23" s="12">
        <v>2.0</v>
      </c>
      <c r="BV23" s="19">
        <f t="shared" si="5"/>
        <v>0</v>
      </c>
      <c r="BW23" s="12">
        <v>2.0</v>
      </c>
      <c r="BX23" s="12">
        <v>2.0</v>
      </c>
      <c r="BY23" s="19">
        <f t="shared" si="6"/>
        <v>5.835051546</v>
      </c>
      <c r="BZ23" s="10" t="s">
        <v>152</v>
      </c>
      <c r="CA23" s="10" t="s">
        <v>173</v>
      </c>
      <c r="CB23" s="10" t="s">
        <v>140</v>
      </c>
      <c r="CC23" s="10" t="s">
        <v>146</v>
      </c>
      <c r="CD23" s="10" t="s">
        <v>140</v>
      </c>
      <c r="CE23" s="10" t="s">
        <v>168</v>
      </c>
      <c r="CF23" s="10" t="s">
        <v>423</v>
      </c>
      <c r="CG23" s="10" t="s">
        <v>424</v>
      </c>
      <c r="CH23" s="10" t="s">
        <v>174</v>
      </c>
      <c r="CI23" s="10" t="s">
        <v>419</v>
      </c>
      <c r="CJ23" s="10" t="s">
        <v>425</v>
      </c>
      <c r="CK23" s="10" t="s">
        <v>426</v>
      </c>
      <c r="CL23" s="10" t="s">
        <v>427</v>
      </c>
      <c r="CM23" s="10" t="s">
        <v>428</v>
      </c>
      <c r="CN23" s="10" t="s">
        <v>429</v>
      </c>
      <c r="CO23" s="10" t="s">
        <v>430</v>
      </c>
      <c r="CP23" s="10" t="s">
        <v>146</v>
      </c>
    </row>
    <row r="24" ht="15.75" customHeight="1">
      <c r="B24" s="10" t="s">
        <v>57</v>
      </c>
      <c r="C24" s="10" t="s">
        <v>432</v>
      </c>
      <c r="D24" s="10" t="s">
        <v>182</v>
      </c>
      <c r="E24" s="10" t="s">
        <v>140</v>
      </c>
      <c r="F24" s="10" t="s">
        <v>433</v>
      </c>
      <c r="G24" s="10" t="s">
        <v>434</v>
      </c>
      <c r="H24" s="10" t="s">
        <v>435</v>
      </c>
      <c r="I24" s="10" t="s">
        <v>436</v>
      </c>
      <c r="J24" s="10" t="s">
        <v>166</v>
      </c>
      <c r="K24" s="10" t="s">
        <v>140</v>
      </c>
      <c r="L24" s="10" t="s">
        <v>140</v>
      </c>
      <c r="M24" s="10" t="s">
        <v>73</v>
      </c>
      <c r="N24" s="10" t="s">
        <v>140</v>
      </c>
      <c r="O24" s="10" t="s">
        <v>140</v>
      </c>
      <c r="P24" s="10" t="s">
        <v>76</v>
      </c>
      <c r="Q24" s="10" t="s">
        <v>77</v>
      </c>
      <c r="R24" s="10" t="s">
        <v>78</v>
      </c>
      <c r="S24" s="10" t="s">
        <v>79</v>
      </c>
      <c r="T24" s="10" t="s">
        <v>80</v>
      </c>
      <c r="U24" s="10" t="s">
        <v>81</v>
      </c>
      <c r="V24" s="10" t="s">
        <v>140</v>
      </c>
      <c r="W24" s="10" t="s">
        <v>83</v>
      </c>
      <c r="X24" s="10" t="s">
        <v>140</v>
      </c>
      <c r="Y24" s="10" t="s">
        <v>140</v>
      </c>
      <c r="Z24" s="10" t="s">
        <v>140</v>
      </c>
      <c r="AA24" s="12">
        <v>0.0</v>
      </c>
      <c r="AB24" s="12">
        <v>85.0</v>
      </c>
      <c r="AC24" s="12">
        <v>85.0</v>
      </c>
      <c r="AD24" s="12">
        <v>5.0</v>
      </c>
      <c r="AE24" s="10" t="s">
        <v>146</v>
      </c>
      <c r="AF24" s="10" t="s">
        <v>146</v>
      </c>
      <c r="AG24" s="10" t="s">
        <v>168</v>
      </c>
      <c r="AH24" s="10" t="s">
        <v>140</v>
      </c>
      <c r="AI24" s="10" t="s">
        <v>189</v>
      </c>
      <c r="AJ24" s="10" t="s">
        <v>140</v>
      </c>
      <c r="AK24" s="10" t="s">
        <v>97</v>
      </c>
      <c r="AL24" s="10" t="s">
        <v>98</v>
      </c>
      <c r="AM24" s="10" t="s">
        <v>140</v>
      </c>
      <c r="AN24" s="10" t="s">
        <v>140</v>
      </c>
      <c r="AO24" s="10" t="s">
        <v>85</v>
      </c>
      <c r="AP24" s="10" t="s">
        <v>437</v>
      </c>
      <c r="AQ24" s="10" t="s">
        <v>438</v>
      </c>
      <c r="AR24" s="10" t="s">
        <v>140</v>
      </c>
      <c r="AS24" s="10" t="s">
        <v>102</v>
      </c>
      <c r="AT24" s="10" t="s">
        <v>103</v>
      </c>
      <c r="AU24" s="10" t="s">
        <v>104</v>
      </c>
      <c r="AV24" s="10" t="s">
        <v>140</v>
      </c>
      <c r="AW24" s="10" t="s">
        <v>140</v>
      </c>
      <c r="AX24" s="10" t="s">
        <v>140</v>
      </c>
      <c r="AY24" s="10" t="s">
        <v>108</v>
      </c>
      <c r="AZ24" s="10" t="s">
        <v>140</v>
      </c>
      <c r="BA24" s="10" t="s">
        <v>140</v>
      </c>
      <c r="BB24" s="12">
        <v>4.0</v>
      </c>
      <c r="BC24" s="12">
        <v>4.0</v>
      </c>
      <c r="BD24" s="10" t="s">
        <v>146</v>
      </c>
      <c r="BE24" s="10" t="s">
        <v>439</v>
      </c>
      <c r="BF24" s="10" t="s">
        <v>140</v>
      </c>
      <c r="BG24" s="10" t="s">
        <v>146</v>
      </c>
      <c r="BH24" s="12">
        <v>10.0</v>
      </c>
      <c r="BI24" s="12">
        <v>10.0</v>
      </c>
      <c r="BJ24" s="19">
        <f t="shared" si="1"/>
        <v>5947.992278</v>
      </c>
      <c r="BK24" s="12">
        <v>10.0</v>
      </c>
      <c r="BL24" s="12">
        <v>10.0</v>
      </c>
      <c r="BM24" s="19">
        <f t="shared" si="2"/>
        <v>6127.932331</v>
      </c>
      <c r="BN24" s="12">
        <v>0.0</v>
      </c>
      <c r="BO24" s="12">
        <v>0.0</v>
      </c>
      <c r="BP24" s="19">
        <f t="shared" si="3"/>
        <v>0</v>
      </c>
      <c r="BQ24" s="12">
        <v>5.0</v>
      </c>
      <c r="BR24" s="12">
        <v>5.0</v>
      </c>
      <c r="BS24" s="19">
        <f t="shared" si="4"/>
        <v>37.93859649</v>
      </c>
      <c r="BT24" s="12">
        <v>10.0</v>
      </c>
      <c r="BU24" s="12">
        <v>10.0</v>
      </c>
      <c r="BV24" s="19">
        <f t="shared" si="5"/>
        <v>0</v>
      </c>
      <c r="BW24" s="12">
        <v>3.0</v>
      </c>
      <c r="BX24" s="12">
        <v>3.0</v>
      </c>
      <c r="BY24" s="19">
        <f t="shared" si="6"/>
        <v>8.75257732</v>
      </c>
      <c r="BZ24" s="10" t="s">
        <v>355</v>
      </c>
      <c r="CA24" s="10" t="s">
        <v>320</v>
      </c>
      <c r="CB24" s="10" t="s">
        <v>140</v>
      </c>
      <c r="CC24" s="10" t="s">
        <v>146</v>
      </c>
      <c r="CD24" s="10" t="s">
        <v>140</v>
      </c>
      <c r="CE24" s="10" t="s">
        <v>146</v>
      </c>
      <c r="CF24" s="10" t="s">
        <v>140</v>
      </c>
      <c r="CG24" s="10" t="s">
        <v>140</v>
      </c>
      <c r="CH24" s="10" t="s">
        <v>140</v>
      </c>
      <c r="CI24" s="10" t="s">
        <v>140</v>
      </c>
      <c r="CJ24" s="10" t="s">
        <v>140</v>
      </c>
      <c r="CK24" s="10" t="s">
        <v>440</v>
      </c>
      <c r="CL24" s="10" t="s">
        <v>140</v>
      </c>
      <c r="CM24" s="10" t="s">
        <v>441</v>
      </c>
      <c r="CN24" s="10" t="s">
        <v>442</v>
      </c>
      <c r="CO24" s="10" t="s">
        <v>443</v>
      </c>
      <c r="CP24" s="10" t="s">
        <v>146</v>
      </c>
    </row>
    <row r="25" ht="15.75" customHeight="1">
      <c r="B25" s="10" t="s">
        <v>445</v>
      </c>
      <c r="C25" s="10" t="s">
        <v>446</v>
      </c>
      <c r="D25" s="10" t="s">
        <v>139</v>
      </c>
      <c r="E25" s="10" t="s">
        <v>140</v>
      </c>
      <c r="F25" s="10" t="s">
        <v>447</v>
      </c>
      <c r="G25" s="10" t="s">
        <v>448</v>
      </c>
      <c r="H25" s="10" t="s">
        <v>449</v>
      </c>
      <c r="I25" s="10" t="s">
        <v>450</v>
      </c>
      <c r="J25" s="10" t="s">
        <v>85</v>
      </c>
      <c r="K25" s="10" t="s">
        <v>451</v>
      </c>
      <c r="L25" s="10" t="s">
        <v>72</v>
      </c>
      <c r="M25" s="10" t="s">
        <v>140</v>
      </c>
      <c r="N25" s="10" t="s">
        <v>140</v>
      </c>
      <c r="O25" s="10" t="s">
        <v>140</v>
      </c>
      <c r="P25" s="10" t="s">
        <v>140</v>
      </c>
      <c r="Q25" s="10" t="s">
        <v>140</v>
      </c>
      <c r="R25" s="10" t="s">
        <v>78</v>
      </c>
      <c r="S25" s="10" t="s">
        <v>140</v>
      </c>
      <c r="T25" s="10" t="s">
        <v>140</v>
      </c>
      <c r="U25" s="10" t="s">
        <v>140</v>
      </c>
      <c r="V25" s="10" t="s">
        <v>140</v>
      </c>
      <c r="W25" s="10" t="s">
        <v>83</v>
      </c>
      <c r="X25" s="10" t="s">
        <v>140</v>
      </c>
      <c r="Y25" s="10" t="s">
        <v>140</v>
      </c>
      <c r="Z25" s="10" t="s">
        <v>140</v>
      </c>
      <c r="AA25" s="12">
        <v>0.0</v>
      </c>
      <c r="AB25" s="12">
        <v>75.0</v>
      </c>
      <c r="AC25" s="12">
        <v>5.0</v>
      </c>
      <c r="AD25" s="12">
        <v>0.0</v>
      </c>
      <c r="AE25" s="10" t="s">
        <v>146</v>
      </c>
      <c r="AF25" s="10" t="s">
        <v>168</v>
      </c>
      <c r="AG25" s="10" t="s">
        <v>140</v>
      </c>
      <c r="AH25" s="10" t="s">
        <v>140</v>
      </c>
      <c r="AI25" s="10" t="s">
        <v>140</v>
      </c>
      <c r="AJ25" s="10" t="s">
        <v>140</v>
      </c>
      <c r="AK25" s="10" t="s">
        <v>140</v>
      </c>
      <c r="AL25" s="10" t="s">
        <v>140</v>
      </c>
      <c r="AM25" s="10" t="s">
        <v>140</v>
      </c>
      <c r="AN25" s="10" t="s">
        <v>140</v>
      </c>
      <c r="AO25" s="10" t="s">
        <v>85</v>
      </c>
      <c r="AP25" s="10" t="s">
        <v>452</v>
      </c>
      <c r="AQ25" s="10" t="s">
        <v>149</v>
      </c>
      <c r="AR25" s="10" t="s">
        <v>140</v>
      </c>
      <c r="AS25" s="10" t="s">
        <v>140</v>
      </c>
      <c r="AT25" s="10" t="s">
        <v>140</v>
      </c>
      <c r="AU25" s="10" t="s">
        <v>140</v>
      </c>
      <c r="AV25" s="10" t="s">
        <v>140</v>
      </c>
      <c r="AW25" s="10" t="s">
        <v>140</v>
      </c>
      <c r="AX25" s="10" t="s">
        <v>107</v>
      </c>
      <c r="AY25" s="10" t="s">
        <v>108</v>
      </c>
      <c r="AZ25" s="10" t="s">
        <v>140</v>
      </c>
      <c r="BA25" s="10" t="s">
        <v>140</v>
      </c>
      <c r="BB25" s="12">
        <v>5.0</v>
      </c>
      <c r="BC25" s="12">
        <v>1.0</v>
      </c>
      <c r="BD25" s="10" t="s">
        <v>168</v>
      </c>
      <c r="BE25" s="10" t="s">
        <v>140</v>
      </c>
      <c r="BF25" s="10" t="s">
        <v>140</v>
      </c>
      <c r="BG25" s="10" t="s">
        <v>168</v>
      </c>
      <c r="BH25" s="12">
        <v>0.0</v>
      </c>
      <c r="BI25" s="12">
        <v>0.0</v>
      </c>
      <c r="BJ25" s="19">
        <f t="shared" si="1"/>
        <v>0</v>
      </c>
      <c r="BK25" s="12">
        <v>0.0</v>
      </c>
      <c r="BL25" s="12">
        <v>0.0</v>
      </c>
      <c r="BM25" s="19">
        <f t="shared" si="2"/>
        <v>0</v>
      </c>
      <c r="BN25" s="12">
        <v>0.0</v>
      </c>
      <c r="BO25" s="12">
        <v>0.0</v>
      </c>
      <c r="BP25" s="19">
        <f t="shared" si="3"/>
        <v>0</v>
      </c>
      <c r="BQ25" s="12">
        <v>0.0</v>
      </c>
      <c r="BR25" s="12">
        <v>0.0</v>
      </c>
      <c r="BS25" s="19">
        <f t="shared" si="4"/>
        <v>0</v>
      </c>
      <c r="BT25" s="12">
        <v>0.0</v>
      </c>
      <c r="BU25" s="12">
        <v>0.0</v>
      </c>
      <c r="BV25" s="19">
        <f t="shared" si="5"/>
        <v>0</v>
      </c>
      <c r="BW25" s="12">
        <v>0.0</v>
      </c>
      <c r="BX25" s="12">
        <v>0.0</v>
      </c>
      <c r="BY25" s="19">
        <f t="shared" si="6"/>
        <v>0</v>
      </c>
      <c r="BZ25" s="10" t="s">
        <v>140</v>
      </c>
      <c r="CA25" s="10" t="s">
        <v>140</v>
      </c>
      <c r="CB25" s="10" t="s">
        <v>140</v>
      </c>
      <c r="CC25" s="10" t="s">
        <v>140</v>
      </c>
      <c r="CD25" s="10" t="s">
        <v>140</v>
      </c>
      <c r="CE25" s="10" t="s">
        <v>140</v>
      </c>
      <c r="CF25" s="10" t="s">
        <v>140</v>
      </c>
      <c r="CG25" s="10" t="s">
        <v>140</v>
      </c>
      <c r="CH25" s="10" t="s">
        <v>140</v>
      </c>
      <c r="CI25" s="10" t="s">
        <v>140</v>
      </c>
      <c r="CJ25" s="10" t="s">
        <v>140</v>
      </c>
      <c r="CK25" s="10" t="s">
        <v>140</v>
      </c>
      <c r="CL25" s="10" t="s">
        <v>140</v>
      </c>
      <c r="CM25" s="10" t="s">
        <v>453</v>
      </c>
      <c r="CN25" s="10" t="s">
        <v>454</v>
      </c>
      <c r="CO25" s="10" t="s">
        <v>455</v>
      </c>
      <c r="CP25" s="10" t="s">
        <v>168</v>
      </c>
    </row>
    <row r="26" ht="15.75" customHeight="1">
      <c r="B26" s="10" t="s">
        <v>34</v>
      </c>
      <c r="C26" s="10" t="s">
        <v>457</v>
      </c>
      <c r="D26" s="10" t="s">
        <v>182</v>
      </c>
      <c r="E26" s="10" t="s">
        <v>140</v>
      </c>
      <c r="F26" s="10" t="s">
        <v>458</v>
      </c>
      <c r="G26" s="10" t="s">
        <v>459</v>
      </c>
      <c r="H26" s="10" t="s">
        <v>460</v>
      </c>
      <c r="I26" s="10" t="s">
        <v>461</v>
      </c>
      <c r="J26" s="10" t="s">
        <v>408</v>
      </c>
      <c r="K26" s="10" t="s">
        <v>140</v>
      </c>
      <c r="L26" s="10" t="s">
        <v>140</v>
      </c>
      <c r="M26" s="10" t="s">
        <v>73</v>
      </c>
      <c r="N26" s="10" t="s">
        <v>74</v>
      </c>
      <c r="O26" s="10" t="s">
        <v>75</v>
      </c>
      <c r="P26" s="10" t="s">
        <v>76</v>
      </c>
      <c r="Q26" s="10" t="s">
        <v>77</v>
      </c>
      <c r="R26" s="10" t="s">
        <v>140</v>
      </c>
      <c r="S26" s="10" t="s">
        <v>79</v>
      </c>
      <c r="T26" s="10" t="s">
        <v>80</v>
      </c>
      <c r="U26" s="10" t="s">
        <v>140</v>
      </c>
      <c r="V26" s="10" t="s">
        <v>82</v>
      </c>
      <c r="W26" s="10" t="s">
        <v>83</v>
      </c>
      <c r="X26" s="10" t="s">
        <v>84</v>
      </c>
      <c r="Y26" s="10" t="s">
        <v>140</v>
      </c>
      <c r="Z26" s="10" t="s">
        <v>140</v>
      </c>
      <c r="AA26" s="12">
        <v>20.0</v>
      </c>
      <c r="AB26" s="12">
        <v>20.0</v>
      </c>
      <c r="AC26" s="12">
        <v>25.0</v>
      </c>
      <c r="AD26" s="12">
        <v>10.0</v>
      </c>
      <c r="AE26" s="10" t="s">
        <v>146</v>
      </c>
      <c r="AF26" s="10" t="s">
        <v>168</v>
      </c>
      <c r="AG26" s="10" t="s">
        <v>140</v>
      </c>
      <c r="AH26" s="10" t="s">
        <v>140</v>
      </c>
      <c r="AI26" s="10" t="s">
        <v>140</v>
      </c>
      <c r="AJ26" s="10" t="s">
        <v>140</v>
      </c>
      <c r="AK26" s="10" t="s">
        <v>140</v>
      </c>
      <c r="AL26" s="10" t="s">
        <v>140</v>
      </c>
      <c r="AM26" s="10" t="s">
        <v>140</v>
      </c>
      <c r="AN26" s="10" t="s">
        <v>140</v>
      </c>
      <c r="AO26" s="10" t="s">
        <v>85</v>
      </c>
      <c r="AP26" s="10" t="s">
        <v>462</v>
      </c>
      <c r="AQ26" s="10" t="s">
        <v>438</v>
      </c>
      <c r="AR26" s="10" t="s">
        <v>140</v>
      </c>
      <c r="AS26" s="10" t="s">
        <v>140</v>
      </c>
      <c r="AT26" s="10" t="s">
        <v>103</v>
      </c>
      <c r="AU26" s="10" t="s">
        <v>140</v>
      </c>
      <c r="AV26" s="10" t="s">
        <v>140</v>
      </c>
      <c r="AW26" s="10" t="s">
        <v>106</v>
      </c>
      <c r="AX26" s="10" t="s">
        <v>107</v>
      </c>
      <c r="AY26" s="10" t="s">
        <v>108</v>
      </c>
      <c r="AZ26" s="10" t="s">
        <v>140</v>
      </c>
      <c r="BA26" s="10" t="s">
        <v>140</v>
      </c>
      <c r="BB26" s="12">
        <v>6.0</v>
      </c>
      <c r="BC26" s="12">
        <v>6.0</v>
      </c>
      <c r="BD26" s="10" t="s">
        <v>168</v>
      </c>
      <c r="BE26" s="10" t="s">
        <v>140</v>
      </c>
      <c r="BF26" s="10" t="s">
        <v>140</v>
      </c>
      <c r="BG26" s="10" t="s">
        <v>146</v>
      </c>
      <c r="BH26" s="12">
        <v>7.0</v>
      </c>
      <c r="BI26" s="12">
        <v>7.0</v>
      </c>
      <c r="BJ26" s="19">
        <f t="shared" si="1"/>
        <v>4163.594595</v>
      </c>
      <c r="BK26" s="12">
        <v>4.0</v>
      </c>
      <c r="BL26" s="12">
        <v>4.0</v>
      </c>
      <c r="BM26" s="19">
        <f t="shared" si="2"/>
        <v>2451.172932</v>
      </c>
      <c r="BN26" s="12">
        <v>3.0</v>
      </c>
      <c r="BO26" s="12">
        <v>3.0</v>
      </c>
      <c r="BP26" s="19">
        <f t="shared" si="3"/>
        <v>110.4734043</v>
      </c>
      <c r="BQ26" s="12">
        <v>0.0</v>
      </c>
      <c r="BR26" s="12">
        <v>0.0</v>
      </c>
      <c r="BS26" s="19">
        <f t="shared" si="4"/>
        <v>0</v>
      </c>
      <c r="BT26" s="12">
        <v>0.0</v>
      </c>
      <c r="BU26" s="12">
        <v>0.0</v>
      </c>
      <c r="BV26" s="19">
        <f t="shared" si="5"/>
        <v>0</v>
      </c>
      <c r="BW26" s="12">
        <v>0.0</v>
      </c>
      <c r="BX26" s="12">
        <v>0.0</v>
      </c>
      <c r="BY26" s="19">
        <f t="shared" si="6"/>
        <v>0</v>
      </c>
      <c r="BZ26" s="10" t="s">
        <v>355</v>
      </c>
      <c r="CA26" s="10" t="s">
        <v>153</v>
      </c>
      <c r="CB26" s="10" t="s">
        <v>140</v>
      </c>
      <c r="CC26" s="10" t="s">
        <v>146</v>
      </c>
      <c r="CD26" s="10" t="s">
        <v>140</v>
      </c>
      <c r="CE26" s="10" t="s">
        <v>146</v>
      </c>
      <c r="CF26" s="10" t="s">
        <v>140</v>
      </c>
      <c r="CG26" s="10" t="s">
        <v>140</v>
      </c>
      <c r="CH26" s="10" t="s">
        <v>140</v>
      </c>
      <c r="CI26" s="10" t="s">
        <v>140</v>
      </c>
      <c r="CJ26" s="10" t="s">
        <v>140</v>
      </c>
      <c r="CK26" s="10" t="s">
        <v>463</v>
      </c>
      <c r="CL26" s="10" t="s">
        <v>464</v>
      </c>
      <c r="CM26" s="10" t="s">
        <v>465</v>
      </c>
      <c r="CN26" s="10" t="s">
        <v>466</v>
      </c>
      <c r="CO26" s="10" t="s">
        <v>467</v>
      </c>
      <c r="CP26" s="10" t="s">
        <v>146</v>
      </c>
    </row>
    <row r="27" ht="15.75" customHeight="1">
      <c r="B27" s="10" t="s">
        <v>44</v>
      </c>
      <c r="C27" s="10" t="s">
        <v>469</v>
      </c>
      <c r="D27" s="10" t="s">
        <v>470</v>
      </c>
      <c r="E27" s="10" t="s">
        <v>140</v>
      </c>
      <c r="F27" s="10" t="s">
        <v>471</v>
      </c>
      <c r="G27" s="10" t="s">
        <v>472</v>
      </c>
      <c r="H27" s="10" t="s">
        <v>473</v>
      </c>
      <c r="I27" s="10" t="s">
        <v>474</v>
      </c>
      <c r="J27" s="10" t="s">
        <v>85</v>
      </c>
      <c r="K27" s="10" t="s">
        <v>475</v>
      </c>
      <c r="L27" s="10" t="s">
        <v>140</v>
      </c>
      <c r="M27" s="10" t="s">
        <v>73</v>
      </c>
      <c r="N27" s="10" t="s">
        <v>74</v>
      </c>
      <c r="O27" s="10" t="s">
        <v>75</v>
      </c>
      <c r="P27" s="10" t="s">
        <v>140</v>
      </c>
      <c r="Q27" s="10" t="s">
        <v>77</v>
      </c>
      <c r="R27" s="10" t="s">
        <v>78</v>
      </c>
      <c r="S27" s="10" t="s">
        <v>79</v>
      </c>
      <c r="T27" s="10" t="s">
        <v>140</v>
      </c>
      <c r="U27" s="10" t="s">
        <v>140</v>
      </c>
      <c r="V27" s="10" t="s">
        <v>82</v>
      </c>
      <c r="W27" s="10" t="s">
        <v>83</v>
      </c>
      <c r="X27" s="10" t="s">
        <v>84</v>
      </c>
      <c r="Y27" s="10" t="s">
        <v>140</v>
      </c>
      <c r="Z27" s="10" t="s">
        <v>140</v>
      </c>
      <c r="AA27" s="12">
        <v>1.0</v>
      </c>
      <c r="AB27" s="12">
        <v>30.0</v>
      </c>
      <c r="AC27" s="12">
        <v>25.0</v>
      </c>
      <c r="AD27" s="12">
        <v>5.0</v>
      </c>
      <c r="AE27" s="10" t="s">
        <v>146</v>
      </c>
      <c r="AF27" s="10" t="s">
        <v>146</v>
      </c>
      <c r="AG27" s="10" t="s">
        <v>168</v>
      </c>
      <c r="AH27" s="10" t="s">
        <v>140</v>
      </c>
      <c r="AI27" s="10" t="s">
        <v>189</v>
      </c>
      <c r="AJ27" s="10" t="s">
        <v>140</v>
      </c>
      <c r="AK27" s="10" t="s">
        <v>97</v>
      </c>
      <c r="AL27" s="10" t="s">
        <v>140</v>
      </c>
      <c r="AM27" s="10" t="s">
        <v>99</v>
      </c>
      <c r="AN27" s="10" t="s">
        <v>140</v>
      </c>
      <c r="AO27" s="10" t="s">
        <v>140</v>
      </c>
      <c r="AP27" s="10" t="s">
        <v>140</v>
      </c>
      <c r="AQ27" s="10" t="s">
        <v>85</v>
      </c>
      <c r="AR27" s="10" t="s">
        <v>476</v>
      </c>
      <c r="AS27" s="10" t="s">
        <v>102</v>
      </c>
      <c r="AT27" s="10" t="s">
        <v>103</v>
      </c>
      <c r="AU27" s="10" t="s">
        <v>140</v>
      </c>
      <c r="AV27" s="10" t="s">
        <v>105</v>
      </c>
      <c r="AW27" s="10" t="s">
        <v>140</v>
      </c>
      <c r="AX27" s="10" t="s">
        <v>107</v>
      </c>
      <c r="AY27" s="10" t="s">
        <v>108</v>
      </c>
      <c r="AZ27" s="10" t="s">
        <v>140</v>
      </c>
      <c r="BA27" s="10" t="s">
        <v>140</v>
      </c>
      <c r="BB27" s="12">
        <v>5.0</v>
      </c>
      <c r="BC27" s="12">
        <v>5.0</v>
      </c>
      <c r="BD27" s="10" t="s">
        <v>168</v>
      </c>
      <c r="BE27" s="10" t="s">
        <v>140</v>
      </c>
      <c r="BF27" s="10" t="s">
        <v>140</v>
      </c>
      <c r="BG27" s="10" t="s">
        <v>146</v>
      </c>
      <c r="BH27" s="12">
        <v>10.0</v>
      </c>
      <c r="BI27" s="12">
        <v>10.0</v>
      </c>
      <c r="BJ27" s="19">
        <f t="shared" si="1"/>
        <v>5947.992278</v>
      </c>
      <c r="BK27" s="12">
        <v>10.0</v>
      </c>
      <c r="BL27" s="12">
        <v>10.0</v>
      </c>
      <c r="BM27" s="19">
        <f t="shared" si="2"/>
        <v>6127.932331</v>
      </c>
      <c r="BN27" s="12">
        <v>5.0</v>
      </c>
      <c r="BO27" s="12">
        <v>5.0</v>
      </c>
      <c r="BP27" s="19">
        <f t="shared" si="3"/>
        <v>184.1223404</v>
      </c>
      <c r="BQ27" s="12">
        <v>5.0</v>
      </c>
      <c r="BR27" s="12">
        <v>5.0</v>
      </c>
      <c r="BS27" s="19">
        <f t="shared" si="4"/>
        <v>37.93859649</v>
      </c>
      <c r="BT27" s="12">
        <v>0.0</v>
      </c>
      <c r="BU27" s="12">
        <v>0.0</v>
      </c>
      <c r="BV27" s="19">
        <f t="shared" si="5"/>
        <v>0</v>
      </c>
      <c r="BW27" s="12">
        <v>2.0</v>
      </c>
      <c r="BX27" s="12">
        <v>2.0</v>
      </c>
      <c r="BY27" s="19">
        <f t="shared" si="6"/>
        <v>5.835051546</v>
      </c>
      <c r="BZ27" s="10" t="s">
        <v>152</v>
      </c>
      <c r="CA27" s="10" t="s">
        <v>320</v>
      </c>
      <c r="CB27" s="10" t="s">
        <v>140</v>
      </c>
      <c r="CC27" s="10" t="s">
        <v>146</v>
      </c>
      <c r="CD27" s="10" t="s">
        <v>140</v>
      </c>
      <c r="CE27" s="10" t="s">
        <v>146</v>
      </c>
      <c r="CF27" s="10" t="s">
        <v>140</v>
      </c>
      <c r="CG27" s="10" t="s">
        <v>140</v>
      </c>
      <c r="CH27" s="10" t="s">
        <v>140</v>
      </c>
      <c r="CI27" s="10" t="s">
        <v>140</v>
      </c>
      <c r="CJ27" s="10" t="s">
        <v>140</v>
      </c>
      <c r="CK27" s="10" t="s">
        <v>477</v>
      </c>
      <c r="CL27" s="10" t="s">
        <v>478</v>
      </c>
      <c r="CM27" s="10" t="s">
        <v>479</v>
      </c>
      <c r="CN27" s="10" t="s">
        <v>480</v>
      </c>
      <c r="CO27" s="10" t="s">
        <v>481</v>
      </c>
      <c r="CP27" s="10" t="s">
        <v>146</v>
      </c>
    </row>
    <row r="28" ht="15.75" customHeight="1">
      <c r="B28" s="10" t="s">
        <v>54</v>
      </c>
      <c r="C28" s="10" t="s">
        <v>483</v>
      </c>
      <c r="D28" s="10" t="s">
        <v>470</v>
      </c>
      <c r="E28" s="10" t="s">
        <v>140</v>
      </c>
      <c r="F28" s="10" t="s">
        <v>484</v>
      </c>
      <c r="G28" s="10" t="s">
        <v>485</v>
      </c>
      <c r="H28" s="10" t="s">
        <v>486</v>
      </c>
      <c r="I28" s="10" t="s">
        <v>487</v>
      </c>
      <c r="J28" s="10" t="s">
        <v>166</v>
      </c>
      <c r="K28" s="10" t="s">
        <v>140</v>
      </c>
      <c r="L28" s="10" t="s">
        <v>72</v>
      </c>
      <c r="M28" s="10" t="s">
        <v>73</v>
      </c>
      <c r="N28" s="10" t="s">
        <v>74</v>
      </c>
      <c r="O28" s="10" t="s">
        <v>75</v>
      </c>
      <c r="P28" s="10" t="s">
        <v>76</v>
      </c>
      <c r="Q28" s="10" t="s">
        <v>77</v>
      </c>
      <c r="R28" s="10" t="s">
        <v>78</v>
      </c>
      <c r="S28" s="10" t="s">
        <v>79</v>
      </c>
      <c r="T28" s="10" t="s">
        <v>80</v>
      </c>
      <c r="U28" s="10" t="s">
        <v>140</v>
      </c>
      <c r="V28" s="10" t="s">
        <v>82</v>
      </c>
      <c r="W28" s="10" t="s">
        <v>83</v>
      </c>
      <c r="X28" s="10" t="s">
        <v>84</v>
      </c>
      <c r="Y28" s="10" t="s">
        <v>140</v>
      </c>
      <c r="Z28" s="10" t="s">
        <v>140</v>
      </c>
      <c r="AA28" s="12">
        <v>60.0</v>
      </c>
      <c r="AB28" s="12">
        <v>60.0</v>
      </c>
      <c r="AC28" s="12">
        <v>50.0</v>
      </c>
      <c r="AD28" s="12">
        <v>20.0</v>
      </c>
      <c r="AE28" s="10" t="s">
        <v>146</v>
      </c>
      <c r="AF28" s="10" t="s">
        <v>168</v>
      </c>
      <c r="AG28" s="10" t="s">
        <v>140</v>
      </c>
      <c r="AH28" s="10" t="s">
        <v>140</v>
      </c>
      <c r="AI28" s="10" t="s">
        <v>140</v>
      </c>
      <c r="AJ28" s="10" t="s">
        <v>140</v>
      </c>
      <c r="AK28" s="10" t="s">
        <v>97</v>
      </c>
      <c r="AL28" s="10" t="s">
        <v>140</v>
      </c>
      <c r="AM28" s="10" t="s">
        <v>140</v>
      </c>
      <c r="AN28" s="10" t="s">
        <v>140</v>
      </c>
      <c r="AO28" s="10" t="s">
        <v>140</v>
      </c>
      <c r="AP28" s="10" t="s">
        <v>140</v>
      </c>
      <c r="AQ28" s="10" t="s">
        <v>85</v>
      </c>
      <c r="AR28" s="10" t="s">
        <v>488</v>
      </c>
      <c r="AS28" s="10" t="s">
        <v>140</v>
      </c>
      <c r="AT28" s="10" t="s">
        <v>140</v>
      </c>
      <c r="AU28" s="10" t="s">
        <v>140</v>
      </c>
      <c r="AV28" s="10" t="s">
        <v>140</v>
      </c>
      <c r="AW28" s="10" t="s">
        <v>140</v>
      </c>
      <c r="AX28" s="10" t="s">
        <v>140</v>
      </c>
      <c r="AY28" s="10" t="s">
        <v>108</v>
      </c>
      <c r="AZ28" s="10" t="s">
        <v>140</v>
      </c>
      <c r="BA28" s="10" t="s">
        <v>140</v>
      </c>
      <c r="BB28" s="12">
        <v>6.0</v>
      </c>
      <c r="BC28" s="12">
        <v>4.0</v>
      </c>
      <c r="BD28" s="10" t="s">
        <v>168</v>
      </c>
      <c r="BE28" s="10" t="s">
        <v>140</v>
      </c>
      <c r="BF28" s="10" t="s">
        <v>140</v>
      </c>
      <c r="BG28" s="10" t="s">
        <v>146</v>
      </c>
      <c r="BH28" s="12">
        <v>5.0</v>
      </c>
      <c r="BI28" s="12">
        <v>5.0</v>
      </c>
      <c r="BJ28" s="19">
        <f t="shared" si="1"/>
        <v>2973.996139</v>
      </c>
      <c r="BK28" s="12">
        <v>9.0</v>
      </c>
      <c r="BL28" s="12">
        <v>9.0</v>
      </c>
      <c r="BM28" s="19">
        <f t="shared" si="2"/>
        <v>5515.139098</v>
      </c>
      <c r="BN28" s="12">
        <v>7.0</v>
      </c>
      <c r="BO28" s="12">
        <v>7.0</v>
      </c>
      <c r="BP28" s="19">
        <f t="shared" si="3"/>
        <v>257.7712766</v>
      </c>
      <c r="BQ28" s="12">
        <v>0.0</v>
      </c>
      <c r="BR28" s="12">
        <v>0.0</v>
      </c>
      <c r="BS28" s="19">
        <f t="shared" si="4"/>
        <v>0</v>
      </c>
      <c r="BT28" s="12">
        <v>0.0</v>
      </c>
      <c r="BU28" s="12">
        <v>0.0</v>
      </c>
      <c r="BV28" s="19">
        <f t="shared" si="5"/>
        <v>0</v>
      </c>
      <c r="BW28" s="12">
        <v>0.0</v>
      </c>
      <c r="BX28" s="12">
        <v>0.0</v>
      </c>
      <c r="BY28" s="19">
        <f t="shared" si="6"/>
        <v>0</v>
      </c>
      <c r="BZ28" s="10" t="s">
        <v>152</v>
      </c>
      <c r="CA28" s="10" t="s">
        <v>173</v>
      </c>
      <c r="CB28" s="10" t="s">
        <v>140</v>
      </c>
      <c r="CC28" s="10" t="s">
        <v>146</v>
      </c>
      <c r="CD28" s="10" t="s">
        <v>140</v>
      </c>
      <c r="CE28" s="10" t="s">
        <v>146</v>
      </c>
      <c r="CF28" s="10" t="s">
        <v>140</v>
      </c>
      <c r="CG28" s="10" t="s">
        <v>140</v>
      </c>
      <c r="CH28" s="10" t="s">
        <v>140</v>
      </c>
      <c r="CI28" s="10" t="s">
        <v>140</v>
      </c>
      <c r="CJ28" s="10" t="s">
        <v>140</v>
      </c>
      <c r="CK28" s="10" t="s">
        <v>489</v>
      </c>
      <c r="CL28" s="10" t="s">
        <v>490</v>
      </c>
      <c r="CM28" s="10" t="s">
        <v>491</v>
      </c>
      <c r="CN28" s="10" t="s">
        <v>492</v>
      </c>
      <c r="CO28" s="10" t="s">
        <v>493</v>
      </c>
      <c r="CP28" s="10" t="s">
        <v>146</v>
      </c>
    </row>
    <row r="29" ht="15.75" customHeight="1">
      <c r="B29" s="10" t="s">
        <v>39</v>
      </c>
      <c r="C29" s="10" t="s">
        <v>495</v>
      </c>
      <c r="D29" s="10" t="s">
        <v>161</v>
      </c>
      <c r="E29" s="10" t="s">
        <v>140</v>
      </c>
      <c r="F29" s="10" t="s">
        <v>496</v>
      </c>
      <c r="G29" s="10" t="s">
        <v>497</v>
      </c>
      <c r="H29" s="10" t="s">
        <v>498</v>
      </c>
      <c r="I29" s="10" t="s">
        <v>499</v>
      </c>
      <c r="J29" s="10" t="s">
        <v>166</v>
      </c>
      <c r="K29" s="10" t="s">
        <v>140</v>
      </c>
      <c r="L29" s="10" t="s">
        <v>72</v>
      </c>
      <c r="M29" s="10" t="s">
        <v>73</v>
      </c>
      <c r="N29" s="10" t="s">
        <v>74</v>
      </c>
      <c r="O29" s="10" t="s">
        <v>75</v>
      </c>
      <c r="P29" s="10" t="s">
        <v>140</v>
      </c>
      <c r="Q29" s="10" t="s">
        <v>77</v>
      </c>
      <c r="R29" s="10" t="s">
        <v>78</v>
      </c>
      <c r="S29" s="10" t="s">
        <v>79</v>
      </c>
      <c r="T29" s="10" t="s">
        <v>80</v>
      </c>
      <c r="U29" s="10" t="s">
        <v>140</v>
      </c>
      <c r="V29" s="10" t="s">
        <v>82</v>
      </c>
      <c r="W29" s="10" t="s">
        <v>83</v>
      </c>
      <c r="X29" s="10" t="s">
        <v>84</v>
      </c>
      <c r="Y29" s="10" t="s">
        <v>85</v>
      </c>
      <c r="Z29" s="10" t="s">
        <v>500</v>
      </c>
      <c r="AA29" s="12">
        <v>3.0</v>
      </c>
      <c r="AB29" s="12">
        <v>30.0</v>
      </c>
      <c r="AC29" s="12">
        <v>15.0</v>
      </c>
      <c r="AD29" s="12">
        <v>2.0</v>
      </c>
      <c r="AE29" s="10" t="s">
        <v>146</v>
      </c>
      <c r="AF29" s="10" t="s">
        <v>146</v>
      </c>
      <c r="AG29" s="10" t="s">
        <v>168</v>
      </c>
      <c r="AH29" s="10" t="s">
        <v>140</v>
      </c>
      <c r="AI29" s="10" t="s">
        <v>189</v>
      </c>
      <c r="AJ29" s="10" t="s">
        <v>140</v>
      </c>
      <c r="AK29" s="10" t="s">
        <v>140</v>
      </c>
      <c r="AL29" s="10" t="s">
        <v>140</v>
      </c>
      <c r="AM29" s="10" t="s">
        <v>99</v>
      </c>
      <c r="AN29" s="10" t="s">
        <v>100</v>
      </c>
      <c r="AO29" s="10" t="s">
        <v>140</v>
      </c>
      <c r="AP29" s="10" t="s">
        <v>140</v>
      </c>
      <c r="AQ29" s="10" t="s">
        <v>149</v>
      </c>
      <c r="AR29" s="10" t="s">
        <v>140</v>
      </c>
      <c r="AS29" s="10" t="s">
        <v>102</v>
      </c>
      <c r="AT29" s="10" t="s">
        <v>140</v>
      </c>
      <c r="AU29" s="10" t="s">
        <v>140</v>
      </c>
      <c r="AV29" s="10" t="s">
        <v>140</v>
      </c>
      <c r="AW29" s="10" t="s">
        <v>140</v>
      </c>
      <c r="AX29" s="10" t="s">
        <v>140</v>
      </c>
      <c r="AY29" s="10" t="s">
        <v>140</v>
      </c>
      <c r="AZ29" s="10" t="s">
        <v>140</v>
      </c>
      <c r="BA29" s="10" t="s">
        <v>140</v>
      </c>
      <c r="BB29" s="12">
        <v>7.0</v>
      </c>
      <c r="BC29" s="12">
        <v>3.0</v>
      </c>
      <c r="BD29" s="10" t="s">
        <v>168</v>
      </c>
      <c r="BE29" s="10" t="s">
        <v>140</v>
      </c>
      <c r="BF29" s="10" t="s">
        <v>140</v>
      </c>
      <c r="BG29" s="10" t="s">
        <v>146</v>
      </c>
      <c r="BH29" s="12">
        <v>5.0</v>
      </c>
      <c r="BI29" s="12">
        <v>5.0</v>
      </c>
      <c r="BJ29" s="19">
        <f t="shared" si="1"/>
        <v>2973.996139</v>
      </c>
      <c r="BK29" s="12">
        <v>10.0</v>
      </c>
      <c r="BL29" s="12">
        <v>10.0</v>
      </c>
      <c r="BM29" s="19">
        <f t="shared" si="2"/>
        <v>6127.932331</v>
      </c>
      <c r="BN29" s="12">
        <v>0.0</v>
      </c>
      <c r="BO29" s="12">
        <v>0.0</v>
      </c>
      <c r="BP29" s="19">
        <f t="shared" si="3"/>
        <v>0</v>
      </c>
      <c r="BQ29" s="12">
        <v>0.0</v>
      </c>
      <c r="BR29" s="12">
        <v>0.0</v>
      </c>
      <c r="BS29" s="19">
        <f t="shared" si="4"/>
        <v>0</v>
      </c>
      <c r="BT29" s="12">
        <v>6.0</v>
      </c>
      <c r="BU29" s="12">
        <v>6.0</v>
      </c>
      <c r="BV29" s="19">
        <f t="shared" si="5"/>
        <v>0</v>
      </c>
      <c r="BW29" s="12">
        <v>0.0</v>
      </c>
      <c r="BX29" s="12">
        <v>0.0</v>
      </c>
      <c r="BY29" s="19">
        <f t="shared" si="6"/>
        <v>0</v>
      </c>
      <c r="BZ29" s="10" t="s">
        <v>355</v>
      </c>
      <c r="CA29" s="10" t="s">
        <v>153</v>
      </c>
      <c r="CB29" s="10" t="s">
        <v>140</v>
      </c>
      <c r="CC29" s="10" t="s">
        <v>146</v>
      </c>
      <c r="CD29" s="10" t="s">
        <v>140</v>
      </c>
      <c r="CE29" s="10" t="s">
        <v>168</v>
      </c>
      <c r="CF29" s="10" t="s">
        <v>501</v>
      </c>
      <c r="CG29" s="10" t="s">
        <v>161</v>
      </c>
      <c r="CH29" s="10" t="s">
        <v>174</v>
      </c>
      <c r="CI29" s="10" t="s">
        <v>496</v>
      </c>
      <c r="CJ29" s="10" t="s">
        <v>502</v>
      </c>
      <c r="CK29" s="10" t="s">
        <v>503</v>
      </c>
      <c r="CL29" s="10" t="s">
        <v>504</v>
      </c>
      <c r="CM29" s="10" t="s">
        <v>505</v>
      </c>
      <c r="CN29" s="10" t="s">
        <v>506</v>
      </c>
      <c r="CO29" s="10" t="s">
        <v>507</v>
      </c>
      <c r="CP29" s="10" t="s">
        <v>146</v>
      </c>
    </row>
    <row r="30" ht="15.75" customHeight="1">
      <c r="B30" s="10" t="s">
        <v>27</v>
      </c>
      <c r="C30" s="10" t="s">
        <v>509</v>
      </c>
      <c r="D30" s="10" t="s">
        <v>182</v>
      </c>
      <c r="E30" s="10" t="s">
        <v>140</v>
      </c>
      <c r="F30" s="10" t="s">
        <v>510</v>
      </c>
      <c r="G30" s="10" t="s">
        <v>511</v>
      </c>
      <c r="H30" s="10" t="s">
        <v>512</v>
      </c>
      <c r="I30" s="10" t="s">
        <v>513</v>
      </c>
      <c r="J30" s="10" t="s">
        <v>187</v>
      </c>
      <c r="K30" s="10" t="s">
        <v>140</v>
      </c>
      <c r="L30" s="10" t="s">
        <v>140</v>
      </c>
      <c r="M30" s="10" t="s">
        <v>73</v>
      </c>
      <c r="N30" s="10" t="s">
        <v>140</v>
      </c>
      <c r="O30" s="10" t="s">
        <v>140</v>
      </c>
      <c r="P30" s="10" t="s">
        <v>140</v>
      </c>
      <c r="Q30" s="10" t="s">
        <v>140</v>
      </c>
      <c r="R30" s="10" t="s">
        <v>78</v>
      </c>
      <c r="S30" s="10" t="s">
        <v>140</v>
      </c>
      <c r="T30" s="10" t="s">
        <v>80</v>
      </c>
      <c r="U30" s="10" t="s">
        <v>81</v>
      </c>
      <c r="V30" s="10" t="s">
        <v>140</v>
      </c>
      <c r="W30" s="10" t="s">
        <v>83</v>
      </c>
      <c r="X30" s="10" t="s">
        <v>84</v>
      </c>
      <c r="Y30" s="10" t="s">
        <v>140</v>
      </c>
      <c r="Z30" s="10" t="s">
        <v>140</v>
      </c>
      <c r="AA30" s="12">
        <v>0.0</v>
      </c>
      <c r="AB30" s="12">
        <v>50.0</v>
      </c>
      <c r="AC30" s="12">
        <v>50.0</v>
      </c>
      <c r="AD30" s="12">
        <v>0.0</v>
      </c>
      <c r="AE30" s="10" t="s">
        <v>146</v>
      </c>
      <c r="AF30" s="10" t="s">
        <v>146</v>
      </c>
      <c r="AG30" s="10" t="s">
        <v>146</v>
      </c>
      <c r="AH30" s="10" t="s">
        <v>514</v>
      </c>
      <c r="AI30" s="10" t="s">
        <v>140</v>
      </c>
      <c r="AJ30" s="10" t="s">
        <v>140</v>
      </c>
      <c r="AK30" s="10" t="s">
        <v>97</v>
      </c>
      <c r="AL30" s="10" t="s">
        <v>140</v>
      </c>
      <c r="AM30" s="10" t="s">
        <v>99</v>
      </c>
      <c r="AN30" s="10" t="s">
        <v>100</v>
      </c>
      <c r="AO30" s="10" t="s">
        <v>140</v>
      </c>
      <c r="AP30" s="10" t="s">
        <v>140</v>
      </c>
      <c r="AQ30" s="10" t="s">
        <v>149</v>
      </c>
      <c r="AR30" s="10" t="s">
        <v>140</v>
      </c>
      <c r="AS30" s="10" t="s">
        <v>102</v>
      </c>
      <c r="AT30" s="10" t="s">
        <v>103</v>
      </c>
      <c r="AU30" s="10" t="s">
        <v>140</v>
      </c>
      <c r="AV30" s="10" t="s">
        <v>140</v>
      </c>
      <c r="AW30" s="10" t="s">
        <v>140</v>
      </c>
      <c r="AX30" s="10" t="s">
        <v>140</v>
      </c>
      <c r="AY30" s="10" t="s">
        <v>140</v>
      </c>
      <c r="AZ30" s="10" t="s">
        <v>140</v>
      </c>
      <c r="BA30" s="10" t="s">
        <v>140</v>
      </c>
      <c r="BB30" s="12">
        <v>6.0</v>
      </c>
      <c r="BC30" s="12">
        <v>6.0</v>
      </c>
      <c r="BD30" s="10" t="s">
        <v>146</v>
      </c>
      <c r="BE30" s="10" t="s">
        <v>515</v>
      </c>
      <c r="BF30" s="10" t="s">
        <v>146</v>
      </c>
      <c r="BG30" s="10" t="s">
        <v>146</v>
      </c>
      <c r="BH30" s="12">
        <v>5.0</v>
      </c>
      <c r="BI30" s="12">
        <v>5.0</v>
      </c>
      <c r="BJ30" s="19">
        <f t="shared" si="1"/>
        <v>2973.996139</v>
      </c>
      <c r="BK30" s="12">
        <v>5.0</v>
      </c>
      <c r="BL30" s="12">
        <v>5.0</v>
      </c>
      <c r="BM30" s="19">
        <f t="shared" si="2"/>
        <v>3063.966165</v>
      </c>
      <c r="BN30" s="12">
        <v>5.0</v>
      </c>
      <c r="BO30" s="12">
        <v>5.0</v>
      </c>
      <c r="BP30" s="19">
        <f t="shared" si="3"/>
        <v>184.1223404</v>
      </c>
      <c r="BQ30" s="12">
        <v>0.0</v>
      </c>
      <c r="BR30" s="12">
        <v>0.0</v>
      </c>
      <c r="BS30" s="19">
        <f t="shared" si="4"/>
        <v>0</v>
      </c>
      <c r="BT30" s="12">
        <v>0.0</v>
      </c>
      <c r="BU30" s="12">
        <v>0.0</v>
      </c>
      <c r="BV30" s="19">
        <f t="shared" si="5"/>
        <v>0</v>
      </c>
      <c r="BW30" s="12">
        <v>0.0</v>
      </c>
      <c r="BX30" s="12">
        <v>0.0</v>
      </c>
      <c r="BY30" s="19">
        <f t="shared" si="6"/>
        <v>0</v>
      </c>
      <c r="BZ30" s="10" t="s">
        <v>245</v>
      </c>
      <c r="CA30" s="10" t="s">
        <v>173</v>
      </c>
      <c r="CB30" s="10" t="s">
        <v>140</v>
      </c>
      <c r="CC30" s="10" t="s">
        <v>146</v>
      </c>
      <c r="CD30" s="10" t="s">
        <v>140</v>
      </c>
      <c r="CE30" s="10" t="s">
        <v>146</v>
      </c>
      <c r="CF30" s="10" t="s">
        <v>140</v>
      </c>
      <c r="CG30" s="10" t="s">
        <v>140</v>
      </c>
      <c r="CH30" s="10" t="s">
        <v>140</v>
      </c>
      <c r="CI30" s="10" t="s">
        <v>140</v>
      </c>
      <c r="CJ30" s="10" t="s">
        <v>140</v>
      </c>
      <c r="CK30" s="10" t="s">
        <v>516</v>
      </c>
      <c r="CL30" s="10" t="s">
        <v>140</v>
      </c>
      <c r="CM30" s="10" t="s">
        <v>517</v>
      </c>
      <c r="CN30" s="10" t="s">
        <v>518</v>
      </c>
      <c r="CO30" s="10" t="s">
        <v>519</v>
      </c>
      <c r="CP30" s="10" t="s">
        <v>146</v>
      </c>
    </row>
    <row r="31" ht="15.75" customHeight="1">
      <c r="B31" s="10" t="s">
        <v>521</v>
      </c>
      <c r="C31" s="10" t="s">
        <v>522</v>
      </c>
      <c r="D31" s="10" t="s">
        <v>523</v>
      </c>
      <c r="E31" s="10" t="s">
        <v>140</v>
      </c>
      <c r="F31" s="10" t="s">
        <v>524</v>
      </c>
      <c r="G31" s="10" t="s">
        <v>525</v>
      </c>
      <c r="H31" s="10" t="s">
        <v>526</v>
      </c>
      <c r="I31" s="10" t="s">
        <v>527</v>
      </c>
      <c r="J31" s="10" t="s">
        <v>408</v>
      </c>
      <c r="K31" s="10" t="s">
        <v>140</v>
      </c>
      <c r="L31" s="10" t="s">
        <v>72</v>
      </c>
      <c r="M31" s="10" t="s">
        <v>73</v>
      </c>
      <c r="N31" s="10" t="s">
        <v>140</v>
      </c>
      <c r="O31" s="10" t="s">
        <v>140</v>
      </c>
      <c r="P31" s="10" t="s">
        <v>76</v>
      </c>
      <c r="Q31" s="10" t="s">
        <v>77</v>
      </c>
      <c r="R31" s="10" t="s">
        <v>140</v>
      </c>
      <c r="S31" s="10" t="s">
        <v>140</v>
      </c>
      <c r="T31" s="10" t="s">
        <v>80</v>
      </c>
      <c r="U31" s="10" t="s">
        <v>140</v>
      </c>
      <c r="V31" s="10" t="s">
        <v>82</v>
      </c>
      <c r="W31" s="10" t="s">
        <v>83</v>
      </c>
      <c r="X31" s="10" t="s">
        <v>84</v>
      </c>
      <c r="Y31" s="10" t="s">
        <v>140</v>
      </c>
      <c r="Z31" s="10" t="s">
        <v>140</v>
      </c>
      <c r="AA31" s="12">
        <v>45.0</v>
      </c>
      <c r="AB31" s="12">
        <v>45.0</v>
      </c>
      <c r="AC31" s="12">
        <v>35.0</v>
      </c>
      <c r="AD31" s="12">
        <v>25.0</v>
      </c>
      <c r="AE31" s="10" t="s">
        <v>146</v>
      </c>
      <c r="AF31" s="10" t="s">
        <v>146</v>
      </c>
      <c r="AG31" s="10" t="s">
        <v>146</v>
      </c>
      <c r="AH31" s="10" t="s">
        <v>528</v>
      </c>
      <c r="AI31" s="10" t="s">
        <v>140</v>
      </c>
      <c r="AJ31" s="10" t="s">
        <v>140</v>
      </c>
      <c r="AK31" s="10" t="s">
        <v>97</v>
      </c>
      <c r="AL31" s="10" t="s">
        <v>140</v>
      </c>
      <c r="AM31" s="10" t="s">
        <v>99</v>
      </c>
      <c r="AN31" s="10" t="s">
        <v>140</v>
      </c>
      <c r="AO31" s="10" t="s">
        <v>140</v>
      </c>
      <c r="AP31" s="10" t="s">
        <v>140</v>
      </c>
      <c r="AQ31" s="10" t="s">
        <v>438</v>
      </c>
      <c r="AR31" s="10" t="s">
        <v>140</v>
      </c>
      <c r="AS31" s="10" t="s">
        <v>140</v>
      </c>
      <c r="AT31" s="10" t="s">
        <v>140</v>
      </c>
      <c r="AU31" s="10" t="s">
        <v>140</v>
      </c>
      <c r="AV31" s="10" t="s">
        <v>140</v>
      </c>
      <c r="AW31" s="10" t="s">
        <v>140</v>
      </c>
      <c r="AX31" s="10" t="s">
        <v>107</v>
      </c>
      <c r="AY31" s="10" t="s">
        <v>140</v>
      </c>
      <c r="AZ31" s="10" t="s">
        <v>140</v>
      </c>
      <c r="BA31" s="10" t="s">
        <v>140</v>
      </c>
      <c r="BB31" s="12">
        <v>3.0</v>
      </c>
      <c r="BC31" s="12">
        <v>2.0</v>
      </c>
      <c r="BD31" s="10" t="s">
        <v>168</v>
      </c>
      <c r="BE31" s="10" t="s">
        <v>140</v>
      </c>
      <c r="BF31" s="10" t="s">
        <v>140</v>
      </c>
      <c r="BG31" s="10" t="s">
        <v>168</v>
      </c>
      <c r="BH31" s="12">
        <v>0.0</v>
      </c>
      <c r="BI31" s="12">
        <v>0.0</v>
      </c>
      <c r="BJ31" s="19">
        <f t="shared" si="1"/>
        <v>0</v>
      </c>
      <c r="BK31" s="12">
        <v>0.0</v>
      </c>
      <c r="BL31" s="12">
        <v>0.0</v>
      </c>
      <c r="BM31" s="19">
        <f t="shared" si="2"/>
        <v>0</v>
      </c>
      <c r="BN31" s="12">
        <v>0.0</v>
      </c>
      <c r="BO31" s="12">
        <v>0.0</v>
      </c>
      <c r="BP31" s="19">
        <f t="shared" si="3"/>
        <v>0</v>
      </c>
      <c r="BQ31" s="12">
        <v>0.0</v>
      </c>
      <c r="BR31" s="12">
        <v>0.0</v>
      </c>
      <c r="BS31" s="19">
        <f t="shared" si="4"/>
        <v>0</v>
      </c>
      <c r="BT31" s="12">
        <v>0.0</v>
      </c>
      <c r="BU31" s="12">
        <v>0.0</v>
      </c>
      <c r="BV31" s="19">
        <f t="shared" si="5"/>
        <v>0</v>
      </c>
      <c r="BW31" s="12">
        <v>0.0</v>
      </c>
      <c r="BX31" s="12">
        <v>0.0</v>
      </c>
      <c r="BY31" s="19">
        <f t="shared" si="6"/>
        <v>0</v>
      </c>
      <c r="BZ31" s="10" t="s">
        <v>140</v>
      </c>
      <c r="CA31" s="10" t="s">
        <v>140</v>
      </c>
      <c r="CB31" s="10" t="s">
        <v>140</v>
      </c>
      <c r="CC31" s="10" t="s">
        <v>140</v>
      </c>
      <c r="CD31" s="10" t="s">
        <v>140</v>
      </c>
      <c r="CE31" s="10" t="s">
        <v>140</v>
      </c>
      <c r="CF31" s="10" t="s">
        <v>140</v>
      </c>
      <c r="CG31" s="10" t="s">
        <v>140</v>
      </c>
      <c r="CH31" s="10" t="s">
        <v>140</v>
      </c>
      <c r="CI31" s="10" t="s">
        <v>140</v>
      </c>
      <c r="CJ31" s="10" t="s">
        <v>140</v>
      </c>
      <c r="CK31" s="10" t="s">
        <v>140</v>
      </c>
      <c r="CL31" s="10" t="s">
        <v>529</v>
      </c>
      <c r="CM31" s="10" t="s">
        <v>530</v>
      </c>
      <c r="CN31" s="10" t="s">
        <v>531</v>
      </c>
      <c r="CO31" s="10" t="s">
        <v>532</v>
      </c>
      <c r="CP31" s="10" t="s">
        <v>168</v>
      </c>
    </row>
    <row r="32" ht="15.75" customHeight="1">
      <c r="B32" s="10" t="s">
        <v>35</v>
      </c>
      <c r="C32" s="10" t="s">
        <v>534</v>
      </c>
      <c r="D32" s="10" t="s">
        <v>535</v>
      </c>
      <c r="E32" s="10" t="s">
        <v>140</v>
      </c>
      <c r="F32" s="10" t="s">
        <v>536</v>
      </c>
      <c r="G32" s="10" t="s">
        <v>537</v>
      </c>
      <c r="H32" s="10" t="s">
        <v>538</v>
      </c>
      <c r="I32" s="10" t="s">
        <v>539</v>
      </c>
      <c r="J32" s="10" t="s">
        <v>166</v>
      </c>
      <c r="K32" s="10" t="s">
        <v>140</v>
      </c>
      <c r="L32" s="10" t="s">
        <v>72</v>
      </c>
      <c r="M32" s="10" t="s">
        <v>73</v>
      </c>
      <c r="N32" s="10" t="s">
        <v>74</v>
      </c>
      <c r="O32" s="10" t="s">
        <v>75</v>
      </c>
      <c r="P32" s="10" t="s">
        <v>76</v>
      </c>
      <c r="Q32" s="10" t="s">
        <v>77</v>
      </c>
      <c r="R32" s="10" t="s">
        <v>78</v>
      </c>
      <c r="S32" s="10" t="s">
        <v>140</v>
      </c>
      <c r="T32" s="10" t="s">
        <v>140</v>
      </c>
      <c r="U32" s="10" t="s">
        <v>140</v>
      </c>
      <c r="V32" s="10" t="s">
        <v>82</v>
      </c>
      <c r="W32" s="10" t="s">
        <v>83</v>
      </c>
      <c r="X32" s="10" t="s">
        <v>84</v>
      </c>
      <c r="Y32" s="10" t="s">
        <v>140</v>
      </c>
      <c r="Z32" s="10" t="s">
        <v>140</v>
      </c>
      <c r="AA32" s="12">
        <v>20.0</v>
      </c>
      <c r="AB32" s="12">
        <v>30.0</v>
      </c>
      <c r="AC32" s="12">
        <v>30.0</v>
      </c>
      <c r="AD32" s="12">
        <v>10.0</v>
      </c>
      <c r="AE32" s="10" t="s">
        <v>146</v>
      </c>
      <c r="AF32" s="10" t="s">
        <v>146</v>
      </c>
      <c r="AG32" s="10" t="s">
        <v>168</v>
      </c>
      <c r="AH32" s="10" t="s">
        <v>140</v>
      </c>
      <c r="AI32" s="10" t="s">
        <v>189</v>
      </c>
      <c r="AJ32" s="10" t="s">
        <v>140</v>
      </c>
      <c r="AK32" s="10" t="s">
        <v>97</v>
      </c>
      <c r="AL32" s="10" t="s">
        <v>98</v>
      </c>
      <c r="AM32" s="10" t="s">
        <v>99</v>
      </c>
      <c r="AN32" s="10" t="s">
        <v>140</v>
      </c>
      <c r="AO32" s="10" t="s">
        <v>140</v>
      </c>
      <c r="AP32" s="10" t="s">
        <v>140</v>
      </c>
      <c r="AQ32" s="10" t="s">
        <v>149</v>
      </c>
      <c r="AR32" s="10" t="s">
        <v>140</v>
      </c>
      <c r="AS32" s="10" t="s">
        <v>140</v>
      </c>
      <c r="AT32" s="10" t="s">
        <v>140</v>
      </c>
      <c r="AU32" s="10" t="s">
        <v>104</v>
      </c>
      <c r="AV32" s="10" t="s">
        <v>140</v>
      </c>
      <c r="AW32" s="10" t="s">
        <v>140</v>
      </c>
      <c r="AX32" s="10" t="s">
        <v>107</v>
      </c>
      <c r="AY32" s="10" t="s">
        <v>108</v>
      </c>
      <c r="AZ32" s="10" t="s">
        <v>140</v>
      </c>
      <c r="BA32" s="10" t="s">
        <v>140</v>
      </c>
      <c r="BB32" s="12">
        <v>3.0</v>
      </c>
      <c r="BC32" s="12">
        <v>3.0</v>
      </c>
      <c r="BD32" s="10" t="s">
        <v>168</v>
      </c>
      <c r="BE32" s="10" t="s">
        <v>140</v>
      </c>
      <c r="BF32" s="10" t="s">
        <v>140</v>
      </c>
      <c r="BG32" s="10" t="s">
        <v>146</v>
      </c>
      <c r="BH32" s="12">
        <v>5.0</v>
      </c>
      <c r="BI32" s="12">
        <v>5.0</v>
      </c>
      <c r="BJ32" s="19">
        <f t="shared" si="1"/>
        <v>2973.996139</v>
      </c>
      <c r="BK32" s="12">
        <v>5.0</v>
      </c>
      <c r="BL32" s="12">
        <v>5.0</v>
      </c>
      <c r="BM32" s="19">
        <f t="shared" si="2"/>
        <v>3063.966165</v>
      </c>
      <c r="BN32" s="12">
        <v>5.0</v>
      </c>
      <c r="BO32" s="12">
        <v>5.0</v>
      </c>
      <c r="BP32" s="19">
        <f t="shared" si="3"/>
        <v>184.1223404</v>
      </c>
      <c r="BQ32" s="12">
        <v>5.0</v>
      </c>
      <c r="BR32" s="12">
        <v>5.0</v>
      </c>
      <c r="BS32" s="19">
        <f t="shared" si="4"/>
        <v>37.93859649</v>
      </c>
      <c r="BT32" s="12">
        <v>5.0</v>
      </c>
      <c r="BU32" s="12">
        <v>5.0</v>
      </c>
      <c r="BV32" s="19">
        <f t="shared" si="5"/>
        <v>0</v>
      </c>
      <c r="BW32" s="12">
        <v>5.0</v>
      </c>
      <c r="BX32" s="12">
        <v>5.0</v>
      </c>
      <c r="BY32" s="19">
        <f t="shared" si="6"/>
        <v>14.58762887</v>
      </c>
      <c r="BZ32" s="10" t="s">
        <v>205</v>
      </c>
      <c r="CA32" s="10" t="s">
        <v>320</v>
      </c>
      <c r="CB32" s="10" t="s">
        <v>140</v>
      </c>
      <c r="CC32" s="10" t="s">
        <v>146</v>
      </c>
      <c r="CD32" s="10" t="s">
        <v>140</v>
      </c>
      <c r="CE32" s="10" t="s">
        <v>146</v>
      </c>
      <c r="CF32" s="10" t="s">
        <v>140</v>
      </c>
      <c r="CG32" s="10" t="s">
        <v>140</v>
      </c>
      <c r="CH32" s="10" t="s">
        <v>140</v>
      </c>
      <c r="CI32" s="10" t="s">
        <v>140</v>
      </c>
      <c r="CJ32" s="10" t="s">
        <v>140</v>
      </c>
      <c r="CK32" s="10" t="s">
        <v>540</v>
      </c>
      <c r="CL32" s="10" t="s">
        <v>541</v>
      </c>
      <c r="CM32" s="10" t="s">
        <v>542</v>
      </c>
      <c r="CN32" s="10" t="s">
        <v>543</v>
      </c>
      <c r="CO32" s="10" t="s">
        <v>544</v>
      </c>
      <c r="CP32" s="10" t="s">
        <v>146</v>
      </c>
    </row>
    <row r="33" ht="15.75" customHeight="1">
      <c r="B33" s="10" t="s">
        <v>47</v>
      </c>
      <c r="C33" s="10" t="s">
        <v>546</v>
      </c>
      <c r="D33" s="10" t="s">
        <v>182</v>
      </c>
      <c r="E33" s="10" t="s">
        <v>140</v>
      </c>
      <c r="F33" s="10" t="s">
        <v>547</v>
      </c>
      <c r="G33" s="10" t="s">
        <v>548</v>
      </c>
      <c r="H33" s="10" t="s">
        <v>549</v>
      </c>
      <c r="I33" s="10" t="s">
        <v>550</v>
      </c>
      <c r="J33" s="10" t="s">
        <v>166</v>
      </c>
      <c r="K33" s="10" t="s">
        <v>140</v>
      </c>
      <c r="L33" s="10" t="s">
        <v>140</v>
      </c>
      <c r="M33" s="10" t="s">
        <v>140</v>
      </c>
      <c r="N33" s="10" t="s">
        <v>74</v>
      </c>
      <c r="O33" s="10" t="s">
        <v>75</v>
      </c>
      <c r="P33" s="10" t="s">
        <v>140</v>
      </c>
      <c r="Q33" s="10" t="s">
        <v>140</v>
      </c>
      <c r="R33" s="10" t="s">
        <v>78</v>
      </c>
      <c r="S33" s="10" t="s">
        <v>79</v>
      </c>
      <c r="T33" s="10" t="s">
        <v>140</v>
      </c>
      <c r="U33" s="10" t="s">
        <v>140</v>
      </c>
      <c r="V33" s="10" t="s">
        <v>82</v>
      </c>
      <c r="W33" s="10" t="s">
        <v>83</v>
      </c>
      <c r="X33" s="10" t="s">
        <v>84</v>
      </c>
      <c r="Y33" s="10" t="s">
        <v>140</v>
      </c>
      <c r="Z33" s="10" t="s">
        <v>140</v>
      </c>
      <c r="AA33" s="12">
        <v>50.0</v>
      </c>
      <c r="AB33" s="12">
        <v>50.0</v>
      </c>
      <c r="AC33" s="12">
        <v>50.0</v>
      </c>
      <c r="AD33" s="12">
        <v>0.0</v>
      </c>
      <c r="AE33" s="10" t="s">
        <v>146</v>
      </c>
      <c r="AF33" s="10" t="s">
        <v>168</v>
      </c>
      <c r="AG33" s="10" t="s">
        <v>140</v>
      </c>
      <c r="AH33" s="10" t="s">
        <v>140</v>
      </c>
      <c r="AI33" s="10" t="s">
        <v>140</v>
      </c>
      <c r="AJ33" s="10" t="s">
        <v>140</v>
      </c>
      <c r="AK33" s="10" t="s">
        <v>140</v>
      </c>
      <c r="AL33" s="10" t="s">
        <v>140</v>
      </c>
      <c r="AM33" s="10" t="s">
        <v>140</v>
      </c>
      <c r="AN33" s="10" t="s">
        <v>140</v>
      </c>
      <c r="AO33" s="10" t="s">
        <v>85</v>
      </c>
      <c r="AP33" s="10" t="s">
        <v>551</v>
      </c>
      <c r="AQ33" s="10" t="s">
        <v>85</v>
      </c>
      <c r="AR33" s="10" t="s">
        <v>552</v>
      </c>
      <c r="AS33" s="10" t="s">
        <v>102</v>
      </c>
      <c r="AT33" s="10" t="s">
        <v>140</v>
      </c>
      <c r="AU33" s="10" t="s">
        <v>104</v>
      </c>
      <c r="AV33" s="10" t="s">
        <v>140</v>
      </c>
      <c r="AW33" s="10" t="s">
        <v>140</v>
      </c>
      <c r="AX33" s="10" t="s">
        <v>107</v>
      </c>
      <c r="AY33" s="10" t="s">
        <v>108</v>
      </c>
      <c r="AZ33" s="10" t="s">
        <v>140</v>
      </c>
      <c r="BA33" s="10" t="s">
        <v>140</v>
      </c>
      <c r="BB33" s="12">
        <v>3.0</v>
      </c>
      <c r="BC33" s="12">
        <v>4.0</v>
      </c>
      <c r="BD33" s="10" t="s">
        <v>168</v>
      </c>
      <c r="BE33" s="10" t="s">
        <v>140</v>
      </c>
      <c r="BF33" s="10" t="s">
        <v>140</v>
      </c>
      <c r="BG33" s="10" t="s">
        <v>146</v>
      </c>
      <c r="BH33" s="12">
        <v>10.0</v>
      </c>
      <c r="BI33" s="12">
        <v>10.0</v>
      </c>
      <c r="BJ33" s="19">
        <f t="shared" si="1"/>
        <v>5947.992278</v>
      </c>
      <c r="BK33" s="12">
        <v>1.0</v>
      </c>
      <c r="BL33" s="12">
        <v>1.0</v>
      </c>
      <c r="BM33" s="19">
        <f t="shared" si="2"/>
        <v>612.7932331</v>
      </c>
      <c r="BN33" s="12">
        <v>10.0</v>
      </c>
      <c r="BO33" s="12">
        <v>10.0</v>
      </c>
      <c r="BP33" s="19">
        <f t="shared" si="3"/>
        <v>368.2446809</v>
      </c>
      <c r="BQ33" s="12">
        <v>4.0</v>
      </c>
      <c r="BR33" s="12">
        <v>4.0</v>
      </c>
      <c r="BS33" s="19">
        <f t="shared" si="4"/>
        <v>30.35087719</v>
      </c>
      <c r="BT33" s="12">
        <v>2.0</v>
      </c>
      <c r="BU33" s="12">
        <v>2.0</v>
      </c>
      <c r="BV33" s="19">
        <f t="shared" si="5"/>
        <v>0</v>
      </c>
      <c r="BW33" s="12">
        <v>0.0</v>
      </c>
      <c r="BX33" s="12">
        <v>0.0</v>
      </c>
      <c r="BY33" s="19">
        <f t="shared" si="6"/>
        <v>0</v>
      </c>
      <c r="BZ33" s="10" t="s">
        <v>355</v>
      </c>
      <c r="CA33" s="10" t="s">
        <v>153</v>
      </c>
      <c r="CB33" s="10" t="s">
        <v>140</v>
      </c>
      <c r="CC33" s="10" t="s">
        <v>146</v>
      </c>
      <c r="CD33" s="10" t="s">
        <v>140</v>
      </c>
      <c r="CE33" s="10" t="s">
        <v>146</v>
      </c>
      <c r="CF33" s="10" t="s">
        <v>140</v>
      </c>
      <c r="CG33" s="10" t="s">
        <v>140</v>
      </c>
      <c r="CH33" s="10" t="s">
        <v>140</v>
      </c>
      <c r="CI33" s="10" t="s">
        <v>140</v>
      </c>
      <c r="CJ33" s="10" t="s">
        <v>140</v>
      </c>
      <c r="CK33" s="10" t="s">
        <v>553</v>
      </c>
      <c r="CL33" s="10" t="s">
        <v>554</v>
      </c>
      <c r="CM33" s="10" t="s">
        <v>555</v>
      </c>
      <c r="CN33" s="10" t="s">
        <v>556</v>
      </c>
      <c r="CO33" s="10" t="s">
        <v>557</v>
      </c>
      <c r="CP33" s="10" t="s">
        <v>146</v>
      </c>
    </row>
    <row r="34" ht="15.75" customHeight="1">
      <c r="B34" s="10" t="s">
        <v>56</v>
      </c>
      <c r="C34" s="10" t="s">
        <v>559</v>
      </c>
      <c r="D34" s="10" t="s">
        <v>182</v>
      </c>
      <c r="E34" s="10" t="s">
        <v>140</v>
      </c>
      <c r="F34" s="10" t="s">
        <v>560</v>
      </c>
      <c r="G34" s="10" t="s">
        <v>561</v>
      </c>
      <c r="H34" s="10" t="s">
        <v>562</v>
      </c>
      <c r="I34" s="10" t="s">
        <v>563</v>
      </c>
      <c r="J34" s="10" t="s">
        <v>166</v>
      </c>
      <c r="K34" s="10" t="s">
        <v>140</v>
      </c>
      <c r="L34" s="10" t="s">
        <v>140</v>
      </c>
      <c r="M34" s="10" t="s">
        <v>140</v>
      </c>
      <c r="N34" s="10" t="s">
        <v>140</v>
      </c>
      <c r="O34" s="10" t="s">
        <v>140</v>
      </c>
      <c r="P34" s="10" t="s">
        <v>140</v>
      </c>
      <c r="Q34" s="10" t="s">
        <v>77</v>
      </c>
      <c r="R34" s="10" t="s">
        <v>140</v>
      </c>
      <c r="S34" s="10" t="s">
        <v>79</v>
      </c>
      <c r="T34" s="10" t="s">
        <v>80</v>
      </c>
      <c r="U34" s="10" t="s">
        <v>140</v>
      </c>
      <c r="V34" s="10" t="s">
        <v>140</v>
      </c>
      <c r="W34" s="10" t="s">
        <v>83</v>
      </c>
      <c r="X34" s="10" t="s">
        <v>84</v>
      </c>
      <c r="Y34" s="10" t="s">
        <v>140</v>
      </c>
      <c r="Z34" s="10" t="s">
        <v>140</v>
      </c>
      <c r="AA34" s="12">
        <v>30.0</v>
      </c>
      <c r="AB34" s="12">
        <v>30.0</v>
      </c>
      <c r="AC34" s="12">
        <v>10.0</v>
      </c>
      <c r="AD34" s="12">
        <v>0.0</v>
      </c>
      <c r="AE34" s="10" t="s">
        <v>146</v>
      </c>
      <c r="AF34" s="10" t="s">
        <v>168</v>
      </c>
      <c r="AG34" s="10" t="s">
        <v>140</v>
      </c>
      <c r="AH34" s="10" t="s">
        <v>140</v>
      </c>
      <c r="AI34" s="10" t="s">
        <v>140</v>
      </c>
      <c r="AJ34" s="10" t="s">
        <v>140</v>
      </c>
      <c r="AK34" s="10" t="s">
        <v>97</v>
      </c>
      <c r="AL34" s="10" t="s">
        <v>140</v>
      </c>
      <c r="AM34" s="10" t="s">
        <v>140</v>
      </c>
      <c r="AN34" s="10" t="s">
        <v>140</v>
      </c>
      <c r="AO34" s="10" t="s">
        <v>140</v>
      </c>
      <c r="AP34" s="10" t="s">
        <v>140</v>
      </c>
      <c r="AQ34" s="10" t="s">
        <v>438</v>
      </c>
      <c r="AR34" s="10" t="s">
        <v>140</v>
      </c>
      <c r="AS34" s="10" t="s">
        <v>102</v>
      </c>
      <c r="AT34" s="10" t="s">
        <v>103</v>
      </c>
      <c r="AU34" s="10" t="s">
        <v>104</v>
      </c>
      <c r="AV34" s="10" t="s">
        <v>140</v>
      </c>
      <c r="AW34" s="10" t="s">
        <v>140</v>
      </c>
      <c r="AX34" s="10" t="s">
        <v>107</v>
      </c>
      <c r="AY34" s="10" t="s">
        <v>140</v>
      </c>
      <c r="AZ34" s="10" t="s">
        <v>140</v>
      </c>
      <c r="BA34" s="10" t="s">
        <v>140</v>
      </c>
      <c r="BB34" s="12">
        <v>5.0</v>
      </c>
      <c r="BC34" s="12">
        <v>4.0</v>
      </c>
      <c r="BD34" s="10" t="s">
        <v>146</v>
      </c>
      <c r="BE34" s="10" t="s">
        <v>564</v>
      </c>
      <c r="BF34" s="10" t="s">
        <v>146</v>
      </c>
      <c r="BG34" s="10" t="s">
        <v>146</v>
      </c>
      <c r="BH34" s="12">
        <v>6.0</v>
      </c>
      <c r="BI34" s="12">
        <v>6.0</v>
      </c>
      <c r="BJ34" s="19">
        <f t="shared" si="1"/>
        <v>3568.795367</v>
      </c>
      <c r="BK34" s="12">
        <v>5.0</v>
      </c>
      <c r="BL34" s="12">
        <v>5.0</v>
      </c>
      <c r="BM34" s="19">
        <f t="shared" si="2"/>
        <v>3063.966165</v>
      </c>
      <c r="BN34" s="12">
        <v>4.0</v>
      </c>
      <c r="BO34" s="12">
        <v>4.0</v>
      </c>
      <c r="BP34" s="19">
        <f t="shared" si="3"/>
        <v>147.2978723</v>
      </c>
      <c r="BQ34" s="12">
        <v>6.0</v>
      </c>
      <c r="BR34" s="12">
        <v>6.0</v>
      </c>
      <c r="BS34" s="19">
        <f t="shared" si="4"/>
        <v>45.52631579</v>
      </c>
      <c r="BT34" s="12">
        <v>6.0</v>
      </c>
      <c r="BU34" s="12">
        <v>6.0</v>
      </c>
      <c r="BV34" s="19">
        <f t="shared" si="5"/>
        <v>0</v>
      </c>
      <c r="BW34" s="12">
        <v>3.0</v>
      </c>
      <c r="BX34" s="12">
        <v>3.0</v>
      </c>
      <c r="BY34" s="19">
        <f t="shared" si="6"/>
        <v>8.75257732</v>
      </c>
      <c r="BZ34" s="10" t="s">
        <v>205</v>
      </c>
      <c r="CA34" s="10" t="s">
        <v>173</v>
      </c>
      <c r="CB34" s="10" t="s">
        <v>140</v>
      </c>
      <c r="CC34" s="10" t="s">
        <v>146</v>
      </c>
      <c r="CD34" s="10" t="s">
        <v>140</v>
      </c>
      <c r="CE34" s="10" t="s">
        <v>146</v>
      </c>
      <c r="CF34" s="10" t="s">
        <v>140</v>
      </c>
      <c r="CG34" s="10" t="s">
        <v>140</v>
      </c>
      <c r="CH34" s="10" t="s">
        <v>140</v>
      </c>
      <c r="CI34" s="10" t="s">
        <v>140</v>
      </c>
      <c r="CJ34" s="10" t="s">
        <v>140</v>
      </c>
      <c r="CK34" s="10" t="s">
        <v>565</v>
      </c>
      <c r="CL34" s="10" t="s">
        <v>566</v>
      </c>
      <c r="CM34" s="10" t="s">
        <v>567</v>
      </c>
      <c r="CN34" s="10" t="s">
        <v>568</v>
      </c>
      <c r="CO34" s="10" t="s">
        <v>569</v>
      </c>
      <c r="CP34" s="10" t="s">
        <v>146</v>
      </c>
    </row>
    <row r="35" ht="15.75" customHeight="1">
      <c r="B35" s="10" t="s">
        <v>28</v>
      </c>
      <c r="C35" s="10" t="s">
        <v>571</v>
      </c>
      <c r="D35" s="10" t="s">
        <v>226</v>
      </c>
      <c r="E35" s="10" t="s">
        <v>140</v>
      </c>
      <c r="F35" s="10" t="s">
        <v>572</v>
      </c>
      <c r="G35" s="10" t="s">
        <v>573</v>
      </c>
      <c r="H35" s="10" t="s">
        <v>574</v>
      </c>
      <c r="I35" s="10" t="s">
        <v>575</v>
      </c>
      <c r="J35" s="10" t="s">
        <v>166</v>
      </c>
      <c r="K35" s="10" t="s">
        <v>140</v>
      </c>
      <c r="L35" s="10" t="s">
        <v>72</v>
      </c>
      <c r="M35" s="10" t="s">
        <v>73</v>
      </c>
      <c r="N35" s="10" t="s">
        <v>140</v>
      </c>
      <c r="O35" s="10" t="s">
        <v>140</v>
      </c>
      <c r="P35" s="10" t="s">
        <v>76</v>
      </c>
      <c r="Q35" s="10" t="s">
        <v>77</v>
      </c>
      <c r="R35" s="10" t="s">
        <v>140</v>
      </c>
      <c r="S35" s="10" t="s">
        <v>140</v>
      </c>
      <c r="T35" s="10" t="s">
        <v>140</v>
      </c>
      <c r="U35" s="10" t="s">
        <v>140</v>
      </c>
      <c r="V35" s="10" t="s">
        <v>140</v>
      </c>
      <c r="W35" s="10" t="s">
        <v>140</v>
      </c>
      <c r="X35" s="10" t="s">
        <v>140</v>
      </c>
      <c r="Y35" s="10" t="s">
        <v>140</v>
      </c>
      <c r="Z35" s="10" t="s">
        <v>140</v>
      </c>
      <c r="AA35" s="12">
        <v>0.0</v>
      </c>
      <c r="AB35" s="12">
        <v>20.0</v>
      </c>
      <c r="AC35" s="12">
        <v>25.0</v>
      </c>
      <c r="AD35" s="12">
        <v>10.0</v>
      </c>
      <c r="AE35" s="10" t="s">
        <v>146</v>
      </c>
      <c r="AF35" s="10" t="s">
        <v>146</v>
      </c>
      <c r="AG35" s="10" t="s">
        <v>168</v>
      </c>
      <c r="AH35" s="10" t="s">
        <v>140</v>
      </c>
      <c r="AI35" s="10" t="s">
        <v>140</v>
      </c>
      <c r="AJ35" s="10" t="s">
        <v>140</v>
      </c>
      <c r="AK35" s="10" t="s">
        <v>97</v>
      </c>
      <c r="AL35" s="10" t="s">
        <v>98</v>
      </c>
      <c r="AM35" s="10" t="s">
        <v>99</v>
      </c>
      <c r="AN35" s="10" t="s">
        <v>140</v>
      </c>
      <c r="AO35" s="10" t="s">
        <v>140</v>
      </c>
      <c r="AP35" s="10" t="s">
        <v>140</v>
      </c>
      <c r="AQ35" s="10" t="s">
        <v>149</v>
      </c>
      <c r="AR35" s="10" t="s">
        <v>140</v>
      </c>
      <c r="AS35" s="10" t="s">
        <v>140</v>
      </c>
      <c r="AT35" s="10" t="s">
        <v>140</v>
      </c>
      <c r="AU35" s="10" t="s">
        <v>140</v>
      </c>
      <c r="AV35" s="10" t="s">
        <v>140</v>
      </c>
      <c r="AW35" s="10" t="s">
        <v>140</v>
      </c>
      <c r="AX35" s="10" t="s">
        <v>107</v>
      </c>
      <c r="AY35" s="10" t="s">
        <v>140</v>
      </c>
      <c r="AZ35" s="10" t="s">
        <v>85</v>
      </c>
      <c r="BA35" s="10" t="s">
        <v>576</v>
      </c>
      <c r="BB35" s="12">
        <v>4.0</v>
      </c>
      <c r="BC35" s="12">
        <v>4.0</v>
      </c>
      <c r="BD35" s="10" t="s">
        <v>146</v>
      </c>
      <c r="BE35" s="10" t="s">
        <v>577</v>
      </c>
      <c r="BF35" s="10" t="s">
        <v>146</v>
      </c>
      <c r="BG35" s="10" t="s">
        <v>146</v>
      </c>
      <c r="BH35" s="12">
        <v>5.0</v>
      </c>
      <c r="BI35" s="12">
        <v>5.0</v>
      </c>
      <c r="BJ35" s="19">
        <f t="shared" si="1"/>
        <v>2973.996139</v>
      </c>
      <c r="BK35" s="12">
        <v>5.0</v>
      </c>
      <c r="BL35" s="12">
        <v>5.0</v>
      </c>
      <c r="BM35" s="19">
        <f t="shared" si="2"/>
        <v>3063.966165</v>
      </c>
      <c r="BN35" s="12">
        <v>2.0</v>
      </c>
      <c r="BO35" s="12">
        <v>2.0</v>
      </c>
      <c r="BP35" s="19">
        <f t="shared" si="3"/>
        <v>73.64893617</v>
      </c>
      <c r="BQ35" s="12">
        <v>3.0</v>
      </c>
      <c r="BR35" s="12">
        <v>3.0</v>
      </c>
      <c r="BS35" s="19">
        <f t="shared" si="4"/>
        <v>22.76315789</v>
      </c>
      <c r="BT35" s="12">
        <v>3.0</v>
      </c>
      <c r="BU35" s="12">
        <v>3.0</v>
      </c>
      <c r="BV35" s="19">
        <f t="shared" si="5"/>
        <v>0</v>
      </c>
      <c r="BW35" s="12">
        <v>1.0</v>
      </c>
      <c r="BX35" s="12">
        <v>1.0</v>
      </c>
      <c r="BY35" s="19">
        <f t="shared" si="6"/>
        <v>2.917525773</v>
      </c>
      <c r="BZ35" s="10" t="s">
        <v>205</v>
      </c>
      <c r="CA35" s="10" t="s">
        <v>173</v>
      </c>
      <c r="CB35" s="10" t="s">
        <v>140</v>
      </c>
      <c r="CC35" s="10" t="s">
        <v>146</v>
      </c>
      <c r="CD35" s="10" t="s">
        <v>140</v>
      </c>
      <c r="CE35" s="10" t="s">
        <v>146</v>
      </c>
      <c r="CF35" s="10" t="s">
        <v>140</v>
      </c>
      <c r="CG35" s="10" t="s">
        <v>140</v>
      </c>
      <c r="CH35" s="10" t="s">
        <v>140</v>
      </c>
      <c r="CI35" s="10" t="s">
        <v>140</v>
      </c>
      <c r="CJ35" s="10" t="s">
        <v>140</v>
      </c>
      <c r="CK35" s="10" t="s">
        <v>578</v>
      </c>
      <c r="CL35" s="10" t="s">
        <v>140</v>
      </c>
      <c r="CM35" s="10" t="s">
        <v>579</v>
      </c>
      <c r="CN35" s="10" t="s">
        <v>580</v>
      </c>
      <c r="CO35" s="10" t="s">
        <v>581</v>
      </c>
      <c r="CP35" s="10" t="s">
        <v>146</v>
      </c>
    </row>
    <row r="36" ht="15.75" customHeight="1">
      <c r="B36" s="10" t="s">
        <v>30</v>
      </c>
      <c r="C36" s="10" t="s">
        <v>583</v>
      </c>
      <c r="D36" s="10" t="s">
        <v>584</v>
      </c>
      <c r="E36" s="10" t="s">
        <v>140</v>
      </c>
      <c r="F36" s="10" t="s">
        <v>585</v>
      </c>
      <c r="G36" s="10" t="s">
        <v>586</v>
      </c>
      <c r="H36" s="10" t="s">
        <v>587</v>
      </c>
      <c r="I36" s="10" t="s">
        <v>588</v>
      </c>
      <c r="J36" s="10" t="s">
        <v>166</v>
      </c>
      <c r="K36" s="10" t="s">
        <v>140</v>
      </c>
      <c r="L36" s="10" t="s">
        <v>72</v>
      </c>
      <c r="M36" s="10" t="s">
        <v>73</v>
      </c>
      <c r="N36" s="10" t="s">
        <v>74</v>
      </c>
      <c r="O36" s="10" t="s">
        <v>140</v>
      </c>
      <c r="P36" s="10" t="s">
        <v>76</v>
      </c>
      <c r="Q36" s="10" t="s">
        <v>77</v>
      </c>
      <c r="R36" s="10" t="s">
        <v>140</v>
      </c>
      <c r="S36" s="10" t="s">
        <v>79</v>
      </c>
      <c r="T36" s="10" t="s">
        <v>80</v>
      </c>
      <c r="U36" s="10" t="s">
        <v>81</v>
      </c>
      <c r="V36" s="10" t="s">
        <v>82</v>
      </c>
      <c r="W36" s="10" t="s">
        <v>83</v>
      </c>
      <c r="X36" s="10" t="s">
        <v>84</v>
      </c>
      <c r="Y36" s="10" t="s">
        <v>85</v>
      </c>
      <c r="Z36" s="10" t="s">
        <v>589</v>
      </c>
      <c r="AA36" s="12">
        <v>10.0</v>
      </c>
      <c r="AB36" s="12">
        <v>50.0</v>
      </c>
      <c r="AC36" s="12">
        <v>30.0</v>
      </c>
      <c r="AD36" s="12">
        <v>10.0</v>
      </c>
      <c r="AE36" s="10" t="s">
        <v>146</v>
      </c>
      <c r="AF36" s="10" t="s">
        <v>146</v>
      </c>
      <c r="AG36" s="10" t="s">
        <v>168</v>
      </c>
      <c r="AH36" s="10" t="s">
        <v>140</v>
      </c>
      <c r="AI36" s="10" t="s">
        <v>189</v>
      </c>
      <c r="AJ36" s="10" t="s">
        <v>140</v>
      </c>
      <c r="AK36" s="10" t="s">
        <v>140</v>
      </c>
      <c r="AL36" s="10" t="s">
        <v>140</v>
      </c>
      <c r="AM36" s="10" t="s">
        <v>140</v>
      </c>
      <c r="AN36" s="10" t="s">
        <v>100</v>
      </c>
      <c r="AO36" s="10" t="s">
        <v>85</v>
      </c>
      <c r="AP36" s="10" t="s">
        <v>590</v>
      </c>
      <c r="AQ36" s="10" t="s">
        <v>85</v>
      </c>
      <c r="AR36" s="10" t="s">
        <v>591</v>
      </c>
      <c r="AS36" s="10" t="s">
        <v>140</v>
      </c>
      <c r="AT36" s="10" t="s">
        <v>140</v>
      </c>
      <c r="AU36" s="10" t="s">
        <v>104</v>
      </c>
      <c r="AV36" s="10" t="s">
        <v>140</v>
      </c>
      <c r="AW36" s="10" t="s">
        <v>140</v>
      </c>
      <c r="AX36" s="10" t="s">
        <v>107</v>
      </c>
      <c r="AY36" s="10" t="s">
        <v>108</v>
      </c>
      <c r="AZ36" s="10" t="s">
        <v>85</v>
      </c>
      <c r="BA36" s="10" t="s">
        <v>592</v>
      </c>
      <c r="BB36" s="12">
        <v>7.0</v>
      </c>
      <c r="BC36" s="12">
        <v>6.0</v>
      </c>
      <c r="BD36" s="10" t="s">
        <v>146</v>
      </c>
      <c r="BE36" s="10" t="s">
        <v>593</v>
      </c>
      <c r="BF36" s="10" t="s">
        <v>146</v>
      </c>
      <c r="BG36" s="10" t="s">
        <v>146</v>
      </c>
      <c r="BH36" s="12">
        <v>10.0</v>
      </c>
      <c r="BI36" s="12">
        <v>10.0</v>
      </c>
      <c r="BJ36" s="19">
        <f t="shared" si="1"/>
        <v>5947.992278</v>
      </c>
      <c r="BK36" s="12">
        <v>10.0</v>
      </c>
      <c r="BL36" s="12">
        <v>10.0</v>
      </c>
      <c r="BM36" s="19">
        <f t="shared" si="2"/>
        <v>6127.932331</v>
      </c>
      <c r="BN36" s="12">
        <v>10.0</v>
      </c>
      <c r="BO36" s="12">
        <v>10.0</v>
      </c>
      <c r="BP36" s="19">
        <f t="shared" si="3"/>
        <v>368.2446809</v>
      </c>
      <c r="BQ36" s="12">
        <v>0.0</v>
      </c>
      <c r="BR36" s="12">
        <v>0.0</v>
      </c>
      <c r="BS36" s="19">
        <f t="shared" si="4"/>
        <v>0</v>
      </c>
      <c r="BT36" s="12">
        <v>0.0</v>
      </c>
      <c r="BU36" s="12">
        <v>0.0</v>
      </c>
      <c r="BV36" s="19">
        <f t="shared" si="5"/>
        <v>0</v>
      </c>
      <c r="BW36" s="12">
        <v>0.0</v>
      </c>
      <c r="BX36" s="12">
        <v>0.0</v>
      </c>
      <c r="BY36" s="19">
        <f t="shared" si="6"/>
        <v>0</v>
      </c>
      <c r="BZ36" s="10" t="s">
        <v>172</v>
      </c>
      <c r="CA36" s="10" t="s">
        <v>153</v>
      </c>
      <c r="CB36" s="10" t="s">
        <v>140</v>
      </c>
      <c r="CC36" s="10" t="s">
        <v>146</v>
      </c>
      <c r="CD36" s="10" t="s">
        <v>140</v>
      </c>
      <c r="CE36" s="10" t="s">
        <v>168</v>
      </c>
      <c r="CF36" s="10" t="s">
        <v>583</v>
      </c>
      <c r="CG36" s="10" t="s">
        <v>584</v>
      </c>
      <c r="CH36" s="10" t="s">
        <v>174</v>
      </c>
      <c r="CI36" s="10" t="s">
        <v>585</v>
      </c>
      <c r="CJ36" s="10" t="s">
        <v>594</v>
      </c>
      <c r="CK36" s="10" t="s">
        <v>595</v>
      </c>
      <c r="CL36" s="10" t="s">
        <v>596</v>
      </c>
      <c r="CM36" s="10" t="s">
        <v>597</v>
      </c>
      <c r="CN36" s="10" t="s">
        <v>598</v>
      </c>
      <c r="CO36" s="10" t="s">
        <v>599</v>
      </c>
      <c r="CP36" s="10" t="s">
        <v>146</v>
      </c>
    </row>
    <row r="37" ht="15.75" customHeight="1">
      <c r="B37" s="10" t="s">
        <v>36</v>
      </c>
      <c r="C37" s="10" t="s">
        <v>601</v>
      </c>
      <c r="D37" s="10" t="s">
        <v>256</v>
      </c>
      <c r="E37" s="10" t="s">
        <v>140</v>
      </c>
      <c r="F37" s="10" t="s">
        <v>602</v>
      </c>
      <c r="G37" s="10" t="s">
        <v>603</v>
      </c>
      <c r="H37" s="10" t="s">
        <v>604</v>
      </c>
      <c r="I37" s="10" t="s">
        <v>605</v>
      </c>
      <c r="J37" s="10" t="s">
        <v>166</v>
      </c>
      <c r="K37" s="10" t="s">
        <v>140</v>
      </c>
      <c r="L37" s="10" t="s">
        <v>140</v>
      </c>
      <c r="M37" s="10" t="s">
        <v>140</v>
      </c>
      <c r="N37" s="10" t="s">
        <v>140</v>
      </c>
      <c r="O37" s="10" t="s">
        <v>140</v>
      </c>
      <c r="P37" s="10" t="s">
        <v>140</v>
      </c>
      <c r="Q37" s="10" t="s">
        <v>140</v>
      </c>
      <c r="R37" s="10" t="s">
        <v>140</v>
      </c>
      <c r="S37" s="10" t="s">
        <v>140</v>
      </c>
      <c r="T37" s="10" t="s">
        <v>140</v>
      </c>
      <c r="U37" s="10" t="s">
        <v>140</v>
      </c>
      <c r="V37" s="10" t="s">
        <v>140</v>
      </c>
      <c r="W37" s="10" t="s">
        <v>140</v>
      </c>
      <c r="X37" s="10" t="s">
        <v>140</v>
      </c>
      <c r="Y37" s="10" t="s">
        <v>85</v>
      </c>
      <c r="Z37" s="10" t="s">
        <v>606</v>
      </c>
      <c r="AA37" s="12">
        <v>40.0</v>
      </c>
      <c r="AB37" s="12">
        <v>50.0</v>
      </c>
      <c r="AC37" s="12">
        <v>10.0</v>
      </c>
      <c r="AD37" s="12">
        <v>3.0</v>
      </c>
      <c r="AE37" s="10" t="s">
        <v>146</v>
      </c>
      <c r="AF37" s="10" t="s">
        <v>146</v>
      </c>
      <c r="AG37" s="10" t="s">
        <v>168</v>
      </c>
      <c r="AH37" s="10" t="s">
        <v>140</v>
      </c>
      <c r="AI37" s="10" t="s">
        <v>189</v>
      </c>
      <c r="AJ37" s="10" t="s">
        <v>140</v>
      </c>
      <c r="AK37" s="10" t="s">
        <v>140</v>
      </c>
      <c r="AL37" s="10" t="s">
        <v>140</v>
      </c>
      <c r="AM37" s="10" t="s">
        <v>99</v>
      </c>
      <c r="AN37" s="10" t="s">
        <v>140</v>
      </c>
      <c r="AO37" s="10" t="s">
        <v>140</v>
      </c>
      <c r="AP37" s="10" t="s">
        <v>140</v>
      </c>
      <c r="AQ37" s="10" t="s">
        <v>149</v>
      </c>
      <c r="AR37" s="10" t="s">
        <v>140</v>
      </c>
      <c r="AS37" s="10" t="s">
        <v>140</v>
      </c>
      <c r="AT37" s="10" t="s">
        <v>140</v>
      </c>
      <c r="AU37" s="10" t="s">
        <v>140</v>
      </c>
      <c r="AV37" s="10" t="s">
        <v>140</v>
      </c>
      <c r="AW37" s="10" t="s">
        <v>140</v>
      </c>
      <c r="AX37" s="10" t="s">
        <v>107</v>
      </c>
      <c r="AY37" s="10" t="s">
        <v>108</v>
      </c>
      <c r="AZ37" s="10" t="s">
        <v>140</v>
      </c>
      <c r="BA37" s="10" t="s">
        <v>140</v>
      </c>
      <c r="BB37" s="12">
        <v>6.0</v>
      </c>
      <c r="BC37" s="12">
        <v>6.0</v>
      </c>
      <c r="BD37" s="10" t="s">
        <v>146</v>
      </c>
      <c r="BE37" s="10" t="s">
        <v>607</v>
      </c>
      <c r="BF37" s="10" t="s">
        <v>146</v>
      </c>
      <c r="BG37" s="10" t="s">
        <v>146</v>
      </c>
      <c r="BH37" s="12">
        <v>10.0</v>
      </c>
      <c r="BI37" s="12">
        <v>10.0</v>
      </c>
      <c r="BJ37" s="19">
        <f t="shared" si="1"/>
        <v>5947.992278</v>
      </c>
      <c r="BK37" s="12">
        <v>5.0</v>
      </c>
      <c r="BL37" s="12">
        <v>5.0</v>
      </c>
      <c r="BM37" s="19">
        <f t="shared" si="2"/>
        <v>3063.966165</v>
      </c>
      <c r="BN37" s="12">
        <v>7.0</v>
      </c>
      <c r="BO37" s="12">
        <v>7.0</v>
      </c>
      <c r="BP37" s="19">
        <f t="shared" si="3"/>
        <v>257.7712766</v>
      </c>
      <c r="BQ37" s="12">
        <v>0.0</v>
      </c>
      <c r="BR37" s="12">
        <v>0.0</v>
      </c>
      <c r="BS37" s="19">
        <f t="shared" si="4"/>
        <v>0</v>
      </c>
      <c r="BT37" s="12">
        <v>0.0</v>
      </c>
      <c r="BU37" s="12">
        <v>0.0</v>
      </c>
      <c r="BV37" s="19">
        <f t="shared" si="5"/>
        <v>0</v>
      </c>
      <c r="BW37" s="12">
        <v>0.0</v>
      </c>
      <c r="BX37" s="12">
        <v>0.0</v>
      </c>
      <c r="BY37" s="19">
        <f t="shared" si="6"/>
        <v>0</v>
      </c>
      <c r="BZ37" s="10" t="s">
        <v>355</v>
      </c>
      <c r="CA37" s="10" t="s">
        <v>153</v>
      </c>
      <c r="CB37" s="10" t="s">
        <v>140</v>
      </c>
      <c r="CC37" s="10" t="s">
        <v>146</v>
      </c>
      <c r="CD37" s="10" t="s">
        <v>140</v>
      </c>
      <c r="CE37" s="10" t="s">
        <v>146</v>
      </c>
      <c r="CF37" s="10" t="s">
        <v>140</v>
      </c>
      <c r="CG37" s="10" t="s">
        <v>140</v>
      </c>
      <c r="CH37" s="10" t="s">
        <v>140</v>
      </c>
      <c r="CI37" s="10" t="s">
        <v>140</v>
      </c>
      <c r="CJ37" s="10" t="s">
        <v>140</v>
      </c>
      <c r="CK37" s="10" t="s">
        <v>608</v>
      </c>
      <c r="CL37" s="10" t="s">
        <v>140</v>
      </c>
      <c r="CM37" s="10" t="s">
        <v>609</v>
      </c>
      <c r="CN37" s="10" t="s">
        <v>610</v>
      </c>
      <c r="CO37" s="10" t="s">
        <v>611</v>
      </c>
      <c r="CP37" s="10" t="s">
        <v>146</v>
      </c>
    </row>
    <row r="38" ht="15.75" customHeight="1">
      <c r="B38" s="10" t="s">
        <v>29</v>
      </c>
      <c r="C38" s="10" t="s">
        <v>613</v>
      </c>
      <c r="D38" s="10" t="s">
        <v>614</v>
      </c>
      <c r="E38" s="10" t="s">
        <v>140</v>
      </c>
      <c r="F38" s="10" t="s">
        <v>615</v>
      </c>
      <c r="G38" s="10" t="s">
        <v>616</v>
      </c>
      <c r="H38" s="10" t="s">
        <v>617</v>
      </c>
      <c r="I38" s="10" t="s">
        <v>618</v>
      </c>
      <c r="J38" s="10" t="s">
        <v>166</v>
      </c>
      <c r="K38" s="10" t="s">
        <v>140</v>
      </c>
      <c r="L38" s="10" t="s">
        <v>140</v>
      </c>
      <c r="M38" s="10" t="s">
        <v>140</v>
      </c>
      <c r="N38" s="10" t="s">
        <v>140</v>
      </c>
      <c r="O38" s="10" t="s">
        <v>140</v>
      </c>
      <c r="P38" s="10" t="s">
        <v>140</v>
      </c>
      <c r="Q38" s="10" t="s">
        <v>140</v>
      </c>
      <c r="R38" s="10" t="s">
        <v>140</v>
      </c>
      <c r="S38" s="10" t="s">
        <v>140</v>
      </c>
      <c r="T38" s="10" t="s">
        <v>140</v>
      </c>
      <c r="U38" s="10" t="s">
        <v>140</v>
      </c>
      <c r="V38" s="10" t="s">
        <v>140</v>
      </c>
      <c r="W38" s="10" t="s">
        <v>140</v>
      </c>
      <c r="X38" s="10" t="s">
        <v>140</v>
      </c>
      <c r="Y38" s="10" t="s">
        <v>85</v>
      </c>
      <c r="Z38" s="10" t="s">
        <v>619</v>
      </c>
      <c r="AA38" s="12">
        <v>0.0</v>
      </c>
      <c r="AB38" s="12">
        <v>25.0</v>
      </c>
      <c r="AC38" s="12">
        <v>25.0</v>
      </c>
      <c r="AD38" s="12">
        <v>5.0</v>
      </c>
      <c r="AE38" s="10" t="s">
        <v>146</v>
      </c>
      <c r="AF38" s="10" t="s">
        <v>146</v>
      </c>
      <c r="AG38" s="10" t="s">
        <v>168</v>
      </c>
      <c r="AH38" s="10" t="s">
        <v>140</v>
      </c>
      <c r="AI38" s="10" t="s">
        <v>189</v>
      </c>
      <c r="AJ38" s="10" t="s">
        <v>140</v>
      </c>
      <c r="AK38" s="10" t="s">
        <v>97</v>
      </c>
      <c r="AL38" s="10" t="s">
        <v>140</v>
      </c>
      <c r="AM38" s="10" t="s">
        <v>99</v>
      </c>
      <c r="AN38" s="10" t="s">
        <v>140</v>
      </c>
      <c r="AO38" s="10" t="s">
        <v>140</v>
      </c>
      <c r="AP38" s="10" t="s">
        <v>140</v>
      </c>
      <c r="AQ38" s="10" t="s">
        <v>149</v>
      </c>
      <c r="AR38" s="10" t="s">
        <v>140</v>
      </c>
      <c r="AS38" s="10" t="s">
        <v>102</v>
      </c>
      <c r="AT38" s="10" t="s">
        <v>103</v>
      </c>
      <c r="AU38" s="10" t="s">
        <v>140</v>
      </c>
      <c r="AV38" s="10" t="s">
        <v>140</v>
      </c>
      <c r="AW38" s="10" t="s">
        <v>140</v>
      </c>
      <c r="AX38" s="10" t="s">
        <v>107</v>
      </c>
      <c r="AY38" s="10" t="s">
        <v>108</v>
      </c>
      <c r="AZ38" s="10" t="s">
        <v>140</v>
      </c>
      <c r="BA38" s="10" t="s">
        <v>140</v>
      </c>
      <c r="BB38" s="12">
        <v>3.0</v>
      </c>
      <c r="BC38" s="12">
        <v>4.0</v>
      </c>
      <c r="BD38" s="10" t="s">
        <v>146</v>
      </c>
      <c r="BE38" s="10" t="s">
        <v>620</v>
      </c>
      <c r="BF38" s="10" t="s">
        <v>146</v>
      </c>
      <c r="BG38" s="10" t="s">
        <v>146</v>
      </c>
      <c r="BH38" s="12">
        <v>2.0</v>
      </c>
      <c r="BI38" s="12">
        <v>2.0</v>
      </c>
      <c r="BJ38" s="19">
        <f t="shared" si="1"/>
        <v>1189.598456</v>
      </c>
      <c r="BK38" s="12">
        <v>7.0</v>
      </c>
      <c r="BL38" s="12">
        <v>7.0</v>
      </c>
      <c r="BM38" s="19">
        <f t="shared" si="2"/>
        <v>4289.552632</v>
      </c>
      <c r="BN38" s="12">
        <v>5.0</v>
      </c>
      <c r="BO38" s="12">
        <v>5.0</v>
      </c>
      <c r="BP38" s="19">
        <f t="shared" si="3"/>
        <v>184.1223404</v>
      </c>
      <c r="BQ38" s="12">
        <v>7.0</v>
      </c>
      <c r="BR38" s="12">
        <v>7.0</v>
      </c>
      <c r="BS38" s="19">
        <f t="shared" si="4"/>
        <v>53.11403509</v>
      </c>
      <c r="BT38" s="12">
        <v>8.0</v>
      </c>
      <c r="BU38" s="12">
        <v>8.0</v>
      </c>
      <c r="BV38" s="19">
        <f t="shared" si="5"/>
        <v>0</v>
      </c>
      <c r="BW38" s="12">
        <v>9.0</v>
      </c>
      <c r="BX38" s="12">
        <v>9.0</v>
      </c>
      <c r="BY38" s="19">
        <f t="shared" si="6"/>
        <v>26.25773196</v>
      </c>
      <c r="BZ38" s="10" t="s">
        <v>205</v>
      </c>
      <c r="CA38" s="10" t="s">
        <v>153</v>
      </c>
      <c r="CB38" s="10" t="s">
        <v>140</v>
      </c>
      <c r="CC38" s="10" t="s">
        <v>146</v>
      </c>
      <c r="CD38" s="10" t="s">
        <v>140</v>
      </c>
      <c r="CE38" s="10" t="s">
        <v>146</v>
      </c>
      <c r="CF38" s="10" t="s">
        <v>140</v>
      </c>
      <c r="CG38" s="10" t="s">
        <v>140</v>
      </c>
      <c r="CH38" s="10" t="s">
        <v>140</v>
      </c>
      <c r="CI38" s="10" t="s">
        <v>140</v>
      </c>
      <c r="CJ38" s="10" t="s">
        <v>140</v>
      </c>
      <c r="CK38" s="10" t="s">
        <v>621</v>
      </c>
      <c r="CL38" s="10" t="s">
        <v>622</v>
      </c>
      <c r="CM38" s="10" t="s">
        <v>623</v>
      </c>
      <c r="CN38" s="10" t="s">
        <v>624</v>
      </c>
      <c r="CO38" s="10" t="s">
        <v>625</v>
      </c>
      <c r="CP38" s="10" t="s">
        <v>146</v>
      </c>
    </row>
    <row r="39" ht="15.75" customHeight="1">
      <c r="B39" s="10" t="s">
        <v>55</v>
      </c>
      <c r="C39" s="10" t="s">
        <v>627</v>
      </c>
      <c r="D39" s="10" t="s">
        <v>213</v>
      </c>
      <c r="E39" s="10" t="s">
        <v>140</v>
      </c>
      <c r="F39" s="10" t="s">
        <v>628</v>
      </c>
      <c r="G39" s="10" t="s">
        <v>629</v>
      </c>
      <c r="H39" s="10" t="s">
        <v>630</v>
      </c>
      <c r="I39" s="10" t="s">
        <v>631</v>
      </c>
      <c r="J39" s="10" t="s">
        <v>261</v>
      </c>
      <c r="K39" s="10" t="s">
        <v>140</v>
      </c>
      <c r="L39" s="10" t="s">
        <v>72</v>
      </c>
      <c r="M39" s="10" t="s">
        <v>140</v>
      </c>
      <c r="N39" s="10" t="s">
        <v>74</v>
      </c>
      <c r="O39" s="10" t="s">
        <v>75</v>
      </c>
      <c r="P39" s="10" t="s">
        <v>76</v>
      </c>
      <c r="Q39" s="10" t="s">
        <v>77</v>
      </c>
      <c r="R39" s="10" t="s">
        <v>78</v>
      </c>
      <c r="S39" s="10" t="s">
        <v>79</v>
      </c>
      <c r="T39" s="10" t="s">
        <v>80</v>
      </c>
      <c r="U39" s="10" t="s">
        <v>81</v>
      </c>
      <c r="V39" s="10" t="s">
        <v>82</v>
      </c>
      <c r="W39" s="10" t="s">
        <v>83</v>
      </c>
      <c r="X39" s="10" t="s">
        <v>84</v>
      </c>
      <c r="Y39" s="10" t="s">
        <v>140</v>
      </c>
      <c r="Z39" s="10" t="s">
        <v>140</v>
      </c>
      <c r="AA39" s="12">
        <v>25.0</v>
      </c>
      <c r="AB39" s="12">
        <v>95.0</v>
      </c>
      <c r="AC39" s="12">
        <v>95.0</v>
      </c>
      <c r="AD39" s="12">
        <v>20.0</v>
      </c>
      <c r="AE39" s="10" t="s">
        <v>146</v>
      </c>
      <c r="AF39" s="10" t="s">
        <v>146</v>
      </c>
      <c r="AG39" s="10" t="s">
        <v>168</v>
      </c>
      <c r="AH39" s="10" t="s">
        <v>140</v>
      </c>
      <c r="AI39" s="10" t="s">
        <v>189</v>
      </c>
      <c r="AJ39" s="10" t="s">
        <v>140</v>
      </c>
      <c r="AK39" s="10" t="s">
        <v>97</v>
      </c>
      <c r="AL39" s="10" t="s">
        <v>98</v>
      </c>
      <c r="AM39" s="10" t="s">
        <v>99</v>
      </c>
      <c r="AN39" s="10" t="s">
        <v>100</v>
      </c>
      <c r="AO39" s="10" t="s">
        <v>140</v>
      </c>
      <c r="AP39" s="10" t="s">
        <v>140</v>
      </c>
      <c r="AQ39" s="10" t="s">
        <v>149</v>
      </c>
      <c r="AR39" s="10" t="s">
        <v>140</v>
      </c>
      <c r="AS39" s="10" t="s">
        <v>140</v>
      </c>
      <c r="AT39" s="10" t="s">
        <v>140</v>
      </c>
      <c r="AU39" s="10" t="s">
        <v>140</v>
      </c>
      <c r="AV39" s="10" t="s">
        <v>140</v>
      </c>
      <c r="AW39" s="10" t="s">
        <v>140</v>
      </c>
      <c r="AX39" s="10" t="s">
        <v>107</v>
      </c>
      <c r="AY39" s="10" t="s">
        <v>140</v>
      </c>
      <c r="AZ39" s="10" t="s">
        <v>140</v>
      </c>
      <c r="BA39" s="10" t="s">
        <v>140</v>
      </c>
      <c r="BB39" s="12">
        <v>3.0</v>
      </c>
      <c r="BC39" s="12">
        <v>3.0</v>
      </c>
      <c r="BD39" s="10" t="s">
        <v>168</v>
      </c>
      <c r="BE39" s="10" t="s">
        <v>140</v>
      </c>
      <c r="BF39" s="10" t="s">
        <v>140</v>
      </c>
      <c r="BG39" s="10" t="s">
        <v>146</v>
      </c>
      <c r="BH39" s="12">
        <v>6.0</v>
      </c>
      <c r="BI39" s="12">
        <v>6.0</v>
      </c>
      <c r="BJ39" s="19">
        <f t="shared" si="1"/>
        <v>3568.795367</v>
      </c>
      <c r="BK39" s="12">
        <v>6.0</v>
      </c>
      <c r="BL39" s="12">
        <v>6.0</v>
      </c>
      <c r="BM39" s="19">
        <f t="shared" si="2"/>
        <v>3676.759398</v>
      </c>
      <c r="BN39" s="12">
        <v>6.0</v>
      </c>
      <c r="BO39" s="12">
        <v>6.0</v>
      </c>
      <c r="BP39" s="19">
        <f t="shared" si="3"/>
        <v>220.9468085</v>
      </c>
      <c r="BQ39" s="12">
        <v>5.0</v>
      </c>
      <c r="BR39" s="12">
        <v>5.0</v>
      </c>
      <c r="BS39" s="19">
        <f t="shared" si="4"/>
        <v>37.93859649</v>
      </c>
      <c r="BT39" s="12">
        <v>6.0</v>
      </c>
      <c r="BU39" s="12">
        <v>6.0</v>
      </c>
      <c r="BV39" s="19">
        <f t="shared" si="5"/>
        <v>0</v>
      </c>
      <c r="BW39" s="12">
        <v>5.0</v>
      </c>
      <c r="BX39" s="12">
        <v>5.0</v>
      </c>
      <c r="BY39" s="19">
        <f t="shared" si="6"/>
        <v>14.58762887</v>
      </c>
      <c r="BZ39" s="10" t="s">
        <v>152</v>
      </c>
      <c r="CA39" s="10" t="s">
        <v>153</v>
      </c>
      <c r="CB39" s="10" t="s">
        <v>140</v>
      </c>
      <c r="CC39" s="10" t="s">
        <v>146</v>
      </c>
      <c r="CD39" s="10" t="s">
        <v>140</v>
      </c>
      <c r="CE39" s="10" t="s">
        <v>146</v>
      </c>
      <c r="CF39" s="10" t="s">
        <v>140</v>
      </c>
      <c r="CG39" s="10" t="s">
        <v>140</v>
      </c>
      <c r="CH39" s="10" t="s">
        <v>140</v>
      </c>
      <c r="CI39" s="10" t="s">
        <v>140</v>
      </c>
      <c r="CJ39" s="10" t="s">
        <v>140</v>
      </c>
      <c r="CK39" s="10" t="s">
        <v>632</v>
      </c>
      <c r="CL39" s="10" t="s">
        <v>633</v>
      </c>
      <c r="CM39" s="10" t="s">
        <v>634</v>
      </c>
      <c r="CN39" s="10" t="s">
        <v>635</v>
      </c>
      <c r="CO39" s="10" t="s">
        <v>636</v>
      </c>
      <c r="CP39" s="10" t="s">
        <v>146</v>
      </c>
    </row>
    <row r="40" ht="15.75" customHeight="1">
      <c r="B40" s="10" t="s">
        <v>37</v>
      </c>
      <c r="C40" s="10" t="s">
        <v>638</v>
      </c>
      <c r="D40" s="10" t="s">
        <v>584</v>
      </c>
      <c r="E40" s="10" t="s">
        <v>140</v>
      </c>
      <c r="F40" s="10" t="s">
        <v>639</v>
      </c>
      <c r="G40" s="10" t="s">
        <v>640</v>
      </c>
      <c r="H40" s="10" t="s">
        <v>641</v>
      </c>
      <c r="I40" s="10" t="s">
        <v>642</v>
      </c>
      <c r="J40" s="10" t="s">
        <v>166</v>
      </c>
      <c r="K40" s="10" t="s">
        <v>140</v>
      </c>
      <c r="L40" s="10" t="s">
        <v>72</v>
      </c>
      <c r="M40" s="10" t="s">
        <v>73</v>
      </c>
      <c r="N40" s="10" t="s">
        <v>74</v>
      </c>
      <c r="O40" s="10" t="s">
        <v>75</v>
      </c>
      <c r="P40" s="10" t="s">
        <v>76</v>
      </c>
      <c r="Q40" s="10" t="s">
        <v>77</v>
      </c>
      <c r="R40" s="10" t="s">
        <v>140</v>
      </c>
      <c r="S40" s="10" t="s">
        <v>79</v>
      </c>
      <c r="T40" s="10" t="s">
        <v>140</v>
      </c>
      <c r="U40" s="10" t="s">
        <v>81</v>
      </c>
      <c r="V40" s="10" t="s">
        <v>82</v>
      </c>
      <c r="W40" s="10" t="s">
        <v>83</v>
      </c>
      <c r="X40" s="10" t="s">
        <v>84</v>
      </c>
      <c r="Y40" s="10" t="s">
        <v>140</v>
      </c>
      <c r="Z40" s="10" t="s">
        <v>140</v>
      </c>
      <c r="AA40" s="12">
        <v>30.0</v>
      </c>
      <c r="AB40" s="12">
        <v>80.0</v>
      </c>
      <c r="AC40" s="12">
        <v>25.0</v>
      </c>
      <c r="AD40" s="12">
        <v>15.0</v>
      </c>
      <c r="AE40" s="10" t="s">
        <v>146</v>
      </c>
      <c r="AF40" s="10" t="s">
        <v>146</v>
      </c>
      <c r="AG40" s="10" t="s">
        <v>146</v>
      </c>
      <c r="AH40" s="10" t="s">
        <v>643</v>
      </c>
      <c r="AI40" s="10" t="s">
        <v>140</v>
      </c>
      <c r="AJ40" s="10" t="s">
        <v>140</v>
      </c>
      <c r="AK40" s="10" t="s">
        <v>140</v>
      </c>
      <c r="AL40" s="10" t="s">
        <v>140</v>
      </c>
      <c r="AM40" s="10" t="s">
        <v>99</v>
      </c>
      <c r="AN40" s="10" t="s">
        <v>100</v>
      </c>
      <c r="AO40" s="10" t="s">
        <v>140</v>
      </c>
      <c r="AP40" s="10" t="s">
        <v>140</v>
      </c>
      <c r="AQ40" s="10" t="s">
        <v>149</v>
      </c>
      <c r="AR40" s="10" t="s">
        <v>140</v>
      </c>
      <c r="AS40" s="10" t="s">
        <v>102</v>
      </c>
      <c r="AT40" s="10" t="s">
        <v>103</v>
      </c>
      <c r="AU40" s="10" t="s">
        <v>104</v>
      </c>
      <c r="AV40" s="10" t="s">
        <v>105</v>
      </c>
      <c r="AW40" s="10" t="s">
        <v>140</v>
      </c>
      <c r="AX40" s="10" t="s">
        <v>107</v>
      </c>
      <c r="AY40" s="10" t="s">
        <v>108</v>
      </c>
      <c r="AZ40" s="10" t="s">
        <v>140</v>
      </c>
      <c r="BA40" s="10" t="s">
        <v>140</v>
      </c>
      <c r="BB40" s="12">
        <v>7.0</v>
      </c>
      <c r="BC40" s="12">
        <v>7.0</v>
      </c>
      <c r="BD40" s="10" t="s">
        <v>146</v>
      </c>
      <c r="BE40" s="10" t="s">
        <v>644</v>
      </c>
      <c r="BF40" s="10" t="s">
        <v>146</v>
      </c>
      <c r="BG40" s="10" t="s">
        <v>146</v>
      </c>
      <c r="BH40" s="12">
        <v>10.0</v>
      </c>
      <c r="BI40" s="12">
        <v>10.0</v>
      </c>
      <c r="BJ40" s="19">
        <f t="shared" si="1"/>
        <v>5947.992278</v>
      </c>
      <c r="BK40" s="12">
        <v>9.0</v>
      </c>
      <c r="BL40" s="12">
        <v>9.0</v>
      </c>
      <c r="BM40" s="19">
        <f t="shared" si="2"/>
        <v>5515.139098</v>
      </c>
      <c r="BN40" s="12">
        <v>9.0</v>
      </c>
      <c r="BO40" s="12">
        <v>9.0</v>
      </c>
      <c r="BP40" s="19">
        <f t="shared" si="3"/>
        <v>331.4202128</v>
      </c>
      <c r="BQ40" s="12">
        <v>10.0</v>
      </c>
      <c r="BR40" s="12">
        <v>10.0</v>
      </c>
      <c r="BS40" s="19">
        <f t="shared" si="4"/>
        <v>75.87719298</v>
      </c>
      <c r="BT40" s="12">
        <v>10.0</v>
      </c>
      <c r="BU40" s="12">
        <v>10.0</v>
      </c>
      <c r="BV40" s="19">
        <f t="shared" si="5"/>
        <v>0</v>
      </c>
      <c r="BW40" s="12">
        <v>10.0</v>
      </c>
      <c r="BX40" s="12">
        <v>10.0</v>
      </c>
      <c r="BY40" s="19">
        <f t="shared" si="6"/>
        <v>29.17525773</v>
      </c>
      <c r="BZ40" s="10" t="s">
        <v>355</v>
      </c>
      <c r="CA40" s="10" t="s">
        <v>173</v>
      </c>
      <c r="CB40" s="10" t="s">
        <v>140</v>
      </c>
      <c r="CC40" s="10" t="s">
        <v>146</v>
      </c>
      <c r="CD40" s="10" t="s">
        <v>140</v>
      </c>
      <c r="CE40" s="10" t="s">
        <v>146</v>
      </c>
      <c r="CF40" s="10" t="s">
        <v>140</v>
      </c>
      <c r="CG40" s="10" t="s">
        <v>140</v>
      </c>
      <c r="CH40" s="10" t="s">
        <v>140</v>
      </c>
      <c r="CI40" s="10" t="s">
        <v>140</v>
      </c>
      <c r="CJ40" s="10" t="s">
        <v>140</v>
      </c>
      <c r="CK40" s="10" t="s">
        <v>645</v>
      </c>
      <c r="CL40" s="10" t="s">
        <v>646</v>
      </c>
      <c r="CM40" s="10" t="s">
        <v>647</v>
      </c>
      <c r="CN40" s="10" t="s">
        <v>648</v>
      </c>
      <c r="CO40" s="10" t="s">
        <v>649</v>
      </c>
      <c r="CP40" s="10" t="s">
        <v>146</v>
      </c>
    </row>
    <row r="41" ht="15.75" customHeight="1">
      <c r="B41" s="10" t="s">
        <v>52</v>
      </c>
      <c r="C41" s="10" t="s">
        <v>651</v>
      </c>
      <c r="D41" s="10" t="s">
        <v>470</v>
      </c>
      <c r="E41" s="10" t="s">
        <v>140</v>
      </c>
      <c r="F41" s="10" t="s">
        <v>652</v>
      </c>
      <c r="G41" s="10" t="s">
        <v>653</v>
      </c>
      <c r="H41" s="10" t="s">
        <v>654</v>
      </c>
      <c r="I41" s="10" t="s">
        <v>655</v>
      </c>
      <c r="J41" s="10" t="s">
        <v>166</v>
      </c>
      <c r="K41" s="10" t="s">
        <v>140</v>
      </c>
      <c r="L41" s="10" t="s">
        <v>72</v>
      </c>
      <c r="M41" s="10" t="s">
        <v>73</v>
      </c>
      <c r="N41" s="10" t="s">
        <v>74</v>
      </c>
      <c r="O41" s="10" t="s">
        <v>75</v>
      </c>
      <c r="P41" s="10" t="s">
        <v>76</v>
      </c>
      <c r="Q41" s="10" t="s">
        <v>77</v>
      </c>
      <c r="R41" s="10" t="s">
        <v>140</v>
      </c>
      <c r="S41" s="10" t="s">
        <v>79</v>
      </c>
      <c r="T41" s="10" t="s">
        <v>140</v>
      </c>
      <c r="U41" s="10" t="s">
        <v>140</v>
      </c>
      <c r="V41" s="10" t="s">
        <v>82</v>
      </c>
      <c r="W41" s="10" t="s">
        <v>83</v>
      </c>
      <c r="X41" s="10" t="s">
        <v>84</v>
      </c>
      <c r="Y41" s="10" t="s">
        <v>140</v>
      </c>
      <c r="Z41" s="10" t="s">
        <v>140</v>
      </c>
      <c r="AA41" s="12">
        <v>5.0</v>
      </c>
      <c r="AB41" s="12">
        <v>35.0</v>
      </c>
      <c r="AC41" s="12">
        <v>50.0</v>
      </c>
      <c r="AD41" s="12">
        <v>10.0</v>
      </c>
      <c r="AE41" s="10" t="s">
        <v>146</v>
      </c>
      <c r="AF41" s="10" t="s">
        <v>146</v>
      </c>
      <c r="AG41" s="10" t="s">
        <v>146</v>
      </c>
      <c r="AH41" s="10" t="s">
        <v>656</v>
      </c>
      <c r="AI41" s="10" t="s">
        <v>140</v>
      </c>
      <c r="AJ41" s="10" t="s">
        <v>140</v>
      </c>
      <c r="AK41" s="10" t="s">
        <v>140</v>
      </c>
      <c r="AL41" s="10" t="s">
        <v>140</v>
      </c>
      <c r="AM41" s="10" t="s">
        <v>140</v>
      </c>
      <c r="AN41" s="10" t="s">
        <v>140</v>
      </c>
      <c r="AO41" s="10" t="s">
        <v>85</v>
      </c>
      <c r="AP41" s="10" t="s">
        <v>657</v>
      </c>
      <c r="AQ41" s="10" t="s">
        <v>149</v>
      </c>
      <c r="AR41" s="10" t="s">
        <v>140</v>
      </c>
      <c r="AS41" s="10" t="s">
        <v>102</v>
      </c>
      <c r="AT41" s="10" t="s">
        <v>140</v>
      </c>
      <c r="AU41" s="10" t="s">
        <v>140</v>
      </c>
      <c r="AV41" s="10" t="s">
        <v>140</v>
      </c>
      <c r="AW41" s="10" t="s">
        <v>140</v>
      </c>
      <c r="AX41" s="10" t="s">
        <v>107</v>
      </c>
      <c r="AY41" s="10" t="s">
        <v>108</v>
      </c>
      <c r="AZ41" s="10" t="s">
        <v>140</v>
      </c>
      <c r="BA41" s="10" t="s">
        <v>140</v>
      </c>
      <c r="BB41" s="12">
        <v>7.0</v>
      </c>
      <c r="BC41" s="12">
        <v>5.0</v>
      </c>
      <c r="BD41" s="10" t="s">
        <v>168</v>
      </c>
      <c r="BE41" s="10" t="s">
        <v>140</v>
      </c>
      <c r="BF41" s="10" t="s">
        <v>140</v>
      </c>
      <c r="BG41" s="10" t="s">
        <v>146</v>
      </c>
      <c r="BH41" s="12">
        <v>7.0</v>
      </c>
      <c r="BI41" s="12">
        <v>7.0</v>
      </c>
      <c r="BJ41" s="19">
        <f t="shared" si="1"/>
        <v>4163.594595</v>
      </c>
      <c r="BK41" s="12">
        <v>7.0</v>
      </c>
      <c r="BL41" s="12">
        <v>7.0</v>
      </c>
      <c r="BM41" s="19">
        <f t="shared" si="2"/>
        <v>4289.552632</v>
      </c>
      <c r="BN41" s="12">
        <v>7.0</v>
      </c>
      <c r="BO41" s="12">
        <v>7.0</v>
      </c>
      <c r="BP41" s="19">
        <f t="shared" si="3"/>
        <v>257.7712766</v>
      </c>
      <c r="BQ41" s="12">
        <v>2.0</v>
      </c>
      <c r="BR41" s="12">
        <v>2.0</v>
      </c>
      <c r="BS41" s="19">
        <f t="shared" si="4"/>
        <v>15.1754386</v>
      </c>
      <c r="BT41" s="12">
        <v>9.0</v>
      </c>
      <c r="BU41" s="12">
        <v>9.0</v>
      </c>
      <c r="BV41" s="19">
        <f t="shared" si="5"/>
        <v>0</v>
      </c>
      <c r="BW41" s="12">
        <v>2.0</v>
      </c>
      <c r="BX41" s="12">
        <v>2.0</v>
      </c>
      <c r="BY41" s="19">
        <f t="shared" si="6"/>
        <v>5.835051546</v>
      </c>
      <c r="BZ41" s="10" t="s">
        <v>152</v>
      </c>
      <c r="CA41" s="10" t="s">
        <v>153</v>
      </c>
      <c r="CB41" s="10" t="s">
        <v>140</v>
      </c>
      <c r="CC41" s="10" t="s">
        <v>146</v>
      </c>
      <c r="CD41" s="10" t="s">
        <v>140</v>
      </c>
      <c r="CE41" s="10" t="s">
        <v>146</v>
      </c>
      <c r="CF41" s="10" t="s">
        <v>140</v>
      </c>
      <c r="CG41" s="10" t="s">
        <v>140</v>
      </c>
      <c r="CH41" s="10" t="s">
        <v>140</v>
      </c>
      <c r="CI41" s="10" t="s">
        <v>140</v>
      </c>
      <c r="CJ41" s="10" t="s">
        <v>140</v>
      </c>
      <c r="CK41" s="10" t="s">
        <v>658</v>
      </c>
      <c r="CL41" s="10" t="s">
        <v>659</v>
      </c>
      <c r="CM41" s="10" t="s">
        <v>660</v>
      </c>
      <c r="CN41" s="10" t="s">
        <v>661</v>
      </c>
      <c r="CO41" s="10" t="s">
        <v>662</v>
      </c>
      <c r="CP41" s="10" t="s">
        <v>146</v>
      </c>
    </row>
    <row r="42" ht="15.75" customHeight="1">
      <c r="A42" s="7"/>
      <c r="B42" s="11" t="s">
        <v>58</v>
      </c>
      <c r="C42" s="11" t="s">
        <v>664</v>
      </c>
      <c r="D42" s="11" t="s">
        <v>665</v>
      </c>
      <c r="E42" s="11" t="s">
        <v>140</v>
      </c>
      <c r="F42" s="11" t="s">
        <v>666</v>
      </c>
      <c r="G42" s="11" t="s">
        <v>667</v>
      </c>
      <c r="H42" s="11" t="s">
        <v>668</v>
      </c>
      <c r="I42" s="11" t="s">
        <v>669</v>
      </c>
      <c r="J42" s="11" t="s">
        <v>187</v>
      </c>
      <c r="K42" s="11" t="s">
        <v>140</v>
      </c>
      <c r="L42" s="11" t="s">
        <v>140</v>
      </c>
      <c r="M42" s="11" t="s">
        <v>73</v>
      </c>
      <c r="N42" s="11" t="s">
        <v>140</v>
      </c>
      <c r="O42" s="11" t="s">
        <v>140</v>
      </c>
      <c r="P42" s="11" t="s">
        <v>76</v>
      </c>
      <c r="Q42" s="11" t="s">
        <v>77</v>
      </c>
      <c r="R42" s="11" t="s">
        <v>78</v>
      </c>
      <c r="S42" s="11" t="s">
        <v>79</v>
      </c>
      <c r="T42" s="11" t="s">
        <v>80</v>
      </c>
      <c r="U42" s="11" t="s">
        <v>140</v>
      </c>
      <c r="V42" s="11" t="s">
        <v>82</v>
      </c>
      <c r="W42" s="11" t="s">
        <v>83</v>
      </c>
      <c r="X42" s="11" t="s">
        <v>84</v>
      </c>
      <c r="Y42" s="11" t="s">
        <v>140</v>
      </c>
      <c r="Z42" s="11" t="s">
        <v>140</v>
      </c>
      <c r="AA42" s="9">
        <v>20.0</v>
      </c>
      <c r="AB42" s="9">
        <v>35.0</v>
      </c>
      <c r="AC42" s="9">
        <v>15.0</v>
      </c>
      <c r="AD42" s="9">
        <v>15.0</v>
      </c>
      <c r="AE42" s="11" t="s">
        <v>146</v>
      </c>
      <c r="AF42" s="11" t="s">
        <v>146</v>
      </c>
      <c r="AG42" s="11" t="s">
        <v>168</v>
      </c>
      <c r="AH42" s="11" t="s">
        <v>140</v>
      </c>
      <c r="AI42" s="11" t="s">
        <v>189</v>
      </c>
      <c r="AJ42" s="11" t="s">
        <v>140</v>
      </c>
      <c r="AK42" s="11" t="s">
        <v>97</v>
      </c>
      <c r="AL42" s="11" t="s">
        <v>140</v>
      </c>
      <c r="AM42" s="11" t="s">
        <v>140</v>
      </c>
      <c r="AN42" s="11" t="s">
        <v>140</v>
      </c>
      <c r="AO42" s="11" t="s">
        <v>85</v>
      </c>
      <c r="AP42" s="11" t="s">
        <v>670</v>
      </c>
      <c r="AQ42" s="11" t="s">
        <v>149</v>
      </c>
      <c r="AR42" s="11" t="s">
        <v>140</v>
      </c>
      <c r="AS42" s="11" t="s">
        <v>102</v>
      </c>
      <c r="AT42" s="11" t="s">
        <v>103</v>
      </c>
      <c r="AU42" s="11" t="s">
        <v>104</v>
      </c>
      <c r="AV42" s="11" t="s">
        <v>105</v>
      </c>
      <c r="AW42" s="11" t="s">
        <v>106</v>
      </c>
      <c r="AX42" s="11" t="s">
        <v>140</v>
      </c>
      <c r="AY42" s="11" t="s">
        <v>108</v>
      </c>
      <c r="AZ42" s="11" t="s">
        <v>140</v>
      </c>
      <c r="BA42" s="11" t="s">
        <v>140</v>
      </c>
      <c r="BB42" s="9">
        <v>4.0</v>
      </c>
      <c r="BC42" s="9">
        <v>4.0</v>
      </c>
      <c r="BD42" s="11" t="s">
        <v>168</v>
      </c>
      <c r="BE42" s="11" t="s">
        <v>140</v>
      </c>
      <c r="BF42" s="11" t="s">
        <v>140</v>
      </c>
      <c r="BG42" s="11" t="s">
        <v>146</v>
      </c>
      <c r="BH42" s="9">
        <v>5.0</v>
      </c>
      <c r="BI42" s="9">
        <v>5.0</v>
      </c>
      <c r="BJ42" s="20">
        <f t="shared" si="1"/>
        <v>2973.996139</v>
      </c>
      <c r="BK42" s="9">
        <v>5.0</v>
      </c>
      <c r="BL42" s="9">
        <v>5.0</v>
      </c>
      <c r="BM42" s="20">
        <f t="shared" si="2"/>
        <v>3063.966165</v>
      </c>
      <c r="BN42" s="9">
        <v>5.0</v>
      </c>
      <c r="BO42" s="9">
        <v>5.0</v>
      </c>
      <c r="BP42" s="20">
        <f t="shared" si="3"/>
        <v>184.1223404</v>
      </c>
      <c r="BQ42" s="9">
        <v>0.0</v>
      </c>
      <c r="BR42" s="9">
        <v>0.0</v>
      </c>
      <c r="BS42" s="20">
        <f t="shared" si="4"/>
        <v>0</v>
      </c>
      <c r="BT42" s="9">
        <v>0.0</v>
      </c>
      <c r="BU42" s="9">
        <v>0.0</v>
      </c>
      <c r="BV42" s="20">
        <f t="shared" si="5"/>
        <v>0</v>
      </c>
      <c r="BW42" s="9">
        <v>0.0</v>
      </c>
      <c r="BX42" s="9">
        <v>0.0</v>
      </c>
      <c r="BY42" s="20">
        <f t="shared" si="6"/>
        <v>0</v>
      </c>
      <c r="BZ42" s="11" t="s">
        <v>152</v>
      </c>
      <c r="CA42" s="11" t="s">
        <v>153</v>
      </c>
      <c r="CB42" s="11" t="s">
        <v>140</v>
      </c>
      <c r="CC42" s="11" t="s">
        <v>168</v>
      </c>
      <c r="CD42" s="11" t="s">
        <v>671</v>
      </c>
      <c r="CE42" s="11" t="s">
        <v>168</v>
      </c>
      <c r="CF42" s="11" t="s">
        <v>664</v>
      </c>
      <c r="CG42" s="11" t="s">
        <v>665</v>
      </c>
      <c r="CH42" s="11" t="s">
        <v>174</v>
      </c>
      <c r="CI42" s="11" t="s">
        <v>666</v>
      </c>
      <c r="CJ42" s="11" t="s">
        <v>672</v>
      </c>
      <c r="CK42" s="11" t="s">
        <v>673</v>
      </c>
      <c r="CL42" s="11" t="s">
        <v>674</v>
      </c>
      <c r="CM42" s="11" t="s">
        <v>675</v>
      </c>
      <c r="CN42" s="11" t="s">
        <v>676</v>
      </c>
      <c r="CO42" s="11" t="s">
        <v>677</v>
      </c>
      <c r="CP42" s="11" t="s">
        <v>146</v>
      </c>
      <c r="CQ42" s="7"/>
      <c r="CR42" s="7"/>
      <c r="CS42" s="7"/>
      <c r="CT42" s="7"/>
    </row>
    <row r="43" ht="15.75" customHeight="1">
      <c r="B43" s="10" t="s">
        <v>679</v>
      </c>
      <c r="C43" s="10" t="s">
        <v>680</v>
      </c>
      <c r="D43" s="10" t="s">
        <v>523</v>
      </c>
      <c r="E43" s="10" t="s">
        <v>140</v>
      </c>
      <c r="F43" s="10" t="s">
        <v>681</v>
      </c>
      <c r="G43" s="10" t="s">
        <v>682</v>
      </c>
      <c r="H43" s="10" t="s">
        <v>683</v>
      </c>
      <c r="I43" s="10" t="s">
        <v>684</v>
      </c>
      <c r="J43" s="10" t="s">
        <v>166</v>
      </c>
      <c r="K43" s="10" t="s">
        <v>140</v>
      </c>
      <c r="L43" s="10" t="s">
        <v>72</v>
      </c>
      <c r="M43" s="10" t="s">
        <v>73</v>
      </c>
      <c r="N43" s="10" t="s">
        <v>74</v>
      </c>
      <c r="O43" s="10" t="s">
        <v>75</v>
      </c>
      <c r="P43" s="10" t="s">
        <v>76</v>
      </c>
      <c r="Q43" s="10" t="s">
        <v>77</v>
      </c>
      <c r="R43" s="10" t="s">
        <v>78</v>
      </c>
      <c r="S43" s="10" t="s">
        <v>79</v>
      </c>
      <c r="T43" s="10" t="s">
        <v>80</v>
      </c>
      <c r="U43" s="10" t="s">
        <v>140</v>
      </c>
      <c r="V43" s="10" t="s">
        <v>140</v>
      </c>
      <c r="W43" s="10" t="s">
        <v>83</v>
      </c>
      <c r="X43" s="10" t="s">
        <v>84</v>
      </c>
      <c r="Y43" s="10" t="s">
        <v>140</v>
      </c>
      <c r="Z43" s="10" t="s">
        <v>140</v>
      </c>
      <c r="AA43" s="12">
        <v>20.0</v>
      </c>
      <c r="AB43" s="12">
        <v>20.0</v>
      </c>
      <c r="AC43" s="12">
        <v>10.0</v>
      </c>
      <c r="AD43" s="12">
        <v>0.0</v>
      </c>
      <c r="AE43" s="10" t="s">
        <v>146</v>
      </c>
      <c r="AF43" s="10" t="s">
        <v>146</v>
      </c>
      <c r="AG43" s="10" t="s">
        <v>146</v>
      </c>
      <c r="AH43" s="10" t="s">
        <v>685</v>
      </c>
      <c r="AI43" s="10" t="s">
        <v>140</v>
      </c>
      <c r="AJ43" s="10" t="s">
        <v>140</v>
      </c>
      <c r="AK43" s="10" t="s">
        <v>97</v>
      </c>
      <c r="AL43" s="10" t="s">
        <v>140</v>
      </c>
      <c r="AM43" s="10" t="s">
        <v>99</v>
      </c>
      <c r="AN43" s="10" t="s">
        <v>100</v>
      </c>
      <c r="AO43" s="10" t="s">
        <v>140</v>
      </c>
      <c r="AP43" s="10" t="s">
        <v>140</v>
      </c>
      <c r="AQ43" s="10" t="s">
        <v>149</v>
      </c>
      <c r="AR43" s="10" t="s">
        <v>140</v>
      </c>
      <c r="AS43" s="10" t="s">
        <v>102</v>
      </c>
      <c r="AT43" s="10" t="s">
        <v>103</v>
      </c>
      <c r="AU43" s="10" t="s">
        <v>104</v>
      </c>
      <c r="AV43" s="10" t="s">
        <v>140</v>
      </c>
      <c r="AW43" s="10" t="s">
        <v>140</v>
      </c>
      <c r="AX43" s="10" t="s">
        <v>140</v>
      </c>
      <c r="AY43" s="10" t="s">
        <v>140</v>
      </c>
      <c r="AZ43" s="10" t="s">
        <v>140</v>
      </c>
      <c r="BA43" s="10" t="s">
        <v>140</v>
      </c>
      <c r="BB43" s="12">
        <v>7.0</v>
      </c>
      <c r="BC43" s="12">
        <v>3.0</v>
      </c>
      <c r="BD43" s="10" t="s">
        <v>146</v>
      </c>
      <c r="BE43" s="10" t="s">
        <v>686</v>
      </c>
      <c r="BF43" s="10" t="s">
        <v>146</v>
      </c>
      <c r="BG43" s="10" t="s">
        <v>146</v>
      </c>
      <c r="BH43" s="12">
        <v>0.0</v>
      </c>
      <c r="BI43" s="12">
        <v>0.0</v>
      </c>
      <c r="BJ43" s="19">
        <f t="shared" si="1"/>
        <v>0</v>
      </c>
      <c r="BK43" s="12">
        <v>0.0</v>
      </c>
      <c r="BL43" s="12">
        <v>0.0</v>
      </c>
      <c r="BM43" s="19">
        <f t="shared" si="2"/>
        <v>0</v>
      </c>
      <c r="BN43" s="12">
        <v>5.0</v>
      </c>
      <c r="BO43" s="12">
        <v>5.0</v>
      </c>
      <c r="BP43" s="19">
        <f t="shared" si="3"/>
        <v>184.1223404</v>
      </c>
      <c r="BQ43" s="12">
        <v>3.0</v>
      </c>
      <c r="BR43" s="12">
        <v>3.0</v>
      </c>
      <c r="BS43" s="19">
        <f t="shared" si="4"/>
        <v>22.76315789</v>
      </c>
      <c r="BT43" s="12">
        <v>3.0</v>
      </c>
      <c r="BU43" s="12">
        <v>3.0</v>
      </c>
      <c r="BV43" s="19">
        <f t="shared" si="5"/>
        <v>0</v>
      </c>
      <c r="BW43" s="12">
        <v>3.0</v>
      </c>
      <c r="BX43" s="12">
        <v>3.0</v>
      </c>
      <c r="BY43" s="19">
        <f t="shared" si="6"/>
        <v>8.75257732</v>
      </c>
      <c r="BZ43" s="10" t="s">
        <v>355</v>
      </c>
      <c r="CA43" s="10" t="s">
        <v>153</v>
      </c>
      <c r="CB43" s="10" t="s">
        <v>140</v>
      </c>
      <c r="CC43" s="10" t="s">
        <v>146</v>
      </c>
      <c r="CD43" s="10" t="s">
        <v>140</v>
      </c>
      <c r="CE43" s="10" t="s">
        <v>146</v>
      </c>
      <c r="CF43" s="10" t="s">
        <v>140</v>
      </c>
      <c r="CG43" s="10" t="s">
        <v>140</v>
      </c>
      <c r="CH43" s="10" t="s">
        <v>140</v>
      </c>
      <c r="CI43" s="10" t="s">
        <v>140</v>
      </c>
      <c r="CJ43" s="10" t="s">
        <v>140</v>
      </c>
      <c r="CK43" s="10" t="s">
        <v>687</v>
      </c>
      <c r="CL43" s="10" t="s">
        <v>688</v>
      </c>
      <c r="CM43" s="10" t="s">
        <v>689</v>
      </c>
      <c r="CN43" s="10" t="s">
        <v>690</v>
      </c>
      <c r="CO43" s="10" t="s">
        <v>691</v>
      </c>
      <c r="CP43" s="10" t="s">
        <v>146</v>
      </c>
    </row>
    <row r="44" ht="15.75" customHeight="1">
      <c r="B44" s="10" t="s">
        <v>46</v>
      </c>
      <c r="C44" s="10" t="s">
        <v>326</v>
      </c>
      <c r="D44" s="10" t="s">
        <v>161</v>
      </c>
      <c r="E44" s="10" t="s">
        <v>140</v>
      </c>
      <c r="F44" s="10" t="s">
        <v>327</v>
      </c>
      <c r="G44" s="10" t="s">
        <v>328</v>
      </c>
      <c r="H44" s="10" t="s">
        <v>329</v>
      </c>
      <c r="I44" s="10" t="s">
        <v>330</v>
      </c>
      <c r="J44" s="10" t="s">
        <v>166</v>
      </c>
      <c r="K44" s="10" t="s">
        <v>140</v>
      </c>
      <c r="L44" s="10" t="s">
        <v>72</v>
      </c>
      <c r="M44" s="10" t="s">
        <v>73</v>
      </c>
      <c r="N44" s="10" t="s">
        <v>74</v>
      </c>
      <c r="O44" s="10" t="s">
        <v>75</v>
      </c>
      <c r="P44" s="10" t="s">
        <v>76</v>
      </c>
      <c r="Q44" s="10" t="s">
        <v>77</v>
      </c>
      <c r="R44" s="10" t="s">
        <v>78</v>
      </c>
      <c r="S44" s="10" t="s">
        <v>79</v>
      </c>
      <c r="T44" s="10" t="s">
        <v>80</v>
      </c>
      <c r="U44" s="10" t="s">
        <v>81</v>
      </c>
      <c r="V44" s="10" t="s">
        <v>82</v>
      </c>
      <c r="W44" s="10" t="s">
        <v>83</v>
      </c>
      <c r="X44" s="10" t="s">
        <v>84</v>
      </c>
      <c r="Y44" s="10" t="s">
        <v>140</v>
      </c>
      <c r="Z44" s="10" t="s">
        <v>140</v>
      </c>
      <c r="AA44" s="12">
        <v>20.0</v>
      </c>
      <c r="AB44" s="12">
        <v>35.0</v>
      </c>
      <c r="AC44" s="12">
        <v>25.0</v>
      </c>
      <c r="AD44" s="12">
        <v>20.0</v>
      </c>
      <c r="AE44" s="10" t="s">
        <v>146</v>
      </c>
      <c r="AF44" s="10" t="s">
        <v>146</v>
      </c>
      <c r="AG44" s="10" t="s">
        <v>168</v>
      </c>
      <c r="AH44" s="10" t="s">
        <v>140</v>
      </c>
      <c r="AI44" s="10" t="s">
        <v>189</v>
      </c>
      <c r="AJ44" s="10" t="s">
        <v>140</v>
      </c>
      <c r="AK44" s="10" t="s">
        <v>140</v>
      </c>
      <c r="AL44" s="10" t="s">
        <v>140</v>
      </c>
      <c r="AM44" s="10" t="s">
        <v>99</v>
      </c>
      <c r="AN44" s="10" t="s">
        <v>100</v>
      </c>
      <c r="AO44" s="10" t="s">
        <v>140</v>
      </c>
      <c r="AP44" s="10" t="s">
        <v>140</v>
      </c>
      <c r="AQ44" s="10" t="s">
        <v>149</v>
      </c>
      <c r="AR44" s="10" t="s">
        <v>140</v>
      </c>
      <c r="AS44" s="10" t="s">
        <v>140</v>
      </c>
      <c r="AT44" s="10" t="s">
        <v>140</v>
      </c>
      <c r="AU44" s="10" t="s">
        <v>140</v>
      </c>
      <c r="AV44" s="10" t="s">
        <v>140</v>
      </c>
      <c r="AW44" s="10" t="s">
        <v>140</v>
      </c>
      <c r="AX44" s="10" t="s">
        <v>107</v>
      </c>
      <c r="AY44" s="10" t="s">
        <v>108</v>
      </c>
      <c r="AZ44" s="10" t="s">
        <v>140</v>
      </c>
      <c r="BA44" s="10" t="s">
        <v>140</v>
      </c>
      <c r="BB44" s="12">
        <v>3.0</v>
      </c>
      <c r="BC44" s="12">
        <v>6.0</v>
      </c>
      <c r="BD44" s="10" t="s">
        <v>146</v>
      </c>
      <c r="BE44" s="10" t="s">
        <v>697</v>
      </c>
      <c r="BF44" s="10" t="s">
        <v>146</v>
      </c>
      <c r="BG44" s="10" t="s">
        <v>146</v>
      </c>
      <c r="BH44" s="12">
        <v>10.0</v>
      </c>
      <c r="BI44" s="12">
        <v>10.0</v>
      </c>
      <c r="BJ44" s="19">
        <f t="shared" si="1"/>
        <v>5947.992278</v>
      </c>
      <c r="BK44" s="12">
        <v>10.0</v>
      </c>
      <c r="BL44" s="12">
        <v>10.0</v>
      </c>
      <c r="BM44" s="19">
        <f t="shared" si="2"/>
        <v>6127.932331</v>
      </c>
      <c r="BN44" s="12">
        <v>10.0</v>
      </c>
      <c r="BO44" s="12">
        <v>10.0</v>
      </c>
      <c r="BP44" s="19">
        <f t="shared" si="3"/>
        <v>368.2446809</v>
      </c>
      <c r="BQ44" s="12">
        <v>10.0</v>
      </c>
      <c r="BR44" s="12">
        <v>10.0</v>
      </c>
      <c r="BS44" s="19">
        <f t="shared" si="4"/>
        <v>75.87719298</v>
      </c>
      <c r="BT44" s="12">
        <v>10.0</v>
      </c>
      <c r="BU44" s="12">
        <v>10.0</v>
      </c>
      <c r="BV44" s="19">
        <f t="shared" si="5"/>
        <v>0</v>
      </c>
      <c r="BW44" s="12">
        <v>10.0</v>
      </c>
      <c r="BX44" s="12">
        <v>10.0</v>
      </c>
      <c r="BY44" s="19">
        <f t="shared" si="6"/>
        <v>29.17525773</v>
      </c>
      <c r="BZ44" s="10"/>
      <c r="CA44" s="10" t="s">
        <v>152</v>
      </c>
      <c r="CB44" s="10" t="s">
        <v>320</v>
      </c>
      <c r="CC44" s="10" t="s">
        <v>140</v>
      </c>
      <c r="CD44" s="10" t="s">
        <v>146</v>
      </c>
      <c r="CE44" s="10" t="s">
        <v>140</v>
      </c>
      <c r="CF44" s="10" t="s">
        <v>146</v>
      </c>
      <c r="CG44" s="10" t="s">
        <v>140</v>
      </c>
      <c r="CH44" s="10" t="s">
        <v>140</v>
      </c>
      <c r="CI44" s="10" t="s">
        <v>140</v>
      </c>
      <c r="CJ44" s="10" t="s">
        <v>140</v>
      </c>
      <c r="CK44" s="10" t="s">
        <v>140</v>
      </c>
      <c r="CL44" s="10" t="s">
        <v>698</v>
      </c>
      <c r="CM44" s="10" t="s">
        <v>699</v>
      </c>
      <c r="CN44" s="10"/>
      <c r="CO44" s="10"/>
      <c r="CP44" s="10" t="s">
        <v>146</v>
      </c>
    </row>
    <row r="45" ht="15.75" customHeight="1">
      <c r="A45" s="7"/>
      <c r="B45" s="11" t="s">
        <v>700</v>
      </c>
      <c r="C45" s="11"/>
      <c r="D45" s="11"/>
      <c r="E45" s="11"/>
      <c r="F45" s="11"/>
      <c r="G45" s="11"/>
      <c r="H45" s="11"/>
      <c r="I45" s="11"/>
      <c r="J45" s="11"/>
      <c r="K45" s="11"/>
      <c r="L45" s="11"/>
      <c r="M45" s="11"/>
      <c r="N45" s="11"/>
      <c r="O45" s="11"/>
      <c r="P45" s="11"/>
      <c r="Q45" s="11"/>
      <c r="R45" s="11"/>
      <c r="S45" s="11"/>
      <c r="T45" s="11"/>
      <c r="U45" s="11"/>
      <c r="V45" s="11"/>
      <c r="W45" s="11"/>
      <c r="X45" s="11"/>
      <c r="Y45" s="11"/>
      <c r="Z45" s="11"/>
      <c r="AA45" s="9"/>
      <c r="AB45" s="9"/>
      <c r="AC45" s="9"/>
      <c r="AD45" s="9"/>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9"/>
      <c r="BC45" s="9"/>
      <c r="BD45" s="11"/>
      <c r="BE45" s="11"/>
      <c r="BF45" s="11"/>
      <c r="BG45" s="11" t="s">
        <v>146</v>
      </c>
      <c r="BH45" s="9">
        <v>10.0</v>
      </c>
      <c r="BI45" s="9">
        <v>35.0</v>
      </c>
      <c r="BJ45" s="20">
        <f t="shared" si="1"/>
        <v>20817.97297</v>
      </c>
      <c r="BK45" s="9">
        <v>10.0</v>
      </c>
      <c r="BL45" s="9">
        <v>30.0</v>
      </c>
      <c r="BM45" s="20">
        <f t="shared" si="2"/>
        <v>18383.79699</v>
      </c>
      <c r="BN45" s="9">
        <v>0.0</v>
      </c>
      <c r="BO45" s="9">
        <v>0.0</v>
      </c>
      <c r="BP45" s="20">
        <f t="shared" si="3"/>
        <v>0</v>
      </c>
      <c r="BQ45" s="9">
        <v>0.0</v>
      </c>
      <c r="BR45" s="9">
        <v>0.0</v>
      </c>
      <c r="BS45" s="20">
        <f t="shared" si="4"/>
        <v>0</v>
      </c>
      <c r="BT45" s="9">
        <v>0.0</v>
      </c>
      <c r="BU45" s="9">
        <v>0.0</v>
      </c>
      <c r="BV45" s="20">
        <f t="shared" si="5"/>
        <v>0</v>
      </c>
      <c r="BW45" s="9">
        <v>0.0</v>
      </c>
      <c r="BX45" s="9">
        <v>0.0</v>
      </c>
      <c r="BY45" s="20">
        <f t="shared" si="6"/>
        <v>0</v>
      </c>
      <c r="BZ45" s="11"/>
      <c r="CA45" s="11"/>
      <c r="CB45" s="11"/>
      <c r="CC45" s="11"/>
      <c r="CD45" s="11"/>
      <c r="CE45" s="11" t="s">
        <v>146</v>
      </c>
      <c r="CF45" s="11"/>
      <c r="CG45" s="11"/>
      <c r="CH45" s="11"/>
      <c r="CI45" s="11"/>
      <c r="CJ45" s="11"/>
      <c r="CK45" s="11"/>
      <c r="CL45" s="11"/>
      <c r="CM45" s="11"/>
      <c r="CN45" s="11"/>
      <c r="CO45" s="11"/>
      <c r="CP45" s="7">
        <v>1.0</v>
      </c>
      <c r="CQ45" s="7"/>
      <c r="CR45" s="7"/>
      <c r="CS45" s="7"/>
      <c r="CT45" s="7"/>
    </row>
    <row r="46" ht="15.75" customHeight="1">
      <c r="A46" s="3" t="s">
        <v>701</v>
      </c>
      <c r="B46" s="10"/>
      <c r="C46" s="10"/>
      <c r="D46" s="10"/>
      <c r="E46" s="10"/>
      <c r="F46" s="10"/>
      <c r="G46" s="10"/>
      <c r="H46" s="10"/>
      <c r="I46" s="10"/>
      <c r="J46" s="10"/>
      <c r="K46" s="10"/>
      <c r="L46" s="10"/>
      <c r="M46" s="10"/>
      <c r="N46" s="10"/>
      <c r="O46" s="10"/>
      <c r="P46" s="10"/>
      <c r="Q46" s="10"/>
      <c r="R46" s="10"/>
      <c r="S46" s="10"/>
      <c r="T46" s="10"/>
      <c r="U46" s="10"/>
      <c r="V46" s="10"/>
      <c r="W46" s="10"/>
      <c r="X46" s="10"/>
      <c r="Y46" s="10"/>
      <c r="Z46" s="10"/>
      <c r="AA46" s="12"/>
      <c r="AB46" s="12"/>
      <c r="AC46" s="12"/>
      <c r="AD46" s="12"/>
      <c r="AE46" s="10"/>
      <c r="AF46" s="10"/>
      <c r="AG46" s="10"/>
      <c r="AH46" s="10"/>
      <c r="AI46" s="10"/>
      <c r="AJ46" s="10"/>
      <c r="AK46" s="10"/>
      <c r="AL46" s="10"/>
      <c r="AM46" s="10"/>
      <c r="AN46" s="10"/>
      <c r="AO46" s="10"/>
      <c r="AP46" s="10"/>
      <c r="AQ46" s="10"/>
      <c r="AR46" s="10"/>
      <c r="AS46" s="10"/>
      <c r="AT46" s="10"/>
      <c r="AU46" s="10"/>
      <c r="AV46" s="10"/>
      <c r="AW46" s="10"/>
      <c r="AX46" s="10"/>
      <c r="AY46" s="10"/>
      <c r="AZ46" s="10"/>
      <c r="BA46" s="10"/>
      <c r="BB46" s="12"/>
      <c r="BC46" s="12"/>
      <c r="BD46" s="10"/>
      <c r="BE46" s="10"/>
      <c r="BF46" s="10"/>
      <c r="BG46" s="21" t="s">
        <v>702</v>
      </c>
      <c r="BH46" s="12"/>
      <c r="BI46" s="22">
        <f>SUM('Collection to Date'!C4:C11)</f>
        <v>183131</v>
      </c>
      <c r="BJ46" s="19"/>
      <c r="BK46" s="12"/>
      <c r="BL46" s="22">
        <f>SUM('Collection to Date'!D4:D11)</f>
        <v>258950</v>
      </c>
      <c r="BM46" s="19"/>
      <c r="BN46" s="12"/>
      <c r="BO46" s="22">
        <f>SUM('Collection to Date'!E4:E11)</f>
        <v>8766</v>
      </c>
      <c r="BP46" s="19"/>
      <c r="BQ46" s="12"/>
      <c r="BR46" s="22">
        <f>SUM('Collection to Date'!G4:G11)</f>
        <v>883</v>
      </c>
      <c r="BS46" s="19"/>
      <c r="BT46" s="12"/>
      <c r="BU46" s="22">
        <f>SUM('Collection to Date'!H4:H11)</f>
        <v>0</v>
      </c>
      <c r="BV46" s="19"/>
      <c r="BW46" s="12"/>
      <c r="BX46" s="22">
        <f>SUM('Collection to Date'!I4:I11)</f>
        <v>283</v>
      </c>
      <c r="BY46" s="19"/>
      <c r="BZ46" s="10"/>
      <c r="CA46" s="10"/>
      <c r="CB46" s="10"/>
      <c r="CC46" s="10"/>
      <c r="CD46" s="10"/>
      <c r="CE46" s="10"/>
      <c r="CF46" s="10"/>
      <c r="CG46" s="10"/>
      <c r="CH46" s="10"/>
      <c r="CI46" s="10"/>
      <c r="CJ46" s="10"/>
      <c r="CK46" s="10"/>
      <c r="CL46" s="10"/>
      <c r="CM46" s="10"/>
      <c r="CN46" s="10"/>
      <c r="CO46" s="10"/>
    </row>
    <row r="47" ht="15.75" customHeight="1">
      <c r="B47" s="10"/>
      <c r="C47" s="10"/>
      <c r="D47" s="10"/>
      <c r="E47" s="10"/>
      <c r="F47" s="10"/>
      <c r="G47" s="10"/>
      <c r="H47" s="10"/>
      <c r="I47" s="10"/>
      <c r="J47" s="10"/>
      <c r="K47" s="10"/>
      <c r="L47" s="10"/>
      <c r="M47" s="10"/>
      <c r="N47" s="10"/>
      <c r="O47" s="10"/>
      <c r="P47" s="10"/>
      <c r="Q47" s="10"/>
      <c r="R47" s="10"/>
      <c r="S47" s="10"/>
      <c r="T47" s="10"/>
      <c r="U47" s="10"/>
      <c r="V47" s="10"/>
      <c r="W47" s="10"/>
      <c r="X47" s="10"/>
      <c r="Y47" s="10"/>
      <c r="Z47" s="10"/>
      <c r="AA47" s="12"/>
      <c r="AB47" s="12"/>
      <c r="AC47" s="12"/>
      <c r="AD47" s="12"/>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2"/>
      <c r="BC47" s="12"/>
      <c r="BD47" s="10"/>
      <c r="BE47" s="10"/>
      <c r="BF47" s="10"/>
      <c r="BG47" s="21" t="s">
        <v>703</v>
      </c>
      <c r="BH47" s="12"/>
      <c r="BI47" s="22">
        <f>SUM('Distribution to Date'!C4:C19)</f>
        <v>29078</v>
      </c>
      <c r="BJ47" s="19"/>
      <c r="BK47" s="12"/>
      <c r="BL47" s="22">
        <f>SUM('Distribution to Date'!D4:D19)</f>
        <v>95947</v>
      </c>
      <c r="BM47" s="19"/>
      <c r="BN47" s="12"/>
      <c r="BO47" s="22">
        <f>SUM('Distribution to Date'!E4:E19)</f>
        <v>1843</v>
      </c>
      <c r="BP47" s="19"/>
      <c r="BQ47" s="12"/>
      <c r="BR47" s="22">
        <f>SUM('Distribution to Date'!G4:G19)</f>
        <v>18</v>
      </c>
      <c r="BS47" s="19"/>
      <c r="BT47" s="12"/>
      <c r="BU47" s="22">
        <f>SUM('Distribution to Date'!H4:H19)</f>
        <v>0</v>
      </c>
      <c r="BV47" s="19"/>
      <c r="BW47" s="12"/>
      <c r="BX47" s="22">
        <f>SUM('Distribution to Date'!I4:I19)</f>
        <v>0</v>
      </c>
      <c r="BY47" s="19"/>
      <c r="BZ47" s="10"/>
      <c r="CA47" s="10"/>
      <c r="CB47" s="10"/>
      <c r="CC47" s="10"/>
      <c r="CD47" s="10"/>
      <c r="CE47" s="10"/>
      <c r="CF47" s="10"/>
      <c r="CG47" s="10"/>
      <c r="CH47" s="10"/>
      <c r="CI47" s="10"/>
      <c r="CJ47" s="10"/>
      <c r="CK47" s="10"/>
      <c r="CL47" s="10"/>
      <c r="CM47" s="10"/>
      <c r="CN47" s="10"/>
      <c r="CO47" s="10"/>
    </row>
    <row r="48" ht="15.75" customHeight="1">
      <c r="B48" s="10"/>
      <c r="C48" s="10"/>
      <c r="D48" s="10"/>
      <c r="E48" s="10"/>
      <c r="F48" s="10"/>
      <c r="G48" s="10"/>
      <c r="H48" s="10"/>
      <c r="I48" s="10"/>
      <c r="J48" s="10"/>
      <c r="K48" s="10"/>
      <c r="L48" s="10"/>
      <c r="M48" s="10"/>
      <c r="N48" s="10"/>
      <c r="O48" s="10"/>
      <c r="P48" s="10"/>
      <c r="Q48" s="10"/>
      <c r="R48" s="10"/>
      <c r="S48" s="10"/>
      <c r="T48" s="10"/>
      <c r="U48" s="10"/>
      <c r="V48" s="10"/>
      <c r="W48" s="10"/>
      <c r="X48" s="10"/>
      <c r="Y48" s="10"/>
      <c r="Z48" s="10"/>
      <c r="AA48" s="12"/>
      <c r="AB48" s="12"/>
      <c r="AC48" s="12"/>
      <c r="AD48" s="12"/>
      <c r="AE48" s="10"/>
      <c r="AF48" s="10"/>
      <c r="AG48" s="10"/>
      <c r="AH48" s="10"/>
      <c r="AI48" s="10"/>
      <c r="AJ48" s="10"/>
      <c r="AK48" s="10"/>
      <c r="AL48" s="10"/>
      <c r="AM48" s="10"/>
      <c r="AN48" s="10"/>
      <c r="AO48" s="10"/>
      <c r="AP48" s="10"/>
      <c r="AQ48" s="10"/>
      <c r="AR48" s="10"/>
      <c r="AS48" s="10"/>
      <c r="AT48" s="10"/>
      <c r="AU48" s="10"/>
      <c r="AV48" s="10"/>
      <c r="AW48" s="10"/>
      <c r="AX48" s="10"/>
      <c r="AY48" s="10"/>
      <c r="AZ48" s="10"/>
      <c r="BA48" s="10"/>
      <c r="BB48" s="12"/>
      <c r="BC48" s="12"/>
      <c r="BD48" s="10"/>
      <c r="BE48" s="10"/>
      <c r="BF48" s="10"/>
      <c r="BG48" s="21" t="s">
        <v>704</v>
      </c>
      <c r="BH48" s="12"/>
      <c r="BI48" s="22">
        <f>SUM(BI46-BI47)</f>
        <v>154053</v>
      </c>
      <c r="BJ48" s="17">
        <f>SUM(BJ4:BJ45)</f>
        <v>154053</v>
      </c>
      <c r="BK48" s="12"/>
      <c r="BL48" s="22">
        <f>SUM(BL46-BL47)</f>
        <v>163003</v>
      </c>
      <c r="BM48" s="17">
        <f>SUM(BM4:BM45)</f>
        <v>163003</v>
      </c>
      <c r="BN48" s="12"/>
      <c r="BO48" s="22">
        <f>SUM(BO46-BO47)</f>
        <v>6923</v>
      </c>
      <c r="BP48" s="17">
        <f>SUM(BP4:BP45)</f>
        <v>6923</v>
      </c>
      <c r="BQ48" s="12"/>
      <c r="BR48" s="22">
        <f>SUM(BR46-BR47)</f>
        <v>865</v>
      </c>
      <c r="BS48" s="17">
        <f>SUM(BS4:BS45)</f>
        <v>865</v>
      </c>
      <c r="BT48" s="12"/>
      <c r="BU48" s="22">
        <f>SUM(BU46-BU47)</f>
        <v>0</v>
      </c>
      <c r="BV48" s="17">
        <f>SUM(BV4:BV45)</f>
        <v>0</v>
      </c>
      <c r="BW48" s="12"/>
      <c r="BX48" s="22">
        <f>SUM(BX46-BX47)</f>
        <v>283</v>
      </c>
      <c r="BY48" s="17">
        <f>SUM(BY4:BY45)</f>
        <v>283</v>
      </c>
      <c r="BZ48" s="10"/>
      <c r="CA48" s="10"/>
      <c r="CB48" s="10"/>
      <c r="CC48" s="10"/>
      <c r="CD48" s="10"/>
      <c r="CE48" s="10"/>
      <c r="CF48" s="10"/>
      <c r="CG48" s="10"/>
      <c r="CH48" s="10"/>
      <c r="CI48" s="10"/>
      <c r="CJ48" s="10"/>
      <c r="CK48" s="10"/>
      <c r="CL48" s="10"/>
      <c r="CM48" s="10"/>
      <c r="CN48" s="10"/>
      <c r="CO48" s="10"/>
    </row>
    <row r="49" ht="15.75" customHeight="1">
      <c r="B49" s="10"/>
      <c r="C49" s="10"/>
      <c r="D49" s="10"/>
      <c r="E49" s="10"/>
      <c r="F49" s="10"/>
      <c r="G49" s="10"/>
      <c r="H49" s="10"/>
      <c r="I49" s="10"/>
      <c r="J49" s="10"/>
      <c r="K49" s="10"/>
      <c r="L49" s="10"/>
      <c r="M49" s="10"/>
      <c r="N49" s="10"/>
      <c r="O49" s="10"/>
      <c r="P49" s="10"/>
      <c r="Q49" s="10"/>
      <c r="R49" s="10"/>
      <c r="S49" s="10"/>
      <c r="T49" s="10"/>
      <c r="U49" s="10"/>
      <c r="V49" s="10"/>
      <c r="W49" s="10"/>
      <c r="X49" s="10"/>
      <c r="Y49" s="10"/>
      <c r="Z49" s="10"/>
      <c r="AA49" s="12"/>
      <c r="AB49" s="12"/>
      <c r="AC49" s="12"/>
      <c r="AD49" s="12"/>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2"/>
      <c r="BC49" s="12"/>
      <c r="BD49" s="10"/>
      <c r="BE49" s="10"/>
      <c r="BF49" s="10"/>
      <c r="BG49" s="10"/>
      <c r="BH49" s="12"/>
      <c r="BI49" s="22"/>
      <c r="BJ49" s="19"/>
      <c r="BK49" s="12"/>
      <c r="BL49" s="22"/>
      <c r="BM49" s="19"/>
      <c r="BN49" s="12"/>
      <c r="BO49" s="22"/>
      <c r="BP49" s="19"/>
      <c r="BQ49" s="12"/>
      <c r="BR49" s="22"/>
      <c r="BS49" s="19"/>
      <c r="BT49" s="12"/>
      <c r="BU49" s="22"/>
      <c r="BV49" s="19"/>
      <c r="BW49" s="12"/>
      <c r="BX49" s="22"/>
      <c r="BY49" s="19"/>
      <c r="BZ49" s="10"/>
      <c r="CA49" s="10"/>
      <c r="CB49" s="10"/>
      <c r="CC49" s="10"/>
      <c r="CD49" s="10"/>
      <c r="CE49" s="10"/>
      <c r="CF49" s="10"/>
      <c r="CG49" s="10"/>
      <c r="CH49" s="10"/>
      <c r="CI49" s="10"/>
      <c r="CJ49" s="10"/>
      <c r="CK49" s="10"/>
      <c r="CL49" s="10"/>
      <c r="CM49" s="10"/>
      <c r="CN49" s="10"/>
      <c r="CO49" s="10"/>
    </row>
    <row r="50" ht="15.75" customHeight="1">
      <c r="B50" s="10"/>
      <c r="C50" s="10"/>
      <c r="D50" s="10"/>
      <c r="E50" s="10"/>
      <c r="F50" s="10"/>
      <c r="G50" s="10"/>
      <c r="H50" s="10"/>
      <c r="I50" s="10"/>
      <c r="J50" s="10"/>
      <c r="K50" s="10"/>
      <c r="L50" s="10"/>
      <c r="M50" s="10"/>
      <c r="N50" s="10"/>
      <c r="O50" s="10"/>
      <c r="P50" s="10"/>
      <c r="Q50" s="10"/>
      <c r="R50" s="10"/>
      <c r="S50" s="10"/>
      <c r="T50" s="10"/>
      <c r="U50" s="10"/>
      <c r="V50" s="10"/>
      <c r="W50" s="10"/>
      <c r="X50" s="10"/>
      <c r="Y50" s="10"/>
      <c r="Z50" s="10"/>
      <c r="AA50" s="12"/>
      <c r="AB50" s="12"/>
      <c r="AC50" s="12"/>
      <c r="AD50" s="12"/>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2"/>
      <c r="BC50" s="12"/>
      <c r="BD50" s="10"/>
      <c r="BE50" s="10"/>
      <c r="BF50" s="10"/>
      <c r="BG50" s="10"/>
      <c r="BH50" s="12"/>
      <c r="BI50" s="22"/>
      <c r="BJ50" s="19"/>
      <c r="BK50" s="12"/>
      <c r="BL50" s="22"/>
      <c r="BM50" s="19"/>
      <c r="BN50" s="12"/>
      <c r="BO50" s="22"/>
      <c r="BP50" s="19"/>
      <c r="BQ50" s="12"/>
      <c r="BR50" s="22"/>
      <c r="BS50" s="19"/>
      <c r="BT50" s="12"/>
      <c r="BU50" s="22"/>
      <c r="BV50" s="19"/>
      <c r="BW50" s="12"/>
      <c r="BX50" s="22"/>
      <c r="BY50" s="19"/>
      <c r="BZ50" s="10"/>
      <c r="CA50" s="10"/>
      <c r="CB50" s="10"/>
      <c r="CC50" s="10"/>
      <c r="CD50" s="10"/>
      <c r="CE50" s="10"/>
      <c r="CF50" s="10"/>
      <c r="CG50" s="10"/>
      <c r="CH50" s="10"/>
      <c r="CI50" s="10"/>
      <c r="CJ50" s="10"/>
      <c r="CK50" s="10"/>
      <c r="CL50" s="10"/>
      <c r="CM50" s="10"/>
      <c r="CN50" s="10"/>
      <c r="CO50" s="10"/>
    </row>
    <row r="51" ht="15.75" customHeight="1">
      <c r="B51" s="10"/>
      <c r="C51" s="10"/>
      <c r="D51" s="10"/>
      <c r="E51" s="10"/>
      <c r="F51" s="10"/>
      <c r="G51" s="10"/>
      <c r="H51" s="10"/>
      <c r="I51" s="10"/>
      <c r="J51" s="10"/>
      <c r="K51" s="10"/>
      <c r="L51" s="10"/>
      <c r="M51" s="10"/>
      <c r="N51" s="10"/>
      <c r="O51" s="10"/>
      <c r="P51" s="10"/>
      <c r="Q51" s="10"/>
      <c r="R51" s="10"/>
      <c r="S51" s="10"/>
      <c r="T51" s="10"/>
      <c r="U51" s="10"/>
      <c r="V51" s="10"/>
      <c r="W51" s="10"/>
      <c r="X51" s="10"/>
      <c r="Y51" s="10"/>
      <c r="Z51" s="10"/>
      <c r="AA51" s="12"/>
      <c r="AB51" s="12"/>
      <c r="AC51" s="12"/>
      <c r="AD51" s="12"/>
      <c r="AE51" s="10"/>
      <c r="AF51" s="10"/>
      <c r="AG51" s="10"/>
      <c r="AH51" s="10"/>
      <c r="AI51" s="10"/>
      <c r="AJ51" s="10"/>
      <c r="AK51" s="10"/>
      <c r="AL51" s="10"/>
      <c r="AM51" s="10"/>
      <c r="AN51" s="10"/>
      <c r="AO51" s="10"/>
      <c r="AP51" s="10"/>
      <c r="AQ51" s="10"/>
      <c r="AR51" s="10"/>
      <c r="AS51" s="10"/>
      <c r="AT51" s="10"/>
      <c r="AU51" s="10"/>
      <c r="AV51" s="10"/>
      <c r="AW51" s="10"/>
      <c r="AX51" s="10"/>
      <c r="AY51" s="10"/>
      <c r="AZ51" s="10"/>
      <c r="BA51" s="10"/>
      <c r="BB51" s="12"/>
      <c r="BC51" s="12"/>
      <c r="BD51" s="10"/>
      <c r="BE51" s="10"/>
      <c r="BF51" s="10"/>
      <c r="BG51" s="10"/>
      <c r="BH51" s="12"/>
      <c r="BI51" s="22"/>
      <c r="BJ51" s="19">
        <f>SUM(BJ42,BJ20, BJ45)</f>
        <v>26765.96525</v>
      </c>
      <c r="BK51" s="12"/>
      <c r="BL51" s="22"/>
      <c r="BM51" s="19">
        <f>SUM(BM42,BM20)</f>
        <v>6127.932331</v>
      </c>
      <c r="BN51" s="12"/>
      <c r="BO51" s="22"/>
      <c r="BP51" s="19"/>
      <c r="BQ51" s="12"/>
      <c r="BR51" s="22"/>
      <c r="BS51" s="19"/>
      <c r="BT51" s="12"/>
      <c r="BU51" s="22"/>
      <c r="BV51" s="19"/>
      <c r="BW51" s="12"/>
      <c r="BX51" s="22"/>
      <c r="BY51" s="19"/>
      <c r="BZ51" s="10"/>
      <c r="CA51" s="10"/>
      <c r="CB51" s="10"/>
      <c r="CC51" s="10"/>
      <c r="CD51" s="10"/>
      <c r="CE51" s="10"/>
      <c r="CF51" s="10"/>
      <c r="CG51" s="10"/>
      <c r="CH51" s="10"/>
      <c r="CI51" s="10"/>
      <c r="CJ51" s="10"/>
      <c r="CK51" s="10"/>
      <c r="CL51" s="10"/>
      <c r="CM51" s="10"/>
      <c r="CN51" s="10"/>
      <c r="CO51" s="10"/>
    </row>
    <row r="52" ht="15.75" customHeight="1">
      <c r="B52" s="10"/>
      <c r="C52" s="10"/>
      <c r="D52" s="10"/>
      <c r="E52" s="10"/>
      <c r="F52" s="10"/>
      <c r="G52" s="10"/>
      <c r="H52" s="10"/>
      <c r="I52" s="10"/>
      <c r="J52" s="10"/>
      <c r="K52" s="10"/>
      <c r="L52" s="10"/>
      <c r="M52" s="10"/>
      <c r="N52" s="10"/>
      <c r="O52" s="10"/>
      <c r="P52" s="10"/>
      <c r="Q52" s="10"/>
      <c r="R52" s="10"/>
      <c r="S52" s="10"/>
      <c r="T52" s="10"/>
      <c r="U52" s="10"/>
      <c r="V52" s="10"/>
      <c r="W52" s="10"/>
      <c r="X52" s="10"/>
      <c r="Y52" s="10"/>
      <c r="Z52" s="10"/>
      <c r="AA52" s="12"/>
      <c r="AB52" s="12"/>
      <c r="AC52" s="12"/>
      <c r="AD52" s="12"/>
      <c r="AE52" s="10"/>
      <c r="AF52" s="10"/>
      <c r="AG52" s="10"/>
      <c r="AH52" s="10"/>
      <c r="AI52" s="10"/>
      <c r="AJ52" s="10"/>
      <c r="AK52" s="10"/>
      <c r="AL52" s="10"/>
      <c r="AM52" s="10"/>
      <c r="AN52" s="10"/>
      <c r="AO52" s="10"/>
      <c r="AP52" s="10"/>
      <c r="AQ52" s="10"/>
      <c r="AR52" s="10"/>
      <c r="AS52" s="10"/>
      <c r="AT52" s="10"/>
      <c r="AU52" s="10"/>
      <c r="AV52" s="10"/>
      <c r="AW52" s="10"/>
      <c r="AX52" s="10"/>
      <c r="AY52" s="10"/>
      <c r="AZ52" s="10"/>
      <c r="BA52" s="10"/>
      <c r="BB52" s="12"/>
      <c r="BC52" s="12"/>
      <c r="BD52" s="10"/>
      <c r="BE52" s="10"/>
      <c r="BF52" s="10"/>
      <c r="BG52" s="10"/>
      <c r="BH52" s="12"/>
      <c r="BI52" s="22"/>
      <c r="BJ52" s="19"/>
      <c r="BK52" s="12"/>
      <c r="BL52" s="22"/>
      <c r="BM52" s="19"/>
      <c r="BN52" s="12"/>
      <c r="BO52" s="22"/>
      <c r="BP52" s="19"/>
      <c r="BQ52" s="12"/>
      <c r="BR52" s="22"/>
      <c r="BS52" s="19"/>
      <c r="BT52" s="12"/>
      <c r="BU52" s="22"/>
      <c r="BV52" s="19"/>
      <c r="BW52" s="12"/>
      <c r="BX52" s="22"/>
      <c r="BY52" s="19"/>
      <c r="BZ52" s="10"/>
      <c r="CA52" s="10"/>
      <c r="CB52" s="10"/>
      <c r="CC52" s="10"/>
      <c r="CD52" s="10"/>
      <c r="CE52" s="10"/>
      <c r="CF52" s="10"/>
      <c r="CG52" s="10"/>
      <c r="CH52" s="10"/>
      <c r="CI52" s="10"/>
      <c r="CJ52" s="10"/>
      <c r="CK52" s="10"/>
      <c r="CL52" s="10"/>
      <c r="CM52" s="10"/>
      <c r="CN52" s="10"/>
      <c r="CO52" s="10"/>
    </row>
    <row r="53" ht="15.75" customHeight="1">
      <c r="B53" s="10"/>
      <c r="C53" s="10"/>
      <c r="D53" s="10"/>
      <c r="E53" s="10"/>
      <c r="F53" s="10"/>
      <c r="G53" s="10"/>
      <c r="H53" s="10"/>
      <c r="I53" s="10"/>
      <c r="J53" s="10"/>
      <c r="K53" s="10"/>
      <c r="L53" s="10"/>
      <c r="M53" s="10"/>
      <c r="N53" s="10"/>
      <c r="O53" s="10"/>
      <c r="P53" s="10"/>
      <c r="Q53" s="10"/>
      <c r="R53" s="10"/>
      <c r="S53" s="10"/>
      <c r="T53" s="10"/>
      <c r="U53" s="10"/>
      <c r="V53" s="10"/>
      <c r="W53" s="10"/>
      <c r="X53" s="10"/>
      <c r="Y53" s="10"/>
      <c r="Z53" s="10"/>
      <c r="AA53" s="12"/>
      <c r="AB53" s="12"/>
      <c r="AC53" s="12"/>
      <c r="AD53" s="12"/>
      <c r="AE53" s="10"/>
      <c r="AF53" s="10"/>
      <c r="AG53" s="10"/>
      <c r="AH53" s="10"/>
      <c r="AI53" s="10"/>
      <c r="AJ53" s="10"/>
      <c r="AK53" s="10"/>
      <c r="AL53" s="10"/>
      <c r="AM53" s="10"/>
      <c r="AN53" s="10"/>
      <c r="AO53" s="10"/>
      <c r="AP53" s="10"/>
      <c r="AQ53" s="10"/>
      <c r="AR53" s="10"/>
      <c r="AS53" s="10"/>
      <c r="AT53" s="10"/>
      <c r="AU53" s="10"/>
      <c r="AV53" s="10"/>
      <c r="AW53" s="10"/>
      <c r="AX53" s="10"/>
      <c r="AY53" s="10"/>
      <c r="AZ53" s="10"/>
      <c r="BA53" s="10"/>
      <c r="BB53" s="12"/>
      <c r="BC53" s="12"/>
      <c r="BD53" s="10"/>
      <c r="BE53" s="10"/>
      <c r="BF53" s="10"/>
      <c r="BG53" s="10"/>
      <c r="BI53" s="22"/>
      <c r="BJ53" s="19"/>
      <c r="BL53" s="22"/>
      <c r="BM53" s="19"/>
      <c r="BO53" s="22"/>
      <c r="BP53" s="19"/>
      <c r="BR53" s="22"/>
      <c r="BS53" s="19"/>
      <c r="BU53" s="22"/>
      <c r="BV53" s="19"/>
      <c r="BX53" s="22"/>
      <c r="BY53" s="19"/>
      <c r="BZ53" s="10"/>
      <c r="CA53" s="10"/>
      <c r="CB53" s="10"/>
      <c r="CC53" s="10"/>
      <c r="CD53" s="10"/>
      <c r="CE53" s="10"/>
      <c r="CF53" s="10"/>
      <c r="CG53" s="10"/>
      <c r="CH53" s="10"/>
      <c r="CI53" s="10"/>
      <c r="CJ53" s="10"/>
      <c r="CK53" s="10"/>
      <c r="CL53" s="10"/>
      <c r="CM53" s="10"/>
      <c r="CN53" s="10"/>
      <c r="CO53" s="10"/>
    </row>
    <row r="54" ht="15.75" customHeight="1">
      <c r="B54" s="10"/>
      <c r="C54" s="10"/>
      <c r="D54" s="10"/>
      <c r="E54" s="10"/>
      <c r="F54" s="10"/>
      <c r="G54" s="10"/>
      <c r="H54" s="10"/>
      <c r="I54" s="10"/>
      <c r="J54" s="10"/>
      <c r="K54" s="10"/>
      <c r="L54" s="10"/>
      <c r="M54" s="10"/>
      <c r="N54" s="10"/>
      <c r="O54" s="10"/>
      <c r="P54" s="10"/>
      <c r="Q54" s="10"/>
      <c r="R54" s="10"/>
      <c r="S54" s="10"/>
      <c r="T54" s="10"/>
      <c r="U54" s="10"/>
      <c r="V54" s="10"/>
      <c r="W54" s="10"/>
      <c r="X54" s="10"/>
      <c r="Y54" s="10"/>
      <c r="Z54" s="10"/>
      <c r="AA54" s="12"/>
      <c r="AB54" s="12"/>
      <c r="AC54" s="12"/>
      <c r="AD54" s="12"/>
      <c r="AE54" s="10"/>
      <c r="AF54" s="10"/>
      <c r="AG54" s="10"/>
      <c r="AH54" s="10"/>
      <c r="AI54" s="10"/>
      <c r="AJ54" s="10"/>
      <c r="AK54" s="10"/>
      <c r="AL54" s="10"/>
      <c r="AM54" s="10"/>
      <c r="AN54" s="10"/>
      <c r="AO54" s="10"/>
      <c r="AP54" s="10"/>
      <c r="AQ54" s="10"/>
      <c r="AR54" s="10"/>
      <c r="AS54" s="10"/>
      <c r="AT54" s="10"/>
      <c r="AU54" s="10"/>
      <c r="AV54" s="10"/>
      <c r="AW54" s="10"/>
      <c r="AX54" s="10"/>
      <c r="AY54" s="10"/>
      <c r="AZ54" s="10"/>
      <c r="BA54" s="10"/>
      <c r="BB54" s="12"/>
      <c r="BC54" s="12"/>
      <c r="BD54" s="10"/>
      <c r="BE54" s="10"/>
      <c r="BF54" s="10"/>
      <c r="BG54" s="10"/>
      <c r="BI54" s="22"/>
      <c r="BJ54" s="19"/>
      <c r="BL54" s="22"/>
      <c r="BM54" s="19"/>
      <c r="BO54" s="22"/>
      <c r="BP54" s="19"/>
      <c r="BR54" s="22"/>
      <c r="BS54" s="19"/>
      <c r="BU54" s="22"/>
      <c r="BV54" s="19"/>
      <c r="BX54" s="22"/>
      <c r="BY54" s="19"/>
      <c r="BZ54" s="10"/>
      <c r="CA54" s="10"/>
      <c r="CB54" s="10"/>
      <c r="CC54" s="10"/>
      <c r="CD54" s="10"/>
      <c r="CE54" s="10"/>
      <c r="CF54" s="10"/>
      <c r="CG54" s="10"/>
      <c r="CH54" s="10"/>
      <c r="CI54" s="10"/>
      <c r="CJ54" s="10"/>
      <c r="CK54" s="10"/>
      <c r="CL54" s="10"/>
      <c r="CM54" s="10"/>
      <c r="CN54" s="10"/>
      <c r="CO54" s="10"/>
    </row>
    <row r="55" ht="15.75" customHeight="1">
      <c r="B55" s="10"/>
      <c r="C55" s="10"/>
      <c r="D55" s="10"/>
      <c r="E55" s="10"/>
      <c r="F55" s="10"/>
      <c r="G55" s="10"/>
      <c r="H55" s="10"/>
      <c r="I55" s="10"/>
      <c r="J55" s="10"/>
      <c r="K55" s="10"/>
      <c r="L55" s="10"/>
      <c r="M55" s="10"/>
      <c r="N55" s="10"/>
      <c r="O55" s="10"/>
      <c r="P55" s="10"/>
      <c r="Q55" s="10"/>
      <c r="R55" s="10"/>
      <c r="S55" s="10"/>
      <c r="T55" s="10"/>
      <c r="U55" s="10"/>
      <c r="V55" s="10"/>
      <c r="W55" s="10"/>
      <c r="X55" s="10"/>
      <c r="Y55" s="10"/>
      <c r="Z55" s="10"/>
      <c r="AA55" s="12"/>
      <c r="AB55" s="12"/>
      <c r="AC55" s="12"/>
      <c r="AD55" s="12"/>
      <c r="AE55" s="10"/>
      <c r="AF55" s="10"/>
      <c r="AG55" s="10"/>
      <c r="AH55" s="10"/>
      <c r="AI55" s="10"/>
      <c r="AJ55" s="10"/>
      <c r="AK55" s="10"/>
      <c r="AL55" s="10"/>
      <c r="AM55" s="10"/>
      <c r="AN55" s="10"/>
      <c r="AO55" s="10"/>
      <c r="AP55" s="10"/>
      <c r="AQ55" s="10"/>
      <c r="AR55" s="10"/>
      <c r="AS55" s="10"/>
      <c r="AT55" s="10"/>
      <c r="AU55" s="10"/>
      <c r="AV55" s="10"/>
      <c r="AW55" s="10"/>
      <c r="AX55" s="10"/>
      <c r="AY55" s="10"/>
      <c r="AZ55" s="10"/>
      <c r="BA55" s="10"/>
      <c r="BB55" s="12"/>
      <c r="BC55" s="12"/>
      <c r="BD55" s="10"/>
      <c r="BE55" s="10"/>
      <c r="BF55" s="10"/>
      <c r="BG55" s="10"/>
      <c r="BI55" s="22"/>
      <c r="BJ55" s="19"/>
      <c r="BL55" s="22"/>
      <c r="BM55" s="19"/>
      <c r="BO55" s="22"/>
      <c r="BP55" s="19"/>
      <c r="BR55" s="22"/>
      <c r="BS55" s="19"/>
      <c r="BU55" s="22"/>
      <c r="BV55" s="19"/>
      <c r="BX55" s="22"/>
      <c r="BY55" s="19"/>
      <c r="BZ55" s="10"/>
      <c r="CA55" s="10"/>
      <c r="CB55" s="10"/>
      <c r="CC55" s="10"/>
      <c r="CD55" s="10"/>
      <c r="CE55" s="10"/>
      <c r="CF55" s="10"/>
      <c r="CG55" s="10"/>
      <c r="CH55" s="10"/>
      <c r="CI55" s="10"/>
      <c r="CJ55" s="10"/>
      <c r="CK55" s="10"/>
      <c r="CL55" s="10"/>
      <c r="CM55" s="10"/>
      <c r="CN55" s="10"/>
      <c r="CO55" s="10"/>
    </row>
    <row r="56" ht="15.75" customHeight="1">
      <c r="B56" s="10"/>
      <c r="C56" s="10"/>
      <c r="D56" s="10"/>
      <c r="E56" s="10"/>
      <c r="F56" s="10"/>
      <c r="G56" s="10"/>
      <c r="H56" s="10"/>
      <c r="I56" s="10"/>
      <c r="J56" s="10"/>
      <c r="K56" s="10"/>
      <c r="L56" s="10"/>
      <c r="M56" s="10"/>
      <c r="N56" s="10"/>
      <c r="O56" s="10"/>
      <c r="P56" s="10"/>
      <c r="Q56" s="10"/>
      <c r="R56" s="10"/>
      <c r="S56" s="10"/>
      <c r="T56" s="10"/>
      <c r="U56" s="10"/>
      <c r="V56" s="10"/>
      <c r="W56" s="10"/>
      <c r="X56" s="10"/>
      <c r="Y56" s="10"/>
      <c r="Z56" s="10"/>
      <c r="AA56" s="12"/>
      <c r="AB56" s="12"/>
      <c r="AC56" s="12"/>
      <c r="AD56" s="12"/>
      <c r="AE56" s="10"/>
      <c r="AF56" s="10"/>
      <c r="AG56" s="10"/>
      <c r="AH56" s="10"/>
      <c r="AI56" s="10"/>
      <c r="AJ56" s="10"/>
      <c r="AK56" s="10"/>
      <c r="AL56" s="10"/>
      <c r="AM56" s="10"/>
      <c r="AN56" s="10"/>
      <c r="AO56" s="10"/>
      <c r="AP56" s="10"/>
      <c r="AQ56" s="10"/>
      <c r="AR56" s="10"/>
      <c r="AS56" s="10"/>
      <c r="AT56" s="10"/>
      <c r="AU56" s="10"/>
      <c r="AV56" s="10"/>
      <c r="AW56" s="10"/>
      <c r="AX56" s="10"/>
      <c r="AY56" s="10"/>
      <c r="AZ56" s="10"/>
      <c r="BA56" s="10"/>
      <c r="BB56" s="12"/>
      <c r="BC56" s="12"/>
      <c r="BD56" s="10"/>
      <c r="BE56" s="10"/>
      <c r="BF56" s="10"/>
      <c r="BG56" s="10"/>
      <c r="BI56" s="22"/>
      <c r="BJ56" s="19"/>
      <c r="BL56" s="22"/>
      <c r="BM56" s="19"/>
      <c r="BO56" s="22"/>
      <c r="BP56" s="19"/>
      <c r="BR56" s="22"/>
      <c r="BS56" s="19"/>
      <c r="BU56" s="22"/>
      <c r="BV56" s="19"/>
      <c r="BX56" s="22"/>
      <c r="BY56" s="19"/>
      <c r="BZ56" s="10"/>
      <c r="CA56" s="10"/>
      <c r="CB56" s="10"/>
      <c r="CC56" s="10"/>
      <c r="CD56" s="10"/>
      <c r="CE56" s="10"/>
      <c r="CF56" s="10"/>
      <c r="CG56" s="10"/>
      <c r="CH56" s="10"/>
      <c r="CI56" s="10"/>
      <c r="CJ56" s="10"/>
      <c r="CK56" s="10"/>
      <c r="CL56" s="10"/>
      <c r="CM56" s="10"/>
      <c r="CN56" s="10"/>
      <c r="CO56" s="10"/>
    </row>
    <row r="57" ht="15.75" customHeight="1">
      <c r="E57" s="23">
        <v>2.0</v>
      </c>
      <c r="F57" s="24">
        <f t="shared" ref="F57:F94" si="7">SUM($E$95/(SUM($E$56:$E$94)))*E57</f>
        <v>1869.158879</v>
      </c>
      <c r="G57" s="25"/>
      <c r="H57" s="26" t="str">
        <f t="shared" ref="H57:H94" si="8">SUM($AJ$56/(SUM($AJ$3:$AJ$55)))*G57</f>
        <v>#DIV/0!</v>
      </c>
      <c r="I57" s="25"/>
      <c r="J57" s="26" t="str">
        <f t="shared" ref="J57:J94" si="9">SUM($AL$56/(SUM($AL$3:$AL$55)))*I57</f>
        <v>#DIV/0!</v>
      </c>
      <c r="K57" s="25"/>
      <c r="L57" s="26" t="str">
        <f t="shared" ref="L57:L94" si="10">SUM($AN$56/(SUM($AN$3:$AN$55)))*K57</f>
        <v>#DIV/0!</v>
      </c>
      <c r="M57" s="25"/>
      <c r="N57" s="26" t="str">
        <f t="shared" ref="N57:N94" si="11">SUM($AP$56/(SUM($AP$3:$AP$55)))*M57</f>
        <v>#DIV/0!</v>
      </c>
      <c r="O57" s="25"/>
      <c r="P57" s="26" t="str">
        <f t="shared" ref="P57:P94" si="12">SUM($AR$56/(SUM($AR$3:$AR$55)))*O57</f>
        <v>#DIV/0!</v>
      </c>
      <c r="BI57" s="1"/>
      <c r="BJ57" s="18"/>
      <c r="BL57" s="1"/>
      <c r="BM57" s="18"/>
      <c r="BO57" s="1"/>
      <c r="BP57" s="18"/>
      <c r="BR57" s="1"/>
      <c r="BS57" s="18"/>
      <c r="BU57" s="1"/>
      <c r="BV57" s="18"/>
      <c r="BX57" s="1"/>
      <c r="BY57" s="18"/>
    </row>
    <row r="58" ht="15.75" customHeight="1">
      <c r="E58" s="23">
        <v>2.0</v>
      </c>
      <c r="F58" s="24">
        <f t="shared" si="7"/>
        <v>1869.158879</v>
      </c>
      <c r="G58" s="25"/>
      <c r="H58" s="26" t="str">
        <f t="shared" si="8"/>
        <v>#DIV/0!</v>
      </c>
      <c r="I58" s="25">
        <v>2.0</v>
      </c>
      <c r="J58" s="26" t="str">
        <f t="shared" si="9"/>
        <v>#DIV/0!</v>
      </c>
      <c r="K58" s="25"/>
      <c r="L58" s="26" t="str">
        <f t="shared" si="10"/>
        <v>#DIV/0!</v>
      </c>
      <c r="M58" s="25">
        <v>2.0</v>
      </c>
      <c r="N58" s="26" t="str">
        <f t="shared" si="11"/>
        <v>#DIV/0!</v>
      </c>
      <c r="O58" s="25"/>
      <c r="P58" s="26" t="str">
        <f t="shared" si="12"/>
        <v>#DIV/0!</v>
      </c>
      <c r="BI58" s="1"/>
      <c r="BJ58" s="18"/>
      <c r="BL58" s="1"/>
      <c r="BM58" s="18"/>
      <c r="BO58" s="1"/>
      <c r="BP58" s="18"/>
      <c r="BR58" s="1"/>
      <c r="BS58" s="18"/>
      <c r="BU58" s="1"/>
      <c r="BV58" s="18"/>
      <c r="BX58" s="1"/>
      <c r="BY58" s="18"/>
    </row>
    <row r="59" ht="15.75" customHeight="1">
      <c r="E59" s="27">
        <v>2.0</v>
      </c>
      <c r="F59" s="24">
        <f t="shared" si="7"/>
        <v>1869.158879</v>
      </c>
      <c r="G59" s="28"/>
      <c r="H59" s="24" t="str">
        <f t="shared" si="8"/>
        <v>#DIV/0!</v>
      </c>
      <c r="I59" s="28">
        <v>2.0</v>
      </c>
      <c r="J59" s="24" t="str">
        <f t="shared" si="9"/>
        <v>#DIV/0!</v>
      </c>
      <c r="K59" s="28"/>
      <c r="L59" s="24" t="str">
        <f t="shared" si="10"/>
        <v>#DIV/0!</v>
      </c>
      <c r="M59" s="28"/>
      <c r="N59" s="24" t="str">
        <f t="shared" si="11"/>
        <v>#DIV/0!</v>
      </c>
      <c r="O59" s="28"/>
      <c r="P59" s="24" t="str">
        <f t="shared" si="12"/>
        <v>#DIV/0!</v>
      </c>
      <c r="BI59" s="1"/>
      <c r="BJ59" s="18"/>
      <c r="BL59" s="1"/>
      <c r="BM59" s="18"/>
      <c r="BO59" s="1"/>
      <c r="BP59" s="18"/>
      <c r="BR59" s="1"/>
      <c r="BS59" s="18"/>
      <c r="BU59" s="1"/>
      <c r="BV59" s="18"/>
      <c r="BX59" s="1"/>
      <c r="BY59" s="18"/>
    </row>
    <row r="60" ht="15.75" customHeight="1">
      <c r="E60" s="28">
        <v>5.0</v>
      </c>
      <c r="F60" s="24">
        <f t="shared" si="7"/>
        <v>4672.897196</v>
      </c>
      <c r="G60" s="28">
        <v>5.0</v>
      </c>
      <c r="H60" s="24" t="str">
        <f t="shared" si="8"/>
        <v>#DIV/0!</v>
      </c>
      <c r="I60" s="28">
        <v>5.0</v>
      </c>
      <c r="J60" s="24" t="str">
        <f t="shared" si="9"/>
        <v>#DIV/0!</v>
      </c>
      <c r="K60" s="28">
        <v>5.0</v>
      </c>
      <c r="L60" s="24" t="str">
        <f t="shared" si="10"/>
        <v>#DIV/0!</v>
      </c>
      <c r="M60" s="28">
        <v>5.0</v>
      </c>
      <c r="N60" s="24" t="str">
        <f t="shared" si="11"/>
        <v>#DIV/0!</v>
      </c>
      <c r="O60" s="28">
        <v>5.0</v>
      </c>
      <c r="P60" s="24" t="str">
        <f t="shared" si="12"/>
        <v>#DIV/0!</v>
      </c>
      <c r="BI60" s="1"/>
      <c r="BJ60" s="18"/>
      <c r="BL60" s="1"/>
      <c r="BM60" s="18"/>
      <c r="BO60" s="1"/>
      <c r="BP60" s="18"/>
      <c r="BR60" s="1"/>
      <c r="BS60" s="18"/>
      <c r="BU60" s="1"/>
      <c r="BV60" s="18"/>
      <c r="BX60" s="1"/>
      <c r="BY60" s="18"/>
    </row>
    <row r="61" ht="15.75" customHeight="1">
      <c r="E61" s="23">
        <v>2.0</v>
      </c>
      <c r="F61" s="24">
        <f t="shared" si="7"/>
        <v>1869.158879</v>
      </c>
      <c r="G61" s="23">
        <v>2.0</v>
      </c>
      <c r="H61" s="26" t="str">
        <f t="shared" si="8"/>
        <v>#DIV/0!</v>
      </c>
      <c r="I61" s="25"/>
      <c r="J61" s="26" t="str">
        <f t="shared" si="9"/>
        <v>#DIV/0!</v>
      </c>
      <c r="K61" s="25"/>
      <c r="L61" s="26" t="str">
        <f t="shared" si="10"/>
        <v>#DIV/0!</v>
      </c>
      <c r="M61" s="25"/>
      <c r="N61" s="26" t="str">
        <f t="shared" si="11"/>
        <v>#DIV/0!</v>
      </c>
      <c r="O61" s="25"/>
      <c r="P61" s="26" t="str">
        <f t="shared" si="12"/>
        <v>#DIV/0!</v>
      </c>
      <c r="BI61" s="1"/>
      <c r="BJ61" s="18"/>
      <c r="BL61" s="1"/>
      <c r="BM61" s="18"/>
      <c r="BO61" s="1"/>
      <c r="BP61" s="18"/>
      <c r="BR61" s="1"/>
      <c r="BS61" s="18"/>
      <c r="BU61" s="1"/>
      <c r="BV61" s="18"/>
      <c r="BX61" s="1"/>
      <c r="BY61" s="18"/>
    </row>
    <row r="62" ht="15.75" customHeight="1">
      <c r="E62" s="25">
        <v>5.0</v>
      </c>
      <c r="F62" s="24">
        <f t="shared" si="7"/>
        <v>4672.897196</v>
      </c>
      <c r="G62" s="25">
        <v>5.0</v>
      </c>
      <c r="H62" s="26" t="str">
        <f t="shared" si="8"/>
        <v>#DIV/0!</v>
      </c>
      <c r="I62" s="25">
        <v>5.0</v>
      </c>
      <c r="J62" s="26" t="str">
        <f t="shared" si="9"/>
        <v>#DIV/0!</v>
      </c>
      <c r="K62" s="25"/>
      <c r="L62" s="26" t="str">
        <f t="shared" si="10"/>
        <v>#DIV/0!</v>
      </c>
      <c r="M62" s="25"/>
      <c r="N62" s="26" t="str">
        <f t="shared" si="11"/>
        <v>#DIV/0!</v>
      </c>
      <c r="O62" s="25"/>
      <c r="P62" s="26" t="str">
        <f t="shared" si="12"/>
        <v>#DIV/0!</v>
      </c>
      <c r="BI62" s="1"/>
      <c r="BJ62" s="18"/>
      <c r="BL62" s="1"/>
      <c r="BM62" s="18"/>
      <c r="BO62" s="1"/>
      <c r="BP62" s="18"/>
      <c r="BR62" s="1"/>
      <c r="BS62" s="18"/>
      <c r="BU62" s="1"/>
      <c r="BV62" s="18"/>
      <c r="BX62" s="1"/>
      <c r="BY62" s="18"/>
    </row>
    <row r="63" ht="15.75" customHeight="1">
      <c r="E63" s="23">
        <v>2.0</v>
      </c>
      <c r="F63" s="24">
        <f t="shared" si="7"/>
        <v>1869.158879</v>
      </c>
      <c r="G63" s="25"/>
      <c r="H63" s="26" t="str">
        <f t="shared" si="8"/>
        <v>#DIV/0!</v>
      </c>
      <c r="I63" s="25">
        <v>2.0</v>
      </c>
      <c r="J63" s="26" t="str">
        <f t="shared" si="9"/>
        <v>#DIV/0!</v>
      </c>
      <c r="K63" s="25"/>
      <c r="L63" s="26" t="str">
        <f t="shared" si="10"/>
        <v>#DIV/0!</v>
      </c>
      <c r="M63" s="25"/>
      <c r="N63" s="26" t="str">
        <f t="shared" si="11"/>
        <v>#DIV/0!</v>
      </c>
      <c r="O63" s="25"/>
      <c r="P63" s="26" t="str">
        <f t="shared" si="12"/>
        <v>#DIV/0!</v>
      </c>
      <c r="BI63" s="1"/>
      <c r="BJ63" s="18"/>
      <c r="BL63" s="1"/>
      <c r="BM63" s="18"/>
      <c r="BO63" s="1"/>
      <c r="BP63" s="18"/>
      <c r="BR63" s="1"/>
      <c r="BS63" s="18"/>
      <c r="BU63" s="1"/>
      <c r="BV63" s="18"/>
      <c r="BX63" s="1"/>
      <c r="BY63" s="18"/>
    </row>
    <row r="64" ht="15.75" customHeight="1">
      <c r="E64" s="23">
        <v>2.0</v>
      </c>
      <c r="F64" s="24">
        <f t="shared" si="7"/>
        <v>1869.158879</v>
      </c>
      <c r="G64" s="23">
        <v>2.0</v>
      </c>
      <c r="H64" s="26" t="str">
        <f t="shared" si="8"/>
        <v>#DIV/0!</v>
      </c>
      <c r="I64" s="25">
        <v>2.0</v>
      </c>
      <c r="J64" s="26" t="str">
        <f t="shared" si="9"/>
        <v>#DIV/0!</v>
      </c>
      <c r="K64" s="25"/>
      <c r="L64" s="26" t="str">
        <f t="shared" si="10"/>
        <v>#DIV/0!</v>
      </c>
      <c r="M64" s="25"/>
      <c r="N64" s="26" t="str">
        <f t="shared" si="11"/>
        <v>#DIV/0!</v>
      </c>
      <c r="O64" s="25"/>
      <c r="P64" s="26" t="str">
        <f t="shared" si="12"/>
        <v>#DIV/0!</v>
      </c>
      <c r="BI64" s="1"/>
      <c r="BJ64" s="18"/>
      <c r="BL64" s="1"/>
      <c r="BM64" s="18"/>
      <c r="BO64" s="1"/>
      <c r="BP64" s="18"/>
      <c r="BR64" s="1"/>
      <c r="BS64" s="18"/>
      <c r="BU64" s="1"/>
      <c r="BV64" s="18"/>
      <c r="BX64" s="1"/>
      <c r="BY64" s="18"/>
    </row>
    <row r="65" ht="15.75" customHeight="1">
      <c r="E65" s="25">
        <v>4.0</v>
      </c>
      <c r="F65" s="24">
        <f t="shared" si="7"/>
        <v>3738.317757</v>
      </c>
      <c r="G65" s="25">
        <v>4.0</v>
      </c>
      <c r="H65" s="26" t="str">
        <f t="shared" si="8"/>
        <v>#DIV/0!</v>
      </c>
      <c r="I65" s="25">
        <v>4.0</v>
      </c>
      <c r="J65" s="26" t="str">
        <f t="shared" si="9"/>
        <v>#DIV/0!</v>
      </c>
      <c r="K65" s="25"/>
      <c r="L65" s="26" t="str">
        <f t="shared" si="10"/>
        <v>#DIV/0!</v>
      </c>
      <c r="M65" s="25"/>
      <c r="N65" s="26" t="str">
        <f t="shared" si="11"/>
        <v>#DIV/0!</v>
      </c>
      <c r="O65" s="25"/>
      <c r="P65" s="26" t="str">
        <f t="shared" si="12"/>
        <v>#DIV/0!</v>
      </c>
      <c r="BI65" s="1"/>
      <c r="BJ65" s="18"/>
      <c r="BL65" s="1"/>
      <c r="BM65" s="18"/>
      <c r="BO65" s="1"/>
      <c r="BP65" s="18"/>
      <c r="BR65" s="1"/>
      <c r="BS65" s="18"/>
      <c r="BU65" s="1"/>
      <c r="BV65" s="18"/>
      <c r="BX65" s="1"/>
      <c r="BY65" s="18"/>
    </row>
    <row r="66" ht="15.75" customHeight="1">
      <c r="E66" s="25">
        <v>3.0</v>
      </c>
      <c r="F66" s="24">
        <f t="shared" si="7"/>
        <v>2803.738318</v>
      </c>
      <c r="G66" s="25">
        <v>3.0</v>
      </c>
      <c r="H66" s="26" t="str">
        <f t="shared" si="8"/>
        <v>#DIV/0!</v>
      </c>
      <c r="I66" s="25">
        <v>3.0</v>
      </c>
      <c r="J66" s="26" t="str">
        <f t="shared" si="9"/>
        <v>#DIV/0!</v>
      </c>
      <c r="K66" s="25"/>
      <c r="L66" s="26" t="str">
        <f t="shared" si="10"/>
        <v>#DIV/0!</v>
      </c>
      <c r="M66" s="25"/>
      <c r="N66" s="26" t="str">
        <f t="shared" si="11"/>
        <v>#DIV/0!</v>
      </c>
      <c r="O66" s="25"/>
      <c r="P66" s="26" t="str">
        <f t="shared" si="12"/>
        <v>#DIV/0!</v>
      </c>
      <c r="BI66" s="1"/>
      <c r="BJ66" s="18"/>
      <c r="BL66" s="1"/>
      <c r="BM66" s="18"/>
      <c r="BO66" s="1"/>
      <c r="BP66" s="18"/>
      <c r="BR66" s="1"/>
      <c r="BS66" s="18"/>
      <c r="BU66" s="1"/>
      <c r="BV66" s="18"/>
      <c r="BX66" s="1"/>
      <c r="BY66" s="18"/>
    </row>
    <row r="67" ht="15.75" customHeight="1">
      <c r="E67" s="28">
        <v>5.0</v>
      </c>
      <c r="F67" s="24">
        <f t="shared" si="7"/>
        <v>4672.897196</v>
      </c>
      <c r="G67" s="28">
        <v>5.0</v>
      </c>
      <c r="H67" s="24" t="str">
        <f t="shared" si="8"/>
        <v>#DIV/0!</v>
      </c>
      <c r="I67" s="28">
        <v>5.0</v>
      </c>
      <c r="J67" s="24" t="str">
        <f t="shared" si="9"/>
        <v>#DIV/0!</v>
      </c>
      <c r="K67" s="28">
        <v>5.0</v>
      </c>
      <c r="L67" s="24" t="str">
        <f t="shared" si="10"/>
        <v>#DIV/0!</v>
      </c>
      <c r="M67" s="28">
        <v>5.0</v>
      </c>
      <c r="N67" s="24" t="str">
        <f t="shared" si="11"/>
        <v>#DIV/0!</v>
      </c>
      <c r="O67" s="28">
        <v>5.0</v>
      </c>
      <c r="P67" s="24" t="str">
        <f t="shared" si="12"/>
        <v>#DIV/0!</v>
      </c>
      <c r="BI67" s="1"/>
      <c r="BJ67" s="18"/>
      <c r="BL67" s="1"/>
      <c r="BM67" s="18"/>
      <c r="BO67" s="1"/>
      <c r="BP67" s="18"/>
      <c r="BR67" s="1"/>
      <c r="BS67" s="18"/>
      <c r="BU67" s="1"/>
      <c r="BV67" s="18"/>
      <c r="BX67" s="1"/>
      <c r="BY67" s="18"/>
    </row>
    <row r="68" ht="15.75" customHeight="1">
      <c r="E68" s="25">
        <v>4.0</v>
      </c>
      <c r="F68" s="24">
        <f t="shared" si="7"/>
        <v>3738.317757</v>
      </c>
      <c r="G68" s="25"/>
      <c r="H68" s="26" t="str">
        <f t="shared" si="8"/>
        <v>#DIV/0!</v>
      </c>
      <c r="I68" s="25">
        <v>4.0</v>
      </c>
      <c r="J68" s="26" t="str">
        <f t="shared" si="9"/>
        <v>#DIV/0!</v>
      </c>
      <c r="K68" s="25"/>
      <c r="L68" s="26" t="str">
        <f t="shared" si="10"/>
        <v>#DIV/0!</v>
      </c>
      <c r="M68" s="25">
        <v>4.0</v>
      </c>
      <c r="N68" s="26" t="str">
        <f t="shared" si="11"/>
        <v>#DIV/0!</v>
      </c>
      <c r="O68" s="25"/>
      <c r="P68" s="26" t="str">
        <f t="shared" si="12"/>
        <v>#DIV/0!</v>
      </c>
      <c r="BI68" s="1"/>
      <c r="BJ68" s="18"/>
      <c r="BL68" s="1"/>
      <c r="BM68" s="18"/>
      <c r="BO68" s="1"/>
      <c r="BP68" s="18"/>
      <c r="BR68" s="1"/>
      <c r="BS68" s="18"/>
      <c r="BU68" s="1"/>
      <c r="BV68" s="18"/>
      <c r="BX68" s="1"/>
      <c r="BY68" s="18"/>
    </row>
    <row r="69" ht="15.75" customHeight="1">
      <c r="E69" s="23">
        <v>2.0</v>
      </c>
      <c r="F69" s="24">
        <f t="shared" si="7"/>
        <v>1869.158879</v>
      </c>
      <c r="G69" s="23">
        <v>2.0</v>
      </c>
      <c r="H69" s="26" t="str">
        <f t="shared" si="8"/>
        <v>#DIV/0!</v>
      </c>
      <c r="I69" s="25">
        <v>2.0</v>
      </c>
      <c r="J69" s="26" t="str">
        <f t="shared" si="9"/>
        <v>#DIV/0!</v>
      </c>
      <c r="K69" s="25">
        <v>2.0</v>
      </c>
      <c r="L69" s="26" t="str">
        <f t="shared" si="10"/>
        <v>#DIV/0!</v>
      </c>
      <c r="M69" s="25">
        <v>2.0</v>
      </c>
      <c r="N69" s="26" t="str">
        <f t="shared" si="11"/>
        <v>#DIV/0!</v>
      </c>
      <c r="O69" s="25">
        <v>2.0</v>
      </c>
      <c r="P69" s="26" t="str">
        <f t="shared" si="12"/>
        <v>#DIV/0!</v>
      </c>
      <c r="BI69" s="1"/>
      <c r="BJ69" s="18"/>
      <c r="BL69" s="1"/>
      <c r="BM69" s="18"/>
      <c r="BO69" s="1"/>
      <c r="BP69" s="18"/>
      <c r="BR69" s="1"/>
      <c r="BS69" s="18"/>
      <c r="BU69" s="1"/>
      <c r="BV69" s="18"/>
      <c r="BX69" s="1"/>
      <c r="BY69" s="18"/>
    </row>
    <row r="70" ht="15.75" customHeight="1">
      <c r="E70" s="25">
        <v>3.0</v>
      </c>
      <c r="F70" s="24">
        <f t="shared" si="7"/>
        <v>2803.738318</v>
      </c>
      <c r="G70" s="25">
        <v>3.0</v>
      </c>
      <c r="H70" s="26" t="str">
        <f t="shared" si="8"/>
        <v>#DIV/0!</v>
      </c>
      <c r="I70" s="25">
        <v>3.0</v>
      </c>
      <c r="J70" s="26" t="str">
        <f t="shared" si="9"/>
        <v>#DIV/0!</v>
      </c>
      <c r="K70" s="25"/>
      <c r="L70" s="26" t="str">
        <f t="shared" si="10"/>
        <v>#DIV/0!</v>
      </c>
      <c r="M70" s="25"/>
      <c r="N70" s="26" t="str">
        <f t="shared" si="11"/>
        <v>#DIV/0!</v>
      </c>
      <c r="O70" s="25"/>
      <c r="P70" s="26" t="str">
        <f t="shared" si="12"/>
        <v>#DIV/0!</v>
      </c>
      <c r="BI70" s="1"/>
      <c r="BJ70" s="18"/>
      <c r="BL70" s="1"/>
      <c r="BM70" s="18"/>
      <c r="BO70" s="1"/>
      <c r="BP70" s="18"/>
      <c r="BR70" s="1"/>
      <c r="BS70" s="18"/>
      <c r="BU70" s="1"/>
      <c r="BV70" s="18"/>
      <c r="BX70" s="1"/>
      <c r="BY70" s="18"/>
    </row>
    <row r="71" ht="15.75" customHeight="1">
      <c r="E71" s="25">
        <v>1.0</v>
      </c>
      <c r="F71" s="24">
        <f t="shared" si="7"/>
        <v>934.5794393</v>
      </c>
      <c r="G71" s="25"/>
      <c r="H71" s="26" t="str">
        <f t="shared" si="8"/>
        <v>#DIV/0!</v>
      </c>
      <c r="I71" s="25"/>
      <c r="J71" s="26" t="str">
        <f t="shared" si="9"/>
        <v>#DIV/0!</v>
      </c>
      <c r="K71" s="25"/>
      <c r="L71" s="26" t="str">
        <f t="shared" si="10"/>
        <v>#DIV/0!</v>
      </c>
      <c r="M71" s="25"/>
      <c r="N71" s="26" t="str">
        <f t="shared" si="11"/>
        <v>#DIV/0!</v>
      </c>
      <c r="O71" s="25"/>
      <c r="P71" s="26" t="str">
        <f t="shared" si="12"/>
        <v>#DIV/0!</v>
      </c>
      <c r="BI71" s="1"/>
      <c r="BJ71" s="18"/>
      <c r="BL71" s="1"/>
      <c r="BM71" s="18"/>
      <c r="BO71" s="1"/>
      <c r="BP71" s="18"/>
      <c r="BR71" s="1"/>
      <c r="BS71" s="18"/>
      <c r="BU71" s="1"/>
      <c r="BV71" s="18"/>
      <c r="BX71" s="1"/>
      <c r="BY71" s="18"/>
    </row>
    <row r="72" ht="15.75" customHeight="1">
      <c r="E72" s="25">
        <v>5.0</v>
      </c>
      <c r="F72" s="24">
        <f t="shared" si="7"/>
        <v>4672.897196</v>
      </c>
      <c r="G72" s="25">
        <v>5.0</v>
      </c>
      <c r="H72" s="26" t="str">
        <f t="shared" si="8"/>
        <v>#DIV/0!</v>
      </c>
      <c r="I72" s="25"/>
      <c r="J72" s="26" t="str">
        <f t="shared" si="9"/>
        <v>#DIV/0!</v>
      </c>
      <c r="K72" s="25"/>
      <c r="L72" s="26" t="str">
        <f t="shared" si="10"/>
        <v>#DIV/0!</v>
      </c>
      <c r="M72" s="25"/>
      <c r="N72" s="26" t="str">
        <f t="shared" si="11"/>
        <v>#DIV/0!</v>
      </c>
      <c r="O72" s="25"/>
      <c r="P72" s="26" t="str">
        <f t="shared" si="12"/>
        <v>#DIV/0!</v>
      </c>
      <c r="BI72" s="1"/>
      <c r="BJ72" s="18"/>
      <c r="BL72" s="1"/>
      <c r="BM72" s="18"/>
      <c r="BO72" s="1"/>
      <c r="BP72" s="18"/>
      <c r="BR72" s="1"/>
      <c r="BS72" s="18"/>
      <c r="BU72" s="1"/>
      <c r="BV72" s="18"/>
      <c r="BX72" s="1"/>
      <c r="BY72" s="18"/>
    </row>
    <row r="73" ht="15.75" customHeight="1">
      <c r="E73" s="23">
        <v>2.0</v>
      </c>
      <c r="F73" s="24">
        <f t="shared" si="7"/>
        <v>1869.158879</v>
      </c>
      <c r="G73" s="23">
        <v>2.0</v>
      </c>
      <c r="H73" s="26" t="str">
        <f t="shared" si="8"/>
        <v>#DIV/0!</v>
      </c>
      <c r="I73" s="25">
        <v>2.0</v>
      </c>
      <c r="J73" s="26" t="str">
        <f t="shared" si="9"/>
        <v>#DIV/0!</v>
      </c>
      <c r="K73" s="25"/>
      <c r="L73" s="26" t="str">
        <f t="shared" si="10"/>
        <v>#DIV/0!</v>
      </c>
      <c r="M73" s="25">
        <v>2.0</v>
      </c>
      <c r="N73" s="26" t="str">
        <f t="shared" si="11"/>
        <v>#DIV/0!</v>
      </c>
      <c r="O73" s="25"/>
      <c r="P73" s="26" t="str">
        <f t="shared" si="12"/>
        <v>#DIV/0!</v>
      </c>
      <c r="BI73" s="1"/>
      <c r="BJ73" s="18"/>
      <c r="BL73" s="1"/>
      <c r="BM73" s="18"/>
      <c r="BO73" s="1"/>
      <c r="BP73" s="18"/>
      <c r="BR73" s="1"/>
      <c r="BS73" s="18"/>
      <c r="BU73" s="1"/>
      <c r="BV73" s="18"/>
      <c r="BX73" s="1"/>
      <c r="BY73" s="18"/>
    </row>
    <row r="74" ht="15.75" customHeight="1">
      <c r="E74" s="28">
        <v>3.0</v>
      </c>
      <c r="F74" s="24">
        <f t="shared" si="7"/>
        <v>2803.738318</v>
      </c>
      <c r="G74" s="28">
        <v>3.0</v>
      </c>
      <c r="H74" s="24" t="str">
        <f t="shared" si="8"/>
        <v>#DIV/0!</v>
      </c>
      <c r="I74" s="28">
        <v>3.0</v>
      </c>
      <c r="J74" s="24" t="str">
        <f t="shared" si="9"/>
        <v>#DIV/0!</v>
      </c>
      <c r="K74" s="28"/>
      <c r="L74" s="24" t="str">
        <f t="shared" si="10"/>
        <v>#DIV/0!</v>
      </c>
      <c r="M74" s="28"/>
      <c r="N74" s="24" t="str">
        <f t="shared" si="11"/>
        <v>#DIV/0!</v>
      </c>
      <c r="O74" s="28"/>
      <c r="P74" s="24" t="str">
        <f t="shared" si="12"/>
        <v>#DIV/0!</v>
      </c>
      <c r="BI74" s="1"/>
      <c r="BJ74" s="18"/>
      <c r="BL74" s="1"/>
      <c r="BM74" s="18"/>
      <c r="BO74" s="1"/>
      <c r="BP74" s="18"/>
      <c r="BR74" s="1"/>
      <c r="BS74" s="18"/>
      <c r="BU74" s="1"/>
      <c r="BV74" s="18"/>
      <c r="BX74" s="1"/>
      <c r="BY74" s="18"/>
    </row>
    <row r="75" ht="15.75" customHeight="1">
      <c r="E75" s="23">
        <v>2.0</v>
      </c>
      <c r="F75" s="24">
        <f t="shared" si="7"/>
        <v>1869.158879</v>
      </c>
      <c r="G75" s="23">
        <v>2.0</v>
      </c>
      <c r="H75" s="26" t="str">
        <f t="shared" si="8"/>
        <v>#DIV/0!</v>
      </c>
      <c r="I75" s="25"/>
      <c r="J75" s="26" t="str">
        <f t="shared" si="9"/>
        <v>#DIV/0!</v>
      </c>
      <c r="K75" s="25">
        <v>2.0</v>
      </c>
      <c r="L75" s="26" t="str">
        <f t="shared" si="10"/>
        <v>#DIV/0!</v>
      </c>
      <c r="M75" s="25">
        <v>2.0</v>
      </c>
      <c r="N75" s="26" t="str">
        <f t="shared" si="11"/>
        <v>#DIV/0!</v>
      </c>
      <c r="O75" s="25">
        <v>2.0</v>
      </c>
      <c r="P75" s="26" t="str">
        <f t="shared" si="12"/>
        <v>#DIV/0!</v>
      </c>
      <c r="BI75" s="1"/>
      <c r="BJ75" s="18"/>
      <c r="BL75" s="1"/>
      <c r="BM75" s="18"/>
      <c r="BO75" s="1"/>
      <c r="BP75" s="18"/>
      <c r="BR75" s="1"/>
      <c r="BS75" s="18"/>
      <c r="BU75" s="1"/>
      <c r="BV75" s="18"/>
      <c r="BX75" s="1"/>
      <c r="BY75" s="18"/>
    </row>
    <row r="76" ht="15.75" customHeight="1">
      <c r="E76" s="25">
        <v>1.0</v>
      </c>
      <c r="F76" s="24">
        <f t="shared" si="7"/>
        <v>934.5794393</v>
      </c>
      <c r="G76" s="25">
        <v>1.0</v>
      </c>
      <c r="H76" s="26" t="str">
        <f t="shared" si="8"/>
        <v>#DIV/0!</v>
      </c>
      <c r="I76" s="25">
        <v>1.0</v>
      </c>
      <c r="J76" s="26" t="str">
        <f t="shared" si="9"/>
        <v>#DIV/0!</v>
      </c>
      <c r="K76" s="25"/>
      <c r="L76" s="26" t="str">
        <f t="shared" si="10"/>
        <v>#DIV/0!</v>
      </c>
      <c r="M76" s="25"/>
      <c r="N76" s="26" t="str">
        <f t="shared" si="11"/>
        <v>#DIV/0!</v>
      </c>
      <c r="O76" s="25"/>
      <c r="P76" s="26" t="str">
        <f t="shared" si="12"/>
        <v>#DIV/0!</v>
      </c>
      <c r="BI76" s="1"/>
      <c r="BJ76" s="18"/>
      <c r="BL76" s="1"/>
      <c r="BM76" s="18"/>
      <c r="BO76" s="1"/>
      <c r="BP76" s="18"/>
      <c r="BR76" s="1"/>
      <c r="BS76" s="18"/>
      <c r="BU76" s="1"/>
      <c r="BV76" s="18"/>
      <c r="BX76" s="1"/>
      <c r="BY76" s="18"/>
    </row>
    <row r="77" ht="15.75" customHeight="1">
      <c r="E77" s="28">
        <v>1.0</v>
      </c>
      <c r="F77" s="24">
        <f t="shared" si="7"/>
        <v>934.5794393</v>
      </c>
      <c r="G77" s="28">
        <v>1.0</v>
      </c>
      <c r="H77" s="24" t="str">
        <f t="shared" si="8"/>
        <v>#DIV/0!</v>
      </c>
      <c r="I77" s="28">
        <v>1.0</v>
      </c>
      <c r="J77" s="24" t="str">
        <f t="shared" si="9"/>
        <v>#DIV/0!</v>
      </c>
      <c r="K77" s="28"/>
      <c r="L77" s="24" t="str">
        <f t="shared" si="10"/>
        <v>#DIV/0!</v>
      </c>
      <c r="M77" s="28"/>
      <c r="N77" s="24" t="str">
        <f t="shared" si="11"/>
        <v>#DIV/0!</v>
      </c>
      <c r="O77" s="28"/>
      <c r="P77" s="24" t="str">
        <f t="shared" si="12"/>
        <v>#DIV/0!</v>
      </c>
      <c r="BI77" s="1"/>
      <c r="BJ77" s="18"/>
      <c r="BL77" s="1"/>
      <c r="BM77" s="18"/>
      <c r="BO77" s="1"/>
      <c r="BP77" s="18"/>
      <c r="BR77" s="1"/>
      <c r="BS77" s="18"/>
      <c r="BU77" s="1"/>
      <c r="BV77" s="18"/>
      <c r="BX77" s="1"/>
      <c r="BY77" s="18"/>
    </row>
    <row r="78" ht="15.75" customHeight="1">
      <c r="E78" s="25">
        <v>1.0</v>
      </c>
      <c r="F78" s="24">
        <f t="shared" si="7"/>
        <v>934.5794393</v>
      </c>
      <c r="G78" s="25">
        <v>1.0</v>
      </c>
      <c r="H78" s="26" t="str">
        <f t="shared" si="8"/>
        <v>#DIV/0!</v>
      </c>
      <c r="I78" s="25">
        <v>1.0</v>
      </c>
      <c r="J78" s="26" t="str">
        <f t="shared" si="9"/>
        <v>#DIV/0!</v>
      </c>
      <c r="K78" s="25">
        <v>1.0</v>
      </c>
      <c r="L78" s="26" t="str">
        <f t="shared" si="10"/>
        <v>#DIV/0!</v>
      </c>
      <c r="M78" s="25">
        <v>1.0</v>
      </c>
      <c r="N78" s="26" t="str">
        <f t="shared" si="11"/>
        <v>#DIV/0!</v>
      </c>
      <c r="O78" s="25">
        <v>1.0</v>
      </c>
      <c r="P78" s="26" t="str">
        <f t="shared" si="12"/>
        <v>#DIV/0!</v>
      </c>
      <c r="BI78" s="1"/>
      <c r="BJ78" s="18"/>
      <c r="BL78" s="1"/>
      <c r="BM78" s="18"/>
      <c r="BO78" s="1"/>
      <c r="BP78" s="18"/>
      <c r="BR78" s="1"/>
      <c r="BS78" s="18"/>
      <c r="BU78" s="1"/>
      <c r="BV78" s="18"/>
      <c r="BX78" s="1"/>
      <c r="BY78" s="18"/>
    </row>
    <row r="79" ht="15.75" customHeight="1">
      <c r="E79" s="25">
        <v>4.0</v>
      </c>
      <c r="F79" s="24">
        <f t="shared" si="7"/>
        <v>3738.317757</v>
      </c>
      <c r="G79" s="25">
        <v>4.0</v>
      </c>
      <c r="H79" s="26" t="str">
        <f t="shared" si="8"/>
        <v>#DIV/0!</v>
      </c>
      <c r="I79" s="25">
        <v>4.0</v>
      </c>
      <c r="J79" s="26" t="str">
        <f t="shared" si="9"/>
        <v>#DIV/0!</v>
      </c>
      <c r="K79" s="25">
        <v>4.0</v>
      </c>
      <c r="L79" s="26" t="str">
        <f t="shared" si="10"/>
        <v>#DIV/0!</v>
      </c>
      <c r="M79" s="25">
        <v>4.0</v>
      </c>
      <c r="N79" s="26" t="str">
        <f t="shared" si="11"/>
        <v>#DIV/0!</v>
      </c>
      <c r="O79" s="25">
        <v>4.0</v>
      </c>
      <c r="P79" s="26" t="str">
        <f t="shared" si="12"/>
        <v>#DIV/0!</v>
      </c>
      <c r="BI79" s="1"/>
      <c r="BJ79" s="18"/>
      <c r="BL79" s="1"/>
      <c r="BM79" s="18"/>
      <c r="BO79" s="1"/>
      <c r="BP79" s="18"/>
      <c r="BR79" s="1"/>
      <c r="BS79" s="18"/>
      <c r="BU79" s="1"/>
      <c r="BV79" s="18"/>
      <c r="BX79" s="1"/>
      <c r="BY79" s="18"/>
    </row>
    <row r="80" ht="15.75" customHeight="1">
      <c r="E80" s="25">
        <v>1.0</v>
      </c>
      <c r="F80" s="24">
        <f t="shared" si="7"/>
        <v>934.5794393</v>
      </c>
      <c r="G80" s="25">
        <v>1.0</v>
      </c>
      <c r="H80" s="26" t="str">
        <f t="shared" si="8"/>
        <v>#DIV/0!</v>
      </c>
      <c r="I80" s="25">
        <v>1.0</v>
      </c>
      <c r="J80" s="26" t="str">
        <f t="shared" si="9"/>
        <v>#DIV/0!</v>
      </c>
      <c r="K80" s="25"/>
      <c r="L80" s="26" t="str">
        <f t="shared" si="10"/>
        <v>#DIV/0!</v>
      </c>
      <c r="M80" s="25"/>
      <c r="N80" s="26" t="str">
        <f t="shared" si="11"/>
        <v>#DIV/0!</v>
      </c>
      <c r="O80" s="25"/>
      <c r="P80" s="26" t="str">
        <f t="shared" si="12"/>
        <v>#DIV/0!</v>
      </c>
      <c r="BI80" s="1"/>
      <c r="BJ80" s="18"/>
      <c r="BL80" s="1"/>
      <c r="BM80" s="18"/>
      <c r="BO80" s="1"/>
      <c r="BP80" s="18"/>
      <c r="BR80" s="1"/>
      <c r="BS80" s="18"/>
      <c r="BU80" s="1"/>
      <c r="BV80" s="18"/>
      <c r="BX80" s="1"/>
      <c r="BY80" s="18"/>
    </row>
    <row r="81" ht="15.75" customHeight="1">
      <c r="E81" s="28">
        <v>4.0</v>
      </c>
      <c r="F81" s="24">
        <f t="shared" si="7"/>
        <v>3738.317757</v>
      </c>
      <c r="G81" s="28">
        <v>4.0</v>
      </c>
      <c r="H81" s="24" t="str">
        <f t="shared" si="8"/>
        <v>#DIV/0!</v>
      </c>
      <c r="I81" s="28">
        <v>4.0</v>
      </c>
      <c r="J81" s="24" t="str">
        <f t="shared" si="9"/>
        <v>#DIV/0!</v>
      </c>
      <c r="K81" s="28"/>
      <c r="L81" s="24" t="str">
        <f t="shared" si="10"/>
        <v>#DIV/0!</v>
      </c>
      <c r="M81" s="28"/>
      <c r="N81" s="24" t="str">
        <f t="shared" si="11"/>
        <v>#DIV/0!</v>
      </c>
      <c r="O81" s="28"/>
      <c r="P81" s="24" t="str">
        <f t="shared" si="12"/>
        <v>#DIV/0!</v>
      </c>
      <c r="BI81" s="1"/>
      <c r="BJ81" s="18"/>
      <c r="BL81" s="1"/>
      <c r="BM81" s="18"/>
      <c r="BO81" s="1"/>
      <c r="BP81" s="18"/>
      <c r="BR81" s="1"/>
      <c r="BS81" s="18"/>
      <c r="BU81" s="1"/>
      <c r="BV81" s="18"/>
      <c r="BX81" s="1"/>
      <c r="BY81" s="18"/>
    </row>
    <row r="82" ht="15.75" customHeight="1">
      <c r="E82" s="28">
        <v>3.0</v>
      </c>
      <c r="F82" s="24">
        <f t="shared" si="7"/>
        <v>2803.738318</v>
      </c>
      <c r="G82" s="28"/>
      <c r="H82" s="24" t="str">
        <f t="shared" si="8"/>
        <v>#DIV/0!</v>
      </c>
      <c r="I82" s="28">
        <v>3.0</v>
      </c>
      <c r="J82" s="24" t="str">
        <f t="shared" si="9"/>
        <v>#DIV/0!</v>
      </c>
      <c r="K82" s="28"/>
      <c r="L82" s="24" t="str">
        <f t="shared" si="10"/>
        <v>#DIV/0!</v>
      </c>
      <c r="M82" s="28">
        <v>3.0</v>
      </c>
      <c r="N82" s="24" t="str">
        <f t="shared" si="11"/>
        <v>#DIV/0!</v>
      </c>
      <c r="O82" s="28"/>
      <c r="P82" s="24" t="str">
        <f t="shared" si="12"/>
        <v>#DIV/0!</v>
      </c>
      <c r="BI82" s="1"/>
      <c r="BJ82" s="18"/>
      <c r="BL82" s="1"/>
      <c r="BM82" s="18"/>
      <c r="BO82" s="1"/>
      <c r="BP82" s="18"/>
      <c r="BR82" s="1"/>
      <c r="BS82" s="18"/>
      <c r="BU82" s="1"/>
      <c r="BV82" s="18"/>
      <c r="BX82" s="1"/>
      <c r="BY82" s="18"/>
    </row>
    <row r="83" ht="15.75" customHeight="1">
      <c r="E83" s="25">
        <v>5.0</v>
      </c>
      <c r="F83" s="24">
        <f t="shared" si="7"/>
        <v>4672.897196</v>
      </c>
      <c r="G83" s="25">
        <v>5.0</v>
      </c>
      <c r="H83" s="26" t="str">
        <f t="shared" si="8"/>
        <v>#DIV/0!</v>
      </c>
      <c r="I83" s="25">
        <v>5.0</v>
      </c>
      <c r="J83" s="26" t="str">
        <f t="shared" si="9"/>
        <v>#DIV/0!</v>
      </c>
      <c r="K83" s="25">
        <v>5.0</v>
      </c>
      <c r="L83" s="26" t="str">
        <f t="shared" si="10"/>
        <v>#DIV/0!</v>
      </c>
      <c r="M83" s="25">
        <v>5.0</v>
      </c>
      <c r="N83" s="26" t="str">
        <f t="shared" si="11"/>
        <v>#DIV/0!</v>
      </c>
      <c r="O83" s="25">
        <v>5.0</v>
      </c>
      <c r="P83" s="26" t="str">
        <f t="shared" si="12"/>
        <v>#DIV/0!</v>
      </c>
      <c r="BI83" s="1"/>
      <c r="BJ83" s="18"/>
      <c r="BL83" s="1"/>
      <c r="BM83" s="18"/>
      <c r="BO83" s="1"/>
      <c r="BP83" s="18"/>
      <c r="BR83" s="1"/>
      <c r="BS83" s="18"/>
      <c r="BU83" s="1"/>
      <c r="BV83" s="18"/>
      <c r="BX83" s="1"/>
      <c r="BY83" s="18"/>
    </row>
    <row r="84" ht="15.75" customHeight="1">
      <c r="E84" s="25">
        <v>1.0</v>
      </c>
      <c r="F84" s="24">
        <f t="shared" si="7"/>
        <v>934.5794393</v>
      </c>
      <c r="G84" s="25">
        <v>1.0</v>
      </c>
      <c r="H84" s="26" t="str">
        <f t="shared" si="8"/>
        <v>#DIV/0!</v>
      </c>
      <c r="I84" s="25">
        <v>1.0</v>
      </c>
      <c r="J84" s="26" t="str">
        <f t="shared" si="9"/>
        <v>#DIV/0!</v>
      </c>
      <c r="K84" s="25">
        <v>1.0</v>
      </c>
      <c r="L84" s="26" t="str">
        <f t="shared" si="10"/>
        <v>#DIV/0!</v>
      </c>
      <c r="M84" s="25">
        <v>1.0</v>
      </c>
      <c r="N84" s="26" t="str">
        <f t="shared" si="11"/>
        <v>#DIV/0!</v>
      </c>
      <c r="O84" s="25">
        <v>1.0</v>
      </c>
      <c r="P84" s="26" t="str">
        <f t="shared" si="12"/>
        <v>#DIV/0!</v>
      </c>
      <c r="BI84" s="1"/>
      <c r="BJ84" s="18"/>
      <c r="BL84" s="1"/>
      <c r="BM84" s="18"/>
      <c r="BO84" s="1"/>
      <c r="BP84" s="18"/>
      <c r="BR84" s="1"/>
      <c r="BS84" s="18"/>
      <c r="BU84" s="1"/>
      <c r="BV84" s="18"/>
      <c r="BX84" s="1"/>
      <c r="BY84" s="18"/>
    </row>
    <row r="85" ht="15.75" customHeight="1">
      <c r="E85" s="27">
        <v>2.0</v>
      </c>
      <c r="F85" s="24">
        <f t="shared" si="7"/>
        <v>1869.158879</v>
      </c>
      <c r="G85" s="27">
        <v>2.0</v>
      </c>
      <c r="H85" s="24" t="str">
        <f t="shared" si="8"/>
        <v>#DIV/0!</v>
      </c>
      <c r="I85" s="28">
        <v>2.0</v>
      </c>
      <c r="J85" s="24" t="str">
        <f t="shared" si="9"/>
        <v>#DIV/0!</v>
      </c>
      <c r="K85" s="28"/>
      <c r="L85" s="24" t="str">
        <f t="shared" si="10"/>
        <v>#DIV/0!</v>
      </c>
      <c r="M85" s="28"/>
      <c r="N85" s="24" t="str">
        <f t="shared" si="11"/>
        <v>#DIV/0!</v>
      </c>
      <c r="O85" s="28"/>
      <c r="P85" s="24" t="str">
        <f t="shared" si="12"/>
        <v>#DIV/0!</v>
      </c>
      <c r="BI85" s="1"/>
      <c r="BJ85" s="18"/>
      <c r="BL85" s="1"/>
      <c r="BM85" s="18"/>
      <c r="BO85" s="1"/>
      <c r="BP85" s="18"/>
      <c r="BR85" s="1"/>
      <c r="BS85" s="18"/>
      <c r="BU85" s="1"/>
      <c r="BV85" s="18"/>
      <c r="BX85" s="1"/>
      <c r="BY85" s="18"/>
    </row>
    <row r="86" ht="15.75" customHeight="1">
      <c r="E86" s="25">
        <v>3.0</v>
      </c>
      <c r="F86" s="24">
        <f t="shared" si="7"/>
        <v>2803.738318</v>
      </c>
      <c r="G86" s="25">
        <v>3.0</v>
      </c>
      <c r="H86" s="26" t="str">
        <f t="shared" si="8"/>
        <v>#DIV/0!</v>
      </c>
      <c r="I86" s="25">
        <v>3.0</v>
      </c>
      <c r="J86" s="26" t="str">
        <f t="shared" si="9"/>
        <v>#DIV/0!</v>
      </c>
      <c r="K86" s="25">
        <v>3.0</v>
      </c>
      <c r="L86" s="26" t="str">
        <f t="shared" si="10"/>
        <v>#DIV/0!</v>
      </c>
      <c r="M86" s="25">
        <v>3.0</v>
      </c>
      <c r="N86" s="26" t="str">
        <f t="shared" si="11"/>
        <v>#DIV/0!</v>
      </c>
      <c r="O86" s="25">
        <v>3.0</v>
      </c>
      <c r="P86" s="26" t="str">
        <f t="shared" si="12"/>
        <v>#DIV/0!</v>
      </c>
      <c r="BI86" s="1"/>
      <c r="BJ86" s="18"/>
      <c r="BL86" s="1"/>
      <c r="BM86" s="18"/>
      <c r="BO86" s="1"/>
      <c r="BP86" s="18"/>
      <c r="BR86" s="1"/>
      <c r="BS86" s="18"/>
      <c r="BU86" s="1"/>
      <c r="BV86" s="18"/>
      <c r="BX86" s="1"/>
      <c r="BY86" s="18"/>
    </row>
    <row r="87" ht="15.75" customHeight="1">
      <c r="E87" s="25">
        <v>1.0</v>
      </c>
      <c r="F87" s="24">
        <f t="shared" si="7"/>
        <v>934.5794393</v>
      </c>
      <c r="G87" s="25">
        <v>1.0</v>
      </c>
      <c r="H87" s="26" t="str">
        <f t="shared" si="8"/>
        <v>#DIV/0!</v>
      </c>
      <c r="I87" s="25">
        <v>1.0</v>
      </c>
      <c r="J87" s="26" t="str">
        <f t="shared" si="9"/>
        <v>#DIV/0!</v>
      </c>
      <c r="K87" s="25"/>
      <c r="L87" s="26" t="str">
        <f t="shared" si="10"/>
        <v>#DIV/0!</v>
      </c>
      <c r="M87" s="25"/>
      <c r="N87" s="26" t="str">
        <f t="shared" si="11"/>
        <v>#DIV/0!</v>
      </c>
      <c r="O87" s="25"/>
      <c r="P87" s="26" t="str">
        <f t="shared" si="12"/>
        <v>#DIV/0!</v>
      </c>
      <c r="BI87" s="1"/>
      <c r="BJ87" s="18"/>
      <c r="BL87" s="1"/>
      <c r="BM87" s="18"/>
      <c r="BO87" s="1"/>
      <c r="BP87" s="18"/>
      <c r="BR87" s="1"/>
      <c r="BS87" s="18"/>
      <c r="BU87" s="1"/>
      <c r="BV87" s="18"/>
      <c r="BX87" s="1"/>
      <c r="BY87" s="18"/>
    </row>
    <row r="88" ht="15.75" customHeight="1">
      <c r="E88" s="25">
        <v>3.0</v>
      </c>
      <c r="F88" s="24">
        <f t="shared" si="7"/>
        <v>2803.738318</v>
      </c>
      <c r="G88" s="25">
        <v>3.0</v>
      </c>
      <c r="H88" s="26" t="str">
        <f t="shared" si="8"/>
        <v>#DIV/0!</v>
      </c>
      <c r="I88" s="25">
        <v>3.0</v>
      </c>
      <c r="J88" s="26" t="str">
        <f t="shared" si="9"/>
        <v>#DIV/0!</v>
      </c>
      <c r="K88" s="25">
        <v>3.0</v>
      </c>
      <c r="L88" s="26" t="str">
        <f t="shared" si="10"/>
        <v>#DIV/0!</v>
      </c>
      <c r="M88" s="25">
        <v>3.0</v>
      </c>
      <c r="N88" s="26" t="str">
        <f t="shared" si="11"/>
        <v>#DIV/0!</v>
      </c>
      <c r="O88" s="25">
        <v>3.0</v>
      </c>
      <c r="P88" s="26" t="str">
        <f t="shared" si="12"/>
        <v>#DIV/0!</v>
      </c>
      <c r="BI88" s="1"/>
      <c r="BJ88" s="18"/>
      <c r="BL88" s="1"/>
      <c r="BM88" s="18"/>
      <c r="BO88" s="1"/>
      <c r="BP88" s="18"/>
      <c r="BR88" s="1"/>
      <c r="BS88" s="18"/>
      <c r="BU88" s="1"/>
      <c r="BV88" s="18"/>
      <c r="BX88" s="1"/>
      <c r="BY88" s="18"/>
    </row>
    <row r="89" ht="15.75" customHeight="1">
      <c r="E89" s="25">
        <v>1.0</v>
      </c>
      <c r="F89" s="24">
        <f t="shared" si="7"/>
        <v>934.5794393</v>
      </c>
      <c r="G89" s="25">
        <v>1.0</v>
      </c>
      <c r="H89" s="26" t="str">
        <f t="shared" si="8"/>
        <v>#DIV/0!</v>
      </c>
      <c r="I89" s="25">
        <v>1.0</v>
      </c>
      <c r="J89" s="26" t="str">
        <f t="shared" si="9"/>
        <v>#DIV/0!</v>
      </c>
      <c r="K89" s="25"/>
      <c r="L89" s="26" t="str">
        <f t="shared" si="10"/>
        <v>#DIV/0!</v>
      </c>
      <c r="M89" s="25"/>
      <c r="N89" s="26" t="str">
        <f t="shared" si="11"/>
        <v>#DIV/0!</v>
      </c>
      <c r="O89" s="25"/>
      <c r="P89" s="26" t="str">
        <f t="shared" si="12"/>
        <v>#DIV/0!</v>
      </c>
      <c r="BI89" s="1"/>
      <c r="BJ89" s="18"/>
      <c r="BL89" s="1"/>
      <c r="BM89" s="18"/>
      <c r="BO89" s="1"/>
      <c r="BP89" s="18"/>
      <c r="BR89" s="1"/>
      <c r="BS89" s="18"/>
      <c r="BU89" s="1"/>
      <c r="BV89" s="18"/>
      <c r="BX89" s="1"/>
      <c r="BY89" s="18"/>
    </row>
    <row r="90" ht="15.75" customHeight="1">
      <c r="E90" s="28">
        <v>4.0</v>
      </c>
      <c r="F90" s="24">
        <f t="shared" si="7"/>
        <v>3738.317757</v>
      </c>
      <c r="G90" s="28">
        <v>4.0</v>
      </c>
      <c r="H90" s="24" t="str">
        <f t="shared" si="8"/>
        <v>#DIV/0!</v>
      </c>
      <c r="I90" s="28">
        <v>4.0</v>
      </c>
      <c r="J90" s="24" t="str">
        <f t="shared" si="9"/>
        <v>#DIV/0!</v>
      </c>
      <c r="K90" s="28"/>
      <c r="L90" s="24" t="str">
        <f t="shared" si="10"/>
        <v>#DIV/0!</v>
      </c>
      <c r="M90" s="28"/>
      <c r="N90" s="24" t="str">
        <f t="shared" si="11"/>
        <v>#DIV/0!</v>
      </c>
      <c r="O90" s="28"/>
      <c r="P90" s="24" t="str">
        <f t="shared" si="12"/>
        <v>#DIV/0!</v>
      </c>
      <c r="BI90" s="1"/>
      <c r="BJ90" s="18"/>
      <c r="BL90" s="1"/>
      <c r="BM90" s="18"/>
      <c r="BO90" s="1"/>
      <c r="BP90" s="18"/>
      <c r="BR90" s="1"/>
      <c r="BS90" s="18"/>
      <c r="BU90" s="1"/>
      <c r="BV90" s="18"/>
      <c r="BX90" s="1"/>
      <c r="BY90" s="18"/>
    </row>
    <row r="91" ht="15.75" customHeight="1">
      <c r="E91" s="25">
        <v>4.0</v>
      </c>
      <c r="F91" s="24">
        <f t="shared" si="7"/>
        <v>3738.317757</v>
      </c>
      <c r="G91" s="25">
        <v>4.0</v>
      </c>
      <c r="H91" s="26" t="str">
        <f t="shared" si="8"/>
        <v>#DIV/0!</v>
      </c>
      <c r="I91" s="25">
        <v>4.0</v>
      </c>
      <c r="J91" s="26" t="str">
        <f t="shared" si="9"/>
        <v>#DIV/0!</v>
      </c>
      <c r="K91" s="25">
        <v>4.0</v>
      </c>
      <c r="L91" s="26" t="str">
        <f t="shared" si="10"/>
        <v>#DIV/0!</v>
      </c>
      <c r="M91" s="25">
        <v>4.0</v>
      </c>
      <c r="N91" s="26" t="str">
        <f t="shared" si="11"/>
        <v>#DIV/0!</v>
      </c>
      <c r="O91" s="25">
        <v>4.0</v>
      </c>
      <c r="P91" s="26" t="str">
        <f t="shared" si="12"/>
        <v>#DIV/0!</v>
      </c>
      <c r="BI91" s="1"/>
      <c r="BJ91" s="18"/>
      <c r="BL91" s="1"/>
      <c r="BM91" s="18"/>
      <c r="BO91" s="1"/>
      <c r="BP91" s="18"/>
      <c r="BR91" s="1"/>
      <c r="BS91" s="18"/>
      <c r="BU91" s="1"/>
      <c r="BV91" s="18"/>
      <c r="BX91" s="1"/>
      <c r="BY91" s="18"/>
    </row>
    <row r="92" ht="15.75" customHeight="1">
      <c r="E92" s="25">
        <v>3.0</v>
      </c>
      <c r="F92" s="24">
        <f t="shared" si="7"/>
        <v>2803.738318</v>
      </c>
      <c r="G92" s="25">
        <v>3.0</v>
      </c>
      <c r="H92" s="26" t="str">
        <f t="shared" si="8"/>
        <v>#DIV/0!</v>
      </c>
      <c r="I92" s="25">
        <v>3.0</v>
      </c>
      <c r="J92" s="26" t="str">
        <f t="shared" si="9"/>
        <v>#DIV/0!</v>
      </c>
      <c r="K92" s="25"/>
      <c r="L92" s="26" t="str">
        <f t="shared" si="10"/>
        <v>#DIV/0!</v>
      </c>
      <c r="M92" s="25"/>
      <c r="N92" s="26" t="str">
        <f t="shared" si="11"/>
        <v>#DIV/0!</v>
      </c>
      <c r="O92" s="25"/>
      <c r="P92" s="26" t="str">
        <f t="shared" si="12"/>
        <v>#DIV/0!</v>
      </c>
      <c r="BI92" s="1"/>
      <c r="BJ92" s="18"/>
      <c r="BL92" s="1"/>
      <c r="BM92" s="18"/>
      <c r="BO92" s="1"/>
      <c r="BP92" s="18"/>
      <c r="BR92" s="1"/>
      <c r="BS92" s="18"/>
      <c r="BU92" s="1"/>
      <c r="BV92" s="18"/>
      <c r="BX92" s="1"/>
      <c r="BY92" s="18"/>
    </row>
    <row r="93" ht="15.75" customHeight="1">
      <c r="E93" s="25">
        <v>4.0</v>
      </c>
      <c r="F93" s="24">
        <f t="shared" si="7"/>
        <v>3738.317757</v>
      </c>
      <c r="G93" s="25">
        <v>4.0</v>
      </c>
      <c r="H93" s="26" t="str">
        <f t="shared" si="8"/>
        <v>#DIV/0!</v>
      </c>
      <c r="I93" s="25">
        <v>4.0</v>
      </c>
      <c r="J93" s="26" t="str">
        <f t="shared" si="9"/>
        <v>#DIV/0!</v>
      </c>
      <c r="K93" s="25">
        <v>4.0</v>
      </c>
      <c r="L93" s="26" t="str">
        <f t="shared" si="10"/>
        <v>#DIV/0!</v>
      </c>
      <c r="M93" s="25">
        <v>4.0</v>
      </c>
      <c r="N93" s="26" t="str">
        <f t="shared" si="11"/>
        <v>#DIV/0!</v>
      </c>
      <c r="O93" s="25">
        <v>4.0</v>
      </c>
      <c r="P93" s="26" t="str">
        <f t="shared" si="12"/>
        <v>#DIV/0!</v>
      </c>
      <c r="BI93" s="1"/>
      <c r="BJ93" s="18"/>
      <c r="BL93" s="1"/>
      <c r="BM93" s="18"/>
      <c r="BO93" s="1"/>
      <c r="BP93" s="18"/>
      <c r="BR93" s="1"/>
      <c r="BS93" s="18"/>
      <c r="BU93" s="1"/>
      <c r="BV93" s="18"/>
      <c r="BX93" s="1"/>
      <c r="BY93" s="18"/>
    </row>
    <row r="94" ht="15.75" customHeight="1">
      <c r="E94" s="28">
        <v>5.0</v>
      </c>
      <c r="F94" s="24">
        <f t="shared" si="7"/>
        <v>4672.897196</v>
      </c>
      <c r="G94" s="28">
        <v>5.0</v>
      </c>
      <c r="H94" s="24" t="str">
        <f t="shared" si="8"/>
        <v>#DIV/0!</v>
      </c>
      <c r="I94" s="28">
        <v>5.0</v>
      </c>
      <c r="J94" s="24" t="str">
        <f t="shared" si="9"/>
        <v>#DIV/0!</v>
      </c>
      <c r="K94" s="28"/>
      <c r="L94" s="24" t="str">
        <f t="shared" si="10"/>
        <v>#DIV/0!</v>
      </c>
      <c r="M94" s="28"/>
      <c r="N94" s="24" t="str">
        <f t="shared" si="11"/>
        <v>#DIV/0!</v>
      </c>
      <c r="O94" s="28"/>
      <c r="P94" s="24" t="str">
        <f t="shared" si="12"/>
        <v>#DIV/0!</v>
      </c>
      <c r="BI94" s="1"/>
      <c r="BJ94" s="18"/>
      <c r="BL94" s="1"/>
      <c r="BM94" s="18"/>
      <c r="BO94" s="1"/>
      <c r="BP94" s="18"/>
      <c r="BR94" s="1"/>
      <c r="BS94" s="18"/>
      <c r="BU94" s="1"/>
      <c r="BV94" s="18"/>
      <c r="BX94" s="1"/>
      <c r="BY94" s="18"/>
    </row>
    <row r="95" ht="15.75" customHeight="1">
      <c r="E95" s="29">
        <v>100000.0</v>
      </c>
      <c r="F95" s="29">
        <f>SUM(F42:F94)</f>
        <v>100000</v>
      </c>
      <c r="G95" s="29">
        <v>150000.0</v>
      </c>
      <c r="H95" s="29" t="str">
        <f>SUM(H42:H94)</f>
        <v>#DIV/0!</v>
      </c>
      <c r="I95" s="29">
        <v>50000.0</v>
      </c>
      <c r="J95" s="29" t="str">
        <f>SUM(J42:J94)</f>
        <v>#DIV/0!</v>
      </c>
      <c r="K95" s="29">
        <v>50000.0</v>
      </c>
      <c r="L95" s="29" t="str">
        <f>SUM(L42:L94)</f>
        <v>#DIV/0!</v>
      </c>
      <c r="M95" s="29">
        <v>50000.0</v>
      </c>
      <c r="N95" s="29" t="str">
        <f>SUM(N42:N94)</f>
        <v>#DIV/0!</v>
      </c>
      <c r="O95" s="29">
        <v>10000.0</v>
      </c>
      <c r="P95" s="29" t="str">
        <f>SUM(P42:P94)</f>
        <v>#DIV/0!</v>
      </c>
      <c r="BI95" s="1"/>
      <c r="BJ95" s="18"/>
      <c r="BL95" s="1"/>
      <c r="BM95" s="18"/>
      <c r="BO95" s="1"/>
      <c r="BP95" s="18"/>
      <c r="BR95" s="1"/>
      <c r="BS95" s="18"/>
      <c r="BU95" s="1"/>
      <c r="BV95" s="18"/>
      <c r="BX95" s="1"/>
      <c r="BY95" s="18"/>
    </row>
    <row r="96" ht="15.75" customHeight="1">
      <c r="BI96" s="1"/>
      <c r="BJ96" s="18"/>
      <c r="BL96" s="1"/>
      <c r="BM96" s="18"/>
      <c r="BO96" s="1"/>
      <c r="BP96" s="18"/>
      <c r="BR96" s="1"/>
      <c r="BS96" s="18"/>
      <c r="BU96" s="1"/>
      <c r="BV96" s="18"/>
      <c r="BX96" s="1"/>
      <c r="BY96" s="18"/>
    </row>
    <row r="97" ht="15.75" customHeight="1">
      <c r="BI97" s="1"/>
      <c r="BJ97" s="18"/>
      <c r="BL97" s="1"/>
      <c r="BM97" s="18"/>
      <c r="BO97" s="1"/>
      <c r="BP97" s="18"/>
      <c r="BR97" s="1"/>
      <c r="BS97" s="18"/>
      <c r="BU97" s="1"/>
      <c r="BV97" s="18"/>
      <c r="BX97" s="1"/>
      <c r="BY97" s="18"/>
    </row>
    <row r="98" ht="15.75" customHeight="1">
      <c r="BI98" s="1"/>
      <c r="BJ98" s="18"/>
      <c r="BL98" s="1"/>
      <c r="BM98" s="18"/>
      <c r="BO98" s="1"/>
      <c r="BP98" s="18"/>
      <c r="BR98" s="1"/>
      <c r="BS98" s="18"/>
      <c r="BU98" s="1"/>
      <c r="BV98" s="18"/>
      <c r="BX98" s="1"/>
      <c r="BY98" s="18"/>
    </row>
    <row r="99" ht="15.75" customHeight="1">
      <c r="BI99" s="1"/>
      <c r="BJ99" s="18"/>
      <c r="BL99" s="1"/>
      <c r="BM99" s="18"/>
      <c r="BO99" s="1"/>
      <c r="BP99" s="18"/>
      <c r="BR99" s="1"/>
      <c r="BS99" s="18"/>
      <c r="BU99" s="1"/>
      <c r="BV99" s="18"/>
      <c r="BX99" s="1"/>
      <c r="BY99" s="18"/>
    </row>
    <row r="100" ht="15.75" customHeight="1">
      <c r="BI100" s="1"/>
      <c r="BJ100" s="18"/>
      <c r="BL100" s="1"/>
      <c r="BM100" s="18"/>
      <c r="BO100" s="1"/>
      <c r="BP100" s="18"/>
      <c r="BR100" s="1"/>
      <c r="BS100" s="18"/>
      <c r="BU100" s="1"/>
      <c r="BV100" s="18"/>
      <c r="BX100" s="1"/>
      <c r="BY100" s="18"/>
    </row>
    <row r="101" ht="15.75" customHeight="1">
      <c r="BI101" s="1"/>
      <c r="BJ101" s="18"/>
      <c r="BL101" s="1"/>
      <c r="BM101" s="18"/>
      <c r="BO101" s="1"/>
      <c r="BP101" s="18"/>
      <c r="BR101" s="1"/>
      <c r="BS101" s="18"/>
      <c r="BU101" s="1"/>
      <c r="BV101" s="18"/>
      <c r="BX101" s="1"/>
      <c r="BY101" s="18"/>
    </row>
    <row r="102" ht="15.75" customHeight="1">
      <c r="BI102" s="1"/>
      <c r="BJ102" s="18"/>
      <c r="BL102" s="1"/>
      <c r="BM102" s="18"/>
      <c r="BO102" s="1"/>
      <c r="BP102" s="18"/>
      <c r="BR102" s="1"/>
      <c r="BS102" s="18"/>
      <c r="BU102" s="1"/>
      <c r="BV102" s="18"/>
      <c r="BX102" s="1"/>
      <c r="BY102" s="18"/>
    </row>
    <row r="103" ht="15.75" customHeight="1">
      <c r="BI103" s="1"/>
      <c r="BJ103" s="18"/>
      <c r="BL103" s="1"/>
      <c r="BM103" s="18"/>
      <c r="BO103" s="1"/>
      <c r="BP103" s="18"/>
      <c r="BR103" s="1"/>
      <c r="BS103" s="18"/>
      <c r="BU103" s="1"/>
      <c r="BV103" s="18"/>
      <c r="BX103" s="1"/>
      <c r="BY103" s="18"/>
    </row>
    <row r="104" ht="15.75" customHeight="1">
      <c r="BI104" s="1"/>
      <c r="BJ104" s="18"/>
      <c r="BL104" s="1"/>
      <c r="BM104" s="18"/>
      <c r="BO104" s="1"/>
      <c r="BP104" s="18"/>
      <c r="BR104" s="1"/>
      <c r="BS104" s="18"/>
      <c r="BU104" s="1"/>
      <c r="BV104" s="18"/>
      <c r="BX104" s="1"/>
      <c r="BY104" s="18"/>
    </row>
    <row r="105" ht="15.75" customHeight="1">
      <c r="BI105" s="1"/>
      <c r="BJ105" s="18"/>
      <c r="BL105" s="1"/>
      <c r="BM105" s="18"/>
      <c r="BO105" s="1"/>
      <c r="BP105" s="18"/>
      <c r="BR105" s="1"/>
      <c r="BS105" s="18"/>
      <c r="BU105" s="1"/>
      <c r="BV105" s="18"/>
      <c r="BX105" s="1"/>
      <c r="BY105" s="18"/>
    </row>
    <row r="106" ht="15.75" customHeight="1">
      <c r="BI106" s="1"/>
      <c r="BJ106" s="18"/>
      <c r="BL106" s="1"/>
      <c r="BM106" s="18"/>
      <c r="BO106" s="1"/>
      <c r="BP106" s="18"/>
      <c r="BR106" s="1"/>
      <c r="BS106" s="18"/>
      <c r="BU106" s="1"/>
      <c r="BV106" s="18"/>
      <c r="BX106" s="1"/>
      <c r="BY106" s="18"/>
    </row>
    <row r="107" ht="15.75" customHeight="1">
      <c r="BI107" s="1"/>
      <c r="BJ107" s="18"/>
      <c r="BL107" s="1"/>
      <c r="BM107" s="18"/>
      <c r="BO107" s="1"/>
      <c r="BP107" s="18"/>
      <c r="BR107" s="1"/>
      <c r="BS107" s="18"/>
      <c r="BU107" s="1"/>
      <c r="BV107" s="18"/>
      <c r="BX107" s="1"/>
      <c r="BY107" s="18"/>
    </row>
    <row r="108" ht="15.75" customHeight="1">
      <c r="BI108" s="1"/>
      <c r="BJ108" s="18"/>
      <c r="BL108" s="1"/>
      <c r="BM108" s="18"/>
      <c r="BO108" s="1"/>
      <c r="BP108" s="18"/>
      <c r="BR108" s="1"/>
      <c r="BS108" s="18"/>
      <c r="BU108" s="1"/>
      <c r="BV108" s="18"/>
      <c r="BX108" s="1"/>
      <c r="BY108" s="18"/>
    </row>
    <row r="109" ht="15.75" customHeight="1">
      <c r="BI109" s="1"/>
      <c r="BJ109" s="18"/>
      <c r="BL109" s="1"/>
      <c r="BM109" s="18"/>
      <c r="BO109" s="1"/>
      <c r="BP109" s="18"/>
      <c r="BR109" s="1"/>
      <c r="BS109" s="18"/>
      <c r="BU109" s="1"/>
      <c r="BV109" s="18"/>
      <c r="BX109" s="1"/>
      <c r="BY109" s="18"/>
    </row>
    <row r="110" ht="15.75" customHeight="1">
      <c r="BI110" s="1"/>
      <c r="BJ110" s="18"/>
      <c r="BL110" s="1"/>
      <c r="BM110" s="18"/>
      <c r="BO110" s="1"/>
      <c r="BP110" s="18"/>
      <c r="BR110" s="1"/>
      <c r="BS110" s="18"/>
      <c r="BU110" s="1"/>
      <c r="BV110" s="18"/>
      <c r="BX110" s="1"/>
      <c r="BY110" s="18"/>
    </row>
    <row r="111" ht="15.75" customHeight="1">
      <c r="BI111" s="1"/>
      <c r="BJ111" s="18"/>
      <c r="BL111" s="1"/>
      <c r="BM111" s="18"/>
      <c r="BO111" s="1"/>
      <c r="BP111" s="18"/>
      <c r="BR111" s="1"/>
      <c r="BS111" s="18"/>
      <c r="BU111" s="1"/>
      <c r="BV111" s="18"/>
      <c r="BX111" s="1"/>
      <c r="BY111" s="18"/>
    </row>
    <row r="112" ht="15.75" customHeight="1">
      <c r="BI112" s="1"/>
      <c r="BJ112" s="18"/>
      <c r="BL112" s="1"/>
      <c r="BM112" s="18"/>
      <c r="BO112" s="1"/>
      <c r="BP112" s="18"/>
      <c r="BR112" s="1"/>
      <c r="BS112" s="18"/>
      <c r="BU112" s="1"/>
      <c r="BV112" s="18"/>
      <c r="BX112" s="1"/>
      <c r="BY112" s="18"/>
    </row>
    <row r="113" ht="15.75" customHeight="1">
      <c r="BI113" s="1"/>
      <c r="BJ113" s="18"/>
      <c r="BL113" s="1"/>
      <c r="BM113" s="18"/>
      <c r="BO113" s="1"/>
      <c r="BP113" s="18"/>
      <c r="BR113" s="1"/>
      <c r="BS113" s="18"/>
      <c r="BU113" s="1"/>
      <c r="BV113" s="18"/>
      <c r="BX113" s="1"/>
      <c r="BY113" s="18"/>
    </row>
    <row r="114" ht="15.75" customHeight="1">
      <c r="BI114" s="1"/>
      <c r="BJ114" s="18"/>
      <c r="BL114" s="1"/>
      <c r="BM114" s="18"/>
      <c r="BO114" s="1"/>
      <c r="BP114" s="18"/>
      <c r="BR114" s="1"/>
      <c r="BS114" s="18"/>
      <c r="BU114" s="1"/>
      <c r="BV114" s="18"/>
      <c r="BX114" s="1"/>
      <c r="BY114" s="18"/>
    </row>
    <row r="115" ht="15.75" customHeight="1">
      <c r="BI115" s="1"/>
      <c r="BJ115" s="18"/>
      <c r="BL115" s="1"/>
      <c r="BM115" s="18"/>
      <c r="BO115" s="1"/>
      <c r="BP115" s="18"/>
      <c r="BR115" s="1"/>
      <c r="BS115" s="18"/>
      <c r="BU115" s="1"/>
      <c r="BV115" s="18"/>
      <c r="BX115" s="1"/>
      <c r="BY115" s="18"/>
    </row>
    <row r="116" ht="15.75" customHeight="1">
      <c r="BI116" s="1"/>
      <c r="BJ116" s="18"/>
      <c r="BL116" s="1"/>
      <c r="BM116" s="18"/>
      <c r="BO116" s="1"/>
      <c r="BP116" s="18"/>
      <c r="BR116" s="1"/>
      <c r="BS116" s="18"/>
      <c r="BU116" s="1"/>
      <c r="BV116" s="18"/>
      <c r="BX116" s="1"/>
      <c r="BY116" s="18"/>
    </row>
    <row r="117" ht="15.75" customHeight="1">
      <c r="BI117" s="1"/>
      <c r="BJ117" s="18"/>
      <c r="BL117" s="1"/>
      <c r="BM117" s="18"/>
      <c r="BO117" s="1"/>
      <c r="BP117" s="18"/>
      <c r="BR117" s="1"/>
      <c r="BS117" s="18"/>
      <c r="BU117" s="1"/>
      <c r="BV117" s="18"/>
      <c r="BX117" s="1"/>
      <c r="BY117" s="18"/>
    </row>
    <row r="118" ht="15.75" customHeight="1">
      <c r="BI118" s="1"/>
      <c r="BJ118" s="18"/>
      <c r="BL118" s="1"/>
      <c r="BM118" s="18"/>
      <c r="BO118" s="1"/>
      <c r="BP118" s="18"/>
      <c r="BR118" s="1"/>
      <c r="BS118" s="18"/>
      <c r="BU118" s="1"/>
      <c r="BV118" s="18"/>
      <c r="BX118" s="1"/>
      <c r="BY118" s="18"/>
    </row>
    <row r="119" ht="15.75" customHeight="1">
      <c r="BI119" s="1"/>
      <c r="BJ119" s="18"/>
      <c r="BL119" s="1"/>
      <c r="BM119" s="18"/>
      <c r="BO119" s="1"/>
      <c r="BP119" s="18"/>
      <c r="BR119" s="1"/>
      <c r="BS119" s="18"/>
      <c r="BU119" s="1"/>
      <c r="BV119" s="18"/>
      <c r="BX119" s="1"/>
      <c r="BY119" s="18"/>
    </row>
    <row r="120" ht="15.75" customHeight="1">
      <c r="BI120" s="1"/>
      <c r="BJ120" s="18"/>
      <c r="BL120" s="1"/>
      <c r="BM120" s="18"/>
      <c r="BO120" s="1"/>
      <c r="BP120" s="18"/>
      <c r="BR120" s="1"/>
      <c r="BS120" s="18"/>
      <c r="BU120" s="1"/>
      <c r="BV120" s="18"/>
      <c r="BX120" s="1"/>
      <c r="BY120" s="18"/>
    </row>
    <row r="121" ht="15.75" customHeight="1">
      <c r="BI121" s="1"/>
      <c r="BJ121" s="18"/>
      <c r="BL121" s="1"/>
      <c r="BM121" s="18"/>
      <c r="BO121" s="1"/>
      <c r="BP121" s="18"/>
      <c r="BR121" s="1"/>
      <c r="BS121" s="18"/>
      <c r="BU121" s="1"/>
      <c r="BV121" s="18"/>
      <c r="BX121" s="1"/>
      <c r="BY121" s="18"/>
    </row>
    <row r="122" ht="15.75" customHeight="1">
      <c r="BI122" s="1"/>
      <c r="BJ122" s="18"/>
      <c r="BL122" s="1"/>
      <c r="BM122" s="18"/>
      <c r="BO122" s="1"/>
      <c r="BP122" s="18"/>
      <c r="BR122" s="1"/>
      <c r="BS122" s="18"/>
      <c r="BU122" s="1"/>
      <c r="BV122" s="18"/>
      <c r="BX122" s="1"/>
      <c r="BY122" s="18"/>
    </row>
    <row r="123" ht="15.75" customHeight="1">
      <c r="BI123" s="1"/>
      <c r="BJ123" s="18"/>
      <c r="BL123" s="1"/>
      <c r="BM123" s="18"/>
      <c r="BO123" s="1"/>
      <c r="BP123" s="18"/>
      <c r="BR123" s="1"/>
      <c r="BS123" s="18"/>
      <c r="BU123" s="1"/>
      <c r="BV123" s="18"/>
      <c r="BX123" s="1"/>
      <c r="BY123" s="18"/>
    </row>
    <row r="124" ht="15.75" customHeight="1">
      <c r="BI124" s="1"/>
      <c r="BJ124" s="18"/>
      <c r="BL124" s="1"/>
      <c r="BM124" s="18"/>
      <c r="BO124" s="1"/>
      <c r="BP124" s="18"/>
      <c r="BR124" s="1"/>
      <c r="BS124" s="18"/>
      <c r="BU124" s="1"/>
      <c r="BV124" s="18"/>
      <c r="BX124" s="1"/>
      <c r="BY124" s="18"/>
    </row>
    <row r="125" ht="15.75" customHeight="1">
      <c r="BI125" s="1"/>
      <c r="BJ125" s="18"/>
      <c r="BL125" s="1"/>
      <c r="BM125" s="18"/>
      <c r="BO125" s="1"/>
      <c r="BP125" s="18"/>
      <c r="BR125" s="1"/>
      <c r="BS125" s="18"/>
      <c r="BU125" s="1"/>
      <c r="BV125" s="18"/>
      <c r="BX125" s="1"/>
      <c r="BY125" s="18"/>
    </row>
    <row r="126" ht="15.75" customHeight="1">
      <c r="BI126" s="1"/>
      <c r="BJ126" s="18"/>
      <c r="BL126" s="1"/>
      <c r="BM126" s="18"/>
      <c r="BO126" s="1"/>
      <c r="BP126" s="18"/>
      <c r="BR126" s="1"/>
      <c r="BS126" s="18"/>
      <c r="BU126" s="1"/>
      <c r="BV126" s="18"/>
      <c r="BX126" s="1"/>
      <c r="BY126" s="18"/>
    </row>
    <row r="127" ht="15.75" customHeight="1">
      <c r="BI127" s="1"/>
      <c r="BJ127" s="18"/>
      <c r="BL127" s="1"/>
      <c r="BM127" s="18"/>
      <c r="BO127" s="1"/>
      <c r="BP127" s="18"/>
      <c r="BR127" s="1"/>
      <c r="BS127" s="18"/>
      <c r="BU127" s="1"/>
      <c r="BV127" s="18"/>
      <c r="BX127" s="1"/>
      <c r="BY127" s="18"/>
    </row>
    <row r="128" ht="15.75" customHeight="1">
      <c r="BI128" s="1"/>
      <c r="BJ128" s="18"/>
      <c r="BL128" s="1"/>
      <c r="BM128" s="18"/>
      <c r="BO128" s="1"/>
      <c r="BP128" s="18"/>
      <c r="BR128" s="1"/>
      <c r="BS128" s="18"/>
      <c r="BU128" s="1"/>
      <c r="BV128" s="18"/>
      <c r="BX128" s="1"/>
      <c r="BY128" s="18"/>
    </row>
    <row r="129" ht="15.75" customHeight="1">
      <c r="BI129" s="1"/>
      <c r="BJ129" s="18"/>
      <c r="BL129" s="1"/>
      <c r="BM129" s="18"/>
      <c r="BO129" s="1"/>
      <c r="BP129" s="18"/>
      <c r="BR129" s="1"/>
      <c r="BS129" s="18"/>
      <c r="BU129" s="1"/>
      <c r="BV129" s="18"/>
      <c r="BX129" s="1"/>
      <c r="BY129" s="18"/>
    </row>
    <row r="130" ht="15.75" customHeight="1">
      <c r="BI130" s="1"/>
      <c r="BJ130" s="18"/>
      <c r="BL130" s="1"/>
      <c r="BM130" s="18"/>
      <c r="BO130" s="1"/>
      <c r="BP130" s="18"/>
      <c r="BR130" s="1"/>
      <c r="BS130" s="18"/>
      <c r="BU130" s="1"/>
      <c r="BV130" s="18"/>
      <c r="BX130" s="1"/>
      <c r="BY130" s="18"/>
    </row>
    <row r="131" ht="15.75" customHeight="1">
      <c r="BI131" s="1"/>
      <c r="BJ131" s="18"/>
      <c r="BL131" s="1"/>
      <c r="BM131" s="18"/>
      <c r="BO131" s="1"/>
      <c r="BP131" s="18"/>
      <c r="BR131" s="1"/>
      <c r="BS131" s="18"/>
      <c r="BU131" s="1"/>
      <c r="BV131" s="18"/>
      <c r="BX131" s="1"/>
      <c r="BY131" s="18"/>
    </row>
    <row r="132" ht="15.75" customHeight="1">
      <c r="BI132" s="1"/>
      <c r="BJ132" s="18"/>
      <c r="BL132" s="1"/>
      <c r="BM132" s="18"/>
      <c r="BO132" s="1"/>
      <c r="BP132" s="18"/>
      <c r="BR132" s="1"/>
      <c r="BS132" s="18"/>
      <c r="BU132" s="1"/>
      <c r="BV132" s="18"/>
      <c r="BX132" s="1"/>
      <c r="BY132" s="18"/>
    </row>
    <row r="133" ht="15.75" customHeight="1">
      <c r="BI133" s="1"/>
      <c r="BJ133" s="18"/>
      <c r="BL133" s="1"/>
      <c r="BM133" s="18"/>
      <c r="BO133" s="1"/>
      <c r="BP133" s="18"/>
      <c r="BR133" s="1"/>
      <c r="BS133" s="18"/>
      <c r="BU133" s="1"/>
      <c r="BV133" s="18"/>
      <c r="BX133" s="1"/>
      <c r="BY133" s="18"/>
    </row>
    <row r="134" ht="15.75" customHeight="1">
      <c r="BI134" s="1"/>
      <c r="BJ134" s="18"/>
      <c r="BL134" s="1"/>
      <c r="BM134" s="18"/>
      <c r="BO134" s="1"/>
      <c r="BP134" s="18"/>
      <c r="BR134" s="1"/>
      <c r="BS134" s="18"/>
      <c r="BU134" s="1"/>
      <c r="BV134" s="18"/>
      <c r="BX134" s="1"/>
      <c r="BY134" s="18"/>
    </row>
    <row r="135" ht="15.75" customHeight="1">
      <c r="BI135" s="1"/>
      <c r="BJ135" s="18"/>
      <c r="BL135" s="1"/>
      <c r="BM135" s="18"/>
      <c r="BO135" s="1"/>
      <c r="BP135" s="18"/>
      <c r="BR135" s="1"/>
      <c r="BS135" s="18"/>
      <c r="BU135" s="1"/>
      <c r="BV135" s="18"/>
      <c r="BX135" s="1"/>
      <c r="BY135" s="18"/>
    </row>
    <row r="136" ht="15.75" customHeight="1">
      <c r="BI136" s="1"/>
      <c r="BJ136" s="18"/>
      <c r="BL136" s="1"/>
      <c r="BM136" s="18"/>
      <c r="BO136" s="1"/>
      <c r="BP136" s="18"/>
      <c r="BR136" s="1"/>
      <c r="BS136" s="18"/>
      <c r="BU136" s="1"/>
      <c r="BV136" s="18"/>
      <c r="BX136" s="1"/>
      <c r="BY136" s="18"/>
    </row>
    <row r="137" ht="15.75" customHeight="1">
      <c r="BI137" s="1"/>
      <c r="BJ137" s="18"/>
      <c r="BL137" s="1"/>
      <c r="BM137" s="18"/>
      <c r="BO137" s="1"/>
      <c r="BP137" s="18"/>
      <c r="BR137" s="1"/>
      <c r="BS137" s="18"/>
      <c r="BU137" s="1"/>
      <c r="BV137" s="18"/>
      <c r="BX137" s="1"/>
      <c r="BY137" s="18"/>
    </row>
    <row r="138" ht="15.75" customHeight="1">
      <c r="BI138" s="1"/>
      <c r="BJ138" s="18"/>
      <c r="BL138" s="1"/>
      <c r="BM138" s="18"/>
      <c r="BO138" s="1"/>
      <c r="BP138" s="18"/>
      <c r="BR138" s="1"/>
      <c r="BS138" s="18"/>
      <c r="BU138" s="1"/>
      <c r="BV138" s="18"/>
      <c r="BX138" s="1"/>
      <c r="BY138" s="18"/>
    </row>
    <row r="139" ht="15.75" customHeight="1">
      <c r="BI139" s="1"/>
      <c r="BJ139" s="18"/>
      <c r="BL139" s="1"/>
      <c r="BM139" s="18"/>
      <c r="BO139" s="1"/>
      <c r="BP139" s="18"/>
      <c r="BR139" s="1"/>
      <c r="BS139" s="18"/>
      <c r="BU139" s="1"/>
      <c r="BV139" s="18"/>
      <c r="BX139" s="1"/>
      <c r="BY139" s="18"/>
    </row>
    <row r="140" ht="15.75" customHeight="1">
      <c r="BI140" s="1"/>
      <c r="BJ140" s="18"/>
      <c r="BL140" s="1"/>
      <c r="BM140" s="18"/>
      <c r="BO140" s="1"/>
      <c r="BP140" s="18"/>
      <c r="BR140" s="1"/>
      <c r="BS140" s="18"/>
      <c r="BU140" s="1"/>
      <c r="BV140" s="18"/>
      <c r="BX140" s="1"/>
      <c r="BY140" s="18"/>
    </row>
    <row r="141" ht="15.75" customHeight="1">
      <c r="BI141" s="1"/>
      <c r="BJ141" s="18"/>
      <c r="BL141" s="1"/>
      <c r="BM141" s="18"/>
      <c r="BO141" s="1"/>
      <c r="BP141" s="18"/>
      <c r="BR141" s="1"/>
      <c r="BS141" s="18"/>
      <c r="BU141" s="1"/>
      <c r="BV141" s="18"/>
      <c r="BX141" s="1"/>
      <c r="BY141" s="18"/>
    </row>
    <row r="142" ht="15.75" customHeight="1">
      <c r="BI142" s="1"/>
      <c r="BJ142" s="18"/>
      <c r="BL142" s="1"/>
      <c r="BM142" s="18"/>
      <c r="BO142" s="1"/>
      <c r="BP142" s="18"/>
      <c r="BR142" s="1"/>
      <c r="BS142" s="18"/>
      <c r="BU142" s="1"/>
      <c r="BV142" s="18"/>
      <c r="BX142" s="1"/>
      <c r="BY142" s="18"/>
    </row>
    <row r="143" ht="15.75" customHeight="1">
      <c r="BI143" s="1"/>
      <c r="BJ143" s="18"/>
      <c r="BL143" s="1"/>
      <c r="BM143" s="18"/>
      <c r="BO143" s="1"/>
      <c r="BP143" s="18"/>
      <c r="BR143" s="1"/>
      <c r="BS143" s="18"/>
      <c r="BU143" s="1"/>
      <c r="BV143" s="18"/>
      <c r="BX143" s="1"/>
      <c r="BY143" s="18"/>
    </row>
    <row r="144" ht="15.75" customHeight="1">
      <c r="BI144" s="1"/>
      <c r="BJ144" s="18"/>
      <c r="BL144" s="1"/>
      <c r="BM144" s="18"/>
      <c r="BO144" s="1"/>
      <c r="BP144" s="18"/>
      <c r="BR144" s="1"/>
      <c r="BS144" s="18"/>
      <c r="BU144" s="1"/>
      <c r="BV144" s="18"/>
      <c r="BX144" s="1"/>
      <c r="BY144" s="18"/>
    </row>
    <row r="145" ht="15.75" customHeight="1">
      <c r="BI145" s="1"/>
      <c r="BJ145" s="18"/>
      <c r="BL145" s="1"/>
      <c r="BM145" s="18"/>
      <c r="BO145" s="1"/>
      <c r="BP145" s="18"/>
      <c r="BR145" s="1"/>
      <c r="BS145" s="18"/>
      <c r="BU145" s="1"/>
      <c r="BV145" s="18"/>
      <c r="BX145" s="1"/>
      <c r="BY145" s="18"/>
    </row>
    <row r="146" ht="15.75" customHeight="1">
      <c r="BI146" s="1"/>
      <c r="BJ146" s="18"/>
      <c r="BL146" s="1"/>
      <c r="BM146" s="18"/>
      <c r="BO146" s="1"/>
      <c r="BP146" s="18"/>
      <c r="BR146" s="1"/>
      <c r="BS146" s="18"/>
      <c r="BU146" s="1"/>
      <c r="BV146" s="18"/>
      <c r="BX146" s="1"/>
      <c r="BY146" s="18"/>
    </row>
    <row r="147" ht="15.75" customHeight="1">
      <c r="BI147" s="1"/>
      <c r="BJ147" s="18"/>
      <c r="BL147" s="1"/>
      <c r="BM147" s="18"/>
      <c r="BO147" s="1"/>
      <c r="BP147" s="18"/>
      <c r="BR147" s="1"/>
      <c r="BS147" s="18"/>
      <c r="BU147" s="1"/>
      <c r="BV147" s="18"/>
      <c r="BX147" s="1"/>
      <c r="BY147" s="18"/>
    </row>
    <row r="148" ht="15.75" customHeight="1">
      <c r="BI148" s="1"/>
      <c r="BJ148" s="18"/>
      <c r="BL148" s="1"/>
      <c r="BM148" s="18"/>
      <c r="BO148" s="1"/>
      <c r="BP148" s="18"/>
      <c r="BR148" s="1"/>
      <c r="BS148" s="18"/>
      <c r="BU148" s="1"/>
      <c r="BV148" s="18"/>
      <c r="BX148" s="1"/>
      <c r="BY148" s="18"/>
    </row>
    <row r="149" ht="15.75" customHeight="1">
      <c r="BI149" s="1"/>
      <c r="BJ149" s="18"/>
      <c r="BL149" s="1"/>
      <c r="BM149" s="18"/>
      <c r="BO149" s="1"/>
      <c r="BP149" s="18"/>
      <c r="BR149" s="1"/>
      <c r="BS149" s="18"/>
      <c r="BU149" s="1"/>
      <c r="BV149" s="18"/>
      <c r="BX149" s="1"/>
      <c r="BY149" s="18"/>
    </row>
    <row r="150" ht="15.75" customHeight="1">
      <c r="BI150" s="1"/>
      <c r="BJ150" s="18"/>
      <c r="BL150" s="1"/>
      <c r="BM150" s="18"/>
      <c r="BO150" s="1"/>
      <c r="BP150" s="18"/>
      <c r="BR150" s="1"/>
      <c r="BS150" s="18"/>
      <c r="BU150" s="1"/>
      <c r="BV150" s="18"/>
      <c r="BX150" s="1"/>
      <c r="BY150" s="18"/>
    </row>
    <row r="151" ht="15.75" customHeight="1">
      <c r="BI151" s="1"/>
      <c r="BJ151" s="18"/>
      <c r="BL151" s="1"/>
      <c r="BM151" s="18"/>
      <c r="BO151" s="1"/>
      <c r="BP151" s="18"/>
      <c r="BR151" s="1"/>
      <c r="BS151" s="18"/>
      <c r="BU151" s="1"/>
      <c r="BV151" s="18"/>
      <c r="BX151" s="1"/>
      <c r="BY151" s="18"/>
    </row>
    <row r="152" ht="15.75" customHeight="1">
      <c r="BI152" s="1"/>
      <c r="BJ152" s="18"/>
      <c r="BL152" s="1"/>
      <c r="BM152" s="18"/>
      <c r="BO152" s="1"/>
      <c r="BP152" s="18"/>
      <c r="BR152" s="1"/>
      <c r="BS152" s="18"/>
      <c r="BU152" s="1"/>
      <c r="BV152" s="18"/>
      <c r="BX152" s="1"/>
      <c r="BY152" s="18"/>
    </row>
    <row r="153" ht="15.75" customHeight="1">
      <c r="BI153" s="1"/>
      <c r="BJ153" s="18"/>
      <c r="BL153" s="1"/>
      <c r="BM153" s="18"/>
      <c r="BO153" s="1"/>
      <c r="BP153" s="18"/>
      <c r="BR153" s="1"/>
      <c r="BS153" s="18"/>
      <c r="BU153" s="1"/>
      <c r="BV153" s="18"/>
      <c r="BX153" s="1"/>
      <c r="BY153" s="18"/>
    </row>
    <row r="154" ht="15.75" customHeight="1">
      <c r="BI154" s="1"/>
      <c r="BJ154" s="18"/>
      <c r="BL154" s="1"/>
      <c r="BM154" s="18"/>
      <c r="BO154" s="1"/>
      <c r="BP154" s="18"/>
      <c r="BR154" s="1"/>
      <c r="BS154" s="18"/>
      <c r="BU154" s="1"/>
      <c r="BV154" s="18"/>
      <c r="BX154" s="1"/>
      <c r="BY154" s="18"/>
    </row>
    <row r="155" ht="15.75" customHeight="1">
      <c r="BI155" s="1"/>
      <c r="BJ155" s="18"/>
      <c r="BL155" s="1"/>
      <c r="BM155" s="18"/>
      <c r="BO155" s="1"/>
      <c r="BP155" s="18"/>
      <c r="BR155" s="1"/>
      <c r="BS155" s="18"/>
      <c r="BU155" s="1"/>
      <c r="BV155" s="18"/>
      <c r="BX155" s="1"/>
      <c r="BY155" s="18"/>
    </row>
    <row r="156" ht="15.75" customHeight="1">
      <c r="BI156" s="1"/>
      <c r="BJ156" s="18"/>
      <c r="BL156" s="1"/>
      <c r="BM156" s="18"/>
      <c r="BO156" s="1"/>
      <c r="BP156" s="18"/>
      <c r="BR156" s="1"/>
      <c r="BS156" s="18"/>
      <c r="BU156" s="1"/>
      <c r="BV156" s="18"/>
      <c r="BX156" s="1"/>
      <c r="BY156" s="18"/>
    </row>
    <row r="157" ht="15.75" customHeight="1">
      <c r="BI157" s="1"/>
      <c r="BJ157" s="18"/>
      <c r="BL157" s="1"/>
      <c r="BM157" s="18"/>
      <c r="BO157" s="1"/>
      <c r="BP157" s="18"/>
      <c r="BR157" s="1"/>
      <c r="BS157" s="18"/>
      <c r="BU157" s="1"/>
      <c r="BV157" s="18"/>
      <c r="BX157" s="1"/>
      <c r="BY157" s="18"/>
    </row>
    <row r="158" ht="15.75" customHeight="1">
      <c r="BI158" s="1"/>
      <c r="BJ158" s="18"/>
      <c r="BL158" s="1"/>
      <c r="BM158" s="18"/>
      <c r="BO158" s="1"/>
      <c r="BP158" s="18"/>
      <c r="BR158" s="1"/>
      <c r="BS158" s="18"/>
      <c r="BU158" s="1"/>
      <c r="BV158" s="18"/>
      <c r="BX158" s="1"/>
      <c r="BY158" s="18"/>
    </row>
    <row r="159" ht="15.75" customHeight="1">
      <c r="BI159" s="1"/>
      <c r="BJ159" s="18"/>
      <c r="BL159" s="1"/>
      <c r="BM159" s="18"/>
      <c r="BO159" s="1"/>
      <c r="BP159" s="18"/>
      <c r="BR159" s="1"/>
      <c r="BS159" s="18"/>
      <c r="BU159" s="1"/>
      <c r="BV159" s="18"/>
      <c r="BX159" s="1"/>
      <c r="BY159" s="18"/>
    </row>
    <row r="160" ht="15.75" customHeight="1">
      <c r="BI160" s="1"/>
      <c r="BJ160" s="18"/>
      <c r="BL160" s="1"/>
      <c r="BM160" s="18"/>
      <c r="BO160" s="1"/>
      <c r="BP160" s="18"/>
      <c r="BR160" s="1"/>
      <c r="BS160" s="18"/>
      <c r="BU160" s="1"/>
      <c r="BV160" s="18"/>
      <c r="BX160" s="1"/>
      <c r="BY160" s="18"/>
    </row>
    <row r="161" ht="15.75" customHeight="1">
      <c r="BI161" s="1"/>
      <c r="BJ161" s="18"/>
      <c r="BL161" s="1"/>
      <c r="BM161" s="18"/>
      <c r="BO161" s="1"/>
      <c r="BP161" s="18"/>
      <c r="BR161" s="1"/>
      <c r="BS161" s="18"/>
      <c r="BU161" s="1"/>
      <c r="BV161" s="18"/>
      <c r="BX161" s="1"/>
      <c r="BY161" s="18"/>
    </row>
    <row r="162" ht="15.75" customHeight="1">
      <c r="BI162" s="1"/>
      <c r="BJ162" s="18"/>
      <c r="BL162" s="1"/>
      <c r="BM162" s="18"/>
      <c r="BO162" s="1"/>
      <c r="BP162" s="18"/>
      <c r="BR162" s="1"/>
      <c r="BS162" s="18"/>
      <c r="BU162" s="1"/>
      <c r="BV162" s="18"/>
      <c r="BX162" s="1"/>
      <c r="BY162" s="18"/>
    </row>
    <row r="163" ht="15.75" customHeight="1">
      <c r="BI163" s="1"/>
      <c r="BJ163" s="18"/>
      <c r="BL163" s="1"/>
      <c r="BM163" s="18"/>
      <c r="BO163" s="1"/>
      <c r="BP163" s="18"/>
      <c r="BR163" s="1"/>
      <c r="BS163" s="18"/>
      <c r="BU163" s="1"/>
      <c r="BV163" s="18"/>
      <c r="BX163" s="1"/>
      <c r="BY163" s="18"/>
    </row>
    <row r="164" ht="15.75" customHeight="1">
      <c r="BI164" s="1"/>
      <c r="BJ164" s="18"/>
      <c r="BL164" s="1"/>
      <c r="BM164" s="18"/>
      <c r="BO164" s="1"/>
      <c r="BP164" s="18"/>
      <c r="BR164" s="1"/>
      <c r="BS164" s="18"/>
      <c r="BU164" s="1"/>
      <c r="BV164" s="18"/>
      <c r="BX164" s="1"/>
      <c r="BY164" s="18"/>
    </row>
    <row r="165" ht="15.75" customHeight="1">
      <c r="BI165" s="1"/>
      <c r="BJ165" s="18"/>
      <c r="BL165" s="1"/>
      <c r="BM165" s="18"/>
      <c r="BO165" s="1"/>
      <c r="BP165" s="18"/>
      <c r="BR165" s="1"/>
      <c r="BS165" s="18"/>
      <c r="BU165" s="1"/>
      <c r="BV165" s="18"/>
      <c r="BX165" s="1"/>
      <c r="BY165" s="18"/>
    </row>
    <row r="166" ht="15.75" customHeight="1">
      <c r="BI166" s="1"/>
      <c r="BJ166" s="18"/>
      <c r="BL166" s="1"/>
      <c r="BM166" s="18"/>
      <c r="BO166" s="1"/>
      <c r="BP166" s="18"/>
      <c r="BR166" s="1"/>
      <c r="BS166" s="18"/>
      <c r="BU166" s="1"/>
      <c r="BV166" s="18"/>
      <c r="BX166" s="1"/>
      <c r="BY166" s="18"/>
    </row>
    <row r="167" ht="15.75" customHeight="1">
      <c r="BI167" s="1"/>
      <c r="BJ167" s="18"/>
      <c r="BL167" s="1"/>
      <c r="BM167" s="18"/>
      <c r="BO167" s="1"/>
      <c r="BP167" s="18"/>
      <c r="BR167" s="1"/>
      <c r="BS167" s="18"/>
      <c r="BU167" s="1"/>
      <c r="BV167" s="18"/>
      <c r="BX167" s="1"/>
      <c r="BY167" s="18"/>
    </row>
    <row r="168" ht="15.75" customHeight="1">
      <c r="BI168" s="1"/>
      <c r="BJ168" s="18"/>
      <c r="BL168" s="1"/>
      <c r="BM168" s="18"/>
      <c r="BO168" s="1"/>
      <c r="BP168" s="18"/>
      <c r="BR168" s="1"/>
      <c r="BS168" s="18"/>
      <c r="BU168" s="1"/>
      <c r="BV168" s="18"/>
      <c r="BX168" s="1"/>
      <c r="BY168" s="18"/>
    </row>
    <row r="169" ht="15.75" customHeight="1">
      <c r="BI169" s="1"/>
      <c r="BJ169" s="18"/>
      <c r="BL169" s="1"/>
      <c r="BM169" s="18"/>
      <c r="BO169" s="1"/>
      <c r="BP169" s="18"/>
      <c r="BR169" s="1"/>
      <c r="BS169" s="18"/>
      <c r="BU169" s="1"/>
      <c r="BV169" s="18"/>
      <c r="BX169" s="1"/>
      <c r="BY169" s="18"/>
    </row>
    <row r="170" ht="15.75" customHeight="1">
      <c r="BI170" s="1"/>
      <c r="BJ170" s="18"/>
      <c r="BL170" s="1"/>
      <c r="BM170" s="18"/>
      <c r="BO170" s="1"/>
      <c r="BP170" s="18"/>
      <c r="BR170" s="1"/>
      <c r="BS170" s="18"/>
      <c r="BU170" s="1"/>
      <c r="BV170" s="18"/>
      <c r="BX170" s="1"/>
      <c r="BY170" s="18"/>
    </row>
    <row r="171" ht="15.75" customHeight="1">
      <c r="BI171" s="1"/>
      <c r="BJ171" s="18"/>
      <c r="BL171" s="1"/>
      <c r="BM171" s="18"/>
      <c r="BO171" s="1"/>
      <c r="BP171" s="18"/>
      <c r="BR171" s="1"/>
      <c r="BS171" s="18"/>
      <c r="BU171" s="1"/>
      <c r="BV171" s="18"/>
      <c r="BX171" s="1"/>
      <c r="BY171" s="18"/>
    </row>
    <row r="172" ht="15.75" customHeight="1">
      <c r="BI172" s="1"/>
      <c r="BJ172" s="18"/>
      <c r="BL172" s="1"/>
      <c r="BM172" s="18"/>
      <c r="BO172" s="1"/>
      <c r="BP172" s="18"/>
      <c r="BR172" s="1"/>
      <c r="BS172" s="18"/>
      <c r="BU172" s="1"/>
      <c r="BV172" s="18"/>
      <c r="BX172" s="1"/>
      <c r="BY172" s="18"/>
    </row>
    <row r="173" ht="15.75" customHeight="1">
      <c r="BI173" s="1"/>
      <c r="BJ173" s="18"/>
      <c r="BL173" s="1"/>
      <c r="BM173" s="18"/>
      <c r="BO173" s="1"/>
      <c r="BP173" s="18"/>
      <c r="BR173" s="1"/>
      <c r="BS173" s="18"/>
      <c r="BU173" s="1"/>
      <c r="BV173" s="18"/>
      <c r="BX173" s="1"/>
      <c r="BY173" s="18"/>
    </row>
    <row r="174" ht="15.75" customHeight="1">
      <c r="BI174" s="1"/>
      <c r="BJ174" s="18"/>
      <c r="BL174" s="1"/>
      <c r="BM174" s="18"/>
      <c r="BO174" s="1"/>
      <c r="BP174" s="18"/>
      <c r="BR174" s="1"/>
      <c r="BS174" s="18"/>
      <c r="BU174" s="1"/>
      <c r="BV174" s="18"/>
      <c r="BX174" s="1"/>
      <c r="BY174" s="18"/>
    </row>
    <row r="175" ht="15.75" customHeight="1">
      <c r="BI175" s="1"/>
      <c r="BJ175" s="18"/>
      <c r="BL175" s="1"/>
      <c r="BM175" s="18"/>
      <c r="BO175" s="1"/>
      <c r="BP175" s="18"/>
      <c r="BR175" s="1"/>
      <c r="BS175" s="18"/>
      <c r="BU175" s="1"/>
      <c r="BV175" s="18"/>
      <c r="BX175" s="1"/>
      <c r="BY175" s="18"/>
    </row>
    <row r="176" ht="15.75" customHeight="1">
      <c r="BI176" s="1"/>
      <c r="BJ176" s="18"/>
      <c r="BL176" s="1"/>
      <c r="BM176" s="18"/>
      <c r="BO176" s="1"/>
      <c r="BP176" s="18"/>
      <c r="BR176" s="1"/>
      <c r="BS176" s="18"/>
      <c r="BU176" s="1"/>
      <c r="BV176" s="18"/>
      <c r="BX176" s="1"/>
      <c r="BY176" s="18"/>
    </row>
    <row r="177" ht="15.75" customHeight="1">
      <c r="BI177" s="1"/>
      <c r="BJ177" s="18"/>
      <c r="BL177" s="1"/>
      <c r="BM177" s="18"/>
      <c r="BO177" s="1"/>
      <c r="BP177" s="18"/>
      <c r="BR177" s="1"/>
      <c r="BS177" s="18"/>
      <c r="BU177" s="1"/>
      <c r="BV177" s="18"/>
      <c r="BX177" s="1"/>
      <c r="BY177" s="18"/>
    </row>
    <row r="178" ht="15.75" customHeight="1">
      <c r="BI178" s="1"/>
      <c r="BJ178" s="18"/>
      <c r="BL178" s="1"/>
      <c r="BM178" s="18"/>
      <c r="BO178" s="1"/>
      <c r="BP178" s="18"/>
      <c r="BR178" s="1"/>
      <c r="BS178" s="18"/>
      <c r="BU178" s="1"/>
      <c r="BV178" s="18"/>
      <c r="BX178" s="1"/>
      <c r="BY178" s="18"/>
    </row>
    <row r="179" ht="15.75" customHeight="1">
      <c r="BI179" s="1"/>
      <c r="BJ179" s="18"/>
      <c r="BL179" s="1"/>
      <c r="BM179" s="18"/>
      <c r="BO179" s="1"/>
      <c r="BP179" s="18"/>
      <c r="BR179" s="1"/>
      <c r="BS179" s="18"/>
      <c r="BU179" s="1"/>
      <c r="BV179" s="18"/>
      <c r="BX179" s="1"/>
      <c r="BY179" s="18"/>
    </row>
    <row r="180" ht="15.75" customHeight="1">
      <c r="BI180" s="1"/>
      <c r="BJ180" s="18"/>
      <c r="BL180" s="1"/>
      <c r="BM180" s="18"/>
      <c r="BO180" s="1"/>
      <c r="BP180" s="18"/>
      <c r="BR180" s="1"/>
      <c r="BS180" s="18"/>
      <c r="BU180" s="1"/>
      <c r="BV180" s="18"/>
      <c r="BX180" s="1"/>
      <c r="BY180" s="18"/>
    </row>
    <row r="181" ht="15.75" customHeight="1">
      <c r="BI181" s="1"/>
      <c r="BJ181" s="18"/>
      <c r="BL181" s="1"/>
      <c r="BM181" s="18"/>
      <c r="BO181" s="1"/>
      <c r="BP181" s="18"/>
      <c r="BR181" s="1"/>
      <c r="BS181" s="18"/>
      <c r="BU181" s="1"/>
      <c r="BV181" s="18"/>
      <c r="BX181" s="1"/>
      <c r="BY181" s="18"/>
    </row>
    <row r="182" ht="15.75" customHeight="1">
      <c r="BI182" s="1"/>
      <c r="BJ182" s="18"/>
      <c r="BL182" s="1"/>
      <c r="BM182" s="18"/>
      <c r="BO182" s="1"/>
      <c r="BP182" s="18"/>
      <c r="BR182" s="1"/>
      <c r="BS182" s="18"/>
      <c r="BU182" s="1"/>
      <c r="BV182" s="18"/>
      <c r="BX182" s="1"/>
      <c r="BY182" s="18"/>
    </row>
    <row r="183" ht="15.75" customHeight="1">
      <c r="BI183" s="1"/>
      <c r="BJ183" s="18"/>
      <c r="BL183" s="1"/>
      <c r="BM183" s="18"/>
      <c r="BO183" s="1"/>
      <c r="BP183" s="18"/>
      <c r="BR183" s="1"/>
      <c r="BS183" s="18"/>
      <c r="BU183" s="1"/>
      <c r="BV183" s="18"/>
      <c r="BX183" s="1"/>
      <c r="BY183" s="18"/>
    </row>
    <row r="184" ht="15.75" customHeight="1">
      <c r="BI184" s="1"/>
      <c r="BJ184" s="18"/>
      <c r="BL184" s="1"/>
      <c r="BM184" s="18"/>
      <c r="BO184" s="1"/>
      <c r="BP184" s="18"/>
      <c r="BR184" s="1"/>
      <c r="BS184" s="18"/>
      <c r="BU184" s="1"/>
      <c r="BV184" s="18"/>
      <c r="BX184" s="1"/>
      <c r="BY184" s="18"/>
    </row>
    <row r="185" ht="15.75" customHeight="1">
      <c r="BI185" s="1"/>
      <c r="BJ185" s="18"/>
      <c r="BL185" s="1"/>
      <c r="BM185" s="18"/>
      <c r="BO185" s="1"/>
      <c r="BP185" s="18"/>
      <c r="BR185" s="1"/>
      <c r="BS185" s="18"/>
      <c r="BU185" s="1"/>
      <c r="BV185" s="18"/>
      <c r="BX185" s="1"/>
      <c r="BY185" s="18"/>
    </row>
    <row r="186" ht="15.75" customHeight="1">
      <c r="BI186" s="1"/>
      <c r="BJ186" s="18"/>
      <c r="BL186" s="1"/>
      <c r="BM186" s="18"/>
      <c r="BO186" s="1"/>
      <c r="BP186" s="18"/>
      <c r="BR186" s="1"/>
      <c r="BS186" s="18"/>
      <c r="BU186" s="1"/>
      <c r="BV186" s="18"/>
      <c r="BX186" s="1"/>
      <c r="BY186" s="18"/>
    </row>
    <row r="187" ht="15.75" customHeight="1">
      <c r="BI187" s="1"/>
      <c r="BJ187" s="18"/>
      <c r="BL187" s="1"/>
      <c r="BM187" s="18"/>
      <c r="BO187" s="1"/>
      <c r="BP187" s="18"/>
      <c r="BR187" s="1"/>
      <c r="BS187" s="18"/>
      <c r="BU187" s="1"/>
      <c r="BV187" s="18"/>
      <c r="BX187" s="1"/>
      <c r="BY187" s="18"/>
    </row>
    <row r="188" ht="15.75" customHeight="1">
      <c r="BI188" s="1"/>
      <c r="BJ188" s="18"/>
      <c r="BL188" s="1"/>
      <c r="BM188" s="18"/>
      <c r="BO188" s="1"/>
      <c r="BP188" s="18"/>
      <c r="BR188" s="1"/>
      <c r="BS188" s="18"/>
      <c r="BU188" s="1"/>
      <c r="BV188" s="18"/>
      <c r="BX188" s="1"/>
      <c r="BY188" s="18"/>
    </row>
    <row r="189" ht="15.75" customHeight="1">
      <c r="BI189" s="1"/>
      <c r="BJ189" s="18"/>
      <c r="BL189" s="1"/>
      <c r="BM189" s="18"/>
      <c r="BO189" s="1"/>
      <c r="BP189" s="18"/>
      <c r="BR189" s="1"/>
      <c r="BS189" s="18"/>
      <c r="BU189" s="1"/>
      <c r="BV189" s="18"/>
      <c r="BX189" s="1"/>
      <c r="BY189" s="18"/>
    </row>
    <row r="190" ht="15.75" customHeight="1">
      <c r="BI190" s="1"/>
      <c r="BJ190" s="18"/>
      <c r="BL190" s="1"/>
      <c r="BM190" s="18"/>
      <c r="BO190" s="1"/>
      <c r="BP190" s="18"/>
      <c r="BR190" s="1"/>
      <c r="BS190" s="18"/>
      <c r="BU190" s="1"/>
      <c r="BV190" s="18"/>
      <c r="BX190" s="1"/>
      <c r="BY190" s="18"/>
    </row>
    <row r="191" ht="15.75" customHeight="1">
      <c r="BI191" s="1"/>
      <c r="BJ191" s="18"/>
      <c r="BL191" s="1"/>
      <c r="BM191" s="18"/>
      <c r="BO191" s="1"/>
      <c r="BP191" s="18"/>
      <c r="BR191" s="1"/>
      <c r="BS191" s="18"/>
      <c r="BU191" s="1"/>
      <c r="BV191" s="18"/>
      <c r="BX191" s="1"/>
      <c r="BY191" s="18"/>
    </row>
    <row r="192" ht="15.75" customHeight="1">
      <c r="BI192" s="1"/>
      <c r="BJ192" s="18"/>
      <c r="BL192" s="1"/>
      <c r="BM192" s="18"/>
      <c r="BO192" s="1"/>
      <c r="BP192" s="18"/>
      <c r="BR192" s="1"/>
      <c r="BS192" s="18"/>
      <c r="BU192" s="1"/>
      <c r="BV192" s="18"/>
      <c r="BX192" s="1"/>
      <c r="BY192" s="18"/>
    </row>
    <row r="193" ht="15.75" customHeight="1">
      <c r="BI193" s="1"/>
      <c r="BJ193" s="18"/>
      <c r="BL193" s="1"/>
      <c r="BM193" s="18"/>
      <c r="BO193" s="1"/>
      <c r="BP193" s="18"/>
      <c r="BR193" s="1"/>
      <c r="BS193" s="18"/>
      <c r="BU193" s="1"/>
      <c r="BV193" s="18"/>
      <c r="BX193" s="1"/>
      <c r="BY193" s="18"/>
    </row>
    <row r="194" ht="15.75" customHeight="1">
      <c r="BI194" s="1"/>
      <c r="BJ194" s="18"/>
      <c r="BL194" s="1"/>
      <c r="BM194" s="18"/>
      <c r="BO194" s="1"/>
      <c r="BP194" s="18"/>
      <c r="BR194" s="1"/>
      <c r="BS194" s="18"/>
      <c r="BU194" s="1"/>
      <c r="BV194" s="18"/>
      <c r="BX194" s="1"/>
      <c r="BY194" s="18"/>
    </row>
    <row r="195" ht="15.75" customHeight="1">
      <c r="BI195" s="1"/>
      <c r="BJ195" s="18"/>
      <c r="BL195" s="1"/>
      <c r="BM195" s="18"/>
      <c r="BO195" s="1"/>
      <c r="BP195" s="18"/>
      <c r="BR195" s="1"/>
      <c r="BS195" s="18"/>
      <c r="BU195" s="1"/>
      <c r="BV195" s="18"/>
      <c r="BX195" s="1"/>
      <c r="BY195" s="18"/>
    </row>
    <row r="196" ht="15.75" customHeight="1">
      <c r="BI196" s="1"/>
      <c r="BJ196" s="18"/>
      <c r="BL196" s="1"/>
      <c r="BM196" s="18"/>
      <c r="BO196" s="1"/>
      <c r="BP196" s="18"/>
      <c r="BR196" s="1"/>
      <c r="BS196" s="18"/>
      <c r="BU196" s="1"/>
      <c r="BV196" s="18"/>
      <c r="BX196" s="1"/>
      <c r="BY196" s="18"/>
    </row>
    <row r="197" ht="15.75" customHeight="1">
      <c r="BI197" s="1"/>
      <c r="BJ197" s="18"/>
      <c r="BL197" s="1"/>
      <c r="BM197" s="18"/>
      <c r="BO197" s="1"/>
      <c r="BP197" s="18"/>
      <c r="BR197" s="1"/>
      <c r="BS197" s="18"/>
      <c r="BU197" s="1"/>
      <c r="BV197" s="18"/>
      <c r="BX197" s="1"/>
      <c r="BY197" s="18"/>
    </row>
    <row r="198" ht="15.75" customHeight="1">
      <c r="BI198" s="1"/>
      <c r="BJ198" s="18"/>
      <c r="BL198" s="1"/>
      <c r="BM198" s="18"/>
      <c r="BO198" s="1"/>
      <c r="BP198" s="18"/>
      <c r="BR198" s="1"/>
      <c r="BS198" s="18"/>
      <c r="BU198" s="1"/>
      <c r="BV198" s="18"/>
      <c r="BX198" s="1"/>
      <c r="BY198" s="18"/>
    </row>
    <row r="199" ht="15.75" customHeight="1">
      <c r="BI199" s="1"/>
      <c r="BJ199" s="18"/>
      <c r="BL199" s="1"/>
      <c r="BM199" s="18"/>
      <c r="BO199" s="1"/>
      <c r="BP199" s="18"/>
      <c r="BR199" s="1"/>
      <c r="BS199" s="18"/>
      <c r="BU199" s="1"/>
      <c r="BV199" s="18"/>
      <c r="BX199" s="1"/>
      <c r="BY199" s="18"/>
    </row>
    <row r="200" ht="15.75" customHeight="1">
      <c r="BI200" s="1"/>
      <c r="BJ200" s="18"/>
      <c r="BL200" s="1"/>
      <c r="BM200" s="18"/>
      <c r="BO200" s="1"/>
      <c r="BP200" s="18"/>
      <c r="BR200" s="1"/>
      <c r="BS200" s="18"/>
      <c r="BU200" s="1"/>
      <c r="BV200" s="18"/>
      <c r="BX200" s="1"/>
      <c r="BY200" s="18"/>
    </row>
    <row r="201" ht="15.75" customHeight="1">
      <c r="BI201" s="1"/>
      <c r="BJ201" s="18"/>
      <c r="BL201" s="1"/>
      <c r="BM201" s="18"/>
      <c r="BO201" s="1"/>
      <c r="BP201" s="18"/>
      <c r="BR201" s="1"/>
      <c r="BS201" s="18"/>
      <c r="BU201" s="1"/>
      <c r="BV201" s="18"/>
      <c r="BX201" s="1"/>
      <c r="BY201" s="18"/>
    </row>
    <row r="202" ht="15.75" customHeight="1">
      <c r="BI202" s="1"/>
      <c r="BJ202" s="18"/>
      <c r="BL202" s="1"/>
      <c r="BM202" s="18"/>
      <c r="BO202" s="1"/>
      <c r="BP202" s="18"/>
      <c r="BR202" s="1"/>
      <c r="BS202" s="18"/>
      <c r="BU202" s="1"/>
      <c r="BV202" s="18"/>
      <c r="BX202" s="1"/>
      <c r="BY202" s="18"/>
    </row>
    <row r="203" ht="15.75" customHeight="1">
      <c r="BI203" s="1"/>
      <c r="BJ203" s="18"/>
      <c r="BL203" s="1"/>
      <c r="BM203" s="18"/>
      <c r="BO203" s="1"/>
      <c r="BP203" s="18"/>
      <c r="BR203" s="1"/>
      <c r="BS203" s="18"/>
      <c r="BU203" s="1"/>
      <c r="BV203" s="18"/>
      <c r="BX203" s="1"/>
      <c r="BY203" s="18"/>
    </row>
    <row r="204" ht="15.75" customHeight="1">
      <c r="BI204" s="1"/>
      <c r="BJ204" s="18"/>
      <c r="BL204" s="1"/>
      <c r="BM204" s="18"/>
      <c r="BO204" s="1"/>
      <c r="BP204" s="18"/>
      <c r="BR204" s="1"/>
      <c r="BS204" s="18"/>
      <c r="BU204" s="1"/>
      <c r="BV204" s="18"/>
      <c r="BX204" s="1"/>
      <c r="BY204" s="18"/>
    </row>
    <row r="205" ht="15.75" customHeight="1">
      <c r="BI205" s="1"/>
      <c r="BJ205" s="18"/>
      <c r="BL205" s="1"/>
      <c r="BM205" s="18"/>
      <c r="BO205" s="1"/>
      <c r="BP205" s="18"/>
      <c r="BR205" s="1"/>
      <c r="BS205" s="18"/>
      <c r="BU205" s="1"/>
      <c r="BV205" s="18"/>
      <c r="BX205" s="1"/>
      <c r="BY205" s="18"/>
    </row>
    <row r="206" ht="15.75" customHeight="1">
      <c r="BI206" s="1"/>
      <c r="BJ206" s="18"/>
      <c r="BL206" s="1"/>
      <c r="BM206" s="18"/>
      <c r="BO206" s="1"/>
      <c r="BP206" s="18"/>
      <c r="BR206" s="1"/>
      <c r="BS206" s="18"/>
      <c r="BU206" s="1"/>
      <c r="BV206" s="18"/>
      <c r="BX206" s="1"/>
      <c r="BY206" s="18"/>
    </row>
    <row r="207" ht="15.75" customHeight="1">
      <c r="BI207" s="1"/>
      <c r="BJ207" s="18"/>
      <c r="BL207" s="1"/>
      <c r="BM207" s="18"/>
      <c r="BO207" s="1"/>
      <c r="BP207" s="18"/>
      <c r="BR207" s="1"/>
      <c r="BS207" s="18"/>
      <c r="BU207" s="1"/>
      <c r="BV207" s="18"/>
      <c r="BX207" s="1"/>
      <c r="BY207" s="18"/>
    </row>
    <row r="208" ht="15.75" customHeight="1">
      <c r="BI208" s="1"/>
      <c r="BJ208" s="18"/>
      <c r="BL208" s="1"/>
      <c r="BM208" s="18"/>
      <c r="BO208" s="1"/>
      <c r="BP208" s="18"/>
      <c r="BR208" s="1"/>
      <c r="BS208" s="18"/>
      <c r="BU208" s="1"/>
      <c r="BV208" s="18"/>
      <c r="BX208" s="1"/>
      <c r="BY208" s="18"/>
    </row>
    <row r="209" ht="15.75" customHeight="1">
      <c r="BI209" s="1"/>
      <c r="BJ209" s="18"/>
      <c r="BL209" s="1"/>
      <c r="BM209" s="18"/>
      <c r="BO209" s="1"/>
      <c r="BP209" s="18"/>
      <c r="BR209" s="1"/>
      <c r="BS209" s="18"/>
      <c r="BU209" s="1"/>
      <c r="BV209" s="18"/>
      <c r="BX209" s="1"/>
      <c r="BY209" s="18"/>
    </row>
    <row r="210" ht="15.75" customHeight="1">
      <c r="BI210" s="1"/>
      <c r="BJ210" s="18"/>
      <c r="BL210" s="1"/>
      <c r="BM210" s="18"/>
      <c r="BO210" s="1"/>
      <c r="BP210" s="18"/>
      <c r="BR210" s="1"/>
      <c r="BS210" s="18"/>
      <c r="BU210" s="1"/>
      <c r="BV210" s="18"/>
      <c r="BX210" s="1"/>
      <c r="BY210" s="18"/>
    </row>
    <row r="211" ht="15.75" customHeight="1">
      <c r="BI211" s="1"/>
      <c r="BJ211" s="18"/>
      <c r="BL211" s="1"/>
      <c r="BM211" s="18"/>
      <c r="BO211" s="1"/>
      <c r="BP211" s="18"/>
      <c r="BR211" s="1"/>
      <c r="BS211" s="18"/>
      <c r="BU211" s="1"/>
      <c r="BV211" s="18"/>
      <c r="BX211" s="1"/>
      <c r="BY211" s="18"/>
    </row>
    <row r="212" ht="15.75" customHeight="1">
      <c r="BI212" s="1"/>
      <c r="BJ212" s="18"/>
      <c r="BL212" s="1"/>
      <c r="BM212" s="18"/>
      <c r="BO212" s="1"/>
      <c r="BP212" s="18"/>
      <c r="BR212" s="1"/>
      <c r="BS212" s="18"/>
      <c r="BU212" s="1"/>
      <c r="BV212" s="18"/>
      <c r="BX212" s="1"/>
      <c r="BY212" s="18"/>
    </row>
    <row r="213" ht="15.75" customHeight="1">
      <c r="BI213" s="1"/>
      <c r="BJ213" s="18"/>
      <c r="BL213" s="1"/>
      <c r="BM213" s="18"/>
      <c r="BO213" s="1"/>
      <c r="BP213" s="18"/>
      <c r="BR213" s="1"/>
      <c r="BS213" s="18"/>
      <c r="BU213" s="1"/>
      <c r="BV213" s="18"/>
      <c r="BX213" s="1"/>
      <c r="BY213" s="18"/>
    </row>
    <row r="214" ht="15.75" customHeight="1">
      <c r="BI214" s="1"/>
      <c r="BJ214" s="18"/>
      <c r="BL214" s="1"/>
      <c r="BM214" s="18"/>
      <c r="BO214" s="1"/>
      <c r="BP214" s="18"/>
      <c r="BR214" s="1"/>
      <c r="BS214" s="18"/>
      <c r="BU214" s="1"/>
      <c r="BV214" s="18"/>
      <c r="BX214" s="1"/>
      <c r="BY214" s="18"/>
    </row>
    <row r="215" ht="15.75" customHeight="1">
      <c r="BI215" s="1"/>
      <c r="BJ215" s="18"/>
      <c r="BL215" s="1"/>
      <c r="BM215" s="18"/>
      <c r="BO215" s="1"/>
      <c r="BP215" s="18"/>
      <c r="BR215" s="1"/>
      <c r="BS215" s="18"/>
      <c r="BU215" s="1"/>
      <c r="BV215" s="18"/>
      <c r="BX215" s="1"/>
      <c r="BY215" s="18"/>
    </row>
    <row r="216" ht="15.75" customHeight="1">
      <c r="BI216" s="1"/>
      <c r="BJ216" s="18"/>
      <c r="BL216" s="1"/>
      <c r="BM216" s="18"/>
      <c r="BO216" s="1"/>
      <c r="BP216" s="18"/>
      <c r="BR216" s="1"/>
      <c r="BS216" s="18"/>
      <c r="BU216" s="1"/>
      <c r="BV216" s="18"/>
      <c r="BX216" s="1"/>
      <c r="BY216" s="18"/>
    </row>
    <row r="217" ht="15.75" customHeight="1">
      <c r="BI217" s="1"/>
      <c r="BJ217" s="18"/>
      <c r="BL217" s="1"/>
      <c r="BM217" s="18"/>
      <c r="BO217" s="1"/>
      <c r="BP217" s="18"/>
      <c r="BR217" s="1"/>
      <c r="BS217" s="18"/>
      <c r="BU217" s="1"/>
      <c r="BV217" s="18"/>
      <c r="BX217" s="1"/>
      <c r="BY217" s="18"/>
    </row>
    <row r="218" ht="15.75" customHeight="1">
      <c r="BI218" s="1"/>
      <c r="BJ218" s="18"/>
      <c r="BL218" s="1"/>
      <c r="BM218" s="18"/>
      <c r="BO218" s="1"/>
      <c r="BP218" s="18"/>
      <c r="BR218" s="1"/>
      <c r="BS218" s="18"/>
      <c r="BU218" s="1"/>
      <c r="BV218" s="18"/>
      <c r="BX218" s="1"/>
      <c r="BY218" s="18"/>
    </row>
    <row r="219" ht="15.75" customHeight="1">
      <c r="BI219" s="1"/>
      <c r="BJ219" s="18"/>
      <c r="BL219" s="1"/>
      <c r="BM219" s="18"/>
      <c r="BO219" s="1"/>
      <c r="BP219" s="18"/>
      <c r="BR219" s="1"/>
      <c r="BS219" s="18"/>
      <c r="BU219" s="1"/>
      <c r="BV219" s="18"/>
      <c r="BX219" s="1"/>
      <c r="BY219" s="18"/>
    </row>
    <row r="220" ht="15.75" customHeight="1">
      <c r="BI220" s="1"/>
      <c r="BJ220" s="18"/>
      <c r="BL220" s="1"/>
      <c r="BM220" s="18"/>
      <c r="BO220" s="1"/>
      <c r="BP220" s="18"/>
      <c r="BR220" s="1"/>
      <c r="BS220" s="18"/>
      <c r="BU220" s="1"/>
      <c r="BV220" s="18"/>
      <c r="BX220" s="1"/>
      <c r="BY220" s="18"/>
    </row>
    <row r="221" ht="15.75" customHeight="1">
      <c r="BI221" s="1"/>
      <c r="BJ221" s="18"/>
      <c r="BL221" s="1"/>
      <c r="BM221" s="18"/>
      <c r="BO221" s="1"/>
      <c r="BP221" s="18"/>
      <c r="BR221" s="1"/>
      <c r="BS221" s="18"/>
      <c r="BU221" s="1"/>
      <c r="BV221" s="18"/>
      <c r="BX221" s="1"/>
      <c r="BY221" s="18"/>
    </row>
    <row r="222" ht="15.75" customHeight="1">
      <c r="BI222" s="1"/>
      <c r="BJ222" s="18"/>
      <c r="BL222" s="1"/>
      <c r="BM222" s="18"/>
      <c r="BO222" s="1"/>
      <c r="BP222" s="18"/>
      <c r="BR222" s="1"/>
      <c r="BS222" s="18"/>
      <c r="BU222" s="1"/>
      <c r="BV222" s="18"/>
      <c r="BX222" s="1"/>
      <c r="BY222" s="18"/>
    </row>
    <row r="223" ht="15.75" customHeight="1">
      <c r="BI223" s="1"/>
      <c r="BJ223" s="18"/>
      <c r="BL223" s="1"/>
      <c r="BM223" s="18"/>
      <c r="BO223" s="1"/>
      <c r="BP223" s="18"/>
      <c r="BR223" s="1"/>
      <c r="BS223" s="18"/>
      <c r="BU223" s="1"/>
      <c r="BV223" s="18"/>
      <c r="BX223" s="1"/>
      <c r="BY223" s="18"/>
    </row>
    <row r="224" ht="15.75" customHeight="1">
      <c r="BI224" s="1"/>
      <c r="BJ224" s="18"/>
      <c r="BL224" s="1"/>
      <c r="BM224" s="18"/>
      <c r="BO224" s="1"/>
      <c r="BP224" s="18"/>
      <c r="BR224" s="1"/>
      <c r="BS224" s="18"/>
      <c r="BU224" s="1"/>
      <c r="BV224" s="18"/>
      <c r="BX224" s="1"/>
      <c r="BY224" s="18"/>
    </row>
    <row r="225" ht="15.75" customHeight="1">
      <c r="BI225" s="1"/>
      <c r="BJ225" s="18"/>
      <c r="BL225" s="1"/>
      <c r="BM225" s="18"/>
      <c r="BO225" s="1"/>
      <c r="BP225" s="18"/>
      <c r="BR225" s="1"/>
      <c r="BS225" s="18"/>
      <c r="BU225" s="1"/>
      <c r="BV225" s="18"/>
      <c r="BX225" s="1"/>
      <c r="BY225" s="18"/>
    </row>
    <row r="226" ht="15.75" customHeight="1">
      <c r="BI226" s="1"/>
      <c r="BJ226" s="18"/>
      <c r="BL226" s="1"/>
      <c r="BM226" s="18"/>
      <c r="BO226" s="1"/>
      <c r="BP226" s="18"/>
      <c r="BR226" s="1"/>
      <c r="BS226" s="18"/>
      <c r="BU226" s="1"/>
      <c r="BV226" s="18"/>
      <c r="BX226" s="1"/>
      <c r="BY226" s="18"/>
    </row>
    <row r="227" ht="15.75" customHeight="1">
      <c r="BI227" s="1"/>
      <c r="BJ227" s="18"/>
      <c r="BL227" s="1"/>
      <c r="BM227" s="18"/>
      <c r="BO227" s="1"/>
      <c r="BP227" s="18"/>
      <c r="BR227" s="1"/>
      <c r="BS227" s="18"/>
      <c r="BU227" s="1"/>
      <c r="BV227" s="18"/>
      <c r="BX227" s="1"/>
      <c r="BY227" s="18"/>
    </row>
    <row r="228" ht="15.75" customHeight="1">
      <c r="BI228" s="1"/>
      <c r="BJ228" s="18"/>
      <c r="BL228" s="1"/>
      <c r="BM228" s="18"/>
      <c r="BO228" s="1"/>
      <c r="BP228" s="18"/>
      <c r="BR228" s="1"/>
      <c r="BS228" s="18"/>
      <c r="BU228" s="1"/>
      <c r="BV228" s="18"/>
      <c r="BX228" s="1"/>
      <c r="BY228" s="18"/>
    </row>
    <row r="229" ht="15.75" customHeight="1">
      <c r="BI229" s="1"/>
      <c r="BJ229" s="18"/>
      <c r="BL229" s="1"/>
      <c r="BM229" s="18"/>
      <c r="BO229" s="1"/>
      <c r="BP229" s="18"/>
      <c r="BR229" s="1"/>
      <c r="BS229" s="18"/>
      <c r="BU229" s="1"/>
      <c r="BV229" s="18"/>
      <c r="BX229" s="1"/>
      <c r="BY229" s="18"/>
    </row>
    <row r="230" ht="15.75" customHeight="1">
      <c r="BI230" s="1"/>
      <c r="BJ230" s="18"/>
      <c r="BL230" s="1"/>
      <c r="BM230" s="18"/>
      <c r="BO230" s="1"/>
      <c r="BP230" s="18"/>
      <c r="BR230" s="1"/>
      <c r="BS230" s="18"/>
      <c r="BU230" s="1"/>
      <c r="BV230" s="18"/>
      <c r="BX230" s="1"/>
      <c r="BY230" s="18"/>
    </row>
    <row r="231" ht="15.75" customHeight="1">
      <c r="BI231" s="1"/>
      <c r="BJ231" s="18"/>
      <c r="BL231" s="1"/>
      <c r="BM231" s="18"/>
      <c r="BO231" s="1"/>
      <c r="BP231" s="18"/>
      <c r="BR231" s="1"/>
      <c r="BS231" s="18"/>
      <c r="BU231" s="1"/>
      <c r="BV231" s="18"/>
      <c r="BX231" s="1"/>
      <c r="BY231" s="18"/>
    </row>
    <row r="232" ht="15.75" customHeight="1">
      <c r="BI232" s="1"/>
      <c r="BJ232" s="18"/>
      <c r="BL232" s="1"/>
      <c r="BM232" s="18"/>
      <c r="BO232" s="1"/>
      <c r="BP232" s="18"/>
      <c r="BR232" s="1"/>
      <c r="BS232" s="18"/>
      <c r="BU232" s="1"/>
      <c r="BV232" s="18"/>
      <c r="BX232" s="1"/>
      <c r="BY232" s="18"/>
    </row>
    <row r="233" ht="15.75" customHeight="1">
      <c r="BI233" s="1"/>
      <c r="BJ233" s="18"/>
      <c r="BL233" s="1"/>
      <c r="BM233" s="18"/>
      <c r="BO233" s="1"/>
      <c r="BP233" s="18"/>
      <c r="BR233" s="1"/>
      <c r="BS233" s="18"/>
      <c r="BU233" s="1"/>
      <c r="BV233" s="18"/>
      <c r="BX233" s="1"/>
      <c r="BY233" s="18"/>
    </row>
    <row r="234" ht="15.75" customHeight="1">
      <c r="BI234" s="1"/>
      <c r="BJ234" s="18"/>
      <c r="BL234" s="1"/>
      <c r="BM234" s="18"/>
      <c r="BO234" s="1"/>
      <c r="BP234" s="18"/>
      <c r="BR234" s="1"/>
      <c r="BS234" s="18"/>
      <c r="BU234" s="1"/>
      <c r="BV234" s="18"/>
      <c r="BX234" s="1"/>
      <c r="BY234" s="18"/>
    </row>
    <row r="235" ht="15.75" customHeight="1">
      <c r="BI235" s="1"/>
      <c r="BJ235" s="18"/>
      <c r="BL235" s="1"/>
      <c r="BM235" s="18"/>
      <c r="BO235" s="1"/>
      <c r="BP235" s="18"/>
      <c r="BR235" s="1"/>
      <c r="BS235" s="18"/>
      <c r="BU235" s="1"/>
      <c r="BV235" s="18"/>
      <c r="BX235" s="1"/>
      <c r="BY235" s="18"/>
    </row>
    <row r="236" ht="15.75" customHeight="1">
      <c r="BI236" s="1"/>
      <c r="BJ236" s="18"/>
      <c r="BL236" s="1"/>
      <c r="BM236" s="18"/>
      <c r="BO236" s="1"/>
      <c r="BP236" s="18"/>
      <c r="BR236" s="1"/>
      <c r="BS236" s="18"/>
      <c r="BU236" s="1"/>
      <c r="BV236" s="18"/>
      <c r="BX236" s="1"/>
      <c r="BY236" s="18"/>
    </row>
    <row r="237" ht="15.75" customHeight="1">
      <c r="BI237" s="1"/>
      <c r="BJ237" s="18"/>
      <c r="BL237" s="1"/>
      <c r="BM237" s="18"/>
      <c r="BO237" s="1"/>
      <c r="BP237" s="18"/>
      <c r="BR237" s="1"/>
      <c r="BS237" s="18"/>
      <c r="BU237" s="1"/>
      <c r="BV237" s="18"/>
      <c r="BX237" s="1"/>
      <c r="BY237" s="18"/>
    </row>
    <row r="238" ht="15.75" customHeight="1">
      <c r="BI238" s="1"/>
      <c r="BJ238" s="18"/>
      <c r="BL238" s="1"/>
      <c r="BM238" s="18"/>
      <c r="BO238" s="1"/>
      <c r="BP238" s="18"/>
      <c r="BR238" s="1"/>
      <c r="BS238" s="18"/>
      <c r="BU238" s="1"/>
      <c r="BV238" s="18"/>
      <c r="BX238" s="1"/>
      <c r="BY238" s="18"/>
    </row>
    <row r="239" ht="15.75" customHeight="1">
      <c r="BI239" s="1"/>
      <c r="BJ239" s="18"/>
      <c r="BL239" s="1"/>
      <c r="BM239" s="18"/>
      <c r="BO239" s="1"/>
      <c r="BP239" s="18"/>
      <c r="BR239" s="1"/>
      <c r="BS239" s="18"/>
      <c r="BU239" s="1"/>
      <c r="BV239" s="18"/>
      <c r="BX239" s="1"/>
      <c r="BY239" s="18"/>
    </row>
    <row r="240" ht="15.75" customHeight="1">
      <c r="BI240" s="1"/>
      <c r="BJ240" s="18"/>
      <c r="BL240" s="1"/>
      <c r="BM240" s="18"/>
      <c r="BO240" s="1"/>
      <c r="BP240" s="18"/>
      <c r="BR240" s="1"/>
      <c r="BS240" s="18"/>
      <c r="BU240" s="1"/>
      <c r="BV240" s="18"/>
      <c r="BX240" s="1"/>
      <c r="BY240" s="18"/>
    </row>
    <row r="241" ht="15.75" customHeight="1">
      <c r="BI241" s="1"/>
      <c r="BJ241" s="18"/>
      <c r="BL241" s="1"/>
      <c r="BM241" s="18"/>
      <c r="BO241" s="1"/>
      <c r="BP241" s="18"/>
      <c r="BR241" s="1"/>
      <c r="BS241" s="18"/>
      <c r="BU241" s="1"/>
      <c r="BV241" s="18"/>
      <c r="BX241" s="1"/>
      <c r="BY241" s="18"/>
    </row>
    <row r="242" ht="15.75" customHeight="1">
      <c r="BI242" s="1"/>
      <c r="BJ242" s="18"/>
      <c r="BL242" s="1"/>
      <c r="BM242" s="18"/>
      <c r="BO242" s="1"/>
      <c r="BP242" s="18"/>
      <c r="BR242" s="1"/>
      <c r="BS242" s="18"/>
      <c r="BU242" s="1"/>
      <c r="BV242" s="18"/>
      <c r="BX242" s="1"/>
      <c r="BY242" s="18"/>
    </row>
    <row r="243" ht="15.75" customHeight="1">
      <c r="BI243" s="1"/>
      <c r="BJ243" s="18"/>
      <c r="BL243" s="1"/>
      <c r="BM243" s="18"/>
      <c r="BO243" s="1"/>
      <c r="BP243" s="18"/>
      <c r="BR243" s="1"/>
      <c r="BS243" s="18"/>
      <c r="BU243" s="1"/>
      <c r="BV243" s="18"/>
      <c r="BX243" s="1"/>
      <c r="BY243" s="18"/>
    </row>
    <row r="244" ht="15.75" customHeight="1">
      <c r="BI244" s="1"/>
      <c r="BJ244" s="18"/>
      <c r="BL244" s="1"/>
      <c r="BM244" s="18"/>
      <c r="BO244" s="1"/>
      <c r="BP244" s="18"/>
      <c r="BR244" s="1"/>
      <c r="BS244" s="18"/>
      <c r="BU244" s="1"/>
      <c r="BV244" s="18"/>
      <c r="BX244" s="1"/>
      <c r="BY244" s="18"/>
    </row>
    <row r="245" ht="15.75" customHeight="1">
      <c r="BI245" s="1"/>
      <c r="BJ245" s="18"/>
      <c r="BL245" s="1"/>
      <c r="BM245" s="18"/>
      <c r="BO245" s="1"/>
      <c r="BP245" s="18"/>
      <c r="BR245" s="1"/>
      <c r="BS245" s="18"/>
      <c r="BU245" s="1"/>
      <c r="BV245" s="18"/>
      <c r="BX245" s="1"/>
      <c r="BY245" s="18"/>
    </row>
    <row r="246" ht="15.75" customHeight="1">
      <c r="BI246" s="1"/>
      <c r="BJ246" s="18"/>
      <c r="BL246" s="1"/>
      <c r="BM246" s="18"/>
      <c r="BO246" s="1"/>
      <c r="BP246" s="18"/>
      <c r="BR246" s="1"/>
      <c r="BS246" s="18"/>
      <c r="BU246" s="1"/>
      <c r="BV246" s="18"/>
      <c r="BX246" s="1"/>
      <c r="BY246" s="18"/>
    </row>
    <row r="247" ht="15.75" customHeight="1">
      <c r="BI247" s="1"/>
      <c r="BJ247" s="18"/>
      <c r="BL247" s="1"/>
      <c r="BM247" s="18"/>
      <c r="BO247" s="1"/>
      <c r="BP247" s="18"/>
      <c r="BR247" s="1"/>
      <c r="BS247" s="18"/>
      <c r="BU247" s="1"/>
      <c r="BV247" s="18"/>
      <c r="BX247" s="1"/>
      <c r="BY247" s="18"/>
    </row>
    <row r="248" ht="15.75" customHeight="1">
      <c r="BI248" s="1"/>
      <c r="BJ248" s="18"/>
      <c r="BL248" s="1"/>
      <c r="BM248" s="18"/>
      <c r="BO248" s="1"/>
      <c r="BP248" s="18"/>
      <c r="BR248" s="1"/>
      <c r="BS248" s="18"/>
      <c r="BU248" s="1"/>
      <c r="BV248" s="18"/>
      <c r="BX248" s="1"/>
      <c r="BY248" s="18"/>
    </row>
    <row r="249" ht="15.75" customHeight="1">
      <c r="BI249" s="1"/>
      <c r="BJ249" s="18"/>
      <c r="BL249" s="1"/>
      <c r="BM249" s="18"/>
      <c r="BO249" s="1"/>
      <c r="BP249" s="18"/>
      <c r="BR249" s="1"/>
      <c r="BS249" s="18"/>
      <c r="BU249" s="1"/>
      <c r="BV249" s="18"/>
      <c r="BX249" s="1"/>
      <c r="BY249" s="18"/>
    </row>
    <row r="250" ht="15.75" customHeight="1">
      <c r="BI250" s="1"/>
      <c r="BJ250" s="18"/>
      <c r="BL250" s="1"/>
      <c r="BM250" s="18"/>
      <c r="BO250" s="1"/>
      <c r="BP250" s="18"/>
      <c r="BR250" s="1"/>
      <c r="BS250" s="18"/>
      <c r="BU250" s="1"/>
      <c r="BV250" s="18"/>
      <c r="BX250" s="1"/>
      <c r="BY250" s="18"/>
    </row>
    <row r="251" ht="15.75" customHeight="1">
      <c r="BI251" s="1"/>
      <c r="BJ251" s="18"/>
      <c r="BL251" s="1"/>
      <c r="BM251" s="18"/>
      <c r="BO251" s="1"/>
      <c r="BP251" s="18"/>
      <c r="BR251" s="1"/>
      <c r="BS251" s="18"/>
      <c r="BU251" s="1"/>
      <c r="BV251" s="18"/>
      <c r="BX251" s="1"/>
      <c r="BY251" s="18"/>
    </row>
    <row r="252" ht="15.75" customHeight="1">
      <c r="BI252" s="1"/>
      <c r="BJ252" s="18"/>
      <c r="BL252" s="1"/>
      <c r="BM252" s="18"/>
      <c r="BO252" s="1"/>
      <c r="BP252" s="18"/>
      <c r="BR252" s="1"/>
      <c r="BS252" s="18"/>
      <c r="BU252" s="1"/>
      <c r="BV252" s="18"/>
      <c r="BX252" s="1"/>
      <c r="BY252" s="18"/>
    </row>
    <row r="253" ht="15.75" customHeight="1">
      <c r="BI253" s="1"/>
      <c r="BJ253" s="18"/>
      <c r="BL253" s="1"/>
      <c r="BM253" s="18"/>
      <c r="BO253" s="1"/>
      <c r="BP253" s="18"/>
      <c r="BR253" s="1"/>
      <c r="BS253" s="18"/>
      <c r="BU253" s="1"/>
      <c r="BV253" s="18"/>
      <c r="BX253" s="1"/>
      <c r="BY253" s="18"/>
    </row>
    <row r="254" ht="15.75" customHeight="1">
      <c r="BI254" s="1"/>
      <c r="BJ254" s="18"/>
      <c r="BL254" s="1"/>
      <c r="BM254" s="18"/>
      <c r="BO254" s="1"/>
      <c r="BP254" s="18"/>
      <c r="BR254" s="1"/>
      <c r="BS254" s="18"/>
      <c r="BU254" s="1"/>
      <c r="BV254" s="18"/>
      <c r="BX254" s="1"/>
      <c r="BY254" s="18"/>
    </row>
    <row r="255" ht="15.75" customHeight="1">
      <c r="BI255" s="1"/>
      <c r="BJ255" s="18"/>
      <c r="BL255" s="1"/>
      <c r="BM255" s="18"/>
      <c r="BO255" s="1"/>
      <c r="BP255" s="18"/>
      <c r="BR255" s="1"/>
      <c r="BS255" s="18"/>
      <c r="BU255" s="1"/>
      <c r="BV255" s="18"/>
      <c r="BX255" s="1"/>
      <c r="BY255" s="18"/>
    </row>
    <row r="256" ht="15.75" customHeight="1">
      <c r="BI256" s="1"/>
      <c r="BJ256" s="18"/>
      <c r="BL256" s="1"/>
      <c r="BM256" s="18"/>
      <c r="BO256" s="1"/>
      <c r="BP256" s="18"/>
      <c r="BR256" s="1"/>
      <c r="BS256" s="18"/>
      <c r="BU256" s="1"/>
      <c r="BV256" s="18"/>
      <c r="BX256" s="1"/>
      <c r="BY256" s="18"/>
    </row>
    <row r="257" ht="15.75" customHeight="1">
      <c r="BI257" s="1"/>
      <c r="BJ257" s="18"/>
      <c r="BL257" s="1"/>
      <c r="BM257" s="18"/>
      <c r="BO257" s="1"/>
      <c r="BP257" s="18"/>
      <c r="BR257" s="1"/>
      <c r="BS257" s="18"/>
      <c r="BU257" s="1"/>
      <c r="BV257" s="18"/>
      <c r="BX257" s="1"/>
      <c r="BY257" s="18"/>
    </row>
    <row r="258" ht="15.75" customHeight="1">
      <c r="BI258" s="1"/>
      <c r="BJ258" s="18"/>
      <c r="BL258" s="1"/>
      <c r="BM258" s="18"/>
      <c r="BO258" s="1"/>
      <c r="BP258" s="18"/>
      <c r="BR258" s="1"/>
      <c r="BS258" s="18"/>
      <c r="BU258" s="1"/>
      <c r="BV258" s="18"/>
      <c r="BX258" s="1"/>
      <c r="BY258" s="18"/>
    </row>
    <row r="259" ht="15.75" customHeight="1">
      <c r="BI259" s="1"/>
      <c r="BJ259" s="18"/>
      <c r="BL259" s="1"/>
      <c r="BM259" s="18"/>
      <c r="BO259" s="1"/>
      <c r="BP259" s="18"/>
      <c r="BR259" s="1"/>
      <c r="BS259" s="18"/>
      <c r="BU259" s="1"/>
      <c r="BV259" s="18"/>
      <c r="BX259" s="1"/>
      <c r="BY259" s="18"/>
    </row>
    <row r="260" ht="15.75" customHeight="1">
      <c r="BI260" s="1"/>
      <c r="BJ260" s="18"/>
      <c r="BL260" s="1"/>
      <c r="BM260" s="18"/>
      <c r="BO260" s="1"/>
      <c r="BP260" s="18"/>
      <c r="BR260" s="1"/>
      <c r="BS260" s="18"/>
      <c r="BU260" s="1"/>
      <c r="BV260" s="18"/>
      <c r="BX260" s="1"/>
      <c r="BY260" s="18"/>
    </row>
    <row r="261" ht="15.75" customHeight="1">
      <c r="BI261" s="1"/>
      <c r="BJ261" s="18"/>
      <c r="BL261" s="1"/>
      <c r="BM261" s="18"/>
      <c r="BO261" s="1"/>
      <c r="BP261" s="18"/>
      <c r="BR261" s="1"/>
      <c r="BS261" s="18"/>
      <c r="BU261" s="1"/>
      <c r="BV261" s="18"/>
      <c r="BX261" s="1"/>
      <c r="BY261" s="18"/>
    </row>
    <row r="262" ht="15.75" customHeight="1">
      <c r="BI262" s="1"/>
      <c r="BJ262" s="18"/>
      <c r="BL262" s="1"/>
      <c r="BM262" s="18"/>
      <c r="BO262" s="1"/>
      <c r="BP262" s="18"/>
      <c r="BR262" s="1"/>
      <c r="BS262" s="18"/>
      <c r="BU262" s="1"/>
      <c r="BV262" s="18"/>
      <c r="BX262" s="1"/>
      <c r="BY262" s="18"/>
    </row>
    <row r="263" ht="15.75" customHeight="1">
      <c r="BI263" s="1"/>
      <c r="BJ263" s="18"/>
      <c r="BL263" s="1"/>
      <c r="BM263" s="18"/>
      <c r="BO263" s="1"/>
      <c r="BP263" s="18"/>
      <c r="BR263" s="1"/>
      <c r="BS263" s="18"/>
      <c r="BU263" s="1"/>
      <c r="BV263" s="18"/>
      <c r="BX263" s="1"/>
      <c r="BY263" s="18"/>
    </row>
    <row r="264" ht="15.75" customHeight="1">
      <c r="BI264" s="1"/>
      <c r="BJ264" s="18"/>
      <c r="BL264" s="1"/>
      <c r="BM264" s="18"/>
      <c r="BO264" s="1"/>
      <c r="BP264" s="18"/>
      <c r="BR264" s="1"/>
      <c r="BS264" s="18"/>
      <c r="BU264" s="1"/>
      <c r="BV264" s="18"/>
      <c r="BX264" s="1"/>
      <c r="BY264" s="18"/>
    </row>
    <row r="265" ht="15.75" customHeight="1">
      <c r="BI265" s="1"/>
      <c r="BJ265" s="18"/>
      <c r="BL265" s="1"/>
      <c r="BM265" s="18"/>
      <c r="BO265" s="1"/>
      <c r="BP265" s="18"/>
      <c r="BR265" s="1"/>
      <c r="BS265" s="18"/>
      <c r="BU265" s="1"/>
      <c r="BV265" s="18"/>
      <c r="BX265" s="1"/>
      <c r="BY265" s="18"/>
    </row>
    <row r="266" ht="15.75" customHeight="1">
      <c r="BI266" s="1"/>
      <c r="BJ266" s="18"/>
      <c r="BL266" s="1"/>
      <c r="BM266" s="18"/>
      <c r="BO266" s="1"/>
      <c r="BP266" s="18"/>
      <c r="BR266" s="1"/>
      <c r="BS266" s="18"/>
      <c r="BU266" s="1"/>
      <c r="BV266" s="18"/>
      <c r="BX266" s="1"/>
      <c r="BY266" s="18"/>
    </row>
    <row r="267" ht="15.75" customHeight="1">
      <c r="BI267" s="1"/>
      <c r="BJ267" s="18"/>
      <c r="BL267" s="1"/>
      <c r="BM267" s="18"/>
      <c r="BO267" s="1"/>
      <c r="BP267" s="18"/>
      <c r="BR267" s="1"/>
      <c r="BS267" s="18"/>
      <c r="BU267" s="1"/>
      <c r="BV267" s="18"/>
      <c r="BX267" s="1"/>
      <c r="BY267" s="18"/>
    </row>
    <row r="268" ht="15.75" customHeight="1">
      <c r="BI268" s="1"/>
      <c r="BJ268" s="18"/>
      <c r="BL268" s="1"/>
      <c r="BM268" s="18"/>
      <c r="BO268" s="1"/>
      <c r="BP268" s="18"/>
      <c r="BR268" s="1"/>
      <c r="BS268" s="18"/>
      <c r="BU268" s="1"/>
      <c r="BV268" s="18"/>
      <c r="BX268" s="1"/>
      <c r="BY268" s="18"/>
    </row>
    <row r="269" ht="15.75" customHeight="1">
      <c r="BI269" s="1"/>
      <c r="BJ269" s="18"/>
      <c r="BL269" s="1"/>
      <c r="BM269" s="18"/>
      <c r="BO269" s="1"/>
      <c r="BP269" s="18"/>
      <c r="BR269" s="1"/>
      <c r="BS269" s="18"/>
      <c r="BU269" s="1"/>
      <c r="BV269" s="18"/>
      <c r="BX269" s="1"/>
      <c r="BY269" s="18"/>
    </row>
    <row r="270" ht="15.75" customHeight="1">
      <c r="BI270" s="1"/>
      <c r="BJ270" s="18"/>
      <c r="BL270" s="1"/>
      <c r="BM270" s="18"/>
      <c r="BO270" s="1"/>
      <c r="BP270" s="18"/>
      <c r="BR270" s="1"/>
      <c r="BS270" s="18"/>
      <c r="BU270" s="1"/>
      <c r="BV270" s="18"/>
      <c r="BX270" s="1"/>
      <c r="BY270" s="18"/>
    </row>
    <row r="271" ht="15.75" customHeight="1">
      <c r="BI271" s="1"/>
      <c r="BJ271" s="18"/>
      <c r="BL271" s="1"/>
      <c r="BM271" s="18"/>
      <c r="BO271" s="1"/>
      <c r="BP271" s="18"/>
      <c r="BR271" s="1"/>
      <c r="BS271" s="18"/>
      <c r="BU271" s="1"/>
      <c r="BV271" s="18"/>
      <c r="BX271" s="1"/>
      <c r="BY271" s="18"/>
    </row>
    <row r="272" ht="15.75" customHeight="1">
      <c r="BI272" s="1"/>
      <c r="BJ272" s="18"/>
      <c r="BL272" s="1"/>
      <c r="BM272" s="18"/>
      <c r="BO272" s="1"/>
      <c r="BP272" s="18"/>
      <c r="BR272" s="1"/>
      <c r="BS272" s="18"/>
      <c r="BU272" s="1"/>
      <c r="BV272" s="18"/>
      <c r="BX272" s="1"/>
      <c r="BY272" s="18"/>
    </row>
    <row r="273" ht="15.75" customHeight="1">
      <c r="BI273" s="1"/>
      <c r="BJ273" s="18"/>
      <c r="BL273" s="1"/>
      <c r="BM273" s="18"/>
      <c r="BO273" s="1"/>
      <c r="BP273" s="18"/>
      <c r="BR273" s="1"/>
      <c r="BS273" s="18"/>
      <c r="BU273" s="1"/>
      <c r="BV273" s="18"/>
      <c r="BX273" s="1"/>
      <c r="BY273" s="18"/>
    </row>
    <row r="274" ht="15.75" customHeight="1">
      <c r="BI274" s="1"/>
      <c r="BJ274" s="18"/>
      <c r="BL274" s="1"/>
      <c r="BM274" s="18"/>
      <c r="BO274" s="1"/>
      <c r="BP274" s="18"/>
      <c r="BR274" s="1"/>
      <c r="BS274" s="18"/>
      <c r="BU274" s="1"/>
      <c r="BV274" s="18"/>
      <c r="BX274" s="1"/>
      <c r="BY274" s="18"/>
    </row>
    <row r="275" ht="15.75" customHeight="1">
      <c r="BI275" s="1"/>
      <c r="BJ275" s="18"/>
      <c r="BL275" s="1"/>
      <c r="BM275" s="18"/>
      <c r="BO275" s="1"/>
      <c r="BP275" s="18"/>
      <c r="BR275" s="1"/>
      <c r="BS275" s="18"/>
      <c r="BU275" s="1"/>
      <c r="BV275" s="18"/>
      <c r="BX275" s="1"/>
      <c r="BY275" s="18"/>
    </row>
    <row r="276" ht="15.75" customHeight="1">
      <c r="BI276" s="1"/>
      <c r="BJ276" s="18"/>
      <c r="BL276" s="1"/>
      <c r="BM276" s="18"/>
      <c r="BO276" s="1"/>
      <c r="BP276" s="18"/>
      <c r="BR276" s="1"/>
      <c r="BS276" s="18"/>
      <c r="BU276" s="1"/>
      <c r="BV276" s="18"/>
      <c r="BX276" s="1"/>
      <c r="BY276" s="18"/>
    </row>
    <row r="277" ht="15.75" customHeight="1">
      <c r="BI277" s="1"/>
      <c r="BJ277" s="18"/>
      <c r="BL277" s="1"/>
      <c r="BM277" s="18"/>
      <c r="BO277" s="1"/>
      <c r="BP277" s="18"/>
      <c r="BR277" s="1"/>
      <c r="BS277" s="18"/>
      <c r="BU277" s="1"/>
      <c r="BV277" s="18"/>
      <c r="BX277" s="1"/>
      <c r="BY277" s="18"/>
    </row>
    <row r="278" ht="15.75" customHeight="1">
      <c r="BI278" s="1"/>
      <c r="BJ278" s="18"/>
      <c r="BL278" s="1"/>
      <c r="BM278" s="18"/>
      <c r="BO278" s="1"/>
      <c r="BP278" s="18"/>
      <c r="BR278" s="1"/>
      <c r="BS278" s="18"/>
      <c r="BU278" s="1"/>
      <c r="BV278" s="18"/>
      <c r="BX278" s="1"/>
      <c r="BY278" s="18"/>
    </row>
    <row r="279" ht="15.75" customHeight="1">
      <c r="BI279" s="1"/>
      <c r="BJ279" s="18"/>
      <c r="BL279" s="1"/>
      <c r="BM279" s="18"/>
      <c r="BO279" s="1"/>
      <c r="BP279" s="18"/>
      <c r="BR279" s="1"/>
      <c r="BS279" s="18"/>
      <c r="BU279" s="1"/>
      <c r="BV279" s="18"/>
      <c r="BX279" s="1"/>
      <c r="BY279" s="18"/>
    </row>
    <row r="280" ht="15.75" customHeight="1">
      <c r="BI280" s="1"/>
      <c r="BJ280" s="18"/>
      <c r="BL280" s="1"/>
      <c r="BM280" s="18"/>
      <c r="BO280" s="1"/>
      <c r="BP280" s="18"/>
      <c r="BR280" s="1"/>
      <c r="BS280" s="18"/>
      <c r="BU280" s="1"/>
      <c r="BV280" s="18"/>
      <c r="BX280" s="1"/>
      <c r="BY280" s="18"/>
    </row>
    <row r="281" ht="15.75" customHeight="1">
      <c r="BI281" s="1"/>
      <c r="BJ281" s="18"/>
      <c r="BL281" s="1"/>
      <c r="BM281" s="18"/>
      <c r="BO281" s="1"/>
      <c r="BP281" s="18"/>
      <c r="BR281" s="1"/>
      <c r="BS281" s="18"/>
      <c r="BU281" s="1"/>
      <c r="BV281" s="18"/>
      <c r="BX281" s="1"/>
      <c r="BY281" s="18"/>
    </row>
    <row r="282" ht="15.75" customHeight="1">
      <c r="BI282" s="1"/>
      <c r="BJ282" s="18"/>
      <c r="BL282" s="1"/>
      <c r="BM282" s="18"/>
      <c r="BO282" s="1"/>
      <c r="BP282" s="18"/>
      <c r="BR282" s="1"/>
      <c r="BS282" s="18"/>
      <c r="BU282" s="1"/>
      <c r="BV282" s="18"/>
      <c r="BX282" s="1"/>
      <c r="BY282" s="18"/>
    </row>
    <row r="283" ht="15.75" customHeight="1">
      <c r="BI283" s="1"/>
      <c r="BJ283" s="18"/>
      <c r="BL283" s="1"/>
      <c r="BM283" s="18"/>
      <c r="BO283" s="1"/>
      <c r="BP283" s="18"/>
      <c r="BR283" s="1"/>
      <c r="BS283" s="18"/>
      <c r="BU283" s="1"/>
      <c r="BV283" s="18"/>
      <c r="BX283" s="1"/>
      <c r="BY283" s="18"/>
    </row>
    <row r="284" ht="15.75" customHeight="1">
      <c r="BI284" s="1"/>
      <c r="BJ284" s="18"/>
      <c r="BL284" s="1"/>
      <c r="BM284" s="18"/>
      <c r="BO284" s="1"/>
      <c r="BP284" s="18"/>
      <c r="BR284" s="1"/>
      <c r="BS284" s="18"/>
      <c r="BU284" s="1"/>
      <c r="BV284" s="18"/>
      <c r="BX284" s="1"/>
      <c r="BY284" s="18"/>
    </row>
    <row r="285" ht="15.75" customHeight="1">
      <c r="BI285" s="1"/>
      <c r="BJ285" s="18"/>
      <c r="BL285" s="1"/>
      <c r="BM285" s="18"/>
      <c r="BO285" s="1"/>
      <c r="BP285" s="18"/>
      <c r="BR285" s="1"/>
      <c r="BS285" s="18"/>
      <c r="BU285" s="1"/>
      <c r="BV285" s="18"/>
      <c r="BX285" s="1"/>
      <c r="BY285" s="18"/>
    </row>
    <row r="286" ht="15.75" customHeight="1">
      <c r="BI286" s="1"/>
      <c r="BJ286" s="18"/>
      <c r="BL286" s="1"/>
      <c r="BM286" s="18"/>
      <c r="BO286" s="1"/>
      <c r="BP286" s="18"/>
      <c r="BR286" s="1"/>
      <c r="BS286" s="18"/>
      <c r="BU286" s="1"/>
      <c r="BV286" s="18"/>
      <c r="BX286" s="1"/>
      <c r="BY286" s="18"/>
    </row>
    <row r="287" ht="15.75" customHeight="1">
      <c r="BI287" s="1"/>
      <c r="BJ287" s="18"/>
      <c r="BL287" s="1"/>
      <c r="BM287" s="18"/>
      <c r="BO287" s="1"/>
      <c r="BP287" s="18"/>
      <c r="BR287" s="1"/>
      <c r="BS287" s="18"/>
      <c r="BU287" s="1"/>
      <c r="BV287" s="18"/>
      <c r="BX287" s="1"/>
      <c r="BY287" s="18"/>
    </row>
    <row r="288" ht="15.75" customHeight="1">
      <c r="BI288" s="1"/>
      <c r="BJ288" s="18"/>
      <c r="BL288" s="1"/>
      <c r="BM288" s="18"/>
      <c r="BO288" s="1"/>
      <c r="BP288" s="18"/>
      <c r="BR288" s="1"/>
      <c r="BS288" s="18"/>
      <c r="BU288" s="1"/>
      <c r="BV288" s="18"/>
      <c r="BX288" s="1"/>
      <c r="BY288" s="18"/>
    </row>
    <row r="289" ht="15.75" customHeight="1">
      <c r="BI289" s="1"/>
      <c r="BJ289" s="18"/>
      <c r="BL289" s="1"/>
      <c r="BM289" s="18"/>
      <c r="BO289" s="1"/>
      <c r="BP289" s="18"/>
      <c r="BR289" s="1"/>
      <c r="BS289" s="18"/>
      <c r="BU289" s="1"/>
      <c r="BV289" s="18"/>
      <c r="BX289" s="1"/>
      <c r="BY289" s="18"/>
    </row>
    <row r="290" ht="15.75" customHeight="1">
      <c r="BI290" s="1"/>
      <c r="BJ290" s="18"/>
      <c r="BL290" s="1"/>
      <c r="BM290" s="18"/>
      <c r="BO290" s="1"/>
      <c r="BP290" s="18"/>
      <c r="BR290" s="1"/>
      <c r="BS290" s="18"/>
      <c r="BU290" s="1"/>
      <c r="BV290" s="18"/>
      <c r="BX290" s="1"/>
      <c r="BY290" s="18"/>
    </row>
    <row r="291" ht="15.75" customHeight="1">
      <c r="BI291" s="1"/>
      <c r="BJ291" s="18"/>
      <c r="BL291" s="1"/>
      <c r="BM291" s="18"/>
      <c r="BO291" s="1"/>
      <c r="BP291" s="18"/>
      <c r="BR291" s="1"/>
      <c r="BS291" s="18"/>
      <c r="BU291" s="1"/>
      <c r="BV291" s="18"/>
      <c r="BX291" s="1"/>
      <c r="BY291" s="18"/>
    </row>
    <row r="292" ht="15.75" customHeight="1">
      <c r="BI292" s="1"/>
      <c r="BJ292" s="18"/>
      <c r="BL292" s="1"/>
      <c r="BM292" s="18"/>
      <c r="BO292" s="1"/>
      <c r="BP292" s="18"/>
      <c r="BR292" s="1"/>
      <c r="BS292" s="18"/>
      <c r="BU292" s="1"/>
      <c r="BV292" s="18"/>
      <c r="BX292" s="1"/>
      <c r="BY292" s="18"/>
    </row>
    <row r="293" ht="15.75" customHeight="1">
      <c r="BI293" s="1"/>
      <c r="BJ293" s="18"/>
      <c r="BL293" s="1"/>
      <c r="BM293" s="18"/>
      <c r="BO293" s="1"/>
      <c r="BP293" s="18"/>
      <c r="BR293" s="1"/>
      <c r="BS293" s="18"/>
      <c r="BU293" s="1"/>
      <c r="BV293" s="18"/>
      <c r="BX293" s="1"/>
      <c r="BY293" s="18"/>
    </row>
    <row r="294" ht="15.75" customHeight="1">
      <c r="BI294" s="1"/>
      <c r="BJ294" s="18"/>
      <c r="BL294" s="1"/>
      <c r="BM294" s="18"/>
      <c r="BO294" s="1"/>
      <c r="BP294" s="18"/>
      <c r="BR294" s="1"/>
      <c r="BS294" s="18"/>
      <c r="BU294" s="1"/>
      <c r="BV294" s="18"/>
      <c r="BX294" s="1"/>
      <c r="BY294" s="18"/>
    </row>
    <row r="295" ht="15.75" customHeight="1">
      <c r="BI295" s="1"/>
      <c r="BJ295" s="18"/>
      <c r="BL295" s="1"/>
      <c r="BM295" s="18"/>
      <c r="BO295" s="1"/>
      <c r="BP295" s="18"/>
      <c r="BR295" s="1"/>
      <c r="BS295" s="18"/>
      <c r="BU295" s="1"/>
      <c r="BV295" s="18"/>
      <c r="BX295" s="1"/>
      <c r="BY295" s="18"/>
    </row>
    <row r="296" ht="15.75" customHeight="1">
      <c r="BI296" s="1"/>
      <c r="BJ296" s="18"/>
      <c r="BL296" s="1"/>
      <c r="BM296" s="18"/>
      <c r="BO296" s="1"/>
      <c r="BP296" s="18"/>
      <c r="BR296" s="1"/>
      <c r="BS296" s="18"/>
      <c r="BU296" s="1"/>
      <c r="BV296" s="18"/>
      <c r="BX296" s="1"/>
      <c r="BY296" s="18"/>
    </row>
    <row r="297" ht="15.75" customHeight="1">
      <c r="BI297" s="1"/>
      <c r="BJ297" s="18"/>
      <c r="BL297" s="1"/>
      <c r="BM297" s="18"/>
      <c r="BO297" s="1"/>
      <c r="BP297" s="18"/>
      <c r="BR297" s="1"/>
      <c r="BS297" s="18"/>
      <c r="BU297" s="1"/>
      <c r="BV297" s="18"/>
      <c r="BX297" s="1"/>
      <c r="BY297" s="18"/>
    </row>
    <row r="298" ht="15.75" customHeight="1">
      <c r="BI298" s="1"/>
      <c r="BJ298" s="18"/>
      <c r="BL298" s="1"/>
      <c r="BM298" s="18"/>
      <c r="BO298" s="1"/>
      <c r="BP298" s="18"/>
      <c r="BR298" s="1"/>
      <c r="BS298" s="18"/>
      <c r="BU298" s="1"/>
      <c r="BV298" s="18"/>
      <c r="BX298" s="1"/>
      <c r="BY298" s="18"/>
    </row>
    <row r="299" ht="15.75" customHeight="1">
      <c r="BI299" s="1"/>
      <c r="BJ299" s="18"/>
      <c r="BL299" s="1"/>
      <c r="BM299" s="18"/>
      <c r="BO299" s="1"/>
      <c r="BP299" s="18"/>
      <c r="BR299" s="1"/>
      <c r="BS299" s="18"/>
      <c r="BU299" s="1"/>
      <c r="BV299" s="18"/>
      <c r="BX299" s="1"/>
      <c r="BY299" s="18"/>
    </row>
    <row r="300" ht="15.75" customHeight="1">
      <c r="BI300" s="1"/>
      <c r="BJ300" s="18"/>
      <c r="BL300" s="1"/>
      <c r="BM300" s="18"/>
      <c r="BO300" s="1"/>
      <c r="BP300" s="18"/>
      <c r="BR300" s="1"/>
      <c r="BS300" s="18"/>
      <c r="BU300" s="1"/>
      <c r="BV300" s="18"/>
      <c r="BX300" s="1"/>
      <c r="BY300" s="18"/>
    </row>
    <row r="301" ht="15.75" customHeight="1">
      <c r="BI301" s="1"/>
      <c r="BJ301" s="18"/>
      <c r="BL301" s="1"/>
      <c r="BM301" s="18"/>
      <c r="BO301" s="1"/>
      <c r="BP301" s="18"/>
      <c r="BR301" s="1"/>
      <c r="BS301" s="18"/>
      <c r="BU301" s="1"/>
      <c r="BV301" s="18"/>
      <c r="BX301" s="1"/>
      <c r="BY301" s="18"/>
    </row>
    <row r="302" ht="15.75" customHeight="1">
      <c r="BI302" s="1"/>
      <c r="BJ302" s="18"/>
      <c r="BL302" s="1"/>
      <c r="BM302" s="18"/>
      <c r="BO302" s="1"/>
      <c r="BP302" s="18"/>
      <c r="BR302" s="1"/>
      <c r="BS302" s="18"/>
      <c r="BU302" s="1"/>
      <c r="BV302" s="18"/>
      <c r="BX302" s="1"/>
      <c r="BY302" s="18"/>
    </row>
    <row r="303" ht="15.75" customHeight="1">
      <c r="BI303" s="1"/>
      <c r="BJ303" s="18"/>
      <c r="BL303" s="1"/>
      <c r="BM303" s="18"/>
      <c r="BO303" s="1"/>
      <c r="BP303" s="18"/>
      <c r="BR303" s="1"/>
      <c r="BS303" s="18"/>
      <c r="BU303" s="1"/>
      <c r="BV303" s="18"/>
      <c r="BX303" s="1"/>
      <c r="BY303" s="18"/>
    </row>
    <row r="304" ht="15.75" customHeight="1">
      <c r="BI304" s="1"/>
      <c r="BJ304" s="18"/>
      <c r="BL304" s="1"/>
      <c r="BM304" s="18"/>
      <c r="BO304" s="1"/>
      <c r="BP304" s="18"/>
      <c r="BR304" s="1"/>
      <c r="BS304" s="18"/>
      <c r="BU304" s="1"/>
      <c r="BV304" s="18"/>
      <c r="BX304" s="1"/>
      <c r="BY304" s="18"/>
    </row>
    <row r="305" ht="15.75" customHeight="1">
      <c r="BI305" s="1"/>
      <c r="BJ305" s="18"/>
      <c r="BL305" s="1"/>
      <c r="BM305" s="18"/>
      <c r="BO305" s="1"/>
      <c r="BP305" s="18"/>
      <c r="BR305" s="1"/>
      <c r="BS305" s="18"/>
      <c r="BU305" s="1"/>
      <c r="BV305" s="18"/>
      <c r="BX305" s="1"/>
      <c r="BY305" s="18"/>
    </row>
    <row r="306" ht="15.75" customHeight="1">
      <c r="BI306" s="1"/>
      <c r="BJ306" s="18"/>
      <c r="BL306" s="1"/>
      <c r="BM306" s="18"/>
      <c r="BO306" s="1"/>
      <c r="BP306" s="18"/>
      <c r="BR306" s="1"/>
      <c r="BS306" s="18"/>
      <c r="BU306" s="1"/>
      <c r="BV306" s="18"/>
      <c r="BX306" s="1"/>
      <c r="BY306" s="18"/>
    </row>
    <row r="307" ht="15.75" customHeight="1">
      <c r="BI307" s="1"/>
      <c r="BJ307" s="18"/>
      <c r="BL307" s="1"/>
      <c r="BM307" s="18"/>
      <c r="BO307" s="1"/>
      <c r="BP307" s="18"/>
      <c r="BR307" s="1"/>
      <c r="BS307" s="18"/>
      <c r="BU307" s="1"/>
      <c r="BV307" s="18"/>
      <c r="BX307" s="1"/>
      <c r="BY307" s="18"/>
    </row>
    <row r="308" ht="15.75" customHeight="1">
      <c r="BI308" s="1"/>
      <c r="BJ308" s="18"/>
      <c r="BL308" s="1"/>
      <c r="BM308" s="18"/>
      <c r="BO308" s="1"/>
      <c r="BP308" s="18"/>
      <c r="BR308" s="1"/>
      <c r="BS308" s="18"/>
      <c r="BU308" s="1"/>
      <c r="BV308" s="18"/>
      <c r="BX308" s="1"/>
      <c r="BY308" s="18"/>
    </row>
    <row r="309" ht="15.75" customHeight="1">
      <c r="BI309" s="1"/>
      <c r="BJ309" s="18"/>
      <c r="BL309" s="1"/>
      <c r="BM309" s="18"/>
      <c r="BO309" s="1"/>
      <c r="BP309" s="18"/>
      <c r="BR309" s="1"/>
      <c r="BS309" s="18"/>
      <c r="BU309" s="1"/>
      <c r="BV309" s="18"/>
      <c r="BX309" s="1"/>
      <c r="BY309" s="18"/>
    </row>
    <row r="310" ht="15.75" customHeight="1">
      <c r="BI310" s="1"/>
      <c r="BJ310" s="18"/>
      <c r="BL310" s="1"/>
      <c r="BM310" s="18"/>
      <c r="BO310" s="1"/>
      <c r="BP310" s="18"/>
      <c r="BR310" s="1"/>
      <c r="BS310" s="18"/>
      <c r="BU310" s="1"/>
      <c r="BV310" s="18"/>
      <c r="BX310" s="1"/>
      <c r="BY310" s="18"/>
    </row>
    <row r="311" ht="15.75" customHeight="1">
      <c r="BI311" s="1"/>
      <c r="BJ311" s="18"/>
      <c r="BL311" s="1"/>
      <c r="BM311" s="18"/>
      <c r="BO311" s="1"/>
      <c r="BP311" s="18"/>
      <c r="BR311" s="1"/>
      <c r="BS311" s="18"/>
      <c r="BU311" s="1"/>
      <c r="BV311" s="18"/>
      <c r="BX311" s="1"/>
      <c r="BY311" s="18"/>
    </row>
    <row r="312" ht="15.75" customHeight="1">
      <c r="BI312" s="1"/>
      <c r="BJ312" s="18"/>
      <c r="BL312" s="1"/>
      <c r="BM312" s="18"/>
      <c r="BO312" s="1"/>
      <c r="BP312" s="18"/>
      <c r="BR312" s="1"/>
      <c r="BS312" s="18"/>
      <c r="BU312" s="1"/>
      <c r="BV312" s="18"/>
      <c r="BX312" s="1"/>
      <c r="BY312" s="18"/>
    </row>
    <row r="313" ht="15.75" customHeight="1">
      <c r="BI313" s="1"/>
      <c r="BJ313" s="18"/>
      <c r="BL313" s="1"/>
      <c r="BM313" s="18"/>
      <c r="BO313" s="1"/>
      <c r="BP313" s="18"/>
      <c r="BR313" s="1"/>
      <c r="BS313" s="18"/>
      <c r="BU313" s="1"/>
      <c r="BV313" s="18"/>
      <c r="BX313" s="1"/>
      <c r="BY313" s="18"/>
    </row>
    <row r="314" ht="15.75" customHeight="1">
      <c r="BI314" s="1"/>
      <c r="BJ314" s="18"/>
      <c r="BL314" s="1"/>
      <c r="BM314" s="18"/>
      <c r="BO314" s="1"/>
      <c r="BP314" s="18"/>
      <c r="BR314" s="1"/>
      <c r="BS314" s="18"/>
      <c r="BU314" s="1"/>
      <c r="BV314" s="18"/>
      <c r="BX314" s="1"/>
      <c r="BY314" s="18"/>
    </row>
    <row r="315" ht="15.75" customHeight="1">
      <c r="BI315" s="1"/>
      <c r="BJ315" s="18"/>
      <c r="BL315" s="1"/>
      <c r="BM315" s="18"/>
      <c r="BO315" s="1"/>
      <c r="BP315" s="18"/>
      <c r="BR315" s="1"/>
      <c r="BS315" s="18"/>
      <c r="BU315" s="1"/>
      <c r="BV315" s="18"/>
      <c r="BX315" s="1"/>
      <c r="BY315" s="18"/>
    </row>
    <row r="316" ht="15.75" customHeight="1">
      <c r="BI316" s="1"/>
      <c r="BJ316" s="18"/>
      <c r="BL316" s="1"/>
      <c r="BM316" s="18"/>
      <c r="BO316" s="1"/>
      <c r="BP316" s="18"/>
      <c r="BR316" s="1"/>
      <c r="BS316" s="18"/>
      <c r="BU316" s="1"/>
      <c r="BV316" s="18"/>
      <c r="BX316" s="1"/>
      <c r="BY316" s="18"/>
    </row>
    <row r="317" ht="15.75" customHeight="1">
      <c r="BI317" s="1"/>
      <c r="BJ317" s="18"/>
      <c r="BL317" s="1"/>
      <c r="BM317" s="18"/>
      <c r="BO317" s="1"/>
      <c r="BP317" s="18"/>
      <c r="BR317" s="1"/>
      <c r="BS317" s="18"/>
      <c r="BU317" s="1"/>
      <c r="BV317" s="18"/>
      <c r="BX317" s="1"/>
      <c r="BY317" s="18"/>
    </row>
    <row r="318" ht="15.75" customHeight="1">
      <c r="BI318" s="1"/>
      <c r="BJ318" s="18"/>
      <c r="BL318" s="1"/>
      <c r="BM318" s="18"/>
      <c r="BO318" s="1"/>
      <c r="BP318" s="18"/>
      <c r="BR318" s="1"/>
      <c r="BS318" s="18"/>
      <c r="BU318" s="1"/>
      <c r="BV318" s="18"/>
      <c r="BX318" s="1"/>
      <c r="BY318" s="18"/>
    </row>
    <row r="319" ht="15.75" customHeight="1">
      <c r="BI319" s="1"/>
      <c r="BJ319" s="18"/>
      <c r="BL319" s="1"/>
      <c r="BM319" s="18"/>
      <c r="BO319" s="1"/>
      <c r="BP319" s="18"/>
      <c r="BR319" s="1"/>
      <c r="BS319" s="18"/>
      <c r="BU319" s="1"/>
      <c r="BV319" s="18"/>
      <c r="BX319" s="1"/>
      <c r="BY319" s="18"/>
    </row>
    <row r="320" ht="15.75" customHeight="1">
      <c r="BI320" s="1"/>
      <c r="BJ320" s="18"/>
      <c r="BL320" s="1"/>
      <c r="BM320" s="18"/>
      <c r="BO320" s="1"/>
      <c r="BP320" s="18"/>
      <c r="BR320" s="1"/>
      <c r="BS320" s="18"/>
      <c r="BU320" s="1"/>
      <c r="BV320" s="18"/>
      <c r="BX320" s="1"/>
      <c r="BY320" s="18"/>
    </row>
    <row r="321" ht="15.75" customHeight="1">
      <c r="BI321" s="1"/>
      <c r="BJ321" s="18"/>
      <c r="BL321" s="1"/>
      <c r="BM321" s="18"/>
      <c r="BO321" s="1"/>
      <c r="BP321" s="18"/>
      <c r="BR321" s="1"/>
      <c r="BS321" s="18"/>
      <c r="BU321" s="1"/>
      <c r="BV321" s="18"/>
      <c r="BX321" s="1"/>
      <c r="BY321" s="18"/>
    </row>
    <row r="322" ht="15.75" customHeight="1">
      <c r="BI322" s="1"/>
      <c r="BJ322" s="18"/>
      <c r="BL322" s="1"/>
      <c r="BM322" s="18"/>
      <c r="BO322" s="1"/>
      <c r="BP322" s="18"/>
      <c r="BR322" s="1"/>
      <c r="BS322" s="18"/>
      <c r="BU322" s="1"/>
      <c r="BV322" s="18"/>
      <c r="BX322" s="1"/>
      <c r="BY322" s="18"/>
    </row>
    <row r="323" ht="15.75" customHeight="1">
      <c r="BI323" s="1"/>
      <c r="BJ323" s="18"/>
      <c r="BL323" s="1"/>
      <c r="BM323" s="18"/>
      <c r="BO323" s="1"/>
      <c r="BP323" s="18"/>
      <c r="BR323" s="1"/>
      <c r="BS323" s="18"/>
      <c r="BU323" s="1"/>
      <c r="BV323" s="18"/>
      <c r="BX323" s="1"/>
      <c r="BY323" s="18"/>
    </row>
    <row r="324" ht="15.75" customHeight="1">
      <c r="BI324" s="1"/>
      <c r="BJ324" s="18"/>
      <c r="BL324" s="1"/>
      <c r="BM324" s="18"/>
      <c r="BO324" s="1"/>
      <c r="BP324" s="18"/>
      <c r="BR324" s="1"/>
      <c r="BS324" s="18"/>
      <c r="BU324" s="1"/>
      <c r="BV324" s="18"/>
      <c r="BX324" s="1"/>
      <c r="BY324" s="18"/>
    </row>
    <row r="325" ht="15.75" customHeight="1">
      <c r="BI325" s="1"/>
      <c r="BJ325" s="18"/>
      <c r="BL325" s="1"/>
      <c r="BM325" s="18"/>
      <c r="BO325" s="1"/>
      <c r="BP325" s="18"/>
      <c r="BR325" s="1"/>
      <c r="BS325" s="18"/>
      <c r="BU325" s="1"/>
      <c r="BV325" s="18"/>
      <c r="BX325" s="1"/>
      <c r="BY325" s="18"/>
    </row>
    <row r="326" ht="15.75" customHeight="1">
      <c r="BI326" s="1"/>
      <c r="BJ326" s="18"/>
      <c r="BL326" s="1"/>
      <c r="BM326" s="18"/>
      <c r="BO326" s="1"/>
      <c r="BP326" s="18"/>
      <c r="BR326" s="1"/>
      <c r="BS326" s="18"/>
      <c r="BU326" s="1"/>
      <c r="BV326" s="18"/>
      <c r="BX326" s="1"/>
      <c r="BY326" s="18"/>
    </row>
    <row r="327" ht="15.75" customHeight="1">
      <c r="BI327" s="1"/>
      <c r="BJ327" s="18"/>
      <c r="BL327" s="1"/>
      <c r="BM327" s="18"/>
      <c r="BO327" s="1"/>
      <c r="BP327" s="18"/>
      <c r="BR327" s="1"/>
      <c r="BS327" s="18"/>
      <c r="BU327" s="1"/>
      <c r="BV327" s="18"/>
      <c r="BX327" s="1"/>
      <c r="BY327" s="18"/>
    </row>
    <row r="328" ht="15.75" customHeight="1">
      <c r="BI328" s="1"/>
      <c r="BJ328" s="18"/>
      <c r="BL328" s="1"/>
      <c r="BM328" s="18"/>
      <c r="BO328" s="1"/>
      <c r="BP328" s="18"/>
      <c r="BR328" s="1"/>
      <c r="BS328" s="18"/>
      <c r="BU328" s="1"/>
      <c r="BV328" s="18"/>
      <c r="BX328" s="1"/>
      <c r="BY328" s="18"/>
    </row>
    <row r="329" ht="15.75" customHeight="1">
      <c r="BI329" s="1"/>
      <c r="BJ329" s="18"/>
      <c r="BL329" s="1"/>
      <c r="BM329" s="18"/>
      <c r="BO329" s="1"/>
      <c r="BP329" s="18"/>
      <c r="BR329" s="1"/>
      <c r="BS329" s="18"/>
      <c r="BU329" s="1"/>
      <c r="BV329" s="18"/>
      <c r="BX329" s="1"/>
      <c r="BY329" s="18"/>
    </row>
    <row r="330" ht="15.75" customHeight="1">
      <c r="BI330" s="1"/>
      <c r="BJ330" s="18"/>
      <c r="BL330" s="1"/>
      <c r="BM330" s="18"/>
      <c r="BO330" s="1"/>
      <c r="BP330" s="18"/>
      <c r="BR330" s="1"/>
      <c r="BS330" s="18"/>
      <c r="BU330" s="1"/>
      <c r="BV330" s="18"/>
      <c r="BX330" s="1"/>
      <c r="BY330" s="18"/>
    </row>
    <row r="331" ht="15.75" customHeight="1">
      <c r="BI331" s="1"/>
      <c r="BJ331" s="18"/>
      <c r="BL331" s="1"/>
      <c r="BM331" s="18"/>
      <c r="BO331" s="1"/>
      <c r="BP331" s="18"/>
      <c r="BR331" s="1"/>
      <c r="BS331" s="18"/>
      <c r="BU331" s="1"/>
      <c r="BV331" s="18"/>
      <c r="BX331" s="1"/>
      <c r="BY331" s="18"/>
    </row>
    <row r="332" ht="15.75" customHeight="1">
      <c r="BI332" s="1"/>
      <c r="BJ332" s="18"/>
      <c r="BL332" s="1"/>
      <c r="BM332" s="18"/>
      <c r="BO332" s="1"/>
      <c r="BP332" s="18"/>
      <c r="BR332" s="1"/>
      <c r="BS332" s="18"/>
      <c r="BU332" s="1"/>
      <c r="BV332" s="18"/>
      <c r="BX332" s="1"/>
      <c r="BY332" s="18"/>
    </row>
    <row r="333" ht="15.75" customHeight="1">
      <c r="BI333" s="1"/>
      <c r="BJ333" s="18"/>
      <c r="BL333" s="1"/>
      <c r="BM333" s="18"/>
      <c r="BO333" s="1"/>
      <c r="BP333" s="18"/>
      <c r="BR333" s="1"/>
      <c r="BS333" s="18"/>
      <c r="BU333" s="1"/>
      <c r="BV333" s="18"/>
      <c r="BX333" s="1"/>
      <c r="BY333" s="18"/>
    </row>
    <row r="334" ht="15.75" customHeight="1">
      <c r="BI334" s="1"/>
      <c r="BJ334" s="18"/>
      <c r="BL334" s="1"/>
      <c r="BM334" s="18"/>
      <c r="BO334" s="1"/>
      <c r="BP334" s="18"/>
      <c r="BR334" s="1"/>
      <c r="BS334" s="18"/>
      <c r="BU334" s="1"/>
      <c r="BV334" s="18"/>
      <c r="BX334" s="1"/>
      <c r="BY334" s="18"/>
    </row>
    <row r="335" ht="15.75" customHeight="1">
      <c r="BI335" s="1"/>
      <c r="BJ335" s="18"/>
      <c r="BL335" s="1"/>
      <c r="BM335" s="18"/>
      <c r="BO335" s="1"/>
      <c r="BP335" s="18"/>
      <c r="BR335" s="1"/>
      <c r="BS335" s="18"/>
      <c r="BU335" s="1"/>
      <c r="BV335" s="18"/>
      <c r="BX335" s="1"/>
      <c r="BY335" s="18"/>
    </row>
    <row r="336" ht="15.75" customHeight="1">
      <c r="BI336" s="1"/>
      <c r="BJ336" s="18"/>
      <c r="BL336" s="1"/>
      <c r="BM336" s="18"/>
      <c r="BO336" s="1"/>
      <c r="BP336" s="18"/>
      <c r="BR336" s="1"/>
      <c r="BS336" s="18"/>
      <c r="BU336" s="1"/>
      <c r="BV336" s="18"/>
      <c r="BX336" s="1"/>
      <c r="BY336" s="18"/>
    </row>
    <row r="337" ht="15.75" customHeight="1">
      <c r="BI337" s="1"/>
      <c r="BJ337" s="18"/>
      <c r="BL337" s="1"/>
      <c r="BM337" s="18"/>
      <c r="BO337" s="1"/>
      <c r="BP337" s="18"/>
      <c r="BR337" s="1"/>
      <c r="BS337" s="18"/>
      <c r="BU337" s="1"/>
      <c r="BV337" s="18"/>
      <c r="BX337" s="1"/>
      <c r="BY337" s="18"/>
    </row>
    <row r="338" ht="15.75" customHeight="1">
      <c r="BI338" s="1"/>
      <c r="BJ338" s="18"/>
      <c r="BL338" s="1"/>
      <c r="BM338" s="18"/>
      <c r="BO338" s="1"/>
      <c r="BP338" s="18"/>
      <c r="BR338" s="1"/>
      <c r="BS338" s="18"/>
      <c r="BU338" s="1"/>
      <c r="BV338" s="18"/>
      <c r="BX338" s="1"/>
      <c r="BY338" s="18"/>
    </row>
    <row r="339" ht="15.75" customHeight="1">
      <c r="BI339" s="1"/>
      <c r="BJ339" s="18"/>
      <c r="BL339" s="1"/>
      <c r="BM339" s="18"/>
      <c r="BO339" s="1"/>
      <c r="BP339" s="18"/>
      <c r="BR339" s="1"/>
      <c r="BS339" s="18"/>
      <c r="BU339" s="1"/>
      <c r="BV339" s="18"/>
      <c r="BX339" s="1"/>
      <c r="BY339" s="18"/>
    </row>
    <row r="340" ht="15.75" customHeight="1">
      <c r="BI340" s="1"/>
      <c r="BJ340" s="18"/>
      <c r="BL340" s="1"/>
      <c r="BM340" s="18"/>
      <c r="BO340" s="1"/>
      <c r="BP340" s="18"/>
      <c r="BR340" s="1"/>
      <c r="BS340" s="18"/>
      <c r="BU340" s="1"/>
      <c r="BV340" s="18"/>
      <c r="BX340" s="1"/>
      <c r="BY340" s="18"/>
    </row>
    <row r="341" ht="15.75" customHeight="1">
      <c r="BI341" s="1"/>
      <c r="BJ341" s="18"/>
      <c r="BL341" s="1"/>
      <c r="BM341" s="18"/>
      <c r="BO341" s="1"/>
      <c r="BP341" s="18"/>
      <c r="BR341" s="1"/>
      <c r="BS341" s="18"/>
      <c r="BU341" s="1"/>
      <c r="BV341" s="18"/>
      <c r="BX341" s="1"/>
      <c r="BY341" s="18"/>
    </row>
    <row r="342" ht="15.75" customHeight="1">
      <c r="BI342" s="1"/>
      <c r="BJ342" s="18"/>
      <c r="BL342" s="1"/>
      <c r="BM342" s="18"/>
      <c r="BO342" s="1"/>
      <c r="BP342" s="18"/>
      <c r="BR342" s="1"/>
      <c r="BS342" s="18"/>
      <c r="BU342" s="1"/>
      <c r="BV342" s="18"/>
      <c r="BX342" s="1"/>
      <c r="BY342" s="18"/>
    </row>
    <row r="343" ht="15.75" customHeight="1">
      <c r="BI343" s="1"/>
      <c r="BJ343" s="18"/>
      <c r="BL343" s="1"/>
      <c r="BM343" s="18"/>
      <c r="BO343" s="1"/>
      <c r="BP343" s="18"/>
      <c r="BR343" s="1"/>
      <c r="BS343" s="18"/>
      <c r="BU343" s="1"/>
      <c r="BV343" s="18"/>
      <c r="BX343" s="1"/>
      <c r="BY343" s="18"/>
    </row>
    <row r="344" ht="15.75" customHeight="1">
      <c r="BI344" s="1"/>
      <c r="BJ344" s="18"/>
      <c r="BL344" s="1"/>
      <c r="BM344" s="18"/>
      <c r="BO344" s="1"/>
      <c r="BP344" s="18"/>
      <c r="BR344" s="1"/>
      <c r="BS344" s="18"/>
      <c r="BU344" s="1"/>
      <c r="BV344" s="18"/>
      <c r="BX344" s="1"/>
      <c r="BY344" s="18"/>
    </row>
    <row r="345" ht="15.75" customHeight="1">
      <c r="BI345" s="1"/>
      <c r="BJ345" s="18"/>
      <c r="BL345" s="1"/>
      <c r="BM345" s="18"/>
      <c r="BO345" s="1"/>
      <c r="BP345" s="18"/>
      <c r="BR345" s="1"/>
      <c r="BS345" s="18"/>
      <c r="BU345" s="1"/>
      <c r="BV345" s="18"/>
      <c r="BX345" s="1"/>
      <c r="BY345" s="18"/>
    </row>
    <row r="346" ht="15.75" customHeight="1">
      <c r="BI346" s="1"/>
      <c r="BJ346" s="18"/>
      <c r="BL346" s="1"/>
      <c r="BM346" s="18"/>
      <c r="BO346" s="1"/>
      <c r="BP346" s="18"/>
      <c r="BR346" s="1"/>
      <c r="BS346" s="18"/>
      <c r="BU346" s="1"/>
      <c r="BV346" s="18"/>
      <c r="BX346" s="1"/>
      <c r="BY346" s="18"/>
    </row>
    <row r="347" ht="15.75" customHeight="1">
      <c r="BI347" s="1"/>
      <c r="BJ347" s="18"/>
      <c r="BL347" s="1"/>
      <c r="BM347" s="18"/>
      <c r="BO347" s="1"/>
      <c r="BP347" s="18"/>
      <c r="BR347" s="1"/>
      <c r="BS347" s="18"/>
      <c r="BU347" s="1"/>
      <c r="BV347" s="18"/>
      <c r="BX347" s="1"/>
      <c r="BY347" s="18"/>
    </row>
    <row r="348" ht="15.75" customHeight="1">
      <c r="BI348" s="1"/>
      <c r="BJ348" s="18"/>
      <c r="BL348" s="1"/>
      <c r="BM348" s="18"/>
      <c r="BO348" s="1"/>
      <c r="BP348" s="18"/>
      <c r="BR348" s="1"/>
      <c r="BS348" s="18"/>
      <c r="BU348" s="1"/>
      <c r="BV348" s="18"/>
      <c r="BX348" s="1"/>
      <c r="BY348" s="18"/>
    </row>
    <row r="349" ht="15.75" customHeight="1">
      <c r="BI349" s="1"/>
      <c r="BJ349" s="18"/>
      <c r="BL349" s="1"/>
      <c r="BM349" s="18"/>
      <c r="BO349" s="1"/>
      <c r="BP349" s="18"/>
      <c r="BR349" s="1"/>
      <c r="BS349" s="18"/>
      <c r="BU349" s="1"/>
      <c r="BV349" s="18"/>
      <c r="BX349" s="1"/>
      <c r="BY349" s="18"/>
    </row>
    <row r="350" ht="15.75" customHeight="1">
      <c r="BI350" s="1"/>
      <c r="BJ350" s="18"/>
      <c r="BL350" s="1"/>
      <c r="BM350" s="18"/>
      <c r="BO350" s="1"/>
      <c r="BP350" s="18"/>
      <c r="BR350" s="1"/>
      <c r="BS350" s="18"/>
      <c r="BU350" s="1"/>
      <c r="BV350" s="18"/>
      <c r="BX350" s="1"/>
      <c r="BY350" s="18"/>
    </row>
    <row r="351" ht="15.75" customHeight="1">
      <c r="BI351" s="1"/>
      <c r="BJ351" s="18"/>
      <c r="BL351" s="1"/>
      <c r="BM351" s="18"/>
      <c r="BO351" s="1"/>
      <c r="BP351" s="18"/>
      <c r="BR351" s="1"/>
      <c r="BS351" s="18"/>
      <c r="BU351" s="1"/>
      <c r="BV351" s="18"/>
      <c r="BX351" s="1"/>
      <c r="BY351" s="18"/>
    </row>
    <row r="352" ht="15.75" customHeight="1">
      <c r="BI352" s="1"/>
      <c r="BJ352" s="18"/>
      <c r="BL352" s="1"/>
      <c r="BM352" s="18"/>
      <c r="BO352" s="1"/>
      <c r="BP352" s="18"/>
      <c r="BR352" s="1"/>
      <c r="BS352" s="18"/>
      <c r="BU352" s="1"/>
      <c r="BV352" s="18"/>
      <c r="BX352" s="1"/>
      <c r="BY352" s="18"/>
    </row>
    <row r="353" ht="15.75" customHeight="1">
      <c r="BI353" s="1"/>
      <c r="BJ353" s="18"/>
      <c r="BL353" s="1"/>
      <c r="BM353" s="18"/>
      <c r="BO353" s="1"/>
      <c r="BP353" s="18"/>
      <c r="BR353" s="1"/>
      <c r="BS353" s="18"/>
      <c r="BU353" s="1"/>
      <c r="BV353" s="18"/>
      <c r="BX353" s="1"/>
      <c r="BY353" s="18"/>
    </row>
    <row r="354" ht="15.75" customHeight="1">
      <c r="BI354" s="1"/>
      <c r="BJ354" s="18"/>
      <c r="BL354" s="1"/>
      <c r="BM354" s="18"/>
      <c r="BO354" s="1"/>
      <c r="BP354" s="18"/>
      <c r="BR354" s="1"/>
      <c r="BS354" s="18"/>
      <c r="BU354" s="1"/>
      <c r="BV354" s="18"/>
      <c r="BX354" s="1"/>
      <c r="BY354" s="18"/>
    </row>
    <row r="355" ht="15.75" customHeight="1">
      <c r="BI355" s="1"/>
      <c r="BJ355" s="18"/>
      <c r="BL355" s="1"/>
      <c r="BM355" s="18"/>
      <c r="BO355" s="1"/>
      <c r="BP355" s="18"/>
      <c r="BR355" s="1"/>
      <c r="BS355" s="18"/>
      <c r="BU355" s="1"/>
      <c r="BV355" s="18"/>
      <c r="BX355" s="1"/>
      <c r="BY355" s="18"/>
    </row>
    <row r="356" ht="15.75" customHeight="1">
      <c r="BI356" s="1"/>
      <c r="BJ356" s="18"/>
      <c r="BL356" s="1"/>
      <c r="BM356" s="18"/>
      <c r="BO356" s="1"/>
      <c r="BP356" s="18"/>
      <c r="BR356" s="1"/>
      <c r="BS356" s="18"/>
      <c r="BU356" s="1"/>
      <c r="BV356" s="18"/>
      <c r="BX356" s="1"/>
      <c r="BY356" s="18"/>
    </row>
    <row r="357" ht="15.75" customHeight="1">
      <c r="BI357" s="1"/>
      <c r="BJ357" s="18"/>
      <c r="BL357" s="1"/>
      <c r="BM357" s="18"/>
      <c r="BO357" s="1"/>
      <c r="BP357" s="18"/>
      <c r="BR357" s="1"/>
      <c r="BS357" s="18"/>
      <c r="BU357" s="1"/>
      <c r="BV357" s="18"/>
      <c r="BX357" s="1"/>
      <c r="BY357" s="18"/>
    </row>
    <row r="358" ht="15.75" customHeight="1">
      <c r="BI358" s="1"/>
      <c r="BJ358" s="18"/>
      <c r="BL358" s="1"/>
      <c r="BM358" s="18"/>
      <c r="BO358" s="1"/>
      <c r="BP358" s="18"/>
      <c r="BR358" s="1"/>
      <c r="BS358" s="18"/>
      <c r="BU358" s="1"/>
      <c r="BV358" s="18"/>
      <c r="BX358" s="1"/>
      <c r="BY358" s="18"/>
    </row>
    <row r="359" ht="15.75" customHeight="1">
      <c r="BI359" s="1"/>
      <c r="BJ359" s="18"/>
      <c r="BL359" s="1"/>
      <c r="BM359" s="18"/>
      <c r="BO359" s="1"/>
      <c r="BP359" s="18"/>
      <c r="BR359" s="1"/>
      <c r="BS359" s="18"/>
      <c r="BU359" s="1"/>
      <c r="BV359" s="18"/>
      <c r="BX359" s="1"/>
      <c r="BY359" s="18"/>
    </row>
    <row r="360" ht="15.75" customHeight="1">
      <c r="BI360" s="1"/>
      <c r="BJ360" s="18"/>
      <c r="BL360" s="1"/>
      <c r="BM360" s="18"/>
      <c r="BO360" s="1"/>
      <c r="BP360" s="18"/>
      <c r="BR360" s="1"/>
      <c r="BS360" s="18"/>
      <c r="BU360" s="1"/>
      <c r="BV360" s="18"/>
      <c r="BX360" s="1"/>
      <c r="BY360" s="18"/>
    </row>
    <row r="361" ht="15.75" customHeight="1">
      <c r="BI361" s="1"/>
      <c r="BJ361" s="18"/>
      <c r="BL361" s="1"/>
      <c r="BM361" s="18"/>
      <c r="BO361" s="1"/>
      <c r="BP361" s="18"/>
      <c r="BR361" s="1"/>
      <c r="BS361" s="18"/>
      <c r="BU361" s="1"/>
      <c r="BV361" s="18"/>
      <c r="BX361" s="1"/>
      <c r="BY361" s="18"/>
    </row>
    <row r="362" ht="15.75" customHeight="1">
      <c r="BI362" s="1"/>
      <c r="BJ362" s="18"/>
      <c r="BL362" s="1"/>
      <c r="BM362" s="18"/>
      <c r="BO362" s="1"/>
      <c r="BP362" s="18"/>
      <c r="BR362" s="1"/>
      <c r="BS362" s="18"/>
      <c r="BU362" s="1"/>
      <c r="BV362" s="18"/>
      <c r="BX362" s="1"/>
      <c r="BY362" s="18"/>
    </row>
    <row r="363" ht="15.75" customHeight="1">
      <c r="BI363" s="1"/>
      <c r="BJ363" s="18"/>
      <c r="BL363" s="1"/>
      <c r="BM363" s="18"/>
      <c r="BO363" s="1"/>
      <c r="BP363" s="18"/>
      <c r="BR363" s="1"/>
      <c r="BS363" s="18"/>
      <c r="BU363" s="1"/>
      <c r="BV363" s="18"/>
      <c r="BX363" s="1"/>
      <c r="BY363" s="18"/>
    </row>
    <row r="364" ht="15.75" customHeight="1">
      <c r="BI364" s="1"/>
      <c r="BJ364" s="18"/>
      <c r="BL364" s="1"/>
      <c r="BM364" s="18"/>
      <c r="BO364" s="1"/>
      <c r="BP364" s="18"/>
      <c r="BR364" s="1"/>
      <c r="BS364" s="18"/>
      <c r="BU364" s="1"/>
      <c r="BV364" s="18"/>
      <c r="BX364" s="1"/>
      <c r="BY364" s="18"/>
    </row>
    <row r="365" ht="15.75" customHeight="1">
      <c r="BI365" s="1"/>
      <c r="BJ365" s="18"/>
      <c r="BL365" s="1"/>
      <c r="BM365" s="18"/>
      <c r="BO365" s="1"/>
      <c r="BP365" s="18"/>
      <c r="BR365" s="1"/>
      <c r="BS365" s="18"/>
      <c r="BU365" s="1"/>
      <c r="BV365" s="18"/>
      <c r="BX365" s="1"/>
      <c r="BY365" s="18"/>
    </row>
    <row r="366" ht="15.75" customHeight="1">
      <c r="BI366" s="1"/>
      <c r="BJ366" s="18"/>
      <c r="BL366" s="1"/>
      <c r="BM366" s="18"/>
      <c r="BO366" s="1"/>
      <c r="BP366" s="18"/>
      <c r="BR366" s="1"/>
      <c r="BS366" s="18"/>
      <c r="BU366" s="1"/>
      <c r="BV366" s="18"/>
      <c r="BX366" s="1"/>
      <c r="BY366" s="18"/>
    </row>
    <row r="367" ht="15.75" customHeight="1">
      <c r="BI367" s="1"/>
      <c r="BJ367" s="18"/>
      <c r="BL367" s="1"/>
      <c r="BM367" s="18"/>
      <c r="BO367" s="1"/>
      <c r="BP367" s="18"/>
      <c r="BR367" s="1"/>
      <c r="BS367" s="18"/>
      <c r="BU367" s="1"/>
      <c r="BV367" s="18"/>
      <c r="BX367" s="1"/>
      <c r="BY367" s="18"/>
    </row>
    <row r="368" ht="15.75" customHeight="1">
      <c r="BI368" s="1"/>
      <c r="BJ368" s="18"/>
      <c r="BL368" s="1"/>
      <c r="BM368" s="18"/>
      <c r="BO368" s="1"/>
      <c r="BP368" s="18"/>
      <c r="BR368" s="1"/>
      <c r="BS368" s="18"/>
      <c r="BU368" s="1"/>
      <c r="BV368" s="18"/>
      <c r="BX368" s="1"/>
      <c r="BY368" s="18"/>
    </row>
    <row r="369" ht="15.75" customHeight="1">
      <c r="BI369" s="1"/>
      <c r="BJ369" s="18"/>
      <c r="BL369" s="1"/>
      <c r="BM369" s="18"/>
      <c r="BO369" s="1"/>
      <c r="BP369" s="18"/>
      <c r="BR369" s="1"/>
      <c r="BS369" s="18"/>
      <c r="BU369" s="1"/>
      <c r="BV369" s="18"/>
      <c r="BX369" s="1"/>
      <c r="BY369" s="18"/>
    </row>
    <row r="370" ht="15.75" customHeight="1">
      <c r="BI370" s="1"/>
      <c r="BJ370" s="18"/>
      <c r="BL370" s="1"/>
      <c r="BM370" s="18"/>
      <c r="BO370" s="1"/>
      <c r="BP370" s="18"/>
      <c r="BR370" s="1"/>
      <c r="BS370" s="18"/>
      <c r="BU370" s="1"/>
      <c r="BV370" s="18"/>
      <c r="BX370" s="1"/>
      <c r="BY370" s="18"/>
    </row>
    <row r="371" ht="15.75" customHeight="1">
      <c r="BI371" s="1"/>
      <c r="BJ371" s="18"/>
      <c r="BL371" s="1"/>
      <c r="BM371" s="18"/>
      <c r="BO371" s="1"/>
      <c r="BP371" s="18"/>
      <c r="BR371" s="1"/>
      <c r="BS371" s="18"/>
      <c r="BU371" s="1"/>
      <c r="BV371" s="18"/>
      <c r="BX371" s="1"/>
      <c r="BY371" s="18"/>
    </row>
    <row r="372" ht="15.75" customHeight="1">
      <c r="BI372" s="1"/>
      <c r="BJ372" s="18"/>
      <c r="BL372" s="1"/>
      <c r="BM372" s="18"/>
      <c r="BO372" s="1"/>
      <c r="BP372" s="18"/>
      <c r="BR372" s="1"/>
      <c r="BS372" s="18"/>
      <c r="BU372" s="1"/>
      <c r="BV372" s="18"/>
      <c r="BX372" s="1"/>
      <c r="BY372" s="18"/>
    </row>
    <row r="373" ht="15.75" customHeight="1">
      <c r="BI373" s="1"/>
      <c r="BJ373" s="18"/>
      <c r="BL373" s="1"/>
      <c r="BM373" s="18"/>
      <c r="BO373" s="1"/>
      <c r="BP373" s="18"/>
      <c r="BR373" s="1"/>
      <c r="BS373" s="18"/>
      <c r="BU373" s="1"/>
      <c r="BV373" s="18"/>
      <c r="BX373" s="1"/>
      <c r="BY373" s="18"/>
    </row>
    <row r="374" ht="15.75" customHeight="1">
      <c r="BI374" s="1"/>
      <c r="BJ374" s="18"/>
      <c r="BL374" s="1"/>
      <c r="BM374" s="18"/>
      <c r="BO374" s="1"/>
      <c r="BP374" s="18"/>
      <c r="BR374" s="1"/>
      <c r="BS374" s="18"/>
      <c r="BU374" s="1"/>
      <c r="BV374" s="18"/>
      <c r="BX374" s="1"/>
      <c r="BY374" s="18"/>
    </row>
    <row r="375" ht="15.75" customHeight="1">
      <c r="BI375" s="1"/>
      <c r="BJ375" s="18"/>
      <c r="BL375" s="1"/>
      <c r="BM375" s="18"/>
      <c r="BO375" s="1"/>
      <c r="BP375" s="18"/>
      <c r="BR375" s="1"/>
      <c r="BS375" s="18"/>
      <c r="BU375" s="1"/>
      <c r="BV375" s="18"/>
      <c r="BX375" s="1"/>
      <c r="BY375" s="18"/>
    </row>
    <row r="376" ht="15.75" customHeight="1">
      <c r="BI376" s="1"/>
      <c r="BJ376" s="18"/>
      <c r="BL376" s="1"/>
      <c r="BM376" s="18"/>
      <c r="BO376" s="1"/>
      <c r="BP376" s="18"/>
      <c r="BR376" s="1"/>
      <c r="BS376" s="18"/>
      <c r="BU376" s="1"/>
      <c r="BV376" s="18"/>
      <c r="BX376" s="1"/>
      <c r="BY376" s="18"/>
    </row>
    <row r="377" ht="15.75" customHeight="1">
      <c r="BI377" s="1"/>
      <c r="BJ377" s="18"/>
      <c r="BL377" s="1"/>
      <c r="BM377" s="18"/>
      <c r="BO377" s="1"/>
      <c r="BP377" s="18"/>
      <c r="BR377" s="1"/>
      <c r="BS377" s="18"/>
      <c r="BU377" s="1"/>
      <c r="BV377" s="18"/>
      <c r="BX377" s="1"/>
      <c r="BY377" s="18"/>
    </row>
    <row r="378" ht="15.75" customHeight="1">
      <c r="BI378" s="1"/>
      <c r="BJ378" s="18"/>
      <c r="BL378" s="1"/>
      <c r="BM378" s="18"/>
      <c r="BO378" s="1"/>
      <c r="BP378" s="18"/>
      <c r="BR378" s="1"/>
      <c r="BS378" s="18"/>
      <c r="BU378" s="1"/>
      <c r="BV378" s="18"/>
      <c r="BX378" s="1"/>
      <c r="BY378" s="18"/>
    </row>
    <row r="379" ht="15.75" customHeight="1">
      <c r="BI379" s="1"/>
      <c r="BJ379" s="18"/>
      <c r="BL379" s="1"/>
      <c r="BM379" s="18"/>
      <c r="BO379" s="1"/>
      <c r="BP379" s="18"/>
      <c r="BR379" s="1"/>
      <c r="BS379" s="18"/>
      <c r="BU379" s="1"/>
      <c r="BV379" s="18"/>
      <c r="BX379" s="1"/>
      <c r="BY379" s="18"/>
    </row>
    <row r="380" ht="15.75" customHeight="1">
      <c r="BI380" s="1"/>
      <c r="BJ380" s="18"/>
      <c r="BL380" s="1"/>
      <c r="BM380" s="18"/>
      <c r="BO380" s="1"/>
      <c r="BP380" s="18"/>
      <c r="BR380" s="1"/>
      <c r="BS380" s="18"/>
      <c r="BU380" s="1"/>
      <c r="BV380" s="18"/>
      <c r="BX380" s="1"/>
      <c r="BY380" s="18"/>
    </row>
    <row r="381" ht="15.75" customHeight="1">
      <c r="BI381" s="1"/>
      <c r="BJ381" s="18"/>
      <c r="BL381" s="1"/>
      <c r="BM381" s="18"/>
      <c r="BO381" s="1"/>
      <c r="BP381" s="18"/>
      <c r="BR381" s="1"/>
      <c r="BS381" s="18"/>
      <c r="BU381" s="1"/>
      <c r="BV381" s="18"/>
      <c r="BX381" s="1"/>
      <c r="BY381" s="18"/>
    </row>
    <row r="382" ht="15.75" customHeight="1">
      <c r="BI382" s="1"/>
      <c r="BJ382" s="18"/>
      <c r="BL382" s="1"/>
      <c r="BM382" s="18"/>
      <c r="BO382" s="1"/>
      <c r="BP382" s="18"/>
      <c r="BR382" s="1"/>
      <c r="BS382" s="18"/>
      <c r="BU382" s="1"/>
      <c r="BV382" s="18"/>
      <c r="BX382" s="1"/>
      <c r="BY382" s="18"/>
    </row>
    <row r="383" ht="15.75" customHeight="1">
      <c r="BI383" s="1"/>
      <c r="BJ383" s="18"/>
      <c r="BL383" s="1"/>
      <c r="BM383" s="18"/>
      <c r="BO383" s="1"/>
      <c r="BP383" s="18"/>
      <c r="BR383" s="1"/>
      <c r="BS383" s="18"/>
      <c r="BU383" s="1"/>
      <c r="BV383" s="18"/>
      <c r="BX383" s="1"/>
      <c r="BY383" s="18"/>
    </row>
    <row r="384" ht="15.75" customHeight="1">
      <c r="BI384" s="1"/>
      <c r="BJ384" s="18"/>
      <c r="BL384" s="1"/>
      <c r="BM384" s="18"/>
      <c r="BO384" s="1"/>
      <c r="BP384" s="18"/>
      <c r="BR384" s="1"/>
      <c r="BS384" s="18"/>
      <c r="BU384" s="1"/>
      <c r="BV384" s="18"/>
      <c r="BX384" s="1"/>
      <c r="BY384" s="18"/>
    </row>
    <row r="385" ht="15.75" customHeight="1">
      <c r="BI385" s="1"/>
      <c r="BJ385" s="18"/>
      <c r="BL385" s="1"/>
      <c r="BM385" s="18"/>
      <c r="BO385" s="1"/>
      <c r="BP385" s="18"/>
      <c r="BR385" s="1"/>
      <c r="BS385" s="18"/>
      <c r="BU385" s="1"/>
      <c r="BV385" s="18"/>
      <c r="BX385" s="1"/>
      <c r="BY385" s="18"/>
    </row>
    <row r="386" ht="15.75" customHeight="1">
      <c r="BI386" s="1"/>
      <c r="BJ386" s="18"/>
      <c r="BL386" s="1"/>
      <c r="BM386" s="18"/>
      <c r="BO386" s="1"/>
      <c r="BP386" s="18"/>
      <c r="BR386" s="1"/>
      <c r="BS386" s="18"/>
      <c r="BU386" s="1"/>
      <c r="BV386" s="18"/>
      <c r="BX386" s="1"/>
      <c r="BY386" s="18"/>
    </row>
    <row r="387" ht="15.75" customHeight="1">
      <c r="BI387" s="1"/>
      <c r="BJ387" s="18"/>
      <c r="BL387" s="1"/>
      <c r="BM387" s="18"/>
      <c r="BO387" s="1"/>
      <c r="BP387" s="18"/>
      <c r="BR387" s="1"/>
      <c r="BS387" s="18"/>
      <c r="BU387" s="1"/>
      <c r="BV387" s="18"/>
      <c r="BX387" s="1"/>
      <c r="BY387" s="18"/>
    </row>
    <row r="388" ht="15.75" customHeight="1">
      <c r="BI388" s="1"/>
      <c r="BJ388" s="18"/>
      <c r="BL388" s="1"/>
      <c r="BM388" s="18"/>
      <c r="BO388" s="1"/>
      <c r="BP388" s="18"/>
      <c r="BR388" s="1"/>
      <c r="BS388" s="18"/>
      <c r="BU388" s="1"/>
      <c r="BV388" s="18"/>
      <c r="BX388" s="1"/>
      <c r="BY388" s="18"/>
    </row>
    <row r="389" ht="15.75" customHeight="1">
      <c r="BI389" s="1"/>
      <c r="BJ389" s="18"/>
      <c r="BL389" s="1"/>
      <c r="BM389" s="18"/>
      <c r="BO389" s="1"/>
      <c r="BP389" s="18"/>
      <c r="BR389" s="1"/>
      <c r="BS389" s="18"/>
      <c r="BU389" s="1"/>
      <c r="BV389" s="18"/>
      <c r="BX389" s="1"/>
      <c r="BY389" s="18"/>
    </row>
    <row r="390" ht="15.75" customHeight="1">
      <c r="BI390" s="1"/>
      <c r="BJ390" s="18"/>
      <c r="BL390" s="1"/>
      <c r="BM390" s="18"/>
      <c r="BO390" s="1"/>
      <c r="BP390" s="18"/>
      <c r="BR390" s="1"/>
      <c r="BS390" s="18"/>
      <c r="BU390" s="1"/>
      <c r="BV390" s="18"/>
      <c r="BX390" s="1"/>
      <c r="BY390" s="18"/>
    </row>
    <row r="391" ht="15.75" customHeight="1">
      <c r="BI391" s="1"/>
      <c r="BJ391" s="18"/>
      <c r="BL391" s="1"/>
      <c r="BM391" s="18"/>
      <c r="BO391" s="1"/>
      <c r="BP391" s="18"/>
      <c r="BR391" s="1"/>
      <c r="BS391" s="18"/>
      <c r="BU391" s="1"/>
      <c r="BV391" s="18"/>
      <c r="BX391" s="1"/>
      <c r="BY391" s="18"/>
    </row>
    <row r="392" ht="15.75" customHeight="1">
      <c r="BI392" s="1"/>
      <c r="BJ392" s="18"/>
      <c r="BL392" s="1"/>
      <c r="BM392" s="18"/>
      <c r="BO392" s="1"/>
      <c r="BP392" s="18"/>
      <c r="BR392" s="1"/>
      <c r="BS392" s="18"/>
      <c r="BU392" s="1"/>
      <c r="BV392" s="18"/>
      <c r="BX392" s="1"/>
      <c r="BY392" s="18"/>
    </row>
    <row r="393" ht="15.75" customHeight="1">
      <c r="BI393" s="1"/>
      <c r="BJ393" s="18"/>
      <c r="BL393" s="1"/>
      <c r="BM393" s="18"/>
      <c r="BO393" s="1"/>
      <c r="BP393" s="18"/>
      <c r="BR393" s="1"/>
      <c r="BS393" s="18"/>
      <c r="BU393" s="1"/>
      <c r="BV393" s="18"/>
      <c r="BX393" s="1"/>
      <c r="BY393" s="18"/>
    </row>
    <row r="394" ht="15.75" customHeight="1">
      <c r="BI394" s="1"/>
      <c r="BJ394" s="18"/>
      <c r="BL394" s="1"/>
      <c r="BM394" s="18"/>
      <c r="BO394" s="1"/>
      <c r="BP394" s="18"/>
      <c r="BR394" s="1"/>
      <c r="BS394" s="18"/>
      <c r="BU394" s="1"/>
      <c r="BV394" s="18"/>
      <c r="BX394" s="1"/>
      <c r="BY394" s="18"/>
    </row>
    <row r="395" ht="15.75" customHeight="1">
      <c r="BI395" s="1"/>
      <c r="BJ395" s="18"/>
      <c r="BL395" s="1"/>
      <c r="BM395" s="18"/>
      <c r="BO395" s="1"/>
      <c r="BP395" s="18"/>
      <c r="BR395" s="1"/>
      <c r="BS395" s="18"/>
      <c r="BU395" s="1"/>
      <c r="BV395" s="18"/>
      <c r="BX395" s="1"/>
      <c r="BY395" s="18"/>
    </row>
    <row r="396" ht="15.75" customHeight="1">
      <c r="BI396" s="1"/>
      <c r="BJ396" s="18"/>
      <c r="BL396" s="1"/>
      <c r="BM396" s="18"/>
      <c r="BO396" s="1"/>
      <c r="BP396" s="18"/>
      <c r="BR396" s="1"/>
      <c r="BS396" s="18"/>
      <c r="BU396" s="1"/>
      <c r="BV396" s="18"/>
      <c r="BX396" s="1"/>
      <c r="BY396" s="18"/>
    </row>
    <row r="397" ht="15.75" customHeight="1">
      <c r="BI397" s="1"/>
      <c r="BJ397" s="18"/>
      <c r="BL397" s="1"/>
      <c r="BM397" s="18"/>
      <c r="BO397" s="1"/>
      <c r="BP397" s="18"/>
      <c r="BR397" s="1"/>
      <c r="BS397" s="18"/>
      <c r="BU397" s="1"/>
      <c r="BV397" s="18"/>
      <c r="BX397" s="1"/>
      <c r="BY397" s="18"/>
    </row>
    <row r="398" ht="15.75" customHeight="1">
      <c r="BI398" s="1"/>
      <c r="BJ398" s="18"/>
      <c r="BL398" s="1"/>
      <c r="BM398" s="18"/>
      <c r="BO398" s="1"/>
      <c r="BP398" s="18"/>
      <c r="BR398" s="1"/>
      <c r="BS398" s="18"/>
      <c r="BU398" s="1"/>
      <c r="BV398" s="18"/>
      <c r="BX398" s="1"/>
      <c r="BY398" s="18"/>
    </row>
    <row r="399" ht="15.75" customHeight="1">
      <c r="BI399" s="1"/>
      <c r="BJ399" s="18"/>
      <c r="BL399" s="1"/>
      <c r="BM399" s="18"/>
      <c r="BO399" s="1"/>
      <c r="BP399" s="18"/>
      <c r="BR399" s="1"/>
      <c r="BS399" s="18"/>
      <c r="BU399" s="1"/>
      <c r="BV399" s="18"/>
      <c r="BX399" s="1"/>
      <c r="BY399" s="18"/>
    </row>
    <row r="400" ht="15.75" customHeight="1">
      <c r="BI400" s="1"/>
      <c r="BJ400" s="18"/>
      <c r="BL400" s="1"/>
      <c r="BM400" s="18"/>
      <c r="BO400" s="1"/>
      <c r="BP400" s="18"/>
      <c r="BR400" s="1"/>
      <c r="BS400" s="18"/>
      <c r="BU400" s="1"/>
      <c r="BV400" s="18"/>
      <c r="BX400" s="1"/>
      <c r="BY400" s="18"/>
    </row>
    <row r="401" ht="15.75" customHeight="1">
      <c r="BI401" s="1"/>
      <c r="BJ401" s="18"/>
      <c r="BL401" s="1"/>
      <c r="BM401" s="18"/>
      <c r="BO401" s="1"/>
      <c r="BP401" s="18"/>
      <c r="BR401" s="1"/>
      <c r="BS401" s="18"/>
      <c r="BU401" s="1"/>
      <c r="BV401" s="18"/>
      <c r="BX401" s="1"/>
      <c r="BY401" s="18"/>
    </row>
    <row r="402" ht="15.75" customHeight="1">
      <c r="BI402" s="1"/>
      <c r="BJ402" s="18"/>
      <c r="BL402" s="1"/>
      <c r="BM402" s="18"/>
      <c r="BO402" s="1"/>
      <c r="BP402" s="18"/>
      <c r="BR402" s="1"/>
      <c r="BS402" s="18"/>
      <c r="BU402" s="1"/>
      <c r="BV402" s="18"/>
      <c r="BX402" s="1"/>
      <c r="BY402" s="18"/>
    </row>
    <row r="403" ht="15.75" customHeight="1">
      <c r="BI403" s="1"/>
      <c r="BJ403" s="18"/>
      <c r="BL403" s="1"/>
      <c r="BM403" s="18"/>
      <c r="BO403" s="1"/>
      <c r="BP403" s="18"/>
      <c r="BR403" s="1"/>
      <c r="BS403" s="18"/>
      <c r="BU403" s="1"/>
      <c r="BV403" s="18"/>
      <c r="BX403" s="1"/>
      <c r="BY403" s="18"/>
    </row>
    <row r="404" ht="15.75" customHeight="1">
      <c r="BI404" s="1"/>
      <c r="BJ404" s="18"/>
      <c r="BL404" s="1"/>
      <c r="BM404" s="18"/>
      <c r="BO404" s="1"/>
      <c r="BP404" s="18"/>
      <c r="BR404" s="1"/>
      <c r="BS404" s="18"/>
      <c r="BU404" s="1"/>
      <c r="BV404" s="18"/>
      <c r="BX404" s="1"/>
      <c r="BY404" s="18"/>
    </row>
    <row r="405" ht="15.75" customHeight="1">
      <c r="BI405" s="1"/>
      <c r="BJ405" s="18"/>
      <c r="BL405" s="1"/>
      <c r="BM405" s="18"/>
      <c r="BO405" s="1"/>
      <c r="BP405" s="18"/>
      <c r="BR405" s="1"/>
      <c r="BS405" s="18"/>
      <c r="BU405" s="1"/>
      <c r="BV405" s="18"/>
      <c r="BX405" s="1"/>
      <c r="BY405" s="18"/>
    </row>
    <row r="406" ht="15.75" customHeight="1">
      <c r="BI406" s="1"/>
      <c r="BJ406" s="18"/>
      <c r="BL406" s="1"/>
      <c r="BM406" s="18"/>
      <c r="BO406" s="1"/>
      <c r="BP406" s="18"/>
      <c r="BR406" s="1"/>
      <c r="BS406" s="18"/>
      <c r="BU406" s="1"/>
      <c r="BV406" s="18"/>
      <c r="BX406" s="1"/>
      <c r="BY406" s="18"/>
    </row>
    <row r="407" ht="15.75" customHeight="1">
      <c r="BI407" s="1"/>
      <c r="BJ407" s="18"/>
      <c r="BL407" s="1"/>
      <c r="BM407" s="18"/>
      <c r="BO407" s="1"/>
      <c r="BP407" s="18"/>
      <c r="BR407" s="1"/>
      <c r="BS407" s="18"/>
      <c r="BU407" s="1"/>
      <c r="BV407" s="18"/>
      <c r="BX407" s="1"/>
      <c r="BY407" s="18"/>
    </row>
    <row r="408" ht="15.75" customHeight="1">
      <c r="BI408" s="1"/>
      <c r="BJ408" s="18"/>
      <c r="BL408" s="1"/>
      <c r="BM408" s="18"/>
      <c r="BO408" s="1"/>
      <c r="BP408" s="18"/>
      <c r="BR408" s="1"/>
      <c r="BS408" s="18"/>
      <c r="BU408" s="1"/>
      <c r="BV408" s="18"/>
      <c r="BX408" s="1"/>
      <c r="BY408" s="18"/>
    </row>
    <row r="409" ht="15.75" customHeight="1">
      <c r="BI409" s="1"/>
      <c r="BJ409" s="18"/>
      <c r="BL409" s="1"/>
      <c r="BM409" s="18"/>
      <c r="BO409" s="1"/>
      <c r="BP409" s="18"/>
      <c r="BR409" s="1"/>
      <c r="BS409" s="18"/>
      <c r="BU409" s="1"/>
      <c r="BV409" s="18"/>
      <c r="BX409" s="1"/>
      <c r="BY409" s="18"/>
    </row>
    <row r="410" ht="15.75" customHeight="1">
      <c r="BI410" s="1"/>
      <c r="BJ410" s="18"/>
      <c r="BL410" s="1"/>
      <c r="BM410" s="18"/>
      <c r="BO410" s="1"/>
      <c r="BP410" s="18"/>
      <c r="BR410" s="1"/>
      <c r="BS410" s="18"/>
      <c r="BU410" s="1"/>
      <c r="BV410" s="18"/>
      <c r="BX410" s="1"/>
      <c r="BY410" s="18"/>
    </row>
    <row r="411" ht="15.75" customHeight="1">
      <c r="BI411" s="1"/>
      <c r="BJ411" s="18"/>
      <c r="BL411" s="1"/>
      <c r="BM411" s="18"/>
      <c r="BO411" s="1"/>
      <c r="BP411" s="18"/>
      <c r="BR411" s="1"/>
      <c r="BS411" s="18"/>
      <c r="BU411" s="1"/>
      <c r="BV411" s="18"/>
      <c r="BX411" s="1"/>
      <c r="BY411" s="18"/>
    </row>
    <row r="412" ht="15.75" customHeight="1">
      <c r="BI412" s="1"/>
      <c r="BJ412" s="18"/>
      <c r="BL412" s="1"/>
      <c r="BM412" s="18"/>
      <c r="BO412" s="1"/>
      <c r="BP412" s="18"/>
      <c r="BR412" s="1"/>
      <c r="BS412" s="18"/>
      <c r="BU412" s="1"/>
      <c r="BV412" s="18"/>
      <c r="BX412" s="1"/>
      <c r="BY412" s="18"/>
    </row>
    <row r="413" ht="15.75" customHeight="1">
      <c r="BI413" s="1"/>
      <c r="BJ413" s="18"/>
      <c r="BL413" s="1"/>
      <c r="BM413" s="18"/>
      <c r="BO413" s="1"/>
      <c r="BP413" s="18"/>
      <c r="BR413" s="1"/>
      <c r="BS413" s="18"/>
      <c r="BU413" s="1"/>
      <c r="BV413" s="18"/>
      <c r="BX413" s="1"/>
      <c r="BY413" s="18"/>
    </row>
    <row r="414" ht="15.75" customHeight="1">
      <c r="BI414" s="1"/>
      <c r="BJ414" s="18"/>
      <c r="BL414" s="1"/>
      <c r="BM414" s="18"/>
      <c r="BO414" s="1"/>
      <c r="BP414" s="18"/>
      <c r="BR414" s="1"/>
      <c r="BS414" s="18"/>
      <c r="BU414" s="1"/>
      <c r="BV414" s="18"/>
      <c r="BX414" s="1"/>
      <c r="BY414" s="18"/>
    </row>
    <row r="415" ht="15.75" customHeight="1">
      <c r="BI415" s="1"/>
      <c r="BJ415" s="18"/>
      <c r="BL415" s="1"/>
      <c r="BM415" s="18"/>
      <c r="BO415" s="1"/>
      <c r="BP415" s="18"/>
      <c r="BR415" s="1"/>
      <c r="BS415" s="18"/>
      <c r="BU415" s="1"/>
      <c r="BV415" s="18"/>
      <c r="BX415" s="1"/>
      <c r="BY415" s="18"/>
    </row>
    <row r="416" ht="15.75" customHeight="1">
      <c r="BI416" s="1"/>
      <c r="BJ416" s="18"/>
      <c r="BL416" s="1"/>
      <c r="BM416" s="18"/>
      <c r="BO416" s="1"/>
      <c r="BP416" s="18"/>
      <c r="BR416" s="1"/>
      <c r="BS416" s="18"/>
      <c r="BU416" s="1"/>
      <c r="BV416" s="18"/>
      <c r="BX416" s="1"/>
      <c r="BY416" s="18"/>
    </row>
    <row r="417" ht="15.75" customHeight="1">
      <c r="BI417" s="1"/>
      <c r="BJ417" s="18"/>
      <c r="BL417" s="1"/>
      <c r="BM417" s="18"/>
      <c r="BO417" s="1"/>
      <c r="BP417" s="18"/>
      <c r="BR417" s="1"/>
      <c r="BS417" s="18"/>
      <c r="BU417" s="1"/>
      <c r="BV417" s="18"/>
      <c r="BX417" s="1"/>
      <c r="BY417" s="18"/>
    </row>
    <row r="418" ht="15.75" customHeight="1">
      <c r="BI418" s="1"/>
      <c r="BJ418" s="18"/>
      <c r="BL418" s="1"/>
      <c r="BM418" s="18"/>
      <c r="BO418" s="1"/>
      <c r="BP418" s="18"/>
      <c r="BR418" s="1"/>
      <c r="BS418" s="18"/>
      <c r="BU418" s="1"/>
      <c r="BV418" s="18"/>
      <c r="BX418" s="1"/>
      <c r="BY418" s="18"/>
    </row>
    <row r="419" ht="15.75" customHeight="1">
      <c r="BI419" s="1"/>
      <c r="BJ419" s="18"/>
      <c r="BL419" s="1"/>
      <c r="BM419" s="18"/>
      <c r="BO419" s="1"/>
      <c r="BP419" s="18"/>
      <c r="BR419" s="1"/>
      <c r="BS419" s="18"/>
      <c r="BU419" s="1"/>
      <c r="BV419" s="18"/>
      <c r="BX419" s="1"/>
      <c r="BY419" s="18"/>
    </row>
    <row r="420" ht="15.75" customHeight="1">
      <c r="BI420" s="1"/>
      <c r="BJ420" s="18"/>
      <c r="BL420" s="1"/>
      <c r="BM420" s="18"/>
      <c r="BO420" s="1"/>
      <c r="BP420" s="18"/>
      <c r="BR420" s="1"/>
      <c r="BS420" s="18"/>
      <c r="BU420" s="1"/>
      <c r="BV420" s="18"/>
      <c r="BX420" s="1"/>
      <c r="BY420" s="18"/>
    </row>
    <row r="421" ht="15.75" customHeight="1">
      <c r="BI421" s="1"/>
      <c r="BJ421" s="18"/>
      <c r="BL421" s="1"/>
      <c r="BM421" s="18"/>
      <c r="BO421" s="1"/>
      <c r="BP421" s="18"/>
      <c r="BR421" s="1"/>
      <c r="BS421" s="18"/>
      <c r="BU421" s="1"/>
      <c r="BV421" s="18"/>
      <c r="BX421" s="1"/>
      <c r="BY421" s="18"/>
    </row>
    <row r="422" ht="15.75" customHeight="1">
      <c r="BI422" s="1"/>
      <c r="BJ422" s="18"/>
      <c r="BL422" s="1"/>
      <c r="BM422" s="18"/>
      <c r="BO422" s="1"/>
      <c r="BP422" s="18"/>
      <c r="BR422" s="1"/>
      <c r="BS422" s="18"/>
      <c r="BU422" s="1"/>
      <c r="BV422" s="18"/>
      <c r="BX422" s="1"/>
      <c r="BY422" s="18"/>
    </row>
    <row r="423" ht="15.75" customHeight="1">
      <c r="BI423" s="1"/>
      <c r="BJ423" s="18"/>
      <c r="BL423" s="1"/>
      <c r="BM423" s="18"/>
      <c r="BO423" s="1"/>
      <c r="BP423" s="18"/>
      <c r="BR423" s="1"/>
      <c r="BS423" s="18"/>
      <c r="BU423" s="1"/>
      <c r="BV423" s="18"/>
      <c r="BX423" s="1"/>
      <c r="BY423" s="18"/>
    </row>
    <row r="424" ht="15.75" customHeight="1">
      <c r="BI424" s="1"/>
      <c r="BJ424" s="18"/>
      <c r="BL424" s="1"/>
      <c r="BM424" s="18"/>
      <c r="BO424" s="1"/>
      <c r="BP424" s="18"/>
      <c r="BR424" s="1"/>
      <c r="BS424" s="18"/>
      <c r="BU424" s="1"/>
      <c r="BV424" s="18"/>
      <c r="BX424" s="1"/>
      <c r="BY424" s="18"/>
    </row>
    <row r="425" ht="15.75" customHeight="1">
      <c r="BI425" s="1"/>
      <c r="BJ425" s="18"/>
      <c r="BL425" s="1"/>
      <c r="BM425" s="18"/>
      <c r="BO425" s="1"/>
      <c r="BP425" s="18"/>
      <c r="BR425" s="1"/>
      <c r="BS425" s="18"/>
      <c r="BU425" s="1"/>
      <c r="BV425" s="18"/>
      <c r="BX425" s="1"/>
      <c r="BY425" s="18"/>
    </row>
    <row r="426" ht="15.75" customHeight="1">
      <c r="BI426" s="1"/>
      <c r="BJ426" s="18"/>
      <c r="BL426" s="1"/>
      <c r="BM426" s="18"/>
      <c r="BO426" s="1"/>
      <c r="BP426" s="18"/>
      <c r="BR426" s="1"/>
      <c r="BS426" s="18"/>
      <c r="BU426" s="1"/>
      <c r="BV426" s="18"/>
      <c r="BX426" s="1"/>
      <c r="BY426" s="18"/>
    </row>
    <row r="427" ht="15.75" customHeight="1">
      <c r="BI427" s="1"/>
      <c r="BJ427" s="18"/>
      <c r="BL427" s="1"/>
      <c r="BM427" s="18"/>
      <c r="BO427" s="1"/>
      <c r="BP427" s="18"/>
      <c r="BR427" s="1"/>
      <c r="BS427" s="18"/>
      <c r="BU427" s="1"/>
      <c r="BV427" s="18"/>
      <c r="BX427" s="1"/>
      <c r="BY427" s="18"/>
    </row>
    <row r="428" ht="15.75" customHeight="1">
      <c r="BI428" s="1"/>
      <c r="BJ428" s="18"/>
      <c r="BL428" s="1"/>
      <c r="BM428" s="18"/>
      <c r="BO428" s="1"/>
      <c r="BP428" s="18"/>
      <c r="BR428" s="1"/>
      <c r="BS428" s="18"/>
      <c r="BU428" s="1"/>
      <c r="BV428" s="18"/>
      <c r="BX428" s="1"/>
      <c r="BY428" s="18"/>
    </row>
    <row r="429" ht="15.75" customHeight="1">
      <c r="BI429" s="1"/>
      <c r="BJ429" s="18"/>
      <c r="BL429" s="1"/>
      <c r="BM429" s="18"/>
      <c r="BO429" s="1"/>
      <c r="BP429" s="18"/>
      <c r="BR429" s="1"/>
      <c r="BS429" s="18"/>
      <c r="BU429" s="1"/>
      <c r="BV429" s="18"/>
      <c r="BX429" s="1"/>
      <c r="BY429" s="18"/>
    </row>
    <row r="430" ht="15.75" customHeight="1">
      <c r="BI430" s="1"/>
      <c r="BJ430" s="18"/>
      <c r="BL430" s="1"/>
      <c r="BM430" s="18"/>
      <c r="BO430" s="1"/>
      <c r="BP430" s="18"/>
      <c r="BR430" s="1"/>
      <c r="BS430" s="18"/>
      <c r="BU430" s="1"/>
      <c r="BV430" s="18"/>
      <c r="BX430" s="1"/>
      <c r="BY430" s="18"/>
    </row>
    <row r="431" ht="15.75" customHeight="1">
      <c r="BI431" s="1"/>
      <c r="BJ431" s="18"/>
      <c r="BL431" s="1"/>
      <c r="BM431" s="18"/>
      <c r="BO431" s="1"/>
      <c r="BP431" s="18"/>
      <c r="BR431" s="1"/>
      <c r="BS431" s="18"/>
      <c r="BU431" s="1"/>
      <c r="BV431" s="18"/>
      <c r="BX431" s="1"/>
      <c r="BY431" s="18"/>
    </row>
    <row r="432" ht="15.75" customHeight="1">
      <c r="BI432" s="1"/>
      <c r="BJ432" s="18"/>
      <c r="BL432" s="1"/>
      <c r="BM432" s="18"/>
      <c r="BO432" s="1"/>
      <c r="BP432" s="18"/>
      <c r="BR432" s="1"/>
      <c r="BS432" s="18"/>
      <c r="BU432" s="1"/>
      <c r="BV432" s="18"/>
      <c r="BX432" s="1"/>
      <c r="BY432" s="18"/>
    </row>
    <row r="433" ht="15.75" customHeight="1">
      <c r="BI433" s="1"/>
      <c r="BJ433" s="18"/>
      <c r="BL433" s="1"/>
      <c r="BM433" s="18"/>
      <c r="BO433" s="1"/>
      <c r="BP433" s="18"/>
      <c r="BR433" s="1"/>
      <c r="BS433" s="18"/>
      <c r="BU433" s="1"/>
      <c r="BV433" s="18"/>
      <c r="BX433" s="1"/>
      <c r="BY433" s="18"/>
    </row>
    <row r="434" ht="15.75" customHeight="1">
      <c r="BI434" s="1"/>
      <c r="BJ434" s="18"/>
      <c r="BL434" s="1"/>
      <c r="BM434" s="18"/>
      <c r="BO434" s="1"/>
      <c r="BP434" s="18"/>
      <c r="BR434" s="1"/>
      <c r="BS434" s="18"/>
      <c r="BU434" s="1"/>
      <c r="BV434" s="18"/>
      <c r="BX434" s="1"/>
      <c r="BY434" s="18"/>
    </row>
    <row r="435" ht="15.75" customHeight="1">
      <c r="BI435" s="1"/>
      <c r="BJ435" s="18"/>
      <c r="BL435" s="1"/>
      <c r="BM435" s="18"/>
      <c r="BO435" s="1"/>
      <c r="BP435" s="18"/>
      <c r="BR435" s="1"/>
      <c r="BS435" s="18"/>
      <c r="BU435" s="1"/>
      <c r="BV435" s="18"/>
      <c r="BX435" s="1"/>
      <c r="BY435" s="18"/>
    </row>
    <row r="436" ht="15.75" customHeight="1">
      <c r="BI436" s="1"/>
      <c r="BJ436" s="18"/>
      <c r="BL436" s="1"/>
      <c r="BM436" s="18"/>
      <c r="BO436" s="1"/>
      <c r="BP436" s="18"/>
      <c r="BR436" s="1"/>
      <c r="BS436" s="18"/>
      <c r="BU436" s="1"/>
      <c r="BV436" s="18"/>
      <c r="BX436" s="1"/>
      <c r="BY436" s="18"/>
    </row>
    <row r="437" ht="15.75" customHeight="1">
      <c r="BI437" s="1"/>
      <c r="BJ437" s="18"/>
      <c r="BL437" s="1"/>
      <c r="BM437" s="18"/>
      <c r="BO437" s="1"/>
      <c r="BP437" s="18"/>
      <c r="BR437" s="1"/>
      <c r="BS437" s="18"/>
      <c r="BU437" s="1"/>
      <c r="BV437" s="18"/>
      <c r="BX437" s="1"/>
      <c r="BY437" s="18"/>
    </row>
    <row r="438" ht="15.75" customHeight="1">
      <c r="BI438" s="1"/>
      <c r="BJ438" s="18"/>
      <c r="BL438" s="1"/>
      <c r="BM438" s="18"/>
      <c r="BO438" s="1"/>
      <c r="BP438" s="18"/>
      <c r="BR438" s="1"/>
      <c r="BS438" s="18"/>
      <c r="BU438" s="1"/>
      <c r="BV438" s="18"/>
      <c r="BX438" s="1"/>
      <c r="BY438" s="18"/>
    </row>
    <row r="439" ht="15.75" customHeight="1">
      <c r="BI439" s="1"/>
      <c r="BJ439" s="18"/>
      <c r="BL439" s="1"/>
      <c r="BM439" s="18"/>
      <c r="BO439" s="1"/>
      <c r="BP439" s="18"/>
      <c r="BR439" s="1"/>
      <c r="BS439" s="18"/>
      <c r="BU439" s="1"/>
      <c r="BV439" s="18"/>
      <c r="BX439" s="1"/>
      <c r="BY439" s="18"/>
    </row>
    <row r="440" ht="15.75" customHeight="1">
      <c r="BI440" s="1"/>
      <c r="BJ440" s="18"/>
      <c r="BL440" s="1"/>
      <c r="BM440" s="18"/>
      <c r="BO440" s="1"/>
      <c r="BP440" s="18"/>
      <c r="BR440" s="1"/>
      <c r="BS440" s="18"/>
      <c r="BU440" s="1"/>
      <c r="BV440" s="18"/>
      <c r="BX440" s="1"/>
      <c r="BY440" s="18"/>
    </row>
    <row r="441" ht="15.75" customHeight="1">
      <c r="BI441" s="1"/>
      <c r="BJ441" s="18"/>
      <c r="BL441" s="1"/>
      <c r="BM441" s="18"/>
      <c r="BO441" s="1"/>
      <c r="BP441" s="18"/>
      <c r="BR441" s="1"/>
      <c r="BS441" s="18"/>
      <c r="BU441" s="1"/>
      <c r="BV441" s="18"/>
      <c r="BX441" s="1"/>
      <c r="BY441" s="18"/>
    </row>
    <row r="442" ht="15.75" customHeight="1">
      <c r="BI442" s="1"/>
      <c r="BJ442" s="18"/>
      <c r="BL442" s="1"/>
      <c r="BM442" s="18"/>
      <c r="BO442" s="1"/>
      <c r="BP442" s="18"/>
      <c r="BR442" s="1"/>
      <c r="BS442" s="18"/>
      <c r="BU442" s="1"/>
      <c r="BV442" s="18"/>
      <c r="BX442" s="1"/>
      <c r="BY442" s="18"/>
    </row>
    <row r="443" ht="15.75" customHeight="1">
      <c r="BI443" s="1"/>
      <c r="BJ443" s="18"/>
      <c r="BL443" s="1"/>
      <c r="BM443" s="18"/>
      <c r="BO443" s="1"/>
      <c r="BP443" s="18"/>
      <c r="BR443" s="1"/>
      <c r="BS443" s="18"/>
      <c r="BU443" s="1"/>
      <c r="BV443" s="18"/>
      <c r="BX443" s="1"/>
      <c r="BY443" s="18"/>
    </row>
    <row r="444" ht="15.75" customHeight="1">
      <c r="BI444" s="1"/>
      <c r="BJ444" s="18"/>
      <c r="BL444" s="1"/>
      <c r="BM444" s="18"/>
      <c r="BO444" s="1"/>
      <c r="BP444" s="18"/>
      <c r="BR444" s="1"/>
      <c r="BS444" s="18"/>
      <c r="BU444" s="1"/>
      <c r="BV444" s="18"/>
      <c r="BX444" s="1"/>
      <c r="BY444" s="18"/>
    </row>
    <row r="445" ht="15.75" customHeight="1">
      <c r="BI445" s="1"/>
      <c r="BJ445" s="18"/>
      <c r="BL445" s="1"/>
      <c r="BM445" s="18"/>
      <c r="BO445" s="1"/>
      <c r="BP445" s="18"/>
      <c r="BR445" s="1"/>
      <c r="BS445" s="18"/>
      <c r="BU445" s="1"/>
      <c r="BV445" s="18"/>
      <c r="BX445" s="1"/>
      <c r="BY445" s="18"/>
    </row>
    <row r="446" ht="15.75" customHeight="1">
      <c r="BI446" s="1"/>
      <c r="BJ446" s="18"/>
      <c r="BL446" s="1"/>
      <c r="BM446" s="18"/>
      <c r="BO446" s="1"/>
      <c r="BP446" s="18"/>
      <c r="BR446" s="1"/>
      <c r="BS446" s="18"/>
      <c r="BU446" s="1"/>
      <c r="BV446" s="18"/>
      <c r="BX446" s="1"/>
      <c r="BY446" s="18"/>
    </row>
    <row r="447" ht="15.75" customHeight="1">
      <c r="BI447" s="1"/>
      <c r="BJ447" s="18"/>
      <c r="BL447" s="1"/>
      <c r="BM447" s="18"/>
      <c r="BO447" s="1"/>
      <c r="BP447" s="18"/>
      <c r="BR447" s="1"/>
      <c r="BS447" s="18"/>
      <c r="BU447" s="1"/>
      <c r="BV447" s="18"/>
      <c r="BX447" s="1"/>
      <c r="BY447" s="18"/>
    </row>
    <row r="448" ht="15.75" customHeight="1">
      <c r="BI448" s="1"/>
      <c r="BJ448" s="18"/>
      <c r="BL448" s="1"/>
      <c r="BM448" s="18"/>
      <c r="BO448" s="1"/>
      <c r="BP448" s="18"/>
      <c r="BR448" s="1"/>
      <c r="BS448" s="18"/>
      <c r="BU448" s="1"/>
      <c r="BV448" s="18"/>
      <c r="BX448" s="1"/>
      <c r="BY448" s="18"/>
    </row>
    <row r="449" ht="15.75" customHeight="1">
      <c r="BI449" s="1"/>
      <c r="BJ449" s="18"/>
      <c r="BL449" s="1"/>
      <c r="BM449" s="18"/>
      <c r="BO449" s="1"/>
      <c r="BP449" s="18"/>
      <c r="BR449" s="1"/>
      <c r="BS449" s="18"/>
      <c r="BU449" s="1"/>
      <c r="BV449" s="18"/>
      <c r="BX449" s="1"/>
      <c r="BY449" s="18"/>
    </row>
    <row r="450" ht="15.75" customHeight="1">
      <c r="BI450" s="1"/>
      <c r="BJ450" s="18"/>
      <c r="BL450" s="1"/>
      <c r="BM450" s="18"/>
      <c r="BO450" s="1"/>
      <c r="BP450" s="18"/>
      <c r="BR450" s="1"/>
      <c r="BS450" s="18"/>
      <c r="BU450" s="1"/>
      <c r="BV450" s="18"/>
      <c r="BX450" s="1"/>
      <c r="BY450" s="18"/>
    </row>
    <row r="451" ht="15.75" customHeight="1">
      <c r="BI451" s="1"/>
      <c r="BJ451" s="18"/>
      <c r="BL451" s="1"/>
      <c r="BM451" s="18"/>
      <c r="BO451" s="1"/>
      <c r="BP451" s="18"/>
      <c r="BR451" s="1"/>
      <c r="BS451" s="18"/>
      <c r="BU451" s="1"/>
      <c r="BV451" s="18"/>
      <c r="BX451" s="1"/>
      <c r="BY451" s="18"/>
    </row>
    <row r="452" ht="15.75" customHeight="1">
      <c r="BI452" s="1"/>
      <c r="BJ452" s="18"/>
      <c r="BL452" s="1"/>
      <c r="BM452" s="18"/>
      <c r="BO452" s="1"/>
      <c r="BP452" s="18"/>
      <c r="BR452" s="1"/>
      <c r="BS452" s="18"/>
      <c r="BU452" s="1"/>
      <c r="BV452" s="18"/>
      <c r="BX452" s="1"/>
      <c r="BY452" s="18"/>
    </row>
    <row r="453" ht="15.75" customHeight="1">
      <c r="BI453" s="1"/>
      <c r="BJ453" s="18"/>
      <c r="BL453" s="1"/>
      <c r="BM453" s="18"/>
      <c r="BO453" s="1"/>
      <c r="BP453" s="18"/>
      <c r="BR453" s="1"/>
      <c r="BS453" s="18"/>
      <c r="BU453" s="1"/>
      <c r="BV453" s="18"/>
      <c r="BX453" s="1"/>
      <c r="BY453" s="18"/>
    </row>
    <row r="454" ht="15.75" customHeight="1">
      <c r="BI454" s="1"/>
      <c r="BJ454" s="18"/>
      <c r="BL454" s="1"/>
      <c r="BM454" s="18"/>
      <c r="BO454" s="1"/>
      <c r="BP454" s="18"/>
      <c r="BR454" s="1"/>
      <c r="BS454" s="18"/>
      <c r="BU454" s="1"/>
      <c r="BV454" s="18"/>
      <c r="BX454" s="1"/>
      <c r="BY454" s="18"/>
    </row>
    <row r="455" ht="15.75" customHeight="1">
      <c r="BI455" s="1"/>
      <c r="BJ455" s="18"/>
      <c r="BL455" s="1"/>
      <c r="BM455" s="18"/>
      <c r="BO455" s="1"/>
      <c r="BP455" s="18"/>
      <c r="BR455" s="1"/>
      <c r="BS455" s="18"/>
      <c r="BU455" s="1"/>
      <c r="BV455" s="18"/>
      <c r="BX455" s="1"/>
      <c r="BY455" s="18"/>
    </row>
    <row r="456" ht="15.75" customHeight="1">
      <c r="BI456" s="1"/>
      <c r="BJ456" s="18"/>
      <c r="BL456" s="1"/>
      <c r="BM456" s="18"/>
      <c r="BO456" s="1"/>
      <c r="BP456" s="18"/>
      <c r="BR456" s="1"/>
      <c r="BS456" s="18"/>
      <c r="BU456" s="1"/>
      <c r="BV456" s="18"/>
      <c r="BX456" s="1"/>
      <c r="BY456" s="18"/>
    </row>
    <row r="457" ht="15.75" customHeight="1">
      <c r="BI457" s="1"/>
      <c r="BJ457" s="18"/>
      <c r="BL457" s="1"/>
      <c r="BM457" s="18"/>
      <c r="BO457" s="1"/>
      <c r="BP457" s="18"/>
      <c r="BR457" s="1"/>
      <c r="BS457" s="18"/>
      <c r="BU457" s="1"/>
      <c r="BV457" s="18"/>
      <c r="BX457" s="1"/>
      <c r="BY457" s="18"/>
    </row>
    <row r="458" ht="15.75" customHeight="1">
      <c r="BI458" s="1"/>
      <c r="BJ458" s="18"/>
      <c r="BL458" s="1"/>
      <c r="BM458" s="18"/>
      <c r="BO458" s="1"/>
      <c r="BP458" s="18"/>
      <c r="BR458" s="1"/>
      <c r="BS458" s="18"/>
      <c r="BU458" s="1"/>
      <c r="BV458" s="18"/>
      <c r="BX458" s="1"/>
      <c r="BY458" s="18"/>
    </row>
    <row r="459" ht="15.75" customHeight="1">
      <c r="BI459" s="1"/>
      <c r="BJ459" s="18"/>
      <c r="BL459" s="1"/>
      <c r="BM459" s="18"/>
      <c r="BO459" s="1"/>
      <c r="BP459" s="18"/>
      <c r="BR459" s="1"/>
      <c r="BS459" s="18"/>
      <c r="BU459" s="1"/>
      <c r="BV459" s="18"/>
      <c r="BX459" s="1"/>
      <c r="BY459" s="18"/>
    </row>
    <row r="460" ht="15.75" customHeight="1">
      <c r="BI460" s="1"/>
      <c r="BJ460" s="18"/>
      <c r="BL460" s="1"/>
      <c r="BM460" s="18"/>
      <c r="BO460" s="1"/>
      <c r="BP460" s="18"/>
      <c r="BR460" s="1"/>
      <c r="BS460" s="18"/>
      <c r="BU460" s="1"/>
      <c r="BV460" s="18"/>
      <c r="BX460" s="1"/>
      <c r="BY460" s="18"/>
    </row>
    <row r="461" ht="15.75" customHeight="1">
      <c r="BI461" s="1"/>
      <c r="BJ461" s="18"/>
      <c r="BL461" s="1"/>
      <c r="BM461" s="18"/>
      <c r="BO461" s="1"/>
      <c r="BP461" s="18"/>
      <c r="BR461" s="1"/>
      <c r="BS461" s="18"/>
      <c r="BU461" s="1"/>
      <c r="BV461" s="18"/>
      <c r="BX461" s="1"/>
      <c r="BY461" s="18"/>
    </row>
    <row r="462" ht="15.75" customHeight="1">
      <c r="BI462" s="1"/>
      <c r="BJ462" s="18"/>
      <c r="BL462" s="1"/>
      <c r="BM462" s="18"/>
      <c r="BO462" s="1"/>
      <c r="BP462" s="18"/>
      <c r="BR462" s="1"/>
      <c r="BS462" s="18"/>
      <c r="BU462" s="1"/>
      <c r="BV462" s="18"/>
      <c r="BX462" s="1"/>
      <c r="BY462" s="18"/>
    </row>
    <row r="463" ht="15.75" customHeight="1">
      <c r="BI463" s="1"/>
      <c r="BJ463" s="18"/>
      <c r="BL463" s="1"/>
      <c r="BM463" s="18"/>
      <c r="BO463" s="1"/>
      <c r="BP463" s="18"/>
      <c r="BR463" s="1"/>
      <c r="BS463" s="18"/>
      <c r="BU463" s="1"/>
      <c r="BV463" s="18"/>
      <c r="BX463" s="1"/>
      <c r="BY463" s="18"/>
    </row>
    <row r="464" ht="15.75" customHeight="1">
      <c r="BI464" s="1"/>
      <c r="BJ464" s="18"/>
      <c r="BL464" s="1"/>
      <c r="BM464" s="18"/>
      <c r="BO464" s="1"/>
      <c r="BP464" s="18"/>
      <c r="BR464" s="1"/>
      <c r="BS464" s="18"/>
      <c r="BU464" s="1"/>
      <c r="BV464" s="18"/>
      <c r="BX464" s="1"/>
      <c r="BY464" s="18"/>
    </row>
    <row r="465" ht="15.75" customHeight="1">
      <c r="BI465" s="1"/>
      <c r="BJ465" s="18"/>
      <c r="BL465" s="1"/>
      <c r="BM465" s="18"/>
      <c r="BO465" s="1"/>
      <c r="BP465" s="18"/>
      <c r="BR465" s="1"/>
      <c r="BS465" s="18"/>
      <c r="BU465" s="1"/>
      <c r="BV465" s="18"/>
      <c r="BX465" s="1"/>
      <c r="BY465" s="18"/>
    </row>
    <row r="466" ht="15.75" customHeight="1">
      <c r="BI466" s="1"/>
      <c r="BJ466" s="18"/>
      <c r="BL466" s="1"/>
      <c r="BM466" s="18"/>
      <c r="BO466" s="1"/>
      <c r="BP466" s="18"/>
      <c r="BR466" s="1"/>
      <c r="BS466" s="18"/>
      <c r="BU466" s="1"/>
      <c r="BV466" s="18"/>
      <c r="BX466" s="1"/>
      <c r="BY466" s="18"/>
    </row>
    <row r="467" ht="15.75" customHeight="1">
      <c r="BI467" s="1"/>
      <c r="BJ467" s="18"/>
      <c r="BL467" s="1"/>
      <c r="BM467" s="18"/>
      <c r="BO467" s="1"/>
      <c r="BP467" s="18"/>
      <c r="BR467" s="1"/>
      <c r="BS467" s="18"/>
      <c r="BU467" s="1"/>
      <c r="BV467" s="18"/>
      <c r="BX467" s="1"/>
      <c r="BY467" s="18"/>
    </row>
    <row r="468" ht="15.75" customHeight="1">
      <c r="BI468" s="1"/>
      <c r="BJ468" s="18"/>
      <c r="BL468" s="1"/>
      <c r="BM468" s="18"/>
      <c r="BO468" s="1"/>
      <c r="BP468" s="18"/>
      <c r="BR468" s="1"/>
      <c r="BS468" s="18"/>
      <c r="BU468" s="1"/>
      <c r="BV468" s="18"/>
      <c r="BX468" s="1"/>
      <c r="BY468" s="18"/>
    </row>
    <row r="469" ht="15.75" customHeight="1">
      <c r="BI469" s="1"/>
      <c r="BJ469" s="18"/>
      <c r="BL469" s="1"/>
      <c r="BM469" s="18"/>
      <c r="BO469" s="1"/>
      <c r="BP469" s="18"/>
      <c r="BR469" s="1"/>
      <c r="BS469" s="18"/>
      <c r="BU469" s="1"/>
      <c r="BV469" s="18"/>
      <c r="BX469" s="1"/>
      <c r="BY469" s="18"/>
    </row>
    <row r="470" ht="15.75" customHeight="1">
      <c r="BI470" s="1"/>
      <c r="BJ470" s="18"/>
      <c r="BL470" s="1"/>
      <c r="BM470" s="18"/>
      <c r="BO470" s="1"/>
      <c r="BP470" s="18"/>
      <c r="BR470" s="1"/>
      <c r="BS470" s="18"/>
      <c r="BU470" s="1"/>
      <c r="BV470" s="18"/>
      <c r="BX470" s="1"/>
      <c r="BY470" s="18"/>
    </row>
    <row r="471" ht="15.75" customHeight="1">
      <c r="BI471" s="1"/>
      <c r="BJ471" s="18"/>
      <c r="BL471" s="1"/>
      <c r="BM471" s="18"/>
      <c r="BO471" s="1"/>
      <c r="BP471" s="18"/>
      <c r="BR471" s="1"/>
      <c r="BS471" s="18"/>
      <c r="BU471" s="1"/>
      <c r="BV471" s="18"/>
      <c r="BX471" s="1"/>
      <c r="BY471" s="18"/>
    </row>
    <row r="472" ht="15.75" customHeight="1">
      <c r="BI472" s="1"/>
      <c r="BJ472" s="18"/>
      <c r="BL472" s="1"/>
      <c r="BM472" s="18"/>
      <c r="BO472" s="1"/>
      <c r="BP472" s="18"/>
      <c r="BR472" s="1"/>
      <c r="BS472" s="18"/>
      <c r="BU472" s="1"/>
      <c r="BV472" s="18"/>
      <c r="BX472" s="1"/>
      <c r="BY472" s="18"/>
    </row>
    <row r="473" ht="15.75" customHeight="1">
      <c r="BI473" s="1"/>
      <c r="BJ473" s="18"/>
      <c r="BL473" s="1"/>
      <c r="BM473" s="18"/>
      <c r="BO473" s="1"/>
      <c r="BP473" s="18"/>
      <c r="BR473" s="1"/>
      <c r="BS473" s="18"/>
      <c r="BU473" s="1"/>
      <c r="BV473" s="18"/>
      <c r="BX473" s="1"/>
      <c r="BY473" s="18"/>
    </row>
    <row r="474" ht="15.75" customHeight="1">
      <c r="BI474" s="1"/>
      <c r="BJ474" s="18"/>
      <c r="BL474" s="1"/>
      <c r="BM474" s="18"/>
      <c r="BO474" s="1"/>
      <c r="BP474" s="18"/>
      <c r="BR474" s="1"/>
      <c r="BS474" s="18"/>
      <c r="BU474" s="1"/>
      <c r="BV474" s="18"/>
      <c r="BX474" s="1"/>
      <c r="BY474" s="18"/>
    </row>
    <row r="475" ht="15.75" customHeight="1">
      <c r="BI475" s="1"/>
      <c r="BJ475" s="18"/>
      <c r="BL475" s="1"/>
      <c r="BM475" s="18"/>
      <c r="BO475" s="1"/>
      <c r="BP475" s="18"/>
      <c r="BR475" s="1"/>
      <c r="BS475" s="18"/>
      <c r="BU475" s="1"/>
      <c r="BV475" s="18"/>
      <c r="BX475" s="1"/>
      <c r="BY475" s="18"/>
    </row>
    <row r="476" ht="15.75" customHeight="1">
      <c r="BI476" s="1"/>
      <c r="BJ476" s="18"/>
      <c r="BL476" s="1"/>
      <c r="BM476" s="18"/>
      <c r="BO476" s="1"/>
      <c r="BP476" s="18"/>
      <c r="BR476" s="1"/>
      <c r="BS476" s="18"/>
      <c r="BU476" s="1"/>
      <c r="BV476" s="18"/>
      <c r="BX476" s="1"/>
      <c r="BY476" s="18"/>
    </row>
    <row r="477" ht="15.75" customHeight="1">
      <c r="BI477" s="1"/>
      <c r="BJ477" s="18"/>
      <c r="BL477" s="1"/>
      <c r="BM477" s="18"/>
      <c r="BO477" s="1"/>
      <c r="BP477" s="18"/>
      <c r="BR477" s="1"/>
      <c r="BS477" s="18"/>
      <c r="BU477" s="1"/>
      <c r="BV477" s="18"/>
      <c r="BX477" s="1"/>
      <c r="BY477" s="18"/>
    </row>
    <row r="478" ht="15.75" customHeight="1">
      <c r="BI478" s="1"/>
      <c r="BJ478" s="18"/>
      <c r="BL478" s="1"/>
      <c r="BM478" s="18"/>
      <c r="BO478" s="1"/>
      <c r="BP478" s="18"/>
      <c r="BR478" s="1"/>
      <c r="BS478" s="18"/>
      <c r="BU478" s="1"/>
      <c r="BV478" s="18"/>
      <c r="BX478" s="1"/>
      <c r="BY478" s="18"/>
    </row>
    <row r="479" ht="15.75" customHeight="1">
      <c r="BI479" s="1"/>
      <c r="BJ479" s="18"/>
      <c r="BL479" s="1"/>
      <c r="BM479" s="18"/>
      <c r="BO479" s="1"/>
      <c r="BP479" s="18"/>
      <c r="BR479" s="1"/>
      <c r="BS479" s="18"/>
      <c r="BU479" s="1"/>
      <c r="BV479" s="18"/>
      <c r="BX479" s="1"/>
      <c r="BY479" s="18"/>
    </row>
    <row r="480" ht="15.75" customHeight="1">
      <c r="BI480" s="1"/>
      <c r="BJ480" s="18"/>
      <c r="BL480" s="1"/>
      <c r="BM480" s="18"/>
      <c r="BO480" s="1"/>
      <c r="BP480" s="18"/>
      <c r="BR480" s="1"/>
      <c r="BS480" s="18"/>
      <c r="BU480" s="1"/>
      <c r="BV480" s="18"/>
      <c r="BX480" s="1"/>
      <c r="BY480" s="18"/>
    </row>
    <row r="481" ht="15.75" customHeight="1">
      <c r="BI481" s="1"/>
      <c r="BJ481" s="18"/>
      <c r="BL481" s="1"/>
      <c r="BM481" s="18"/>
      <c r="BO481" s="1"/>
      <c r="BP481" s="18"/>
      <c r="BR481" s="1"/>
      <c r="BS481" s="18"/>
      <c r="BU481" s="1"/>
      <c r="BV481" s="18"/>
      <c r="BX481" s="1"/>
      <c r="BY481" s="18"/>
    </row>
    <row r="482" ht="15.75" customHeight="1">
      <c r="BI482" s="1"/>
      <c r="BJ482" s="18"/>
      <c r="BL482" s="1"/>
      <c r="BM482" s="18"/>
      <c r="BO482" s="1"/>
      <c r="BP482" s="18"/>
      <c r="BR482" s="1"/>
      <c r="BS482" s="18"/>
      <c r="BU482" s="1"/>
      <c r="BV482" s="18"/>
      <c r="BX482" s="1"/>
      <c r="BY482" s="18"/>
    </row>
    <row r="483" ht="15.75" customHeight="1">
      <c r="BI483" s="1"/>
      <c r="BJ483" s="18"/>
      <c r="BL483" s="1"/>
      <c r="BM483" s="18"/>
      <c r="BO483" s="1"/>
      <c r="BP483" s="18"/>
      <c r="BR483" s="1"/>
      <c r="BS483" s="18"/>
      <c r="BU483" s="1"/>
      <c r="BV483" s="18"/>
      <c r="BX483" s="1"/>
      <c r="BY483" s="18"/>
    </row>
    <row r="484" ht="15.75" customHeight="1">
      <c r="BI484" s="1"/>
      <c r="BJ484" s="18"/>
      <c r="BL484" s="1"/>
      <c r="BM484" s="18"/>
      <c r="BO484" s="1"/>
      <c r="BP484" s="18"/>
      <c r="BR484" s="1"/>
      <c r="BS484" s="18"/>
      <c r="BU484" s="1"/>
      <c r="BV484" s="18"/>
      <c r="BX484" s="1"/>
      <c r="BY484" s="18"/>
    </row>
    <row r="485" ht="15.75" customHeight="1">
      <c r="BI485" s="1"/>
      <c r="BJ485" s="18"/>
      <c r="BL485" s="1"/>
      <c r="BM485" s="18"/>
      <c r="BO485" s="1"/>
      <c r="BP485" s="18"/>
      <c r="BR485" s="1"/>
      <c r="BS485" s="18"/>
      <c r="BU485" s="1"/>
      <c r="BV485" s="18"/>
      <c r="BX485" s="1"/>
      <c r="BY485" s="18"/>
    </row>
    <row r="486" ht="15.75" customHeight="1">
      <c r="BI486" s="1"/>
      <c r="BJ486" s="18"/>
      <c r="BL486" s="1"/>
      <c r="BM486" s="18"/>
      <c r="BO486" s="1"/>
      <c r="BP486" s="18"/>
      <c r="BR486" s="1"/>
      <c r="BS486" s="18"/>
      <c r="BU486" s="1"/>
      <c r="BV486" s="18"/>
      <c r="BX486" s="1"/>
      <c r="BY486" s="18"/>
    </row>
    <row r="487" ht="15.75" customHeight="1">
      <c r="BI487" s="1"/>
      <c r="BJ487" s="18"/>
      <c r="BL487" s="1"/>
      <c r="BM487" s="18"/>
      <c r="BO487" s="1"/>
      <c r="BP487" s="18"/>
      <c r="BR487" s="1"/>
      <c r="BS487" s="18"/>
      <c r="BU487" s="1"/>
      <c r="BV487" s="18"/>
      <c r="BX487" s="1"/>
      <c r="BY487" s="18"/>
    </row>
    <row r="488" ht="15.75" customHeight="1">
      <c r="BI488" s="1"/>
      <c r="BJ488" s="18"/>
      <c r="BL488" s="1"/>
      <c r="BM488" s="18"/>
      <c r="BO488" s="1"/>
      <c r="BP488" s="18"/>
      <c r="BR488" s="1"/>
      <c r="BS488" s="18"/>
      <c r="BU488" s="1"/>
      <c r="BV488" s="18"/>
      <c r="BX488" s="1"/>
      <c r="BY488" s="18"/>
    </row>
    <row r="489" ht="15.75" customHeight="1">
      <c r="BI489" s="1"/>
      <c r="BJ489" s="18"/>
      <c r="BL489" s="1"/>
      <c r="BM489" s="18"/>
      <c r="BO489" s="1"/>
      <c r="BP489" s="18"/>
      <c r="BR489" s="1"/>
      <c r="BS489" s="18"/>
      <c r="BU489" s="1"/>
      <c r="BV489" s="18"/>
      <c r="BX489" s="1"/>
      <c r="BY489" s="18"/>
    </row>
    <row r="490" ht="15.75" customHeight="1">
      <c r="BI490" s="1"/>
      <c r="BJ490" s="18"/>
      <c r="BL490" s="1"/>
      <c r="BM490" s="18"/>
      <c r="BO490" s="1"/>
      <c r="BP490" s="18"/>
      <c r="BR490" s="1"/>
      <c r="BS490" s="18"/>
      <c r="BU490" s="1"/>
      <c r="BV490" s="18"/>
      <c r="BX490" s="1"/>
      <c r="BY490" s="18"/>
    </row>
    <row r="491" ht="15.75" customHeight="1">
      <c r="BI491" s="1"/>
      <c r="BJ491" s="18"/>
      <c r="BL491" s="1"/>
      <c r="BM491" s="18"/>
      <c r="BO491" s="1"/>
      <c r="BP491" s="18"/>
      <c r="BR491" s="1"/>
      <c r="BS491" s="18"/>
      <c r="BU491" s="1"/>
      <c r="BV491" s="18"/>
      <c r="BX491" s="1"/>
      <c r="BY491" s="18"/>
    </row>
    <row r="492" ht="15.75" customHeight="1">
      <c r="BI492" s="1"/>
      <c r="BJ492" s="18"/>
      <c r="BL492" s="1"/>
      <c r="BM492" s="18"/>
      <c r="BO492" s="1"/>
      <c r="BP492" s="18"/>
      <c r="BR492" s="1"/>
      <c r="BS492" s="18"/>
      <c r="BU492" s="1"/>
      <c r="BV492" s="18"/>
      <c r="BX492" s="1"/>
      <c r="BY492" s="18"/>
    </row>
    <row r="493" ht="15.75" customHeight="1">
      <c r="BI493" s="1"/>
      <c r="BJ493" s="18"/>
      <c r="BL493" s="1"/>
      <c r="BM493" s="18"/>
      <c r="BO493" s="1"/>
      <c r="BP493" s="18"/>
      <c r="BR493" s="1"/>
      <c r="BS493" s="18"/>
      <c r="BU493" s="1"/>
      <c r="BV493" s="18"/>
      <c r="BX493" s="1"/>
      <c r="BY493" s="18"/>
    </row>
    <row r="494" ht="15.75" customHeight="1">
      <c r="BI494" s="1"/>
      <c r="BJ494" s="18"/>
      <c r="BL494" s="1"/>
      <c r="BM494" s="18"/>
      <c r="BO494" s="1"/>
      <c r="BP494" s="18"/>
      <c r="BR494" s="1"/>
      <c r="BS494" s="18"/>
      <c r="BU494" s="1"/>
      <c r="BV494" s="18"/>
      <c r="BX494" s="1"/>
      <c r="BY494" s="18"/>
    </row>
    <row r="495" ht="15.75" customHeight="1">
      <c r="BI495" s="1"/>
      <c r="BJ495" s="18"/>
      <c r="BL495" s="1"/>
      <c r="BM495" s="18"/>
      <c r="BO495" s="1"/>
      <c r="BP495" s="18"/>
      <c r="BR495" s="1"/>
      <c r="BS495" s="18"/>
      <c r="BU495" s="1"/>
      <c r="BV495" s="18"/>
      <c r="BX495" s="1"/>
      <c r="BY495" s="18"/>
    </row>
    <row r="496" ht="15.75" customHeight="1">
      <c r="BI496" s="1"/>
      <c r="BJ496" s="18"/>
      <c r="BL496" s="1"/>
      <c r="BM496" s="18"/>
      <c r="BO496" s="1"/>
      <c r="BP496" s="18"/>
      <c r="BR496" s="1"/>
      <c r="BS496" s="18"/>
      <c r="BU496" s="1"/>
      <c r="BV496" s="18"/>
      <c r="BX496" s="1"/>
      <c r="BY496" s="18"/>
    </row>
    <row r="497" ht="15.75" customHeight="1">
      <c r="BI497" s="1"/>
      <c r="BJ497" s="18"/>
      <c r="BL497" s="1"/>
      <c r="BM497" s="18"/>
      <c r="BO497" s="1"/>
      <c r="BP497" s="18"/>
      <c r="BR497" s="1"/>
      <c r="BS497" s="18"/>
      <c r="BU497" s="1"/>
      <c r="BV497" s="18"/>
      <c r="BX497" s="1"/>
      <c r="BY497" s="18"/>
    </row>
    <row r="498" ht="15.75" customHeight="1">
      <c r="BI498" s="1"/>
      <c r="BJ498" s="18"/>
      <c r="BL498" s="1"/>
      <c r="BM498" s="18"/>
      <c r="BO498" s="1"/>
      <c r="BP498" s="18"/>
      <c r="BR498" s="1"/>
      <c r="BS498" s="18"/>
      <c r="BU498" s="1"/>
      <c r="BV498" s="18"/>
      <c r="BX498" s="1"/>
      <c r="BY498" s="18"/>
    </row>
    <row r="499" ht="15.75" customHeight="1">
      <c r="BI499" s="1"/>
      <c r="BJ499" s="18"/>
      <c r="BL499" s="1"/>
      <c r="BM499" s="18"/>
      <c r="BO499" s="1"/>
      <c r="BP499" s="18"/>
      <c r="BR499" s="1"/>
      <c r="BS499" s="18"/>
      <c r="BU499" s="1"/>
      <c r="BV499" s="18"/>
      <c r="BX499" s="1"/>
      <c r="BY499" s="18"/>
    </row>
    <row r="500" ht="15.75" customHeight="1">
      <c r="BI500" s="1"/>
      <c r="BJ500" s="18"/>
      <c r="BL500" s="1"/>
      <c r="BM500" s="18"/>
      <c r="BO500" s="1"/>
      <c r="BP500" s="18"/>
      <c r="BR500" s="1"/>
      <c r="BS500" s="18"/>
      <c r="BU500" s="1"/>
      <c r="BV500" s="18"/>
      <c r="BX500" s="1"/>
      <c r="BY500" s="18"/>
    </row>
    <row r="501" ht="15.75" customHeight="1">
      <c r="BI501" s="1"/>
      <c r="BJ501" s="18"/>
      <c r="BL501" s="1"/>
      <c r="BM501" s="18"/>
      <c r="BO501" s="1"/>
      <c r="BP501" s="18"/>
      <c r="BR501" s="1"/>
      <c r="BS501" s="18"/>
      <c r="BU501" s="1"/>
      <c r="BV501" s="18"/>
      <c r="BX501" s="1"/>
      <c r="BY501" s="18"/>
    </row>
    <row r="502" ht="15.75" customHeight="1">
      <c r="BI502" s="1"/>
      <c r="BJ502" s="18"/>
      <c r="BL502" s="1"/>
      <c r="BM502" s="18"/>
      <c r="BO502" s="1"/>
      <c r="BP502" s="18"/>
      <c r="BR502" s="1"/>
      <c r="BS502" s="18"/>
      <c r="BU502" s="1"/>
      <c r="BV502" s="18"/>
      <c r="BX502" s="1"/>
      <c r="BY502" s="18"/>
    </row>
    <row r="503" ht="15.75" customHeight="1">
      <c r="BI503" s="1"/>
      <c r="BJ503" s="18"/>
      <c r="BL503" s="1"/>
      <c r="BM503" s="18"/>
      <c r="BO503" s="1"/>
      <c r="BP503" s="18"/>
      <c r="BR503" s="1"/>
      <c r="BS503" s="18"/>
      <c r="BU503" s="1"/>
      <c r="BV503" s="18"/>
      <c r="BX503" s="1"/>
      <c r="BY503" s="18"/>
    </row>
    <row r="504" ht="15.75" customHeight="1">
      <c r="BI504" s="1"/>
      <c r="BJ504" s="18"/>
      <c r="BL504" s="1"/>
      <c r="BM504" s="18"/>
      <c r="BO504" s="1"/>
      <c r="BP504" s="18"/>
      <c r="BR504" s="1"/>
      <c r="BS504" s="18"/>
      <c r="BU504" s="1"/>
      <c r="BV504" s="18"/>
      <c r="BX504" s="1"/>
      <c r="BY504" s="18"/>
    </row>
    <row r="505" ht="15.75" customHeight="1">
      <c r="BI505" s="1"/>
      <c r="BJ505" s="18"/>
      <c r="BL505" s="1"/>
      <c r="BM505" s="18"/>
      <c r="BO505" s="1"/>
      <c r="BP505" s="18"/>
      <c r="BR505" s="1"/>
      <c r="BS505" s="18"/>
      <c r="BU505" s="1"/>
      <c r="BV505" s="18"/>
      <c r="BX505" s="1"/>
      <c r="BY505" s="18"/>
    </row>
    <row r="506" ht="15.75" customHeight="1">
      <c r="BI506" s="1"/>
      <c r="BJ506" s="18"/>
      <c r="BL506" s="1"/>
      <c r="BM506" s="18"/>
      <c r="BO506" s="1"/>
      <c r="BP506" s="18"/>
      <c r="BR506" s="1"/>
      <c r="BS506" s="18"/>
      <c r="BU506" s="1"/>
      <c r="BV506" s="18"/>
      <c r="BX506" s="1"/>
      <c r="BY506" s="18"/>
    </row>
    <row r="507" ht="15.75" customHeight="1">
      <c r="BI507" s="1"/>
      <c r="BJ507" s="18"/>
      <c r="BL507" s="1"/>
      <c r="BM507" s="18"/>
      <c r="BO507" s="1"/>
      <c r="BP507" s="18"/>
      <c r="BR507" s="1"/>
      <c r="BS507" s="18"/>
      <c r="BU507" s="1"/>
      <c r="BV507" s="18"/>
      <c r="BX507" s="1"/>
      <c r="BY507" s="18"/>
    </row>
    <row r="508" ht="15.75" customHeight="1">
      <c r="BI508" s="1"/>
      <c r="BJ508" s="18"/>
      <c r="BL508" s="1"/>
      <c r="BM508" s="18"/>
      <c r="BO508" s="1"/>
      <c r="BP508" s="18"/>
      <c r="BR508" s="1"/>
      <c r="BS508" s="18"/>
      <c r="BU508" s="1"/>
      <c r="BV508" s="18"/>
      <c r="BX508" s="1"/>
      <c r="BY508" s="18"/>
    </row>
    <row r="509" ht="15.75" customHeight="1">
      <c r="BI509" s="1"/>
      <c r="BJ509" s="18"/>
      <c r="BL509" s="1"/>
      <c r="BM509" s="18"/>
      <c r="BO509" s="1"/>
      <c r="BP509" s="18"/>
      <c r="BR509" s="1"/>
      <c r="BS509" s="18"/>
      <c r="BU509" s="1"/>
      <c r="BV509" s="18"/>
      <c r="BX509" s="1"/>
      <c r="BY509" s="18"/>
    </row>
    <row r="510" ht="15.75" customHeight="1">
      <c r="BI510" s="1"/>
      <c r="BJ510" s="18"/>
      <c r="BL510" s="1"/>
      <c r="BM510" s="18"/>
      <c r="BO510" s="1"/>
      <c r="BP510" s="18"/>
      <c r="BR510" s="1"/>
      <c r="BS510" s="18"/>
      <c r="BU510" s="1"/>
      <c r="BV510" s="18"/>
      <c r="BX510" s="1"/>
      <c r="BY510" s="18"/>
    </row>
    <row r="511" ht="15.75" customHeight="1">
      <c r="BI511" s="1"/>
      <c r="BJ511" s="18"/>
      <c r="BL511" s="1"/>
      <c r="BM511" s="18"/>
      <c r="BO511" s="1"/>
      <c r="BP511" s="18"/>
      <c r="BR511" s="1"/>
      <c r="BS511" s="18"/>
      <c r="BU511" s="1"/>
      <c r="BV511" s="18"/>
      <c r="BX511" s="1"/>
      <c r="BY511" s="18"/>
    </row>
    <row r="512" ht="15.75" customHeight="1">
      <c r="BI512" s="1"/>
      <c r="BJ512" s="18"/>
      <c r="BL512" s="1"/>
      <c r="BM512" s="18"/>
      <c r="BO512" s="1"/>
      <c r="BP512" s="18"/>
      <c r="BR512" s="1"/>
      <c r="BS512" s="18"/>
      <c r="BU512" s="1"/>
      <c r="BV512" s="18"/>
      <c r="BX512" s="1"/>
      <c r="BY512" s="18"/>
    </row>
    <row r="513" ht="15.75" customHeight="1">
      <c r="BI513" s="1"/>
      <c r="BJ513" s="18"/>
      <c r="BL513" s="1"/>
      <c r="BM513" s="18"/>
      <c r="BO513" s="1"/>
      <c r="BP513" s="18"/>
      <c r="BR513" s="1"/>
      <c r="BS513" s="18"/>
      <c r="BU513" s="1"/>
      <c r="BV513" s="18"/>
      <c r="BX513" s="1"/>
      <c r="BY513" s="18"/>
    </row>
    <row r="514" ht="15.75" customHeight="1">
      <c r="BI514" s="1"/>
      <c r="BJ514" s="18"/>
      <c r="BL514" s="1"/>
      <c r="BM514" s="18"/>
      <c r="BO514" s="1"/>
      <c r="BP514" s="18"/>
      <c r="BR514" s="1"/>
      <c r="BS514" s="18"/>
      <c r="BU514" s="1"/>
      <c r="BV514" s="18"/>
      <c r="BX514" s="1"/>
      <c r="BY514" s="18"/>
    </row>
    <row r="515" ht="15.75" customHeight="1">
      <c r="BI515" s="1"/>
      <c r="BJ515" s="18"/>
      <c r="BL515" s="1"/>
      <c r="BM515" s="18"/>
      <c r="BO515" s="1"/>
      <c r="BP515" s="18"/>
      <c r="BR515" s="1"/>
      <c r="BS515" s="18"/>
      <c r="BU515" s="1"/>
      <c r="BV515" s="18"/>
      <c r="BX515" s="1"/>
      <c r="BY515" s="18"/>
    </row>
    <row r="516" ht="15.75" customHeight="1">
      <c r="BI516" s="1"/>
      <c r="BJ516" s="18"/>
      <c r="BL516" s="1"/>
      <c r="BM516" s="18"/>
      <c r="BO516" s="1"/>
      <c r="BP516" s="18"/>
      <c r="BR516" s="1"/>
      <c r="BS516" s="18"/>
      <c r="BU516" s="1"/>
      <c r="BV516" s="18"/>
      <c r="BX516" s="1"/>
      <c r="BY516" s="18"/>
    </row>
    <row r="517" ht="15.75" customHeight="1">
      <c r="BI517" s="1"/>
      <c r="BJ517" s="18"/>
      <c r="BL517" s="1"/>
      <c r="BM517" s="18"/>
      <c r="BO517" s="1"/>
      <c r="BP517" s="18"/>
      <c r="BR517" s="1"/>
      <c r="BS517" s="18"/>
      <c r="BU517" s="1"/>
      <c r="BV517" s="18"/>
      <c r="BX517" s="1"/>
      <c r="BY517" s="18"/>
    </row>
    <row r="518" ht="15.75" customHeight="1">
      <c r="BI518" s="1"/>
      <c r="BJ518" s="18"/>
      <c r="BL518" s="1"/>
      <c r="BM518" s="18"/>
      <c r="BO518" s="1"/>
      <c r="BP518" s="18"/>
      <c r="BR518" s="1"/>
      <c r="BS518" s="18"/>
      <c r="BU518" s="1"/>
      <c r="BV518" s="18"/>
      <c r="BX518" s="1"/>
      <c r="BY518" s="18"/>
    </row>
    <row r="519" ht="15.75" customHeight="1">
      <c r="BI519" s="1"/>
      <c r="BJ519" s="18"/>
      <c r="BL519" s="1"/>
      <c r="BM519" s="18"/>
      <c r="BO519" s="1"/>
      <c r="BP519" s="18"/>
      <c r="BR519" s="1"/>
      <c r="BS519" s="18"/>
      <c r="BU519" s="1"/>
      <c r="BV519" s="18"/>
      <c r="BX519" s="1"/>
      <c r="BY519" s="18"/>
    </row>
    <row r="520" ht="15.75" customHeight="1">
      <c r="BI520" s="1"/>
      <c r="BJ520" s="18"/>
      <c r="BL520" s="1"/>
      <c r="BM520" s="18"/>
      <c r="BO520" s="1"/>
      <c r="BP520" s="18"/>
      <c r="BR520" s="1"/>
      <c r="BS520" s="18"/>
      <c r="BU520" s="1"/>
      <c r="BV520" s="18"/>
      <c r="BX520" s="1"/>
      <c r="BY520" s="18"/>
    </row>
    <row r="521" ht="15.75" customHeight="1">
      <c r="BI521" s="1"/>
      <c r="BJ521" s="18"/>
      <c r="BL521" s="1"/>
      <c r="BM521" s="18"/>
      <c r="BO521" s="1"/>
      <c r="BP521" s="18"/>
      <c r="BR521" s="1"/>
      <c r="BS521" s="18"/>
      <c r="BU521" s="1"/>
      <c r="BV521" s="18"/>
      <c r="BX521" s="1"/>
      <c r="BY521" s="18"/>
    </row>
    <row r="522" ht="15.75" customHeight="1">
      <c r="BI522" s="1"/>
      <c r="BJ522" s="18"/>
      <c r="BL522" s="1"/>
      <c r="BM522" s="18"/>
      <c r="BO522" s="1"/>
      <c r="BP522" s="18"/>
      <c r="BR522" s="1"/>
      <c r="BS522" s="18"/>
      <c r="BU522" s="1"/>
      <c r="BV522" s="18"/>
      <c r="BX522" s="1"/>
      <c r="BY522" s="18"/>
    </row>
    <row r="523" ht="15.75" customHeight="1">
      <c r="BI523" s="1"/>
      <c r="BJ523" s="18"/>
      <c r="BL523" s="1"/>
      <c r="BM523" s="18"/>
      <c r="BO523" s="1"/>
      <c r="BP523" s="18"/>
      <c r="BR523" s="1"/>
      <c r="BS523" s="18"/>
      <c r="BU523" s="1"/>
      <c r="BV523" s="18"/>
      <c r="BX523" s="1"/>
      <c r="BY523" s="18"/>
    </row>
    <row r="524" ht="15.75" customHeight="1">
      <c r="BI524" s="1"/>
      <c r="BJ524" s="18"/>
      <c r="BL524" s="1"/>
      <c r="BM524" s="18"/>
      <c r="BO524" s="1"/>
      <c r="BP524" s="18"/>
      <c r="BR524" s="1"/>
      <c r="BS524" s="18"/>
      <c r="BU524" s="1"/>
      <c r="BV524" s="18"/>
      <c r="BX524" s="1"/>
      <c r="BY524" s="18"/>
    </row>
    <row r="525" ht="15.75" customHeight="1">
      <c r="BI525" s="1"/>
      <c r="BJ525" s="18"/>
      <c r="BL525" s="1"/>
      <c r="BM525" s="18"/>
      <c r="BO525" s="1"/>
      <c r="BP525" s="18"/>
      <c r="BR525" s="1"/>
      <c r="BS525" s="18"/>
      <c r="BU525" s="1"/>
      <c r="BV525" s="18"/>
      <c r="BX525" s="1"/>
      <c r="BY525" s="18"/>
    </row>
    <row r="526" ht="15.75" customHeight="1">
      <c r="BI526" s="1"/>
      <c r="BJ526" s="18"/>
      <c r="BL526" s="1"/>
      <c r="BM526" s="18"/>
      <c r="BO526" s="1"/>
      <c r="BP526" s="18"/>
      <c r="BR526" s="1"/>
      <c r="BS526" s="18"/>
      <c r="BU526" s="1"/>
      <c r="BV526" s="18"/>
      <c r="BX526" s="1"/>
      <c r="BY526" s="18"/>
    </row>
    <row r="527" ht="15.75" customHeight="1">
      <c r="BI527" s="1"/>
      <c r="BJ527" s="18"/>
      <c r="BL527" s="1"/>
      <c r="BM527" s="18"/>
      <c r="BO527" s="1"/>
      <c r="BP527" s="18"/>
      <c r="BR527" s="1"/>
      <c r="BS527" s="18"/>
      <c r="BU527" s="1"/>
      <c r="BV527" s="18"/>
      <c r="BX527" s="1"/>
      <c r="BY527" s="18"/>
    </row>
    <row r="528" ht="15.75" customHeight="1">
      <c r="BI528" s="1"/>
      <c r="BJ528" s="18"/>
      <c r="BL528" s="1"/>
      <c r="BM528" s="18"/>
      <c r="BO528" s="1"/>
      <c r="BP528" s="18"/>
      <c r="BR528" s="1"/>
      <c r="BS528" s="18"/>
      <c r="BU528" s="1"/>
      <c r="BV528" s="18"/>
      <c r="BX528" s="1"/>
      <c r="BY528" s="18"/>
    </row>
    <row r="529" ht="15.75" customHeight="1">
      <c r="BI529" s="1"/>
      <c r="BJ529" s="18"/>
      <c r="BL529" s="1"/>
      <c r="BM529" s="18"/>
      <c r="BO529" s="1"/>
      <c r="BP529" s="18"/>
      <c r="BR529" s="1"/>
      <c r="BS529" s="18"/>
      <c r="BU529" s="1"/>
      <c r="BV529" s="18"/>
      <c r="BX529" s="1"/>
      <c r="BY529" s="18"/>
    </row>
    <row r="530" ht="15.75" customHeight="1">
      <c r="BI530" s="1"/>
      <c r="BJ530" s="18"/>
      <c r="BL530" s="1"/>
      <c r="BM530" s="18"/>
      <c r="BO530" s="1"/>
      <c r="BP530" s="18"/>
      <c r="BR530" s="1"/>
      <c r="BS530" s="18"/>
      <c r="BU530" s="1"/>
      <c r="BV530" s="18"/>
      <c r="BX530" s="1"/>
      <c r="BY530" s="18"/>
    </row>
    <row r="531" ht="15.75" customHeight="1">
      <c r="BI531" s="1"/>
      <c r="BJ531" s="18"/>
      <c r="BL531" s="1"/>
      <c r="BM531" s="18"/>
      <c r="BO531" s="1"/>
      <c r="BP531" s="18"/>
      <c r="BR531" s="1"/>
      <c r="BS531" s="18"/>
      <c r="BU531" s="1"/>
      <c r="BV531" s="18"/>
      <c r="BX531" s="1"/>
      <c r="BY531" s="18"/>
    </row>
    <row r="532" ht="15.75" customHeight="1">
      <c r="BI532" s="1"/>
      <c r="BJ532" s="18"/>
      <c r="BL532" s="1"/>
      <c r="BM532" s="18"/>
      <c r="BO532" s="1"/>
      <c r="BP532" s="18"/>
      <c r="BR532" s="1"/>
      <c r="BS532" s="18"/>
      <c r="BU532" s="1"/>
      <c r="BV532" s="18"/>
      <c r="BX532" s="1"/>
      <c r="BY532" s="18"/>
    </row>
    <row r="533" ht="15.75" customHeight="1">
      <c r="BI533" s="1"/>
      <c r="BJ533" s="18"/>
      <c r="BL533" s="1"/>
      <c r="BM533" s="18"/>
      <c r="BO533" s="1"/>
      <c r="BP533" s="18"/>
      <c r="BR533" s="1"/>
      <c r="BS533" s="18"/>
      <c r="BU533" s="1"/>
      <c r="BV533" s="18"/>
      <c r="BX533" s="1"/>
      <c r="BY533" s="18"/>
    </row>
    <row r="534" ht="15.75" customHeight="1">
      <c r="BI534" s="1"/>
      <c r="BJ534" s="18"/>
      <c r="BL534" s="1"/>
      <c r="BM534" s="18"/>
      <c r="BO534" s="1"/>
      <c r="BP534" s="18"/>
      <c r="BR534" s="1"/>
      <c r="BS534" s="18"/>
      <c r="BU534" s="1"/>
      <c r="BV534" s="18"/>
      <c r="BX534" s="1"/>
      <c r="BY534" s="18"/>
    </row>
    <row r="535" ht="15.75" customHeight="1">
      <c r="BI535" s="1"/>
      <c r="BJ535" s="18"/>
      <c r="BL535" s="1"/>
      <c r="BM535" s="18"/>
      <c r="BO535" s="1"/>
      <c r="BP535" s="18"/>
      <c r="BR535" s="1"/>
      <c r="BS535" s="18"/>
      <c r="BU535" s="1"/>
      <c r="BV535" s="18"/>
      <c r="BX535" s="1"/>
      <c r="BY535" s="18"/>
    </row>
    <row r="536" ht="15.75" customHeight="1">
      <c r="BI536" s="1"/>
      <c r="BJ536" s="18"/>
      <c r="BL536" s="1"/>
      <c r="BM536" s="18"/>
      <c r="BO536" s="1"/>
      <c r="BP536" s="18"/>
      <c r="BR536" s="1"/>
      <c r="BS536" s="18"/>
      <c r="BU536" s="1"/>
      <c r="BV536" s="18"/>
      <c r="BX536" s="1"/>
      <c r="BY536" s="18"/>
    </row>
    <row r="537" ht="15.75" customHeight="1">
      <c r="BI537" s="1"/>
      <c r="BJ537" s="18"/>
      <c r="BL537" s="1"/>
      <c r="BM537" s="18"/>
      <c r="BO537" s="1"/>
      <c r="BP537" s="18"/>
      <c r="BR537" s="1"/>
      <c r="BS537" s="18"/>
      <c r="BU537" s="1"/>
      <c r="BV537" s="18"/>
      <c r="BX537" s="1"/>
      <c r="BY537" s="18"/>
    </row>
    <row r="538" ht="15.75" customHeight="1">
      <c r="BI538" s="1"/>
      <c r="BJ538" s="18"/>
      <c r="BL538" s="1"/>
      <c r="BM538" s="18"/>
      <c r="BO538" s="1"/>
      <c r="BP538" s="18"/>
      <c r="BR538" s="1"/>
      <c r="BS538" s="18"/>
      <c r="BU538" s="1"/>
      <c r="BV538" s="18"/>
      <c r="BX538" s="1"/>
      <c r="BY538" s="18"/>
    </row>
    <row r="539" ht="15.75" customHeight="1">
      <c r="BI539" s="1"/>
      <c r="BJ539" s="18"/>
      <c r="BL539" s="1"/>
      <c r="BM539" s="18"/>
      <c r="BO539" s="1"/>
      <c r="BP539" s="18"/>
      <c r="BR539" s="1"/>
      <c r="BS539" s="18"/>
      <c r="BU539" s="1"/>
      <c r="BV539" s="18"/>
      <c r="BX539" s="1"/>
      <c r="BY539" s="18"/>
    </row>
    <row r="540" ht="15.75" customHeight="1">
      <c r="BI540" s="1"/>
      <c r="BJ540" s="18"/>
      <c r="BL540" s="1"/>
      <c r="BM540" s="18"/>
      <c r="BO540" s="1"/>
      <c r="BP540" s="18"/>
      <c r="BR540" s="1"/>
      <c r="BS540" s="18"/>
      <c r="BU540" s="1"/>
      <c r="BV540" s="18"/>
      <c r="BX540" s="1"/>
      <c r="BY540" s="18"/>
    </row>
    <row r="541" ht="15.75" customHeight="1">
      <c r="BI541" s="1"/>
      <c r="BJ541" s="18"/>
      <c r="BL541" s="1"/>
      <c r="BM541" s="18"/>
      <c r="BO541" s="1"/>
      <c r="BP541" s="18"/>
      <c r="BR541" s="1"/>
      <c r="BS541" s="18"/>
      <c r="BU541" s="1"/>
      <c r="BV541" s="18"/>
      <c r="BX541" s="1"/>
      <c r="BY541" s="18"/>
    </row>
    <row r="542" ht="15.75" customHeight="1">
      <c r="BI542" s="1"/>
      <c r="BJ542" s="18"/>
      <c r="BL542" s="1"/>
      <c r="BM542" s="18"/>
      <c r="BO542" s="1"/>
      <c r="BP542" s="18"/>
      <c r="BR542" s="1"/>
      <c r="BS542" s="18"/>
      <c r="BU542" s="1"/>
      <c r="BV542" s="18"/>
      <c r="BX542" s="1"/>
      <c r="BY542" s="18"/>
    </row>
    <row r="543" ht="15.75" customHeight="1">
      <c r="BI543" s="1"/>
      <c r="BJ543" s="18"/>
      <c r="BL543" s="1"/>
      <c r="BM543" s="18"/>
      <c r="BO543" s="1"/>
      <c r="BP543" s="18"/>
      <c r="BR543" s="1"/>
      <c r="BS543" s="18"/>
      <c r="BU543" s="1"/>
      <c r="BV543" s="18"/>
      <c r="BX543" s="1"/>
      <c r="BY543" s="18"/>
    </row>
    <row r="544" ht="15.75" customHeight="1">
      <c r="BI544" s="1"/>
      <c r="BJ544" s="18"/>
      <c r="BL544" s="1"/>
      <c r="BM544" s="18"/>
      <c r="BO544" s="1"/>
      <c r="BP544" s="18"/>
      <c r="BR544" s="1"/>
      <c r="BS544" s="18"/>
      <c r="BU544" s="1"/>
      <c r="BV544" s="18"/>
      <c r="BX544" s="1"/>
      <c r="BY544" s="18"/>
    </row>
    <row r="545" ht="15.75" customHeight="1">
      <c r="BI545" s="1"/>
      <c r="BJ545" s="18"/>
      <c r="BL545" s="1"/>
      <c r="BM545" s="18"/>
      <c r="BO545" s="1"/>
      <c r="BP545" s="18"/>
      <c r="BR545" s="1"/>
      <c r="BS545" s="18"/>
      <c r="BU545" s="1"/>
      <c r="BV545" s="18"/>
      <c r="BX545" s="1"/>
      <c r="BY545" s="18"/>
    </row>
    <row r="546" ht="15.75" customHeight="1">
      <c r="BI546" s="1"/>
      <c r="BJ546" s="18"/>
      <c r="BL546" s="1"/>
      <c r="BM546" s="18"/>
      <c r="BO546" s="1"/>
      <c r="BP546" s="18"/>
      <c r="BR546" s="1"/>
      <c r="BS546" s="18"/>
      <c r="BU546" s="1"/>
      <c r="BV546" s="18"/>
      <c r="BX546" s="1"/>
      <c r="BY546" s="18"/>
    </row>
    <row r="547" ht="15.75" customHeight="1">
      <c r="BI547" s="1"/>
      <c r="BJ547" s="18"/>
      <c r="BL547" s="1"/>
      <c r="BM547" s="18"/>
      <c r="BO547" s="1"/>
      <c r="BP547" s="18"/>
      <c r="BR547" s="1"/>
      <c r="BS547" s="18"/>
      <c r="BU547" s="1"/>
      <c r="BV547" s="18"/>
      <c r="BX547" s="1"/>
      <c r="BY547" s="18"/>
    </row>
    <row r="548" ht="15.75" customHeight="1">
      <c r="BI548" s="1"/>
      <c r="BJ548" s="18"/>
      <c r="BL548" s="1"/>
      <c r="BM548" s="18"/>
      <c r="BO548" s="1"/>
      <c r="BP548" s="18"/>
      <c r="BR548" s="1"/>
      <c r="BS548" s="18"/>
      <c r="BU548" s="1"/>
      <c r="BV548" s="18"/>
      <c r="BX548" s="1"/>
      <c r="BY548" s="18"/>
    </row>
    <row r="549" ht="15.75" customHeight="1">
      <c r="BI549" s="1"/>
      <c r="BJ549" s="18"/>
      <c r="BL549" s="1"/>
      <c r="BM549" s="18"/>
      <c r="BO549" s="1"/>
      <c r="BP549" s="18"/>
      <c r="BR549" s="1"/>
      <c r="BS549" s="18"/>
      <c r="BU549" s="1"/>
      <c r="BV549" s="18"/>
      <c r="BX549" s="1"/>
      <c r="BY549" s="18"/>
    </row>
    <row r="550" ht="15.75" customHeight="1">
      <c r="BI550" s="1"/>
      <c r="BJ550" s="18"/>
      <c r="BL550" s="1"/>
      <c r="BM550" s="18"/>
      <c r="BO550" s="1"/>
      <c r="BP550" s="18"/>
      <c r="BR550" s="1"/>
      <c r="BS550" s="18"/>
      <c r="BU550" s="1"/>
      <c r="BV550" s="18"/>
      <c r="BX550" s="1"/>
      <c r="BY550" s="18"/>
    </row>
    <row r="551" ht="15.75" customHeight="1">
      <c r="BI551" s="1"/>
      <c r="BJ551" s="18"/>
      <c r="BL551" s="1"/>
      <c r="BM551" s="18"/>
      <c r="BO551" s="1"/>
      <c r="BP551" s="18"/>
      <c r="BR551" s="1"/>
      <c r="BS551" s="18"/>
      <c r="BU551" s="1"/>
      <c r="BV551" s="18"/>
      <c r="BX551" s="1"/>
      <c r="BY551" s="18"/>
    </row>
    <row r="552" ht="15.75" customHeight="1">
      <c r="BI552" s="1"/>
      <c r="BJ552" s="18"/>
      <c r="BL552" s="1"/>
      <c r="BM552" s="18"/>
      <c r="BO552" s="1"/>
      <c r="BP552" s="18"/>
      <c r="BR552" s="1"/>
      <c r="BS552" s="18"/>
      <c r="BU552" s="1"/>
      <c r="BV552" s="18"/>
      <c r="BX552" s="1"/>
      <c r="BY552" s="18"/>
    </row>
    <row r="553" ht="15.75" customHeight="1">
      <c r="BI553" s="1"/>
      <c r="BJ553" s="18"/>
      <c r="BL553" s="1"/>
      <c r="BM553" s="18"/>
      <c r="BO553" s="1"/>
      <c r="BP553" s="18"/>
      <c r="BR553" s="1"/>
      <c r="BS553" s="18"/>
      <c r="BU553" s="1"/>
      <c r="BV553" s="18"/>
      <c r="BX553" s="1"/>
      <c r="BY553" s="18"/>
    </row>
    <row r="554" ht="15.75" customHeight="1">
      <c r="BI554" s="1"/>
      <c r="BJ554" s="18"/>
      <c r="BL554" s="1"/>
      <c r="BM554" s="18"/>
      <c r="BO554" s="1"/>
      <c r="BP554" s="18"/>
      <c r="BR554" s="1"/>
      <c r="BS554" s="18"/>
      <c r="BU554" s="1"/>
      <c r="BV554" s="18"/>
      <c r="BX554" s="1"/>
      <c r="BY554" s="18"/>
    </row>
    <row r="555" ht="15.75" customHeight="1">
      <c r="BI555" s="1"/>
      <c r="BJ555" s="18"/>
      <c r="BL555" s="1"/>
      <c r="BM555" s="18"/>
      <c r="BO555" s="1"/>
      <c r="BP555" s="18"/>
      <c r="BR555" s="1"/>
      <c r="BS555" s="18"/>
      <c r="BU555" s="1"/>
      <c r="BV555" s="18"/>
      <c r="BX555" s="1"/>
      <c r="BY555" s="18"/>
    </row>
    <row r="556" ht="15.75" customHeight="1">
      <c r="BI556" s="1"/>
      <c r="BJ556" s="18"/>
      <c r="BL556" s="1"/>
      <c r="BM556" s="18"/>
      <c r="BO556" s="1"/>
      <c r="BP556" s="18"/>
      <c r="BR556" s="1"/>
      <c r="BS556" s="18"/>
      <c r="BU556" s="1"/>
      <c r="BV556" s="18"/>
      <c r="BX556" s="1"/>
      <c r="BY556" s="18"/>
    </row>
    <row r="557" ht="15.75" customHeight="1">
      <c r="BI557" s="1"/>
      <c r="BJ557" s="18"/>
      <c r="BL557" s="1"/>
      <c r="BM557" s="18"/>
      <c r="BO557" s="1"/>
      <c r="BP557" s="18"/>
      <c r="BR557" s="1"/>
      <c r="BS557" s="18"/>
      <c r="BU557" s="1"/>
      <c r="BV557" s="18"/>
      <c r="BX557" s="1"/>
      <c r="BY557" s="18"/>
    </row>
    <row r="558" ht="15.75" customHeight="1">
      <c r="BI558" s="1"/>
      <c r="BJ558" s="18"/>
      <c r="BL558" s="1"/>
      <c r="BM558" s="18"/>
      <c r="BO558" s="1"/>
      <c r="BP558" s="18"/>
      <c r="BR558" s="1"/>
      <c r="BS558" s="18"/>
      <c r="BU558" s="1"/>
      <c r="BV558" s="18"/>
      <c r="BX558" s="1"/>
      <c r="BY558" s="18"/>
    </row>
    <row r="559" ht="15.75" customHeight="1">
      <c r="BI559" s="1"/>
      <c r="BJ559" s="18"/>
      <c r="BL559" s="1"/>
      <c r="BM559" s="18"/>
      <c r="BO559" s="1"/>
      <c r="BP559" s="18"/>
      <c r="BR559" s="1"/>
      <c r="BS559" s="18"/>
      <c r="BU559" s="1"/>
      <c r="BV559" s="18"/>
      <c r="BX559" s="1"/>
      <c r="BY559" s="18"/>
    </row>
    <row r="560" ht="15.75" customHeight="1">
      <c r="BI560" s="1"/>
      <c r="BJ560" s="18"/>
      <c r="BL560" s="1"/>
      <c r="BM560" s="18"/>
      <c r="BO560" s="1"/>
      <c r="BP560" s="18"/>
      <c r="BR560" s="1"/>
      <c r="BS560" s="18"/>
      <c r="BU560" s="1"/>
      <c r="BV560" s="18"/>
      <c r="BX560" s="1"/>
      <c r="BY560" s="18"/>
    </row>
    <row r="561" ht="15.75" customHeight="1">
      <c r="BI561" s="1"/>
      <c r="BJ561" s="18"/>
      <c r="BL561" s="1"/>
      <c r="BM561" s="18"/>
      <c r="BO561" s="1"/>
      <c r="BP561" s="18"/>
      <c r="BR561" s="1"/>
      <c r="BS561" s="18"/>
      <c r="BU561" s="1"/>
      <c r="BV561" s="18"/>
      <c r="BX561" s="1"/>
      <c r="BY561" s="18"/>
    </row>
    <row r="562" ht="15.75" customHeight="1">
      <c r="BI562" s="1"/>
      <c r="BJ562" s="18"/>
      <c r="BL562" s="1"/>
      <c r="BM562" s="18"/>
      <c r="BO562" s="1"/>
      <c r="BP562" s="18"/>
      <c r="BR562" s="1"/>
      <c r="BS562" s="18"/>
      <c r="BU562" s="1"/>
      <c r="BV562" s="18"/>
      <c r="BX562" s="1"/>
      <c r="BY562" s="18"/>
    </row>
    <row r="563" ht="15.75" customHeight="1">
      <c r="BI563" s="1"/>
      <c r="BJ563" s="18"/>
      <c r="BL563" s="1"/>
      <c r="BM563" s="18"/>
      <c r="BO563" s="1"/>
      <c r="BP563" s="18"/>
      <c r="BR563" s="1"/>
      <c r="BS563" s="18"/>
      <c r="BU563" s="1"/>
      <c r="BV563" s="18"/>
      <c r="BX563" s="1"/>
      <c r="BY563" s="18"/>
    </row>
    <row r="564" ht="15.75" customHeight="1">
      <c r="BI564" s="1"/>
      <c r="BJ564" s="18"/>
      <c r="BL564" s="1"/>
      <c r="BM564" s="18"/>
      <c r="BO564" s="1"/>
      <c r="BP564" s="18"/>
      <c r="BR564" s="1"/>
      <c r="BS564" s="18"/>
      <c r="BU564" s="1"/>
      <c r="BV564" s="18"/>
      <c r="BX564" s="1"/>
      <c r="BY564" s="18"/>
    </row>
    <row r="565" ht="15.75" customHeight="1">
      <c r="BI565" s="1"/>
      <c r="BJ565" s="18"/>
      <c r="BL565" s="1"/>
      <c r="BM565" s="18"/>
      <c r="BO565" s="1"/>
      <c r="BP565" s="18"/>
      <c r="BR565" s="1"/>
      <c r="BS565" s="18"/>
      <c r="BU565" s="1"/>
      <c r="BV565" s="18"/>
      <c r="BX565" s="1"/>
      <c r="BY565" s="18"/>
    </row>
    <row r="566" ht="15.75" customHeight="1">
      <c r="BI566" s="1"/>
      <c r="BJ566" s="18"/>
      <c r="BL566" s="1"/>
      <c r="BM566" s="18"/>
      <c r="BO566" s="1"/>
      <c r="BP566" s="18"/>
      <c r="BR566" s="1"/>
      <c r="BS566" s="18"/>
      <c r="BU566" s="1"/>
      <c r="BV566" s="18"/>
      <c r="BX566" s="1"/>
      <c r="BY566" s="18"/>
    </row>
    <row r="567" ht="15.75" customHeight="1">
      <c r="BI567" s="1"/>
      <c r="BJ567" s="18"/>
      <c r="BL567" s="1"/>
      <c r="BM567" s="18"/>
      <c r="BO567" s="1"/>
      <c r="BP567" s="18"/>
      <c r="BR567" s="1"/>
      <c r="BS567" s="18"/>
      <c r="BU567" s="1"/>
      <c r="BV567" s="18"/>
      <c r="BX567" s="1"/>
      <c r="BY567" s="18"/>
    </row>
    <row r="568" ht="15.75" customHeight="1">
      <c r="BI568" s="1"/>
      <c r="BJ568" s="18"/>
      <c r="BL568" s="1"/>
      <c r="BM568" s="18"/>
      <c r="BO568" s="1"/>
      <c r="BP568" s="18"/>
      <c r="BR568" s="1"/>
      <c r="BS568" s="18"/>
      <c r="BU568" s="1"/>
      <c r="BV568" s="18"/>
      <c r="BX568" s="1"/>
      <c r="BY568" s="18"/>
    </row>
    <row r="569" ht="15.75" customHeight="1">
      <c r="BI569" s="1"/>
      <c r="BJ569" s="18"/>
      <c r="BL569" s="1"/>
      <c r="BM569" s="18"/>
      <c r="BO569" s="1"/>
      <c r="BP569" s="18"/>
      <c r="BR569" s="1"/>
      <c r="BS569" s="18"/>
      <c r="BU569" s="1"/>
      <c r="BV569" s="18"/>
      <c r="BX569" s="1"/>
      <c r="BY569" s="18"/>
    </row>
    <row r="570" ht="15.75" customHeight="1">
      <c r="BI570" s="1"/>
      <c r="BJ570" s="18"/>
      <c r="BL570" s="1"/>
      <c r="BM570" s="18"/>
      <c r="BO570" s="1"/>
      <c r="BP570" s="18"/>
      <c r="BR570" s="1"/>
      <c r="BS570" s="18"/>
      <c r="BU570" s="1"/>
      <c r="BV570" s="18"/>
      <c r="BX570" s="1"/>
      <c r="BY570" s="18"/>
    </row>
    <row r="571" ht="15.75" customHeight="1">
      <c r="BI571" s="1"/>
      <c r="BJ571" s="18"/>
      <c r="BL571" s="1"/>
      <c r="BM571" s="18"/>
      <c r="BO571" s="1"/>
      <c r="BP571" s="18"/>
      <c r="BR571" s="1"/>
      <c r="BS571" s="18"/>
      <c r="BU571" s="1"/>
      <c r="BV571" s="18"/>
      <c r="BX571" s="1"/>
      <c r="BY571" s="18"/>
    </row>
    <row r="572" ht="15.75" customHeight="1">
      <c r="BI572" s="1"/>
      <c r="BJ572" s="18"/>
      <c r="BL572" s="1"/>
      <c r="BM572" s="18"/>
      <c r="BO572" s="1"/>
      <c r="BP572" s="18"/>
      <c r="BR572" s="1"/>
      <c r="BS572" s="18"/>
      <c r="BU572" s="1"/>
      <c r="BV572" s="18"/>
      <c r="BX572" s="1"/>
      <c r="BY572" s="18"/>
    </row>
    <row r="573" ht="15.75" customHeight="1">
      <c r="BI573" s="1"/>
      <c r="BJ573" s="18"/>
      <c r="BL573" s="1"/>
      <c r="BM573" s="18"/>
      <c r="BO573" s="1"/>
      <c r="BP573" s="18"/>
      <c r="BR573" s="1"/>
      <c r="BS573" s="18"/>
      <c r="BU573" s="1"/>
      <c r="BV573" s="18"/>
      <c r="BX573" s="1"/>
      <c r="BY573" s="18"/>
    </row>
    <row r="574" ht="15.75" customHeight="1">
      <c r="BI574" s="1"/>
      <c r="BJ574" s="18"/>
      <c r="BL574" s="1"/>
      <c r="BM574" s="18"/>
      <c r="BO574" s="1"/>
      <c r="BP574" s="18"/>
      <c r="BR574" s="1"/>
      <c r="BS574" s="18"/>
      <c r="BU574" s="1"/>
      <c r="BV574" s="18"/>
      <c r="BX574" s="1"/>
      <c r="BY574" s="18"/>
    </row>
    <row r="575" ht="15.75" customHeight="1">
      <c r="BI575" s="1"/>
      <c r="BJ575" s="18"/>
      <c r="BL575" s="1"/>
      <c r="BM575" s="18"/>
      <c r="BO575" s="1"/>
      <c r="BP575" s="18"/>
      <c r="BR575" s="1"/>
      <c r="BS575" s="18"/>
      <c r="BU575" s="1"/>
      <c r="BV575" s="18"/>
      <c r="BX575" s="1"/>
      <c r="BY575" s="18"/>
    </row>
    <row r="576" ht="15.75" customHeight="1">
      <c r="BI576" s="1"/>
      <c r="BJ576" s="18"/>
      <c r="BL576" s="1"/>
      <c r="BM576" s="18"/>
      <c r="BO576" s="1"/>
      <c r="BP576" s="18"/>
      <c r="BR576" s="1"/>
      <c r="BS576" s="18"/>
      <c r="BU576" s="1"/>
      <c r="BV576" s="18"/>
      <c r="BX576" s="1"/>
      <c r="BY576" s="18"/>
    </row>
    <row r="577" ht="15.75" customHeight="1">
      <c r="BI577" s="1"/>
      <c r="BJ577" s="18"/>
      <c r="BL577" s="1"/>
      <c r="BM577" s="18"/>
      <c r="BO577" s="1"/>
      <c r="BP577" s="18"/>
      <c r="BR577" s="1"/>
      <c r="BS577" s="18"/>
      <c r="BU577" s="1"/>
      <c r="BV577" s="18"/>
      <c r="BX577" s="1"/>
      <c r="BY577" s="18"/>
    </row>
    <row r="578" ht="15.75" customHeight="1">
      <c r="BI578" s="1"/>
      <c r="BJ578" s="18"/>
      <c r="BL578" s="1"/>
      <c r="BM578" s="18"/>
      <c r="BO578" s="1"/>
      <c r="BP578" s="18"/>
      <c r="BR578" s="1"/>
      <c r="BS578" s="18"/>
      <c r="BU578" s="1"/>
      <c r="BV578" s="18"/>
      <c r="BX578" s="1"/>
      <c r="BY578" s="18"/>
    </row>
    <row r="579" ht="15.75" customHeight="1">
      <c r="BI579" s="1"/>
      <c r="BJ579" s="18"/>
      <c r="BL579" s="1"/>
      <c r="BM579" s="18"/>
      <c r="BO579" s="1"/>
      <c r="BP579" s="18"/>
      <c r="BR579" s="1"/>
      <c r="BS579" s="18"/>
      <c r="BU579" s="1"/>
      <c r="BV579" s="18"/>
      <c r="BX579" s="1"/>
      <c r="BY579" s="18"/>
    </row>
    <row r="580" ht="15.75" customHeight="1">
      <c r="BI580" s="1"/>
      <c r="BJ580" s="18"/>
      <c r="BL580" s="1"/>
      <c r="BM580" s="18"/>
      <c r="BO580" s="1"/>
      <c r="BP580" s="18"/>
      <c r="BR580" s="1"/>
      <c r="BS580" s="18"/>
      <c r="BU580" s="1"/>
      <c r="BV580" s="18"/>
      <c r="BX580" s="1"/>
      <c r="BY580" s="18"/>
    </row>
    <row r="581" ht="15.75" customHeight="1">
      <c r="BI581" s="1"/>
      <c r="BJ581" s="18"/>
      <c r="BL581" s="1"/>
      <c r="BM581" s="18"/>
      <c r="BO581" s="1"/>
      <c r="BP581" s="18"/>
      <c r="BR581" s="1"/>
      <c r="BS581" s="18"/>
      <c r="BU581" s="1"/>
      <c r="BV581" s="18"/>
      <c r="BX581" s="1"/>
      <c r="BY581" s="18"/>
    </row>
    <row r="582" ht="15.75" customHeight="1">
      <c r="BI582" s="1"/>
      <c r="BJ582" s="18"/>
      <c r="BL582" s="1"/>
      <c r="BM582" s="18"/>
      <c r="BO582" s="1"/>
      <c r="BP582" s="18"/>
      <c r="BR582" s="1"/>
      <c r="BS582" s="18"/>
      <c r="BU582" s="1"/>
      <c r="BV582" s="18"/>
      <c r="BX582" s="1"/>
      <c r="BY582" s="18"/>
    </row>
    <row r="583" ht="15.75" customHeight="1">
      <c r="BI583" s="1"/>
      <c r="BJ583" s="18"/>
      <c r="BL583" s="1"/>
      <c r="BM583" s="18"/>
      <c r="BO583" s="1"/>
      <c r="BP583" s="18"/>
      <c r="BR583" s="1"/>
      <c r="BS583" s="18"/>
      <c r="BU583" s="1"/>
      <c r="BV583" s="18"/>
      <c r="BX583" s="1"/>
      <c r="BY583" s="18"/>
    </row>
    <row r="584" ht="15.75" customHeight="1">
      <c r="BI584" s="1"/>
      <c r="BJ584" s="18"/>
      <c r="BL584" s="1"/>
      <c r="BM584" s="18"/>
      <c r="BO584" s="1"/>
      <c r="BP584" s="18"/>
      <c r="BR584" s="1"/>
      <c r="BS584" s="18"/>
      <c r="BU584" s="1"/>
      <c r="BV584" s="18"/>
      <c r="BX584" s="1"/>
      <c r="BY584" s="18"/>
    </row>
    <row r="585" ht="15.75" customHeight="1">
      <c r="BI585" s="1"/>
      <c r="BJ585" s="18"/>
      <c r="BL585" s="1"/>
      <c r="BM585" s="18"/>
      <c r="BO585" s="1"/>
      <c r="BP585" s="18"/>
      <c r="BR585" s="1"/>
      <c r="BS585" s="18"/>
      <c r="BU585" s="1"/>
      <c r="BV585" s="18"/>
      <c r="BX585" s="1"/>
      <c r="BY585" s="18"/>
    </row>
    <row r="586" ht="15.75" customHeight="1">
      <c r="BI586" s="1"/>
      <c r="BJ586" s="18"/>
      <c r="BL586" s="1"/>
      <c r="BM586" s="18"/>
      <c r="BO586" s="1"/>
      <c r="BP586" s="18"/>
      <c r="BR586" s="1"/>
      <c r="BS586" s="18"/>
      <c r="BU586" s="1"/>
      <c r="BV586" s="18"/>
      <c r="BX586" s="1"/>
      <c r="BY586" s="18"/>
    </row>
    <row r="587" ht="15.75" customHeight="1">
      <c r="BI587" s="1"/>
      <c r="BJ587" s="18"/>
      <c r="BL587" s="1"/>
      <c r="BM587" s="18"/>
      <c r="BO587" s="1"/>
      <c r="BP587" s="18"/>
      <c r="BR587" s="1"/>
      <c r="BS587" s="18"/>
      <c r="BU587" s="1"/>
      <c r="BV587" s="18"/>
      <c r="BX587" s="1"/>
      <c r="BY587" s="18"/>
    </row>
    <row r="588" ht="15.75" customHeight="1">
      <c r="BI588" s="1"/>
      <c r="BJ588" s="18"/>
      <c r="BL588" s="1"/>
      <c r="BM588" s="18"/>
      <c r="BO588" s="1"/>
      <c r="BP588" s="18"/>
      <c r="BR588" s="1"/>
      <c r="BS588" s="18"/>
      <c r="BU588" s="1"/>
      <c r="BV588" s="18"/>
      <c r="BX588" s="1"/>
      <c r="BY588" s="18"/>
    </row>
    <row r="589" ht="15.75" customHeight="1">
      <c r="BI589" s="1"/>
      <c r="BJ589" s="18"/>
      <c r="BL589" s="1"/>
      <c r="BM589" s="18"/>
      <c r="BO589" s="1"/>
      <c r="BP589" s="18"/>
      <c r="BR589" s="1"/>
      <c r="BS589" s="18"/>
      <c r="BU589" s="1"/>
      <c r="BV589" s="18"/>
      <c r="BX589" s="1"/>
      <c r="BY589" s="18"/>
    </row>
    <row r="590" ht="15.75" customHeight="1">
      <c r="BI590" s="1"/>
      <c r="BJ590" s="18"/>
      <c r="BL590" s="1"/>
      <c r="BM590" s="18"/>
      <c r="BO590" s="1"/>
      <c r="BP590" s="18"/>
      <c r="BR590" s="1"/>
      <c r="BS590" s="18"/>
      <c r="BU590" s="1"/>
      <c r="BV590" s="18"/>
      <c r="BX590" s="1"/>
      <c r="BY590" s="18"/>
    </row>
    <row r="591" ht="15.75" customHeight="1">
      <c r="BI591" s="1"/>
      <c r="BJ591" s="18"/>
      <c r="BL591" s="1"/>
      <c r="BM591" s="18"/>
      <c r="BO591" s="1"/>
      <c r="BP591" s="18"/>
      <c r="BR591" s="1"/>
      <c r="BS591" s="18"/>
      <c r="BU591" s="1"/>
      <c r="BV591" s="18"/>
      <c r="BX591" s="1"/>
      <c r="BY591" s="18"/>
    </row>
    <row r="592" ht="15.75" customHeight="1">
      <c r="BI592" s="1"/>
      <c r="BJ592" s="18"/>
      <c r="BL592" s="1"/>
      <c r="BM592" s="18"/>
      <c r="BO592" s="1"/>
      <c r="BP592" s="18"/>
      <c r="BR592" s="1"/>
      <c r="BS592" s="18"/>
      <c r="BU592" s="1"/>
      <c r="BV592" s="18"/>
      <c r="BX592" s="1"/>
      <c r="BY592" s="18"/>
    </row>
    <row r="593" ht="15.75" customHeight="1">
      <c r="BI593" s="1"/>
      <c r="BJ593" s="18"/>
      <c r="BL593" s="1"/>
      <c r="BM593" s="18"/>
      <c r="BO593" s="1"/>
      <c r="BP593" s="18"/>
      <c r="BR593" s="1"/>
      <c r="BS593" s="18"/>
      <c r="BU593" s="1"/>
      <c r="BV593" s="18"/>
      <c r="BX593" s="1"/>
      <c r="BY593" s="18"/>
    </row>
    <row r="594" ht="15.75" customHeight="1">
      <c r="BI594" s="1"/>
      <c r="BJ594" s="18"/>
      <c r="BL594" s="1"/>
      <c r="BM594" s="18"/>
      <c r="BO594" s="1"/>
      <c r="BP594" s="18"/>
      <c r="BR594" s="1"/>
      <c r="BS594" s="18"/>
      <c r="BU594" s="1"/>
      <c r="BV594" s="18"/>
      <c r="BX594" s="1"/>
      <c r="BY594" s="18"/>
    </row>
    <row r="595" ht="15.75" customHeight="1">
      <c r="BI595" s="1"/>
      <c r="BJ595" s="18"/>
      <c r="BL595" s="1"/>
      <c r="BM595" s="18"/>
      <c r="BO595" s="1"/>
      <c r="BP595" s="18"/>
      <c r="BR595" s="1"/>
      <c r="BS595" s="18"/>
      <c r="BU595" s="1"/>
      <c r="BV595" s="18"/>
      <c r="BX595" s="1"/>
      <c r="BY595" s="18"/>
    </row>
    <row r="596" ht="15.75" customHeight="1">
      <c r="BI596" s="1"/>
      <c r="BJ596" s="18"/>
      <c r="BL596" s="1"/>
      <c r="BM596" s="18"/>
      <c r="BO596" s="1"/>
      <c r="BP596" s="18"/>
      <c r="BR596" s="1"/>
      <c r="BS596" s="18"/>
      <c r="BU596" s="1"/>
      <c r="BV596" s="18"/>
      <c r="BX596" s="1"/>
      <c r="BY596" s="18"/>
    </row>
    <row r="597" ht="15.75" customHeight="1">
      <c r="BI597" s="1"/>
      <c r="BJ597" s="18"/>
      <c r="BL597" s="1"/>
      <c r="BM597" s="18"/>
      <c r="BO597" s="1"/>
      <c r="BP597" s="18"/>
      <c r="BR597" s="1"/>
      <c r="BS597" s="18"/>
      <c r="BU597" s="1"/>
      <c r="BV597" s="18"/>
      <c r="BX597" s="1"/>
      <c r="BY597" s="18"/>
    </row>
    <row r="598" ht="15.75" customHeight="1">
      <c r="BI598" s="1"/>
      <c r="BJ598" s="18"/>
      <c r="BL598" s="1"/>
      <c r="BM598" s="18"/>
      <c r="BO598" s="1"/>
      <c r="BP598" s="18"/>
      <c r="BR598" s="1"/>
      <c r="BS598" s="18"/>
      <c r="BU598" s="1"/>
      <c r="BV598" s="18"/>
      <c r="BX598" s="1"/>
      <c r="BY598" s="18"/>
    </row>
    <row r="599" ht="15.75" customHeight="1">
      <c r="BI599" s="1"/>
      <c r="BJ599" s="18"/>
      <c r="BL599" s="1"/>
      <c r="BM599" s="18"/>
      <c r="BO599" s="1"/>
      <c r="BP599" s="18"/>
      <c r="BR599" s="1"/>
      <c r="BS599" s="18"/>
      <c r="BU599" s="1"/>
      <c r="BV599" s="18"/>
      <c r="BX599" s="1"/>
      <c r="BY599" s="18"/>
    </row>
    <row r="600" ht="15.75" customHeight="1">
      <c r="BI600" s="1"/>
      <c r="BJ600" s="18"/>
      <c r="BL600" s="1"/>
      <c r="BM600" s="18"/>
      <c r="BO600" s="1"/>
      <c r="BP600" s="18"/>
      <c r="BR600" s="1"/>
      <c r="BS600" s="18"/>
      <c r="BU600" s="1"/>
      <c r="BV600" s="18"/>
      <c r="BX600" s="1"/>
      <c r="BY600" s="18"/>
    </row>
    <row r="601" ht="15.75" customHeight="1">
      <c r="BI601" s="1"/>
      <c r="BJ601" s="18"/>
      <c r="BL601" s="1"/>
      <c r="BM601" s="18"/>
      <c r="BO601" s="1"/>
      <c r="BP601" s="18"/>
      <c r="BR601" s="1"/>
      <c r="BS601" s="18"/>
      <c r="BU601" s="1"/>
      <c r="BV601" s="18"/>
      <c r="BX601" s="1"/>
      <c r="BY601" s="18"/>
    </row>
    <row r="602" ht="15.75" customHeight="1">
      <c r="BI602" s="1"/>
      <c r="BJ602" s="18"/>
      <c r="BL602" s="1"/>
      <c r="BM602" s="18"/>
      <c r="BO602" s="1"/>
      <c r="BP602" s="18"/>
      <c r="BR602" s="1"/>
      <c r="BS602" s="18"/>
      <c r="BU602" s="1"/>
      <c r="BV602" s="18"/>
      <c r="BX602" s="1"/>
      <c r="BY602" s="18"/>
    </row>
    <row r="603" ht="15.75" customHeight="1">
      <c r="BI603" s="1"/>
      <c r="BJ603" s="18"/>
      <c r="BL603" s="1"/>
      <c r="BM603" s="18"/>
      <c r="BO603" s="1"/>
      <c r="BP603" s="18"/>
      <c r="BR603" s="1"/>
      <c r="BS603" s="18"/>
      <c r="BU603" s="1"/>
      <c r="BV603" s="18"/>
      <c r="BX603" s="1"/>
      <c r="BY603" s="18"/>
    </row>
    <row r="604" ht="15.75" customHeight="1">
      <c r="BI604" s="1"/>
      <c r="BJ604" s="18"/>
      <c r="BL604" s="1"/>
      <c r="BM604" s="18"/>
      <c r="BO604" s="1"/>
      <c r="BP604" s="18"/>
      <c r="BR604" s="1"/>
      <c r="BS604" s="18"/>
      <c r="BU604" s="1"/>
      <c r="BV604" s="18"/>
      <c r="BX604" s="1"/>
      <c r="BY604" s="18"/>
    </row>
    <row r="605" ht="15.75" customHeight="1">
      <c r="BI605" s="1"/>
      <c r="BJ605" s="18"/>
      <c r="BL605" s="1"/>
      <c r="BM605" s="18"/>
      <c r="BO605" s="1"/>
      <c r="BP605" s="18"/>
      <c r="BR605" s="1"/>
      <c r="BS605" s="18"/>
      <c r="BU605" s="1"/>
      <c r="BV605" s="18"/>
      <c r="BX605" s="1"/>
      <c r="BY605" s="18"/>
    </row>
    <row r="606" ht="15.75" customHeight="1">
      <c r="BI606" s="1"/>
      <c r="BJ606" s="18"/>
      <c r="BL606" s="1"/>
      <c r="BM606" s="18"/>
      <c r="BO606" s="1"/>
      <c r="BP606" s="18"/>
      <c r="BR606" s="1"/>
      <c r="BS606" s="18"/>
      <c r="BU606" s="1"/>
      <c r="BV606" s="18"/>
      <c r="BX606" s="1"/>
      <c r="BY606" s="18"/>
    </row>
    <row r="607" ht="15.75" customHeight="1">
      <c r="BI607" s="1"/>
      <c r="BJ607" s="18"/>
      <c r="BL607" s="1"/>
      <c r="BM607" s="18"/>
      <c r="BO607" s="1"/>
      <c r="BP607" s="18"/>
      <c r="BR607" s="1"/>
      <c r="BS607" s="18"/>
      <c r="BU607" s="1"/>
      <c r="BV607" s="18"/>
      <c r="BX607" s="1"/>
      <c r="BY607" s="18"/>
    </row>
    <row r="608" ht="15.75" customHeight="1">
      <c r="BI608" s="1"/>
      <c r="BJ608" s="18"/>
      <c r="BL608" s="1"/>
      <c r="BM608" s="18"/>
      <c r="BO608" s="1"/>
      <c r="BP608" s="18"/>
      <c r="BR608" s="1"/>
      <c r="BS608" s="18"/>
      <c r="BU608" s="1"/>
      <c r="BV608" s="18"/>
      <c r="BX608" s="1"/>
      <c r="BY608" s="18"/>
    </row>
    <row r="609" ht="15.75" customHeight="1">
      <c r="BI609" s="1"/>
      <c r="BJ609" s="18"/>
      <c r="BL609" s="1"/>
      <c r="BM609" s="18"/>
      <c r="BO609" s="1"/>
      <c r="BP609" s="18"/>
      <c r="BR609" s="1"/>
      <c r="BS609" s="18"/>
      <c r="BU609" s="1"/>
      <c r="BV609" s="18"/>
      <c r="BX609" s="1"/>
      <c r="BY609" s="18"/>
    </row>
    <row r="610" ht="15.75" customHeight="1">
      <c r="BI610" s="1"/>
      <c r="BJ610" s="18"/>
      <c r="BL610" s="1"/>
      <c r="BM610" s="18"/>
      <c r="BO610" s="1"/>
      <c r="BP610" s="18"/>
      <c r="BR610" s="1"/>
      <c r="BS610" s="18"/>
      <c r="BU610" s="1"/>
      <c r="BV610" s="18"/>
      <c r="BX610" s="1"/>
      <c r="BY610" s="18"/>
    </row>
    <row r="611" ht="15.75" customHeight="1">
      <c r="BI611" s="1"/>
      <c r="BJ611" s="18"/>
      <c r="BL611" s="1"/>
      <c r="BM611" s="18"/>
      <c r="BO611" s="1"/>
      <c r="BP611" s="18"/>
      <c r="BR611" s="1"/>
      <c r="BS611" s="18"/>
      <c r="BU611" s="1"/>
      <c r="BV611" s="18"/>
      <c r="BX611" s="1"/>
      <c r="BY611" s="18"/>
    </row>
    <row r="612" ht="15.75" customHeight="1">
      <c r="BI612" s="1"/>
      <c r="BJ612" s="18"/>
      <c r="BL612" s="1"/>
      <c r="BM612" s="18"/>
      <c r="BO612" s="1"/>
      <c r="BP612" s="18"/>
      <c r="BR612" s="1"/>
      <c r="BS612" s="18"/>
      <c r="BU612" s="1"/>
      <c r="BV612" s="18"/>
      <c r="BX612" s="1"/>
      <c r="BY612" s="18"/>
    </row>
    <row r="613" ht="15.75" customHeight="1">
      <c r="BI613" s="1"/>
      <c r="BJ613" s="18"/>
      <c r="BL613" s="1"/>
      <c r="BM613" s="18"/>
      <c r="BO613" s="1"/>
      <c r="BP613" s="18"/>
      <c r="BR613" s="1"/>
      <c r="BS613" s="18"/>
      <c r="BU613" s="1"/>
      <c r="BV613" s="18"/>
      <c r="BX613" s="1"/>
      <c r="BY613" s="18"/>
    </row>
    <row r="614" ht="15.75" customHeight="1">
      <c r="BI614" s="1"/>
      <c r="BJ614" s="18"/>
      <c r="BL614" s="1"/>
      <c r="BM614" s="18"/>
      <c r="BO614" s="1"/>
      <c r="BP614" s="18"/>
      <c r="BR614" s="1"/>
      <c r="BS614" s="18"/>
      <c r="BU614" s="1"/>
      <c r="BV614" s="18"/>
      <c r="BX614" s="1"/>
      <c r="BY614" s="18"/>
    </row>
    <row r="615" ht="15.75" customHeight="1">
      <c r="BI615" s="1"/>
      <c r="BJ615" s="18"/>
      <c r="BL615" s="1"/>
      <c r="BM615" s="18"/>
      <c r="BO615" s="1"/>
      <c r="BP615" s="18"/>
      <c r="BR615" s="1"/>
      <c r="BS615" s="18"/>
      <c r="BU615" s="1"/>
      <c r="BV615" s="18"/>
      <c r="BX615" s="1"/>
      <c r="BY615" s="18"/>
    </row>
    <row r="616" ht="15.75" customHeight="1">
      <c r="BI616" s="1"/>
      <c r="BJ616" s="18"/>
      <c r="BL616" s="1"/>
      <c r="BM616" s="18"/>
      <c r="BO616" s="1"/>
      <c r="BP616" s="18"/>
      <c r="BR616" s="1"/>
      <c r="BS616" s="18"/>
      <c r="BU616" s="1"/>
      <c r="BV616" s="18"/>
      <c r="BX616" s="1"/>
      <c r="BY616" s="18"/>
    </row>
    <row r="617" ht="15.75" customHeight="1">
      <c r="BI617" s="1"/>
      <c r="BJ617" s="18"/>
      <c r="BL617" s="1"/>
      <c r="BM617" s="18"/>
      <c r="BO617" s="1"/>
      <c r="BP617" s="18"/>
      <c r="BR617" s="1"/>
      <c r="BS617" s="18"/>
      <c r="BU617" s="1"/>
      <c r="BV617" s="18"/>
      <c r="BX617" s="1"/>
      <c r="BY617" s="18"/>
    </row>
    <row r="618" ht="15.75" customHeight="1">
      <c r="BI618" s="1"/>
      <c r="BJ618" s="18"/>
      <c r="BL618" s="1"/>
      <c r="BM618" s="18"/>
      <c r="BO618" s="1"/>
      <c r="BP618" s="18"/>
      <c r="BR618" s="1"/>
      <c r="BS618" s="18"/>
      <c r="BU618" s="1"/>
      <c r="BV618" s="18"/>
      <c r="BX618" s="1"/>
      <c r="BY618" s="18"/>
    </row>
    <row r="619" ht="15.75" customHeight="1">
      <c r="BI619" s="1"/>
      <c r="BJ619" s="18"/>
      <c r="BL619" s="1"/>
      <c r="BM619" s="18"/>
      <c r="BO619" s="1"/>
      <c r="BP619" s="18"/>
      <c r="BR619" s="1"/>
      <c r="BS619" s="18"/>
      <c r="BU619" s="1"/>
      <c r="BV619" s="18"/>
      <c r="BX619" s="1"/>
      <c r="BY619" s="18"/>
    </row>
    <row r="620" ht="15.75" customHeight="1">
      <c r="BI620" s="1"/>
      <c r="BJ620" s="18"/>
      <c r="BL620" s="1"/>
      <c r="BM620" s="18"/>
      <c r="BO620" s="1"/>
      <c r="BP620" s="18"/>
      <c r="BR620" s="1"/>
      <c r="BS620" s="18"/>
      <c r="BU620" s="1"/>
      <c r="BV620" s="18"/>
      <c r="BX620" s="1"/>
      <c r="BY620" s="18"/>
    </row>
    <row r="621" ht="15.75" customHeight="1">
      <c r="BI621" s="1"/>
      <c r="BJ621" s="18"/>
      <c r="BL621" s="1"/>
      <c r="BM621" s="18"/>
      <c r="BO621" s="1"/>
      <c r="BP621" s="18"/>
      <c r="BR621" s="1"/>
      <c r="BS621" s="18"/>
      <c r="BU621" s="1"/>
      <c r="BV621" s="18"/>
      <c r="BX621" s="1"/>
      <c r="BY621" s="18"/>
    </row>
    <row r="622" ht="15.75" customHeight="1">
      <c r="BI622" s="1"/>
      <c r="BJ622" s="18"/>
      <c r="BL622" s="1"/>
      <c r="BM622" s="18"/>
      <c r="BO622" s="1"/>
      <c r="BP622" s="18"/>
      <c r="BR622" s="1"/>
      <c r="BS622" s="18"/>
      <c r="BU622" s="1"/>
      <c r="BV622" s="18"/>
      <c r="BX622" s="1"/>
      <c r="BY622" s="18"/>
    </row>
    <row r="623" ht="15.75" customHeight="1">
      <c r="BI623" s="1"/>
      <c r="BJ623" s="18"/>
      <c r="BL623" s="1"/>
      <c r="BM623" s="18"/>
      <c r="BO623" s="1"/>
      <c r="BP623" s="18"/>
      <c r="BR623" s="1"/>
      <c r="BS623" s="18"/>
      <c r="BU623" s="1"/>
      <c r="BV623" s="18"/>
      <c r="BX623" s="1"/>
      <c r="BY623" s="18"/>
    </row>
    <row r="624" ht="15.75" customHeight="1">
      <c r="BI624" s="1"/>
      <c r="BJ624" s="18"/>
      <c r="BL624" s="1"/>
      <c r="BM624" s="18"/>
      <c r="BO624" s="1"/>
      <c r="BP624" s="18"/>
      <c r="BR624" s="1"/>
      <c r="BS624" s="18"/>
      <c r="BU624" s="1"/>
      <c r="BV624" s="18"/>
      <c r="BX624" s="1"/>
      <c r="BY624" s="18"/>
    </row>
    <row r="625" ht="15.75" customHeight="1">
      <c r="BI625" s="1"/>
      <c r="BJ625" s="18"/>
      <c r="BL625" s="1"/>
      <c r="BM625" s="18"/>
      <c r="BO625" s="1"/>
      <c r="BP625" s="18"/>
      <c r="BR625" s="1"/>
      <c r="BS625" s="18"/>
      <c r="BU625" s="1"/>
      <c r="BV625" s="18"/>
      <c r="BX625" s="1"/>
      <c r="BY625" s="18"/>
    </row>
    <row r="626" ht="15.75" customHeight="1">
      <c r="BI626" s="1"/>
      <c r="BJ626" s="18"/>
      <c r="BL626" s="1"/>
      <c r="BM626" s="18"/>
      <c r="BO626" s="1"/>
      <c r="BP626" s="18"/>
      <c r="BR626" s="1"/>
      <c r="BS626" s="18"/>
      <c r="BU626" s="1"/>
      <c r="BV626" s="18"/>
      <c r="BX626" s="1"/>
      <c r="BY626" s="18"/>
    </row>
    <row r="627" ht="15.75" customHeight="1">
      <c r="BI627" s="1"/>
      <c r="BJ627" s="18"/>
      <c r="BL627" s="1"/>
      <c r="BM627" s="18"/>
      <c r="BO627" s="1"/>
      <c r="BP627" s="18"/>
      <c r="BR627" s="1"/>
      <c r="BS627" s="18"/>
      <c r="BU627" s="1"/>
      <c r="BV627" s="18"/>
      <c r="BX627" s="1"/>
      <c r="BY627" s="18"/>
    </row>
    <row r="628" ht="15.75" customHeight="1">
      <c r="BI628" s="1"/>
      <c r="BJ628" s="18"/>
      <c r="BL628" s="1"/>
      <c r="BM628" s="18"/>
      <c r="BO628" s="1"/>
      <c r="BP628" s="18"/>
      <c r="BR628" s="1"/>
      <c r="BS628" s="18"/>
      <c r="BU628" s="1"/>
      <c r="BV628" s="18"/>
      <c r="BX628" s="1"/>
      <c r="BY628" s="18"/>
    </row>
    <row r="629" ht="15.75" customHeight="1">
      <c r="BI629" s="1"/>
      <c r="BJ629" s="18"/>
      <c r="BL629" s="1"/>
      <c r="BM629" s="18"/>
      <c r="BO629" s="1"/>
      <c r="BP629" s="18"/>
      <c r="BR629" s="1"/>
      <c r="BS629" s="18"/>
      <c r="BU629" s="1"/>
      <c r="BV629" s="18"/>
      <c r="BX629" s="1"/>
      <c r="BY629" s="18"/>
    </row>
    <row r="630" ht="15.75" customHeight="1">
      <c r="BI630" s="1"/>
      <c r="BJ630" s="18"/>
      <c r="BL630" s="1"/>
      <c r="BM630" s="18"/>
      <c r="BO630" s="1"/>
      <c r="BP630" s="18"/>
      <c r="BR630" s="1"/>
      <c r="BS630" s="18"/>
      <c r="BU630" s="1"/>
      <c r="BV630" s="18"/>
      <c r="BX630" s="1"/>
      <c r="BY630" s="18"/>
    </row>
    <row r="631" ht="15.75" customHeight="1">
      <c r="BI631" s="1"/>
      <c r="BJ631" s="18"/>
      <c r="BL631" s="1"/>
      <c r="BM631" s="18"/>
      <c r="BO631" s="1"/>
      <c r="BP631" s="18"/>
      <c r="BR631" s="1"/>
      <c r="BS631" s="18"/>
      <c r="BU631" s="1"/>
      <c r="BV631" s="18"/>
      <c r="BX631" s="1"/>
      <c r="BY631" s="18"/>
    </row>
    <row r="632" ht="15.75" customHeight="1">
      <c r="BI632" s="1"/>
      <c r="BJ632" s="18"/>
      <c r="BL632" s="1"/>
      <c r="BM632" s="18"/>
      <c r="BO632" s="1"/>
      <c r="BP632" s="18"/>
      <c r="BR632" s="1"/>
      <c r="BS632" s="18"/>
      <c r="BU632" s="1"/>
      <c r="BV632" s="18"/>
      <c r="BX632" s="1"/>
      <c r="BY632" s="18"/>
    </row>
    <row r="633" ht="15.75" customHeight="1">
      <c r="BI633" s="1"/>
      <c r="BJ633" s="18"/>
      <c r="BL633" s="1"/>
      <c r="BM633" s="18"/>
      <c r="BO633" s="1"/>
      <c r="BP633" s="18"/>
      <c r="BR633" s="1"/>
      <c r="BS633" s="18"/>
      <c r="BU633" s="1"/>
      <c r="BV633" s="18"/>
      <c r="BX633" s="1"/>
      <c r="BY633" s="18"/>
    </row>
    <row r="634" ht="15.75" customHeight="1">
      <c r="BI634" s="1"/>
      <c r="BJ634" s="18"/>
      <c r="BL634" s="1"/>
      <c r="BM634" s="18"/>
      <c r="BO634" s="1"/>
      <c r="BP634" s="18"/>
      <c r="BR634" s="1"/>
      <c r="BS634" s="18"/>
      <c r="BU634" s="1"/>
      <c r="BV634" s="18"/>
      <c r="BX634" s="1"/>
      <c r="BY634" s="18"/>
    </row>
    <row r="635" ht="15.75" customHeight="1">
      <c r="BI635" s="1"/>
      <c r="BJ635" s="18"/>
      <c r="BL635" s="1"/>
      <c r="BM635" s="18"/>
      <c r="BO635" s="1"/>
      <c r="BP635" s="18"/>
      <c r="BR635" s="1"/>
      <c r="BS635" s="18"/>
      <c r="BU635" s="1"/>
      <c r="BV635" s="18"/>
      <c r="BX635" s="1"/>
      <c r="BY635" s="18"/>
    </row>
    <row r="636" ht="15.75" customHeight="1">
      <c r="BI636" s="1"/>
      <c r="BJ636" s="18"/>
      <c r="BL636" s="1"/>
      <c r="BM636" s="18"/>
      <c r="BO636" s="1"/>
      <c r="BP636" s="18"/>
      <c r="BR636" s="1"/>
      <c r="BS636" s="18"/>
      <c r="BU636" s="1"/>
      <c r="BV636" s="18"/>
      <c r="BX636" s="1"/>
      <c r="BY636" s="18"/>
    </row>
    <row r="637" ht="15.75" customHeight="1">
      <c r="BI637" s="1"/>
      <c r="BJ637" s="18"/>
      <c r="BL637" s="1"/>
      <c r="BM637" s="18"/>
      <c r="BO637" s="1"/>
      <c r="BP637" s="18"/>
      <c r="BR637" s="1"/>
      <c r="BS637" s="18"/>
      <c r="BU637" s="1"/>
      <c r="BV637" s="18"/>
      <c r="BX637" s="1"/>
      <c r="BY637" s="18"/>
    </row>
    <row r="638" ht="15.75" customHeight="1">
      <c r="BI638" s="1"/>
      <c r="BJ638" s="18"/>
      <c r="BL638" s="1"/>
      <c r="BM638" s="18"/>
      <c r="BO638" s="1"/>
      <c r="BP638" s="18"/>
      <c r="BR638" s="1"/>
      <c r="BS638" s="18"/>
      <c r="BU638" s="1"/>
      <c r="BV638" s="18"/>
      <c r="BX638" s="1"/>
      <c r="BY638" s="18"/>
    </row>
    <row r="639" ht="15.75" customHeight="1">
      <c r="BI639" s="1"/>
      <c r="BJ639" s="18"/>
      <c r="BL639" s="1"/>
      <c r="BM639" s="18"/>
      <c r="BO639" s="1"/>
      <c r="BP639" s="18"/>
      <c r="BR639" s="1"/>
      <c r="BS639" s="18"/>
      <c r="BU639" s="1"/>
      <c r="BV639" s="18"/>
      <c r="BX639" s="1"/>
      <c r="BY639" s="18"/>
    </row>
    <row r="640" ht="15.75" customHeight="1">
      <c r="BI640" s="1"/>
      <c r="BJ640" s="18"/>
      <c r="BL640" s="1"/>
      <c r="BM640" s="18"/>
      <c r="BO640" s="1"/>
      <c r="BP640" s="18"/>
      <c r="BR640" s="1"/>
      <c r="BS640" s="18"/>
      <c r="BU640" s="1"/>
      <c r="BV640" s="18"/>
      <c r="BX640" s="1"/>
      <c r="BY640" s="18"/>
    </row>
    <row r="641" ht="15.75" customHeight="1">
      <c r="BI641" s="1"/>
      <c r="BJ641" s="18"/>
      <c r="BL641" s="1"/>
      <c r="BM641" s="18"/>
      <c r="BO641" s="1"/>
      <c r="BP641" s="18"/>
      <c r="BR641" s="1"/>
      <c r="BS641" s="18"/>
      <c r="BU641" s="1"/>
      <c r="BV641" s="18"/>
      <c r="BX641" s="1"/>
      <c r="BY641" s="18"/>
    </row>
    <row r="642" ht="15.75" customHeight="1">
      <c r="BI642" s="1"/>
      <c r="BJ642" s="18"/>
      <c r="BL642" s="1"/>
      <c r="BM642" s="18"/>
      <c r="BO642" s="1"/>
      <c r="BP642" s="18"/>
      <c r="BR642" s="1"/>
      <c r="BS642" s="18"/>
      <c r="BU642" s="1"/>
      <c r="BV642" s="18"/>
      <c r="BX642" s="1"/>
      <c r="BY642" s="18"/>
    </row>
    <row r="643" ht="15.75" customHeight="1">
      <c r="BI643" s="1"/>
      <c r="BJ643" s="18"/>
      <c r="BL643" s="1"/>
      <c r="BM643" s="18"/>
      <c r="BO643" s="1"/>
      <c r="BP643" s="18"/>
      <c r="BR643" s="1"/>
      <c r="BS643" s="18"/>
      <c r="BU643" s="1"/>
      <c r="BV643" s="18"/>
      <c r="BX643" s="1"/>
      <c r="BY643" s="18"/>
    </row>
    <row r="644" ht="15.75" customHeight="1">
      <c r="BI644" s="1"/>
      <c r="BJ644" s="18"/>
      <c r="BL644" s="1"/>
      <c r="BM644" s="18"/>
      <c r="BO644" s="1"/>
      <c r="BP644" s="18"/>
      <c r="BR644" s="1"/>
      <c r="BS644" s="18"/>
      <c r="BU644" s="1"/>
      <c r="BV644" s="18"/>
      <c r="BX644" s="1"/>
      <c r="BY644" s="18"/>
    </row>
    <row r="645" ht="15.75" customHeight="1">
      <c r="BI645" s="1"/>
      <c r="BJ645" s="18"/>
      <c r="BL645" s="1"/>
      <c r="BM645" s="18"/>
      <c r="BO645" s="1"/>
      <c r="BP645" s="18"/>
      <c r="BR645" s="1"/>
      <c r="BS645" s="18"/>
      <c r="BU645" s="1"/>
      <c r="BV645" s="18"/>
      <c r="BX645" s="1"/>
      <c r="BY645" s="18"/>
    </row>
    <row r="646" ht="15.75" customHeight="1">
      <c r="BI646" s="1"/>
      <c r="BJ646" s="18"/>
      <c r="BL646" s="1"/>
      <c r="BM646" s="18"/>
      <c r="BO646" s="1"/>
      <c r="BP646" s="18"/>
      <c r="BR646" s="1"/>
      <c r="BS646" s="18"/>
      <c r="BU646" s="1"/>
      <c r="BV646" s="18"/>
      <c r="BX646" s="1"/>
      <c r="BY646" s="18"/>
    </row>
    <row r="647" ht="15.75" customHeight="1">
      <c r="BI647" s="1"/>
      <c r="BJ647" s="18"/>
      <c r="BL647" s="1"/>
      <c r="BM647" s="18"/>
      <c r="BO647" s="1"/>
      <c r="BP647" s="18"/>
      <c r="BR647" s="1"/>
      <c r="BS647" s="18"/>
      <c r="BU647" s="1"/>
      <c r="BV647" s="18"/>
      <c r="BX647" s="1"/>
      <c r="BY647" s="18"/>
    </row>
    <row r="648" ht="15.75" customHeight="1">
      <c r="BI648" s="1"/>
      <c r="BJ648" s="18"/>
      <c r="BL648" s="1"/>
      <c r="BM648" s="18"/>
      <c r="BO648" s="1"/>
      <c r="BP648" s="18"/>
      <c r="BR648" s="1"/>
      <c r="BS648" s="18"/>
      <c r="BU648" s="1"/>
      <c r="BV648" s="18"/>
      <c r="BX648" s="1"/>
      <c r="BY648" s="18"/>
    </row>
    <row r="649" ht="15.75" customHeight="1">
      <c r="BI649" s="1"/>
      <c r="BJ649" s="18"/>
      <c r="BL649" s="1"/>
      <c r="BM649" s="18"/>
      <c r="BO649" s="1"/>
      <c r="BP649" s="18"/>
      <c r="BR649" s="1"/>
      <c r="BS649" s="18"/>
      <c r="BU649" s="1"/>
      <c r="BV649" s="18"/>
      <c r="BX649" s="1"/>
      <c r="BY649" s="18"/>
    </row>
    <row r="650" ht="15.75" customHeight="1">
      <c r="BI650" s="1"/>
      <c r="BJ650" s="18"/>
      <c r="BL650" s="1"/>
      <c r="BM650" s="18"/>
      <c r="BO650" s="1"/>
      <c r="BP650" s="18"/>
      <c r="BR650" s="1"/>
      <c r="BS650" s="18"/>
      <c r="BU650" s="1"/>
      <c r="BV650" s="18"/>
      <c r="BX650" s="1"/>
      <c r="BY650" s="18"/>
    </row>
    <row r="651" ht="15.75" customHeight="1">
      <c r="BI651" s="1"/>
      <c r="BJ651" s="18"/>
      <c r="BL651" s="1"/>
      <c r="BM651" s="18"/>
      <c r="BO651" s="1"/>
      <c r="BP651" s="18"/>
      <c r="BR651" s="1"/>
      <c r="BS651" s="18"/>
      <c r="BU651" s="1"/>
      <c r="BV651" s="18"/>
      <c r="BX651" s="1"/>
      <c r="BY651" s="18"/>
    </row>
    <row r="652" ht="15.75" customHeight="1">
      <c r="BI652" s="1"/>
      <c r="BJ652" s="18"/>
      <c r="BL652" s="1"/>
      <c r="BM652" s="18"/>
      <c r="BO652" s="1"/>
      <c r="BP652" s="18"/>
      <c r="BR652" s="1"/>
      <c r="BS652" s="18"/>
      <c r="BU652" s="1"/>
      <c r="BV652" s="18"/>
      <c r="BX652" s="1"/>
      <c r="BY652" s="18"/>
    </row>
    <row r="653" ht="15.75" customHeight="1">
      <c r="BI653" s="1"/>
      <c r="BJ653" s="18"/>
      <c r="BL653" s="1"/>
      <c r="BM653" s="18"/>
      <c r="BO653" s="1"/>
      <c r="BP653" s="18"/>
      <c r="BR653" s="1"/>
      <c r="BS653" s="18"/>
      <c r="BU653" s="1"/>
      <c r="BV653" s="18"/>
      <c r="BX653" s="1"/>
      <c r="BY653" s="18"/>
    </row>
    <row r="654" ht="15.75" customHeight="1">
      <c r="BI654" s="1"/>
      <c r="BJ654" s="18"/>
      <c r="BL654" s="1"/>
      <c r="BM654" s="18"/>
      <c r="BO654" s="1"/>
      <c r="BP654" s="18"/>
      <c r="BR654" s="1"/>
      <c r="BS654" s="18"/>
      <c r="BU654" s="1"/>
      <c r="BV654" s="18"/>
      <c r="BX654" s="1"/>
      <c r="BY654" s="18"/>
    </row>
    <row r="655" ht="15.75" customHeight="1">
      <c r="BI655" s="1"/>
      <c r="BJ655" s="18"/>
      <c r="BL655" s="1"/>
      <c r="BM655" s="18"/>
      <c r="BO655" s="1"/>
      <c r="BP655" s="18"/>
      <c r="BR655" s="1"/>
      <c r="BS655" s="18"/>
      <c r="BU655" s="1"/>
      <c r="BV655" s="18"/>
      <c r="BX655" s="1"/>
      <c r="BY655" s="18"/>
    </row>
    <row r="656" ht="15.75" customHeight="1">
      <c r="BI656" s="1"/>
      <c r="BJ656" s="18"/>
      <c r="BL656" s="1"/>
      <c r="BM656" s="18"/>
      <c r="BO656" s="1"/>
      <c r="BP656" s="18"/>
      <c r="BR656" s="1"/>
      <c r="BS656" s="18"/>
      <c r="BU656" s="1"/>
      <c r="BV656" s="18"/>
      <c r="BX656" s="1"/>
      <c r="BY656" s="18"/>
    </row>
    <row r="657" ht="15.75" customHeight="1">
      <c r="BI657" s="1"/>
      <c r="BJ657" s="18"/>
      <c r="BL657" s="1"/>
      <c r="BM657" s="18"/>
      <c r="BO657" s="1"/>
      <c r="BP657" s="18"/>
      <c r="BR657" s="1"/>
      <c r="BS657" s="18"/>
      <c r="BU657" s="1"/>
      <c r="BV657" s="18"/>
      <c r="BX657" s="1"/>
      <c r="BY657" s="18"/>
    </row>
    <row r="658" ht="15.75" customHeight="1">
      <c r="BI658" s="1"/>
      <c r="BJ658" s="18"/>
      <c r="BL658" s="1"/>
      <c r="BM658" s="18"/>
      <c r="BO658" s="1"/>
      <c r="BP658" s="18"/>
      <c r="BR658" s="1"/>
      <c r="BS658" s="18"/>
      <c r="BU658" s="1"/>
      <c r="BV658" s="18"/>
      <c r="BX658" s="1"/>
      <c r="BY658" s="18"/>
    </row>
    <row r="659" ht="15.75" customHeight="1">
      <c r="BI659" s="1"/>
      <c r="BJ659" s="18"/>
      <c r="BL659" s="1"/>
      <c r="BM659" s="18"/>
      <c r="BO659" s="1"/>
      <c r="BP659" s="18"/>
      <c r="BR659" s="1"/>
      <c r="BS659" s="18"/>
      <c r="BU659" s="1"/>
      <c r="BV659" s="18"/>
      <c r="BX659" s="1"/>
      <c r="BY659" s="18"/>
    </row>
    <row r="660" ht="15.75" customHeight="1">
      <c r="BI660" s="1"/>
      <c r="BJ660" s="18"/>
      <c r="BL660" s="1"/>
      <c r="BM660" s="18"/>
      <c r="BO660" s="1"/>
      <c r="BP660" s="18"/>
      <c r="BR660" s="1"/>
      <c r="BS660" s="18"/>
      <c r="BU660" s="1"/>
      <c r="BV660" s="18"/>
      <c r="BX660" s="1"/>
      <c r="BY660" s="18"/>
    </row>
    <row r="661" ht="15.75" customHeight="1">
      <c r="BI661" s="1"/>
      <c r="BJ661" s="18"/>
      <c r="BL661" s="1"/>
      <c r="BM661" s="18"/>
      <c r="BO661" s="1"/>
      <c r="BP661" s="18"/>
      <c r="BR661" s="1"/>
      <c r="BS661" s="18"/>
      <c r="BU661" s="1"/>
      <c r="BV661" s="18"/>
      <c r="BX661" s="1"/>
      <c r="BY661" s="18"/>
    </row>
    <row r="662" ht="15.75" customHeight="1">
      <c r="BI662" s="1"/>
      <c r="BJ662" s="18"/>
      <c r="BL662" s="1"/>
      <c r="BM662" s="18"/>
      <c r="BO662" s="1"/>
      <c r="BP662" s="18"/>
      <c r="BR662" s="1"/>
      <c r="BS662" s="18"/>
      <c r="BU662" s="1"/>
      <c r="BV662" s="18"/>
      <c r="BX662" s="1"/>
      <c r="BY662" s="18"/>
    </row>
    <row r="663" ht="15.75" customHeight="1">
      <c r="BI663" s="1"/>
      <c r="BJ663" s="18"/>
      <c r="BL663" s="1"/>
      <c r="BM663" s="18"/>
      <c r="BO663" s="1"/>
      <c r="BP663" s="18"/>
      <c r="BR663" s="1"/>
      <c r="BS663" s="18"/>
      <c r="BU663" s="1"/>
      <c r="BV663" s="18"/>
      <c r="BX663" s="1"/>
      <c r="BY663" s="18"/>
    </row>
    <row r="664" ht="15.75" customHeight="1">
      <c r="BI664" s="1"/>
      <c r="BJ664" s="18"/>
      <c r="BL664" s="1"/>
      <c r="BM664" s="18"/>
      <c r="BO664" s="1"/>
      <c r="BP664" s="18"/>
      <c r="BR664" s="1"/>
      <c r="BS664" s="18"/>
      <c r="BU664" s="1"/>
      <c r="BV664" s="18"/>
      <c r="BX664" s="1"/>
      <c r="BY664" s="18"/>
    </row>
    <row r="665" ht="15.75" customHeight="1">
      <c r="BI665" s="1"/>
      <c r="BJ665" s="18"/>
      <c r="BL665" s="1"/>
      <c r="BM665" s="18"/>
      <c r="BO665" s="1"/>
      <c r="BP665" s="18"/>
      <c r="BR665" s="1"/>
      <c r="BS665" s="18"/>
      <c r="BU665" s="1"/>
      <c r="BV665" s="18"/>
      <c r="BX665" s="1"/>
      <c r="BY665" s="18"/>
    </row>
    <row r="666" ht="15.75" customHeight="1">
      <c r="BI666" s="1"/>
      <c r="BJ666" s="18"/>
      <c r="BL666" s="1"/>
      <c r="BM666" s="18"/>
      <c r="BO666" s="1"/>
      <c r="BP666" s="18"/>
      <c r="BR666" s="1"/>
      <c r="BS666" s="18"/>
      <c r="BU666" s="1"/>
      <c r="BV666" s="18"/>
      <c r="BX666" s="1"/>
      <c r="BY666" s="18"/>
    </row>
    <row r="667" ht="15.75" customHeight="1">
      <c r="BI667" s="1"/>
      <c r="BJ667" s="18"/>
      <c r="BL667" s="1"/>
      <c r="BM667" s="18"/>
      <c r="BO667" s="1"/>
      <c r="BP667" s="18"/>
      <c r="BR667" s="1"/>
      <c r="BS667" s="18"/>
      <c r="BU667" s="1"/>
      <c r="BV667" s="18"/>
      <c r="BX667" s="1"/>
      <c r="BY667" s="18"/>
    </row>
    <row r="668" ht="15.75" customHeight="1">
      <c r="BI668" s="1"/>
      <c r="BJ668" s="18"/>
      <c r="BL668" s="1"/>
      <c r="BM668" s="18"/>
      <c r="BO668" s="1"/>
      <c r="BP668" s="18"/>
      <c r="BR668" s="1"/>
      <c r="BS668" s="18"/>
      <c r="BU668" s="1"/>
      <c r="BV668" s="18"/>
      <c r="BX668" s="1"/>
      <c r="BY668" s="18"/>
    </row>
    <row r="669" ht="15.75" customHeight="1">
      <c r="BI669" s="1"/>
      <c r="BJ669" s="18"/>
      <c r="BL669" s="1"/>
      <c r="BM669" s="18"/>
      <c r="BO669" s="1"/>
      <c r="BP669" s="18"/>
      <c r="BR669" s="1"/>
      <c r="BS669" s="18"/>
      <c r="BU669" s="1"/>
      <c r="BV669" s="18"/>
      <c r="BX669" s="1"/>
      <c r="BY669" s="18"/>
    </row>
    <row r="670" ht="15.75" customHeight="1">
      <c r="BI670" s="1"/>
      <c r="BJ670" s="18"/>
      <c r="BL670" s="1"/>
      <c r="BM670" s="18"/>
      <c r="BO670" s="1"/>
      <c r="BP670" s="18"/>
      <c r="BR670" s="1"/>
      <c r="BS670" s="18"/>
      <c r="BU670" s="1"/>
      <c r="BV670" s="18"/>
      <c r="BX670" s="1"/>
      <c r="BY670" s="18"/>
    </row>
    <row r="671" ht="15.75" customHeight="1">
      <c r="BI671" s="1"/>
      <c r="BJ671" s="18"/>
      <c r="BL671" s="1"/>
      <c r="BM671" s="18"/>
      <c r="BO671" s="1"/>
      <c r="BP671" s="18"/>
      <c r="BR671" s="1"/>
      <c r="BS671" s="18"/>
      <c r="BU671" s="1"/>
      <c r="BV671" s="18"/>
      <c r="BX671" s="1"/>
      <c r="BY671" s="18"/>
    </row>
    <row r="672" ht="15.75" customHeight="1">
      <c r="BI672" s="1"/>
      <c r="BJ672" s="18"/>
      <c r="BL672" s="1"/>
      <c r="BM672" s="18"/>
      <c r="BO672" s="1"/>
      <c r="BP672" s="18"/>
      <c r="BR672" s="1"/>
      <c r="BS672" s="18"/>
      <c r="BU672" s="1"/>
      <c r="BV672" s="18"/>
      <c r="BX672" s="1"/>
      <c r="BY672" s="18"/>
    </row>
    <row r="673" ht="15.75" customHeight="1">
      <c r="BI673" s="1"/>
      <c r="BJ673" s="18"/>
      <c r="BL673" s="1"/>
      <c r="BM673" s="18"/>
      <c r="BO673" s="1"/>
      <c r="BP673" s="18"/>
      <c r="BR673" s="1"/>
      <c r="BS673" s="18"/>
      <c r="BU673" s="1"/>
      <c r="BV673" s="18"/>
      <c r="BX673" s="1"/>
      <c r="BY673" s="18"/>
    </row>
    <row r="674" ht="15.75" customHeight="1">
      <c r="BI674" s="1"/>
      <c r="BJ674" s="18"/>
      <c r="BL674" s="1"/>
      <c r="BM674" s="18"/>
      <c r="BO674" s="1"/>
      <c r="BP674" s="18"/>
      <c r="BR674" s="1"/>
      <c r="BS674" s="18"/>
      <c r="BU674" s="1"/>
      <c r="BV674" s="18"/>
      <c r="BX674" s="1"/>
      <c r="BY674" s="18"/>
    </row>
    <row r="675" ht="15.75" customHeight="1">
      <c r="BI675" s="1"/>
      <c r="BJ675" s="18"/>
      <c r="BL675" s="1"/>
      <c r="BM675" s="18"/>
      <c r="BO675" s="1"/>
      <c r="BP675" s="18"/>
      <c r="BR675" s="1"/>
      <c r="BS675" s="18"/>
      <c r="BU675" s="1"/>
      <c r="BV675" s="18"/>
      <c r="BX675" s="1"/>
      <c r="BY675" s="18"/>
    </row>
    <row r="676" ht="15.75" customHeight="1">
      <c r="BI676" s="1"/>
      <c r="BJ676" s="18"/>
      <c r="BL676" s="1"/>
      <c r="BM676" s="18"/>
      <c r="BO676" s="1"/>
      <c r="BP676" s="18"/>
      <c r="BR676" s="1"/>
      <c r="BS676" s="18"/>
      <c r="BU676" s="1"/>
      <c r="BV676" s="18"/>
      <c r="BX676" s="1"/>
      <c r="BY676" s="18"/>
    </row>
    <row r="677" ht="15.75" customHeight="1">
      <c r="BI677" s="1"/>
      <c r="BJ677" s="18"/>
      <c r="BL677" s="1"/>
      <c r="BM677" s="18"/>
      <c r="BO677" s="1"/>
      <c r="BP677" s="18"/>
      <c r="BR677" s="1"/>
      <c r="BS677" s="18"/>
      <c r="BU677" s="1"/>
      <c r="BV677" s="18"/>
      <c r="BX677" s="1"/>
      <c r="BY677" s="18"/>
    </row>
    <row r="678" ht="15.75" customHeight="1">
      <c r="BI678" s="1"/>
      <c r="BJ678" s="18"/>
      <c r="BL678" s="1"/>
      <c r="BM678" s="18"/>
      <c r="BO678" s="1"/>
      <c r="BP678" s="18"/>
      <c r="BR678" s="1"/>
      <c r="BS678" s="18"/>
      <c r="BU678" s="1"/>
      <c r="BV678" s="18"/>
      <c r="BX678" s="1"/>
      <c r="BY678" s="18"/>
    </row>
    <row r="679" ht="15.75" customHeight="1">
      <c r="BI679" s="1"/>
      <c r="BJ679" s="18"/>
      <c r="BL679" s="1"/>
      <c r="BM679" s="18"/>
      <c r="BO679" s="1"/>
      <c r="BP679" s="18"/>
      <c r="BR679" s="1"/>
      <c r="BS679" s="18"/>
      <c r="BU679" s="1"/>
      <c r="BV679" s="18"/>
      <c r="BX679" s="1"/>
      <c r="BY679" s="18"/>
    </row>
    <row r="680" ht="15.75" customHeight="1">
      <c r="BI680" s="1"/>
      <c r="BJ680" s="18"/>
      <c r="BL680" s="1"/>
      <c r="BM680" s="18"/>
      <c r="BO680" s="1"/>
      <c r="BP680" s="18"/>
      <c r="BR680" s="1"/>
      <c r="BS680" s="18"/>
      <c r="BU680" s="1"/>
      <c r="BV680" s="18"/>
      <c r="BX680" s="1"/>
      <c r="BY680" s="18"/>
    </row>
    <row r="681" ht="15.75" customHeight="1">
      <c r="BI681" s="1"/>
      <c r="BJ681" s="18"/>
      <c r="BL681" s="1"/>
      <c r="BM681" s="18"/>
      <c r="BO681" s="1"/>
      <c r="BP681" s="18"/>
      <c r="BR681" s="1"/>
      <c r="BS681" s="18"/>
      <c r="BU681" s="1"/>
      <c r="BV681" s="18"/>
      <c r="BX681" s="1"/>
      <c r="BY681" s="18"/>
    </row>
    <row r="682" ht="15.75" customHeight="1">
      <c r="BI682" s="1"/>
      <c r="BJ682" s="18"/>
      <c r="BL682" s="1"/>
      <c r="BM682" s="18"/>
      <c r="BO682" s="1"/>
      <c r="BP682" s="18"/>
      <c r="BR682" s="1"/>
      <c r="BS682" s="18"/>
      <c r="BU682" s="1"/>
      <c r="BV682" s="18"/>
      <c r="BX682" s="1"/>
      <c r="BY682" s="18"/>
    </row>
    <row r="683" ht="15.75" customHeight="1">
      <c r="BI683" s="1"/>
      <c r="BJ683" s="18"/>
      <c r="BL683" s="1"/>
      <c r="BM683" s="18"/>
      <c r="BO683" s="1"/>
      <c r="BP683" s="18"/>
      <c r="BR683" s="1"/>
      <c r="BS683" s="18"/>
      <c r="BU683" s="1"/>
      <c r="BV683" s="18"/>
      <c r="BX683" s="1"/>
      <c r="BY683" s="18"/>
    </row>
    <row r="684" ht="15.75" customHeight="1">
      <c r="BI684" s="1"/>
      <c r="BJ684" s="18"/>
      <c r="BL684" s="1"/>
      <c r="BM684" s="18"/>
      <c r="BO684" s="1"/>
      <c r="BP684" s="18"/>
      <c r="BR684" s="1"/>
      <c r="BS684" s="18"/>
      <c r="BU684" s="1"/>
      <c r="BV684" s="18"/>
      <c r="BX684" s="1"/>
      <c r="BY684" s="18"/>
    </row>
    <row r="685" ht="15.75" customHeight="1">
      <c r="BI685" s="1"/>
      <c r="BJ685" s="18"/>
      <c r="BL685" s="1"/>
      <c r="BM685" s="18"/>
      <c r="BO685" s="1"/>
      <c r="BP685" s="18"/>
      <c r="BR685" s="1"/>
      <c r="BS685" s="18"/>
      <c r="BU685" s="1"/>
      <c r="BV685" s="18"/>
      <c r="BX685" s="1"/>
      <c r="BY685" s="18"/>
    </row>
    <row r="686" ht="15.75" customHeight="1">
      <c r="BI686" s="1"/>
      <c r="BJ686" s="18"/>
      <c r="BL686" s="1"/>
      <c r="BM686" s="18"/>
      <c r="BO686" s="1"/>
      <c r="BP686" s="18"/>
      <c r="BR686" s="1"/>
      <c r="BS686" s="18"/>
      <c r="BU686" s="1"/>
      <c r="BV686" s="18"/>
      <c r="BX686" s="1"/>
      <c r="BY686" s="18"/>
    </row>
    <row r="687" ht="15.75" customHeight="1">
      <c r="BI687" s="1"/>
      <c r="BJ687" s="18"/>
      <c r="BL687" s="1"/>
      <c r="BM687" s="18"/>
      <c r="BO687" s="1"/>
      <c r="BP687" s="18"/>
      <c r="BR687" s="1"/>
      <c r="BS687" s="18"/>
      <c r="BU687" s="1"/>
      <c r="BV687" s="18"/>
      <c r="BX687" s="1"/>
      <c r="BY687" s="18"/>
    </row>
    <row r="688" ht="15.75" customHeight="1">
      <c r="BI688" s="1"/>
      <c r="BJ688" s="18"/>
      <c r="BL688" s="1"/>
      <c r="BM688" s="18"/>
      <c r="BO688" s="1"/>
      <c r="BP688" s="18"/>
      <c r="BR688" s="1"/>
      <c r="BS688" s="18"/>
      <c r="BU688" s="1"/>
      <c r="BV688" s="18"/>
      <c r="BX688" s="1"/>
      <c r="BY688" s="18"/>
    </row>
    <row r="689" ht="15.75" customHeight="1">
      <c r="BI689" s="1"/>
      <c r="BJ689" s="18"/>
      <c r="BL689" s="1"/>
      <c r="BM689" s="18"/>
      <c r="BO689" s="1"/>
      <c r="BP689" s="18"/>
      <c r="BR689" s="1"/>
      <c r="BS689" s="18"/>
      <c r="BU689" s="1"/>
      <c r="BV689" s="18"/>
      <c r="BX689" s="1"/>
      <c r="BY689" s="18"/>
    </row>
    <row r="690" ht="15.75" customHeight="1">
      <c r="BI690" s="1"/>
      <c r="BJ690" s="18"/>
      <c r="BL690" s="1"/>
      <c r="BM690" s="18"/>
      <c r="BO690" s="1"/>
      <c r="BP690" s="18"/>
      <c r="BR690" s="1"/>
      <c r="BS690" s="18"/>
      <c r="BU690" s="1"/>
      <c r="BV690" s="18"/>
      <c r="BX690" s="1"/>
      <c r="BY690" s="18"/>
    </row>
    <row r="691" ht="15.75" customHeight="1">
      <c r="BI691" s="1"/>
      <c r="BJ691" s="18"/>
      <c r="BL691" s="1"/>
      <c r="BM691" s="18"/>
      <c r="BO691" s="1"/>
      <c r="BP691" s="18"/>
      <c r="BR691" s="1"/>
      <c r="BS691" s="18"/>
      <c r="BU691" s="1"/>
      <c r="BV691" s="18"/>
      <c r="BX691" s="1"/>
      <c r="BY691" s="18"/>
    </row>
    <row r="692" ht="15.75" customHeight="1">
      <c r="BI692" s="1"/>
      <c r="BJ692" s="18"/>
      <c r="BL692" s="1"/>
      <c r="BM692" s="18"/>
      <c r="BO692" s="1"/>
      <c r="BP692" s="18"/>
      <c r="BR692" s="1"/>
      <c r="BS692" s="18"/>
      <c r="BU692" s="1"/>
      <c r="BV692" s="18"/>
      <c r="BX692" s="1"/>
      <c r="BY692" s="18"/>
    </row>
    <row r="693" ht="15.75" customHeight="1">
      <c r="BI693" s="1"/>
      <c r="BJ693" s="18"/>
      <c r="BL693" s="1"/>
      <c r="BM693" s="18"/>
      <c r="BO693" s="1"/>
      <c r="BP693" s="18"/>
      <c r="BR693" s="1"/>
      <c r="BS693" s="18"/>
      <c r="BU693" s="1"/>
      <c r="BV693" s="18"/>
      <c r="BX693" s="1"/>
      <c r="BY693" s="18"/>
    </row>
    <row r="694" ht="15.75" customHeight="1">
      <c r="BI694" s="1"/>
      <c r="BJ694" s="18"/>
      <c r="BL694" s="1"/>
      <c r="BM694" s="18"/>
      <c r="BO694" s="1"/>
      <c r="BP694" s="18"/>
      <c r="BR694" s="1"/>
      <c r="BS694" s="18"/>
      <c r="BU694" s="1"/>
      <c r="BV694" s="18"/>
      <c r="BX694" s="1"/>
      <c r="BY694" s="18"/>
    </row>
    <row r="695" ht="15.75" customHeight="1">
      <c r="BI695" s="1"/>
      <c r="BJ695" s="18"/>
      <c r="BL695" s="1"/>
      <c r="BM695" s="18"/>
      <c r="BO695" s="1"/>
      <c r="BP695" s="18"/>
      <c r="BR695" s="1"/>
      <c r="BS695" s="18"/>
      <c r="BU695" s="1"/>
      <c r="BV695" s="18"/>
      <c r="BX695" s="1"/>
      <c r="BY695" s="18"/>
    </row>
    <row r="696" ht="15.75" customHeight="1">
      <c r="BI696" s="1"/>
      <c r="BJ696" s="18"/>
      <c r="BL696" s="1"/>
      <c r="BM696" s="18"/>
      <c r="BO696" s="1"/>
      <c r="BP696" s="18"/>
      <c r="BR696" s="1"/>
      <c r="BS696" s="18"/>
      <c r="BU696" s="1"/>
      <c r="BV696" s="18"/>
      <c r="BX696" s="1"/>
      <c r="BY696" s="18"/>
    </row>
    <row r="697" ht="15.75" customHeight="1">
      <c r="BI697" s="1"/>
      <c r="BJ697" s="18"/>
      <c r="BL697" s="1"/>
      <c r="BM697" s="18"/>
      <c r="BO697" s="1"/>
      <c r="BP697" s="18"/>
      <c r="BR697" s="1"/>
      <c r="BS697" s="18"/>
      <c r="BU697" s="1"/>
      <c r="BV697" s="18"/>
      <c r="BX697" s="1"/>
      <c r="BY697" s="18"/>
    </row>
    <row r="698" ht="15.75" customHeight="1">
      <c r="BI698" s="1"/>
      <c r="BJ698" s="18"/>
      <c r="BL698" s="1"/>
      <c r="BM698" s="18"/>
      <c r="BO698" s="1"/>
      <c r="BP698" s="18"/>
      <c r="BR698" s="1"/>
      <c r="BS698" s="18"/>
      <c r="BU698" s="1"/>
      <c r="BV698" s="18"/>
      <c r="BX698" s="1"/>
      <c r="BY698" s="18"/>
    </row>
    <row r="699" ht="15.75" customHeight="1">
      <c r="BI699" s="1"/>
      <c r="BJ699" s="18"/>
      <c r="BL699" s="1"/>
      <c r="BM699" s="18"/>
      <c r="BO699" s="1"/>
      <c r="BP699" s="18"/>
      <c r="BR699" s="1"/>
      <c r="BS699" s="18"/>
      <c r="BU699" s="1"/>
      <c r="BV699" s="18"/>
      <c r="BX699" s="1"/>
      <c r="BY699" s="18"/>
    </row>
    <row r="700" ht="15.75" customHeight="1">
      <c r="BI700" s="1"/>
      <c r="BJ700" s="18"/>
      <c r="BL700" s="1"/>
      <c r="BM700" s="18"/>
      <c r="BO700" s="1"/>
      <c r="BP700" s="18"/>
      <c r="BR700" s="1"/>
      <c r="BS700" s="18"/>
      <c r="BU700" s="1"/>
      <c r="BV700" s="18"/>
      <c r="BX700" s="1"/>
      <c r="BY700" s="18"/>
    </row>
    <row r="701" ht="15.75" customHeight="1">
      <c r="BI701" s="1"/>
      <c r="BJ701" s="18"/>
      <c r="BL701" s="1"/>
      <c r="BM701" s="18"/>
      <c r="BO701" s="1"/>
      <c r="BP701" s="18"/>
      <c r="BR701" s="1"/>
      <c r="BS701" s="18"/>
      <c r="BU701" s="1"/>
      <c r="BV701" s="18"/>
      <c r="BX701" s="1"/>
      <c r="BY701" s="18"/>
    </row>
    <row r="702" ht="15.75" customHeight="1">
      <c r="BI702" s="1"/>
      <c r="BJ702" s="18"/>
      <c r="BL702" s="1"/>
      <c r="BM702" s="18"/>
      <c r="BO702" s="1"/>
      <c r="BP702" s="18"/>
      <c r="BR702" s="1"/>
      <c r="BS702" s="18"/>
      <c r="BU702" s="1"/>
      <c r="BV702" s="18"/>
      <c r="BX702" s="1"/>
      <c r="BY702" s="18"/>
    </row>
    <row r="703" ht="15.75" customHeight="1">
      <c r="BI703" s="1"/>
      <c r="BJ703" s="18"/>
      <c r="BL703" s="1"/>
      <c r="BM703" s="18"/>
      <c r="BO703" s="1"/>
      <c r="BP703" s="18"/>
      <c r="BR703" s="1"/>
      <c r="BS703" s="18"/>
      <c r="BU703" s="1"/>
      <c r="BV703" s="18"/>
      <c r="BX703" s="1"/>
      <c r="BY703" s="18"/>
    </row>
    <row r="704" ht="15.75" customHeight="1">
      <c r="BI704" s="1"/>
      <c r="BJ704" s="18"/>
      <c r="BL704" s="1"/>
      <c r="BM704" s="18"/>
      <c r="BO704" s="1"/>
      <c r="BP704" s="18"/>
      <c r="BR704" s="1"/>
      <c r="BS704" s="18"/>
      <c r="BU704" s="1"/>
      <c r="BV704" s="18"/>
      <c r="BX704" s="1"/>
      <c r="BY704" s="18"/>
    </row>
    <row r="705" ht="15.75" customHeight="1">
      <c r="BI705" s="1"/>
      <c r="BJ705" s="18"/>
      <c r="BL705" s="1"/>
      <c r="BM705" s="18"/>
      <c r="BO705" s="1"/>
      <c r="BP705" s="18"/>
      <c r="BR705" s="1"/>
      <c r="BS705" s="18"/>
      <c r="BU705" s="1"/>
      <c r="BV705" s="18"/>
      <c r="BX705" s="1"/>
      <c r="BY705" s="18"/>
    </row>
    <row r="706" ht="15.75" customHeight="1">
      <c r="BI706" s="1"/>
      <c r="BJ706" s="18"/>
      <c r="BL706" s="1"/>
      <c r="BM706" s="18"/>
      <c r="BO706" s="1"/>
      <c r="BP706" s="18"/>
      <c r="BR706" s="1"/>
      <c r="BS706" s="18"/>
      <c r="BU706" s="1"/>
      <c r="BV706" s="18"/>
      <c r="BX706" s="1"/>
      <c r="BY706" s="18"/>
    </row>
    <row r="707" ht="15.75" customHeight="1">
      <c r="BI707" s="1"/>
      <c r="BJ707" s="18"/>
      <c r="BL707" s="1"/>
      <c r="BM707" s="18"/>
      <c r="BO707" s="1"/>
      <c r="BP707" s="18"/>
      <c r="BR707" s="1"/>
      <c r="BS707" s="18"/>
      <c r="BU707" s="1"/>
      <c r="BV707" s="18"/>
      <c r="BX707" s="1"/>
      <c r="BY707" s="18"/>
    </row>
    <row r="708" ht="15.75" customHeight="1">
      <c r="BI708" s="1"/>
      <c r="BJ708" s="18"/>
      <c r="BL708" s="1"/>
      <c r="BM708" s="18"/>
      <c r="BO708" s="1"/>
      <c r="BP708" s="18"/>
      <c r="BR708" s="1"/>
      <c r="BS708" s="18"/>
      <c r="BU708" s="1"/>
      <c r="BV708" s="18"/>
      <c r="BX708" s="1"/>
      <c r="BY708" s="18"/>
    </row>
    <row r="709" ht="15.75" customHeight="1">
      <c r="BI709" s="1"/>
      <c r="BJ709" s="18"/>
      <c r="BL709" s="1"/>
      <c r="BM709" s="18"/>
      <c r="BO709" s="1"/>
      <c r="BP709" s="18"/>
      <c r="BR709" s="1"/>
      <c r="BS709" s="18"/>
      <c r="BU709" s="1"/>
      <c r="BV709" s="18"/>
      <c r="BX709" s="1"/>
      <c r="BY709" s="18"/>
    </row>
    <row r="710" ht="15.75" customHeight="1">
      <c r="BI710" s="1"/>
      <c r="BJ710" s="18"/>
      <c r="BL710" s="1"/>
      <c r="BM710" s="18"/>
      <c r="BO710" s="1"/>
      <c r="BP710" s="18"/>
      <c r="BR710" s="1"/>
      <c r="BS710" s="18"/>
      <c r="BU710" s="1"/>
      <c r="BV710" s="18"/>
      <c r="BX710" s="1"/>
      <c r="BY710" s="18"/>
    </row>
    <row r="711" ht="15.75" customHeight="1">
      <c r="BI711" s="1"/>
      <c r="BJ711" s="18"/>
      <c r="BL711" s="1"/>
      <c r="BM711" s="18"/>
      <c r="BO711" s="1"/>
      <c r="BP711" s="18"/>
      <c r="BR711" s="1"/>
      <c r="BS711" s="18"/>
      <c r="BU711" s="1"/>
      <c r="BV711" s="18"/>
      <c r="BX711" s="1"/>
      <c r="BY711" s="18"/>
    </row>
    <row r="712" ht="15.75" customHeight="1">
      <c r="BI712" s="1"/>
      <c r="BJ712" s="18"/>
      <c r="BL712" s="1"/>
      <c r="BM712" s="18"/>
      <c r="BO712" s="1"/>
      <c r="BP712" s="18"/>
      <c r="BR712" s="1"/>
      <c r="BS712" s="18"/>
      <c r="BU712" s="1"/>
      <c r="BV712" s="18"/>
      <c r="BX712" s="1"/>
      <c r="BY712" s="18"/>
    </row>
    <row r="713" ht="15.75" customHeight="1">
      <c r="BI713" s="1"/>
      <c r="BJ713" s="18"/>
      <c r="BL713" s="1"/>
      <c r="BM713" s="18"/>
      <c r="BO713" s="1"/>
      <c r="BP713" s="18"/>
      <c r="BR713" s="1"/>
      <c r="BS713" s="18"/>
      <c r="BU713" s="1"/>
      <c r="BV713" s="18"/>
      <c r="BX713" s="1"/>
      <c r="BY713" s="18"/>
    </row>
    <row r="714" ht="15.75" customHeight="1">
      <c r="BI714" s="1"/>
      <c r="BJ714" s="18"/>
      <c r="BL714" s="1"/>
      <c r="BM714" s="18"/>
      <c r="BO714" s="1"/>
      <c r="BP714" s="18"/>
      <c r="BR714" s="1"/>
      <c r="BS714" s="18"/>
      <c r="BU714" s="1"/>
      <c r="BV714" s="18"/>
      <c r="BX714" s="1"/>
      <c r="BY714" s="18"/>
    </row>
    <row r="715" ht="15.75" customHeight="1">
      <c r="BI715" s="1"/>
      <c r="BJ715" s="18"/>
      <c r="BL715" s="1"/>
      <c r="BM715" s="18"/>
      <c r="BO715" s="1"/>
      <c r="BP715" s="18"/>
      <c r="BR715" s="1"/>
      <c r="BS715" s="18"/>
      <c r="BU715" s="1"/>
      <c r="BV715" s="18"/>
      <c r="BX715" s="1"/>
      <c r="BY715" s="18"/>
    </row>
    <row r="716" ht="15.75" customHeight="1">
      <c r="BI716" s="1"/>
      <c r="BJ716" s="18"/>
      <c r="BL716" s="1"/>
      <c r="BM716" s="18"/>
      <c r="BO716" s="1"/>
      <c r="BP716" s="18"/>
      <c r="BR716" s="1"/>
      <c r="BS716" s="18"/>
      <c r="BU716" s="1"/>
      <c r="BV716" s="18"/>
      <c r="BX716" s="1"/>
      <c r="BY716" s="18"/>
    </row>
    <row r="717" ht="15.75" customHeight="1">
      <c r="BI717" s="1"/>
      <c r="BJ717" s="18"/>
      <c r="BL717" s="1"/>
      <c r="BM717" s="18"/>
      <c r="BO717" s="1"/>
      <c r="BP717" s="18"/>
      <c r="BR717" s="1"/>
      <c r="BS717" s="18"/>
      <c r="BU717" s="1"/>
      <c r="BV717" s="18"/>
      <c r="BX717" s="1"/>
      <c r="BY717" s="18"/>
    </row>
    <row r="718" ht="15.75" customHeight="1">
      <c r="BI718" s="1"/>
      <c r="BJ718" s="18"/>
      <c r="BL718" s="1"/>
      <c r="BM718" s="18"/>
      <c r="BO718" s="1"/>
      <c r="BP718" s="18"/>
      <c r="BR718" s="1"/>
      <c r="BS718" s="18"/>
      <c r="BU718" s="1"/>
      <c r="BV718" s="18"/>
      <c r="BX718" s="1"/>
      <c r="BY718" s="18"/>
    </row>
    <row r="719" ht="15.75" customHeight="1">
      <c r="BI719" s="1"/>
      <c r="BJ719" s="18"/>
      <c r="BL719" s="1"/>
      <c r="BM719" s="18"/>
      <c r="BO719" s="1"/>
      <c r="BP719" s="18"/>
      <c r="BR719" s="1"/>
      <c r="BS719" s="18"/>
      <c r="BU719" s="1"/>
      <c r="BV719" s="18"/>
      <c r="BX719" s="1"/>
      <c r="BY719" s="18"/>
    </row>
    <row r="720" ht="15.75" customHeight="1">
      <c r="BI720" s="1"/>
      <c r="BJ720" s="18"/>
      <c r="BL720" s="1"/>
      <c r="BM720" s="18"/>
      <c r="BO720" s="1"/>
      <c r="BP720" s="18"/>
      <c r="BR720" s="1"/>
      <c r="BS720" s="18"/>
      <c r="BU720" s="1"/>
      <c r="BV720" s="18"/>
      <c r="BX720" s="1"/>
      <c r="BY720" s="18"/>
    </row>
    <row r="721" ht="15.75" customHeight="1">
      <c r="BI721" s="1"/>
      <c r="BJ721" s="18"/>
      <c r="BL721" s="1"/>
      <c r="BM721" s="18"/>
      <c r="BO721" s="1"/>
      <c r="BP721" s="18"/>
      <c r="BR721" s="1"/>
      <c r="BS721" s="18"/>
      <c r="BU721" s="1"/>
      <c r="BV721" s="18"/>
      <c r="BX721" s="1"/>
      <c r="BY721" s="18"/>
    </row>
    <row r="722" ht="15.75" customHeight="1">
      <c r="BI722" s="1"/>
      <c r="BJ722" s="18"/>
      <c r="BL722" s="1"/>
      <c r="BM722" s="18"/>
      <c r="BO722" s="1"/>
      <c r="BP722" s="18"/>
      <c r="BR722" s="1"/>
      <c r="BS722" s="18"/>
      <c r="BU722" s="1"/>
      <c r="BV722" s="18"/>
      <c r="BX722" s="1"/>
      <c r="BY722" s="18"/>
    </row>
    <row r="723" ht="15.75" customHeight="1">
      <c r="BI723" s="1"/>
      <c r="BJ723" s="18"/>
      <c r="BL723" s="1"/>
      <c r="BM723" s="18"/>
      <c r="BO723" s="1"/>
      <c r="BP723" s="18"/>
      <c r="BR723" s="1"/>
      <c r="BS723" s="18"/>
      <c r="BU723" s="1"/>
      <c r="BV723" s="18"/>
      <c r="BX723" s="1"/>
      <c r="BY723" s="18"/>
    </row>
    <row r="724" ht="15.75" customHeight="1">
      <c r="BI724" s="1"/>
      <c r="BJ724" s="18"/>
      <c r="BL724" s="1"/>
      <c r="BM724" s="18"/>
      <c r="BO724" s="1"/>
      <c r="BP724" s="18"/>
      <c r="BR724" s="1"/>
      <c r="BS724" s="18"/>
      <c r="BU724" s="1"/>
      <c r="BV724" s="18"/>
      <c r="BX724" s="1"/>
      <c r="BY724" s="18"/>
    </row>
    <row r="725" ht="15.75" customHeight="1">
      <c r="BI725" s="1"/>
      <c r="BJ725" s="18"/>
      <c r="BL725" s="1"/>
      <c r="BM725" s="18"/>
      <c r="BO725" s="1"/>
      <c r="BP725" s="18"/>
      <c r="BR725" s="1"/>
      <c r="BS725" s="18"/>
      <c r="BU725" s="1"/>
      <c r="BV725" s="18"/>
      <c r="BX725" s="1"/>
      <c r="BY725" s="18"/>
    </row>
    <row r="726" ht="15.75" customHeight="1">
      <c r="BI726" s="1"/>
      <c r="BJ726" s="18"/>
      <c r="BL726" s="1"/>
      <c r="BM726" s="18"/>
      <c r="BO726" s="1"/>
      <c r="BP726" s="18"/>
      <c r="BR726" s="1"/>
      <c r="BS726" s="18"/>
      <c r="BU726" s="1"/>
      <c r="BV726" s="18"/>
      <c r="BX726" s="1"/>
      <c r="BY726" s="18"/>
    </row>
    <row r="727" ht="15.75" customHeight="1">
      <c r="BI727" s="1"/>
      <c r="BJ727" s="18"/>
      <c r="BL727" s="1"/>
      <c r="BM727" s="18"/>
      <c r="BO727" s="1"/>
      <c r="BP727" s="18"/>
      <c r="BR727" s="1"/>
      <c r="BS727" s="18"/>
      <c r="BU727" s="1"/>
      <c r="BV727" s="18"/>
      <c r="BX727" s="1"/>
      <c r="BY727" s="18"/>
    </row>
    <row r="728" ht="15.75" customHeight="1">
      <c r="BI728" s="1"/>
      <c r="BJ728" s="18"/>
      <c r="BL728" s="1"/>
      <c r="BM728" s="18"/>
      <c r="BO728" s="1"/>
      <c r="BP728" s="18"/>
      <c r="BR728" s="1"/>
      <c r="BS728" s="18"/>
      <c r="BU728" s="1"/>
      <c r="BV728" s="18"/>
      <c r="BX728" s="1"/>
      <c r="BY728" s="18"/>
    </row>
    <row r="729" ht="15.75" customHeight="1">
      <c r="BI729" s="1"/>
      <c r="BJ729" s="18"/>
      <c r="BL729" s="1"/>
      <c r="BM729" s="18"/>
      <c r="BO729" s="1"/>
      <c r="BP729" s="18"/>
      <c r="BR729" s="1"/>
      <c r="BS729" s="18"/>
      <c r="BU729" s="1"/>
      <c r="BV729" s="18"/>
      <c r="BX729" s="1"/>
      <c r="BY729" s="18"/>
    </row>
    <row r="730" ht="15.75" customHeight="1">
      <c r="BI730" s="1"/>
      <c r="BJ730" s="18"/>
      <c r="BL730" s="1"/>
      <c r="BM730" s="18"/>
      <c r="BO730" s="1"/>
      <c r="BP730" s="18"/>
      <c r="BR730" s="1"/>
      <c r="BS730" s="18"/>
      <c r="BU730" s="1"/>
      <c r="BV730" s="18"/>
      <c r="BX730" s="1"/>
      <c r="BY730" s="18"/>
    </row>
    <row r="731" ht="15.75" customHeight="1">
      <c r="BI731" s="1"/>
      <c r="BJ731" s="18"/>
      <c r="BL731" s="1"/>
      <c r="BM731" s="18"/>
      <c r="BO731" s="1"/>
      <c r="BP731" s="18"/>
      <c r="BR731" s="1"/>
      <c r="BS731" s="18"/>
      <c r="BU731" s="1"/>
      <c r="BV731" s="18"/>
      <c r="BX731" s="1"/>
      <c r="BY731" s="18"/>
    </row>
    <row r="732" ht="15.75" customHeight="1">
      <c r="BI732" s="1"/>
      <c r="BJ732" s="18"/>
      <c r="BL732" s="1"/>
      <c r="BM732" s="18"/>
      <c r="BO732" s="1"/>
      <c r="BP732" s="18"/>
      <c r="BR732" s="1"/>
      <c r="BS732" s="18"/>
      <c r="BU732" s="1"/>
      <c r="BV732" s="18"/>
      <c r="BX732" s="1"/>
      <c r="BY732" s="18"/>
    </row>
    <row r="733" ht="15.75" customHeight="1">
      <c r="BI733" s="1"/>
      <c r="BJ733" s="18"/>
      <c r="BL733" s="1"/>
      <c r="BM733" s="18"/>
      <c r="BO733" s="1"/>
      <c r="BP733" s="18"/>
      <c r="BR733" s="1"/>
      <c r="BS733" s="18"/>
      <c r="BU733" s="1"/>
      <c r="BV733" s="18"/>
      <c r="BX733" s="1"/>
      <c r="BY733" s="18"/>
    </row>
    <row r="734" ht="15.75" customHeight="1">
      <c r="BI734" s="1"/>
      <c r="BJ734" s="18"/>
      <c r="BL734" s="1"/>
      <c r="BM734" s="18"/>
      <c r="BO734" s="1"/>
      <c r="BP734" s="18"/>
      <c r="BR734" s="1"/>
      <c r="BS734" s="18"/>
      <c r="BU734" s="1"/>
      <c r="BV734" s="18"/>
      <c r="BX734" s="1"/>
      <c r="BY734" s="18"/>
    </row>
    <row r="735" ht="15.75" customHeight="1">
      <c r="BI735" s="1"/>
      <c r="BJ735" s="18"/>
      <c r="BL735" s="1"/>
      <c r="BM735" s="18"/>
      <c r="BO735" s="1"/>
      <c r="BP735" s="18"/>
      <c r="BR735" s="1"/>
      <c r="BS735" s="18"/>
      <c r="BU735" s="1"/>
      <c r="BV735" s="18"/>
      <c r="BX735" s="1"/>
      <c r="BY735" s="18"/>
    </row>
    <row r="736" ht="15.75" customHeight="1">
      <c r="BI736" s="1"/>
      <c r="BJ736" s="18"/>
      <c r="BL736" s="1"/>
      <c r="BM736" s="18"/>
      <c r="BO736" s="1"/>
      <c r="BP736" s="18"/>
      <c r="BR736" s="1"/>
      <c r="BS736" s="18"/>
      <c r="BU736" s="1"/>
      <c r="BV736" s="18"/>
      <c r="BX736" s="1"/>
      <c r="BY736" s="18"/>
    </row>
    <row r="737" ht="15.75" customHeight="1">
      <c r="BI737" s="1"/>
      <c r="BJ737" s="18"/>
      <c r="BL737" s="1"/>
      <c r="BM737" s="18"/>
      <c r="BO737" s="1"/>
      <c r="BP737" s="18"/>
      <c r="BR737" s="1"/>
      <c r="BS737" s="18"/>
      <c r="BU737" s="1"/>
      <c r="BV737" s="18"/>
      <c r="BX737" s="1"/>
      <c r="BY737" s="18"/>
    </row>
    <row r="738" ht="15.75" customHeight="1">
      <c r="BI738" s="1"/>
      <c r="BJ738" s="18"/>
      <c r="BL738" s="1"/>
      <c r="BM738" s="18"/>
      <c r="BO738" s="1"/>
      <c r="BP738" s="18"/>
      <c r="BR738" s="1"/>
      <c r="BS738" s="18"/>
      <c r="BU738" s="1"/>
      <c r="BV738" s="18"/>
      <c r="BX738" s="1"/>
      <c r="BY738" s="18"/>
    </row>
    <row r="739" ht="15.75" customHeight="1">
      <c r="BI739" s="1"/>
      <c r="BJ739" s="18"/>
      <c r="BL739" s="1"/>
      <c r="BM739" s="18"/>
      <c r="BO739" s="1"/>
      <c r="BP739" s="18"/>
      <c r="BR739" s="1"/>
      <c r="BS739" s="18"/>
      <c r="BU739" s="1"/>
      <c r="BV739" s="18"/>
      <c r="BX739" s="1"/>
      <c r="BY739" s="18"/>
    </row>
    <row r="740" ht="15.75" customHeight="1">
      <c r="BI740" s="1"/>
      <c r="BJ740" s="18"/>
      <c r="BL740" s="1"/>
      <c r="BM740" s="18"/>
      <c r="BO740" s="1"/>
      <c r="BP740" s="18"/>
      <c r="BR740" s="1"/>
      <c r="BS740" s="18"/>
      <c r="BU740" s="1"/>
      <c r="BV740" s="18"/>
      <c r="BX740" s="1"/>
      <c r="BY740" s="18"/>
    </row>
    <row r="741" ht="15.75" customHeight="1">
      <c r="BI741" s="1"/>
      <c r="BJ741" s="18"/>
      <c r="BL741" s="1"/>
      <c r="BM741" s="18"/>
      <c r="BO741" s="1"/>
      <c r="BP741" s="18"/>
      <c r="BR741" s="1"/>
      <c r="BS741" s="18"/>
      <c r="BU741" s="1"/>
      <c r="BV741" s="18"/>
      <c r="BX741" s="1"/>
      <c r="BY741" s="18"/>
    </row>
    <row r="742" ht="15.75" customHeight="1">
      <c r="BI742" s="1"/>
      <c r="BJ742" s="18"/>
      <c r="BL742" s="1"/>
      <c r="BM742" s="18"/>
      <c r="BO742" s="1"/>
      <c r="BP742" s="18"/>
      <c r="BR742" s="1"/>
      <c r="BS742" s="18"/>
      <c r="BU742" s="1"/>
      <c r="BV742" s="18"/>
      <c r="BX742" s="1"/>
      <c r="BY742" s="18"/>
    </row>
    <row r="743" ht="15.75" customHeight="1">
      <c r="BI743" s="1"/>
      <c r="BJ743" s="18"/>
      <c r="BL743" s="1"/>
      <c r="BM743" s="18"/>
      <c r="BO743" s="1"/>
      <c r="BP743" s="18"/>
      <c r="BR743" s="1"/>
      <c r="BS743" s="18"/>
      <c r="BU743" s="1"/>
      <c r="BV743" s="18"/>
      <c r="BX743" s="1"/>
      <c r="BY743" s="18"/>
    </row>
    <row r="744" ht="15.75" customHeight="1">
      <c r="BI744" s="1"/>
      <c r="BJ744" s="18"/>
      <c r="BL744" s="1"/>
      <c r="BM744" s="18"/>
      <c r="BO744" s="1"/>
      <c r="BP744" s="18"/>
      <c r="BR744" s="1"/>
      <c r="BS744" s="18"/>
      <c r="BU744" s="1"/>
      <c r="BV744" s="18"/>
      <c r="BX744" s="1"/>
      <c r="BY744" s="18"/>
    </row>
    <row r="745" ht="15.75" customHeight="1">
      <c r="BI745" s="1"/>
      <c r="BJ745" s="18"/>
      <c r="BL745" s="1"/>
      <c r="BM745" s="18"/>
      <c r="BO745" s="1"/>
      <c r="BP745" s="18"/>
      <c r="BR745" s="1"/>
      <c r="BS745" s="18"/>
      <c r="BU745" s="1"/>
      <c r="BV745" s="18"/>
      <c r="BX745" s="1"/>
      <c r="BY745" s="18"/>
    </row>
    <row r="746" ht="15.75" customHeight="1">
      <c r="BI746" s="1"/>
      <c r="BJ746" s="18"/>
      <c r="BL746" s="1"/>
      <c r="BM746" s="18"/>
      <c r="BO746" s="1"/>
      <c r="BP746" s="18"/>
      <c r="BR746" s="1"/>
      <c r="BS746" s="18"/>
      <c r="BU746" s="1"/>
      <c r="BV746" s="18"/>
      <c r="BX746" s="1"/>
      <c r="BY746" s="18"/>
    </row>
    <row r="747" ht="15.75" customHeight="1">
      <c r="BI747" s="1"/>
      <c r="BJ747" s="18"/>
      <c r="BL747" s="1"/>
      <c r="BM747" s="18"/>
      <c r="BO747" s="1"/>
      <c r="BP747" s="18"/>
      <c r="BR747" s="1"/>
      <c r="BS747" s="18"/>
      <c r="BU747" s="1"/>
      <c r="BV747" s="18"/>
      <c r="BX747" s="1"/>
      <c r="BY747" s="18"/>
    </row>
    <row r="748" ht="15.75" customHeight="1">
      <c r="BI748" s="1"/>
      <c r="BJ748" s="18"/>
      <c r="BL748" s="1"/>
      <c r="BM748" s="18"/>
      <c r="BO748" s="1"/>
      <c r="BP748" s="18"/>
      <c r="BR748" s="1"/>
      <c r="BS748" s="18"/>
      <c r="BU748" s="1"/>
      <c r="BV748" s="18"/>
      <c r="BX748" s="1"/>
      <c r="BY748" s="18"/>
    </row>
    <row r="749" ht="15.75" customHeight="1">
      <c r="BI749" s="1"/>
      <c r="BJ749" s="18"/>
      <c r="BL749" s="1"/>
      <c r="BM749" s="18"/>
      <c r="BO749" s="1"/>
      <c r="BP749" s="18"/>
      <c r="BR749" s="1"/>
      <c r="BS749" s="18"/>
      <c r="BU749" s="1"/>
      <c r="BV749" s="18"/>
      <c r="BX749" s="1"/>
      <c r="BY749" s="18"/>
    </row>
    <row r="750" ht="15.75" customHeight="1">
      <c r="BI750" s="1"/>
      <c r="BJ750" s="18"/>
      <c r="BL750" s="1"/>
      <c r="BM750" s="18"/>
      <c r="BO750" s="1"/>
      <c r="BP750" s="18"/>
      <c r="BR750" s="1"/>
      <c r="BS750" s="18"/>
      <c r="BU750" s="1"/>
      <c r="BV750" s="18"/>
      <c r="BX750" s="1"/>
      <c r="BY750" s="18"/>
    </row>
    <row r="751" ht="15.75" customHeight="1">
      <c r="BI751" s="1"/>
      <c r="BJ751" s="18"/>
      <c r="BL751" s="1"/>
      <c r="BM751" s="18"/>
      <c r="BO751" s="1"/>
      <c r="BP751" s="18"/>
      <c r="BR751" s="1"/>
      <c r="BS751" s="18"/>
      <c r="BU751" s="1"/>
      <c r="BV751" s="18"/>
      <c r="BX751" s="1"/>
      <c r="BY751" s="18"/>
    </row>
    <row r="752" ht="15.75" customHeight="1">
      <c r="BI752" s="1"/>
      <c r="BJ752" s="18"/>
      <c r="BL752" s="1"/>
      <c r="BM752" s="18"/>
      <c r="BO752" s="1"/>
      <c r="BP752" s="18"/>
      <c r="BR752" s="1"/>
      <c r="BS752" s="18"/>
      <c r="BU752" s="1"/>
      <c r="BV752" s="18"/>
      <c r="BX752" s="1"/>
      <c r="BY752" s="18"/>
    </row>
    <row r="753" ht="15.75" customHeight="1">
      <c r="BI753" s="1"/>
      <c r="BJ753" s="18"/>
      <c r="BL753" s="1"/>
      <c r="BM753" s="18"/>
      <c r="BO753" s="1"/>
      <c r="BP753" s="18"/>
      <c r="BR753" s="1"/>
      <c r="BS753" s="18"/>
      <c r="BU753" s="1"/>
      <c r="BV753" s="18"/>
      <c r="BX753" s="1"/>
      <c r="BY753" s="18"/>
    </row>
    <row r="754" ht="15.75" customHeight="1">
      <c r="BI754" s="1"/>
      <c r="BJ754" s="18"/>
      <c r="BL754" s="1"/>
      <c r="BM754" s="18"/>
      <c r="BO754" s="1"/>
      <c r="BP754" s="18"/>
      <c r="BR754" s="1"/>
      <c r="BS754" s="18"/>
      <c r="BU754" s="1"/>
      <c r="BV754" s="18"/>
      <c r="BX754" s="1"/>
      <c r="BY754" s="18"/>
    </row>
    <row r="755" ht="15.75" customHeight="1">
      <c r="BI755" s="1"/>
      <c r="BJ755" s="18"/>
      <c r="BL755" s="1"/>
      <c r="BM755" s="18"/>
      <c r="BO755" s="1"/>
      <c r="BP755" s="18"/>
      <c r="BR755" s="1"/>
      <c r="BS755" s="18"/>
      <c r="BU755" s="1"/>
      <c r="BV755" s="18"/>
      <c r="BX755" s="1"/>
      <c r="BY755" s="18"/>
    </row>
    <row r="756" ht="15.75" customHeight="1">
      <c r="BI756" s="1"/>
      <c r="BJ756" s="18"/>
      <c r="BL756" s="1"/>
      <c r="BM756" s="18"/>
      <c r="BO756" s="1"/>
      <c r="BP756" s="18"/>
      <c r="BR756" s="1"/>
      <c r="BS756" s="18"/>
      <c r="BU756" s="1"/>
      <c r="BV756" s="18"/>
      <c r="BX756" s="1"/>
      <c r="BY756" s="18"/>
    </row>
    <row r="757" ht="15.75" customHeight="1">
      <c r="BI757" s="1"/>
      <c r="BJ757" s="18"/>
      <c r="BL757" s="1"/>
      <c r="BM757" s="18"/>
      <c r="BO757" s="1"/>
      <c r="BP757" s="18"/>
      <c r="BR757" s="1"/>
      <c r="BS757" s="18"/>
      <c r="BU757" s="1"/>
      <c r="BV757" s="18"/>
      <c r="BX757" s="1"/>
      <c r="BY757" s="18"/>
    </row>
    <row r="758" ht="15.75" customHeight="1">
      <c r="BI758" s="1"/>
      <c r="BJ758" s="18"/>
      <c r="BL758" s="1"/>
      <c r="BM758" s="18"/>
      <c r="BO758" s="1"/>
      <c r="BP758" s="18"/>
      <c r="BR758" s="1"/>
      <c r="BS758" s="18"/>
      <c r="BU758" s="1"/>
      <c r="BV758" s="18"/>
      <c r="BX758" s="1"/>
      <c r="BY758" s="18"/>
    </row>
    <row r="759" ht="15.75" customHeight="1">
      <c r="BI759" s="1"/>
      <c r="BJ759" s="18"/>
      <c r="BL759" s="1"/>
      <c r="BM759" s="18"/>
      <c r="BO759" s="1"/>
      <c r="BP759" s="18"/>
      <c r="BR759" s="1"/>
      <c r="BS759" s="18"/>
      <c r="BU759" s="1"/>
      <c r="BV759" s="18"/>
      <c r="BX759" s="1"/>
      <c r="BY759" s="18"/>
    </row>
    <row r="760" ht="15.75" customHeight="1">
      <c r="BI760" s="1"/>
      <c r="BJ760" s="18"/>
      <c r="BL760" s="1"/>
      <c r="BM760" s="18"/>
      <c r="BO760" s="1"/>
      <c r="BP760" s="18"/>
      <c r="BR760" s="1"/>
      <c r="BS760" s="18"/>
      <c r="BU760" s="1"/>
      <c r="BV760" s="18"/>
      <c r="BX760" s="1"/>
      <c r="BY760" s="18"/>
    </row>
    <row r="761" ht="15.75" customHeight="1">
      <c r="BI761" s="1"/>
      <c r="BJ761" s="18"/>
      <c r="BL761" s="1"/>
      <c r="BM761" s="18"/>
      <c r="BO761" s="1"/>
      <c r="BP761" s="18"/>
      <c r="BR761" s="1"/>
      <c r="BS761" s="18"/>
      <c r="BU761" s="1"/>
      <c r="BV761" s="18"/>
      <c r="BX761" s="1"/>
      <c r="BY761" s="18"/>
    </row>
    <row r="762" ht="15.75" customHeight="1">
      <c r="BI762" s="1"/>
      <c r="BJ762" s="18"/>
      <c r="BL762" s="1"/>
      <c r="BM762" s="18"/>
      <c r="BO762" s="1"/>
      <c r="BP762" s="18"/>
      <c r="BR762" s="1"/>
      <c r="BS762" s="18"/>
      <c r="BU762" s="1"/>
      <c r="BV762" s="18"/>
      <c r="BX762" s="1"/>
      <c r="BY762" s="18"/>
    </row>
    <row r="763" ht="15.75" customHeight="1">
      <c r="BI763" s="1"/>
      <c r="BJ763" s="18"/>
      <c r="BL763" s="1"/>
      <c r="BM763" s="18"/>
      <c r="BO763" s="1"/>
      <c r="BP763" s="18"/>
      <c r="BR763" s="1"/>
      <c r="BS763" s="18"/>
      <c r="BU763" s="1"/>
      <c r="BV763" s="18"/>
      <c r="BX763" s="1"/>
      <c r="BY763" s="18"/>
    </row>
    <row r="764" ht="15.75" customHeight="1">
      <c r="BI764" s="1"/>
      <c r="BJ764" s="18"/>
      <c r="BL764" s="1"/>
      <c r="BM764" s="18"/>
      <c r="BO764" s="1"/>
      <c r="BP764" s="18"/>
      <c r="BR764" s="1"/>
      <c r="BS764" s="18"/>
      <c r="BU764" s="1"/>
      <c r="BV764" s="18"/>
      <c r="BX764" s="1"/>
      <c r="BY764" s="18"/>
    </row>
    <row r="765" ht="15.75" customHeight="1">
      <c r="BI765" s="1"/>
      <c r="BJ765" s="18"/>
      <c r="BL765" s="1"/>
      <c r="BM765" s="18"/>
      <c r="BO765" s="1"/>
      <c r="BP765" s="18"/>
      <c r="BR765" s="1"/>
      <c r="BS765" s="18"/>
      <c r="BU765" s="1"/>
      <c r="BV765" s="18"/>
      <c r="BX765" s="1"/>
      <c r="BY765" s="18"/>
    </row>
    <row r="766" ht="15.75" customHeight="1">
      <c r="BI766" s="1"/>
      <c r="BJ766" s="18"/>
      <c r="BL766" s="1"/>
      <c r="BM766" s="18"/>
      <c r="BO766" s="1"/>
      <c r="BP766" s="18"/>
      <c r="BR766" s="1"/>
      <c r="BS766" s="18"/>
      <c r="BU766" s="1"/>
      <c r="BV766" s="18"/>
      <c r="BX766" s="1"/>
      <c r="BY766" s="18"/>
    </row>
    <row r="767" ht="15.75" customHeight="1">
      <c r="BI767" s="1"/>
      <c r="BJ767" s="18"/>
      <c r="BL767" s="1"/>
      <c r="BM767" s="18"/>
      <c r="BO767" s="1"/>
      <c r="BP767" s="18"/>
      <c r="BR767" s="1"/>
      <c r="BS767" s="18"/>
      <c r="BU767" s="1"/>
      <c r="BV767" s="18"/>
      <c r="BX767" s="1"/>
      <c r="BY767" s="18"/>
    </row>
    <row r="768" ht="15.75" customHeight="1">
      <c r="BI768" s="1"/>
      <c r="BJ768" s="18"/>
      <c r="BL768" s="1"/>
      <c r="BM768" s="18"/>
      <c r="BO768" s="1"/>
      <c r="BP768" s="18"/>
      <c r="BR768" s="1"/>
      <c r="BS768" s="18"/>
      <c r="BU768" s="1"/>
      <c r="BV768" s="18"/>
      <c r="BX768" s="1"/>
      <c r="BY768" s="18"/>
    </row>
    <row r="769" ht="15.75" customHeight="1">
      <c r="BI769" s="1"/>
      <c r="BJ769" s="18"/>
      <c r="BL769" s="1"/>
      <c r="BM769" s="18"/>
      <c r="BO769" s="1"/>
      <c r="BP769" s="18"/>
      <c r="BR769" s="1"/>
      <c r="BS769" s="18"/>
      <c r="BU769" s="1"/>
      <c r="BV769" s="18"/>
      <c r="BX769" s="1"/>
      <c r="BY769" s="18"/>
    </row>
    <row r="770" ht="15.75" customHeight="1">
      <c r="BI770" s="1"/>
      <c r="BJ770" s="18"/>
      <c r="BL770" s="1"/>
      <c r="BM770" s="18"/>
      <c r="BO770" s="1"/>
      <c r="BP770" s="18"/>
      <c r="BR770" s="1"/>
      <c r="BS770" s="18"/>
      <c r="BU770" s="1"/>
      <c r="BV770" s="18"/>
      <c r="BX770" s="1"/>
      <c r="BY770" s="18"/>
    </row>
    <row r="771" ht="15.75" customHeight="1">
      <c r="BI771" s="1"/>
      <c r="BJ771" s="18"/>
      <c r="BL771" s="1"/>
      <c r="BM771" s="18"/>
      <c r="BO771" s="1"/>
      <c r="BP771" s="18"/>
      <c r="BR771" s="1"/>
      <c r="BS771" s="18"/>
      <c r="BU771" s="1"/>
      <c r="BV771" s="18"/>
      <c r="BX771" s="1"/>
      <c r="BY771" s="18"/>
    </row>
    <row r="772" ht="15.75" customHeight="1">
      <c r="BI772" s="1"/>
      <c r="BJ772" s="18"/>
      <c r="BL772" s="1"/>
      <c r="BM772" s="18"/>
      <c r="BO772" s="1"/>
      <c r="BP772" s="18"/>
      <c r="BR772" s="1"/>
      <c r="BS772" s="18"/>
      <c r="BU772" s="1"/>
      <c r="BV772" s="18"/>
      <c r="BX772" s="1"/>
      <c r="BY772" s="18"/>
    </row>
    <row r="773" ht="15.75" customHeight="1">
      <c r="BI773" s="1"/>
      <c r="BJ773" s="18"/>
      <c r="BL773" s="1"/>
      <c r="BM773" s="18"/>
      <c r="BO773" s="1"/>
      <c r="BP773" s="18"/>
      <c r="BR773" s="1"/>
      <c r="BS773" s="18"/>
      <c r="BU773" s="1"/>
      <c r="BV773" s="18"/>
      <c r="BX773" s="1"/>
      <c r="BY773" s="18"/>
    </row>
    <row r="774" ht="15.75" customHeight="1">
      <c r="BI774" s="1"/>
      <c r="BJ774" s="18"/>
      <c r="BL774" s="1"/>
      <c r="BM774" s="18"/>
      <c r="BO774" s="1"/>
      <c r="BP774" s="18"/>
      <c r="BR774" s="1"/>
      <c r="BS774" s="18"/>
      <c r="BU774" s="1"/>
      <c r="BV774" s="18"/>
      <c r="BX774" s="1"/>
      <c r="BY774" s="18"/>
    </row>
    <row r="775" ht="15.75" customHeight="1">
      <c r="BI775" s="1"/>
      <c r="BJ775" s="18"/>
      <c r="BL775" s="1"/>
      <c r="BM775" s="18"/>
      <c r="BO775" s="1"/>
      <c r="BP775" s="18"/>
      <c r="BR775" s="1"/>
      <c r="BS775" s="18"/>
      <c r="BU775" s="1"/>
      <c r="BV775" s="18"/>
      <c r="BX775" s="1"/>
      <c r="BY775" s="18"/>
    </row>
    <row r="776" ht="15.75" customHeight="1">
      <c r="BI776" s="1"/>
      <c r="BJ776" s="18"/>
      <c r="BL776" s="1"/>
      <c r="BM776" s="18"/>
      <c r="BO776" s="1"/>
      <c r="BP776" s="18"/>
      <c r="BR776" s="1"/>
      <c r="BS776" s="18"/>
      <c r="BU776" s="1"/>
      <c r="BV776" s="18"/>
      <c r="BX776" s="1"/>
      <c r="BY776" s="18"/>
    </row>
    <row r="777" ht="15.75" customHeight="1">
      <c r="BI777" s="1"/>
      <c r="BJ777" s="18"/>
      <c r="BL777" s="1"/>
      <c r="BM777" s="18"/>
      <c r="BO777" s="1"/>
      <c r="BP777" s="18"/>
      <c r="BR777" s="1"/>
      <c r="BS777" s="18"/>
      <c r="BU777" s="1"/>
      <c r="BV777" s="18"/>
      <c r="BX777" s="1"/>
      <c r="BY777" s="18"/>
    </row>
    <row r="778" ht="15.75" customHeight="1">
      <c r="BI778" s="1"/>
      <c r="BJ778" s="18"/>
      <c r="BL778" s="1"/>
      <c r="BM778" s="18"/>
      <c r="BO778" s="1"/>
      <c r="BP778" s="18"/>
      <c r="BR778" s="1"/>
      <c r="BS778" s="18"/>
      <c r="BU778" s="1"/>
      <c r="BV778" s="18"/>
      <c r="BX778" s="1"/>
      <c r="BY778" s="18"/>
    </row>
    <row r="779" ht="15.75" customHeight="1">
      <c r="BI779" s="1"/>
      <c r="BJ779" s="18"/>
      <c r="BL779" s="1"/>
      <c r="BM779" s="18"/>
      <c r="BO779" s="1"/>
      <c r="BP779" s="18"/>
      <c r="BR779" s="1"/>
      <c r="BS779" s="18"/>
      <c r="BU779" s="1"/>
      <c r="BV779" s="18"/>
      <c r="BX779" s="1"/>
      <c r="BY779" s="18"/>
    </row>
    <row r="780" ht="15.75" customHeight="1">
      <c r="BI780" s="1"/>
      <c r="BJ780" s="18"/>
      <c r="BL780" s="1"/>
      <c r="BM780" s="18"/>
      <c r="BO780" s="1"/>
      <c r="BP780" s="18"/>
      <c r="BR780" s="1"/>
      <c r="BS780" s="18"/>
      <c r="BU780" s="1"/>
      <c r="BV780" s="18"/>
      <c r="BX780" s="1"/>
      <c r="BY780" s="18"/>
    </row>
    <row r="781" ht="15.75" customHeight="1">
      <c r="BI781" s="1"/>
      <c r="BJ781" s="18"/>
      <c r="BL781" s="1"/>
      <c r="BM781" s="18"/>
      <c r="BO781" s="1"/>
      <c r="BP781" s="18"/>
      <c r="BR781" s="1"/>
      <c r="BS781" s="18"/>
      <c r="BU781" s="1"/>
      <c r="BV781" s="18"/>
      <c r="BX781" s="1"/>
      <c r="BY781" s="18"/>
    </row>
    <row r="782" ht="15.75" customHeight="1">
      <c r="BI782" s="1"/>
      <c r="BJ782" s="18"/>
      <c r="BL782" s="1"/>
      <c r="BM782" s="18"/>
      <c r="BO782" s="1"/>
      <c r="BP782" s="18"/>
      <c r="BR782" s="1"/>
      <c r="BS782" s="18"/>
      <c r="BU782" s="1"/>
      <c r="BV782" s="18"/>
      <c r="BX782" s="1"/>
      <c r="BY782" s="18"/>
    </row>
    <row r="783" ht="15.75" customHeight="1">
      <c r="BI783" s="1"/>
      <c r="BJ783" s="18"/>
      <c r="BL783" s="1"/>
      <c r="BM783" s="18"/>
      <c r="BO783" s="1"/>
      <c r="BP783" s="18"/>
      <c r="BR783" s="1"/>
      <c r="BS783" s="18"/>
      <c r="BU783" s="1"/>
      <c r="BV783" s="18"/>
      <c r="BX783" s="1"/>
      <c r="BY783" s="18"/>
    </row>
    <row r="784" ht="15.75" customHeight="1">
      <c r="BI784" s="1"/>
      <c r="BJ784" s="18"/>
      <c r="BL784" s="1"/>
      <c r="BM784" s="18"/>
      <c r="BO784" s="1"/>
      <c r="BP784" s="18"/>
      <c r="BR784" s="1"/>
      <c r="BS784" s="18"/>
      <c r="BU784" s="1"/>
      <c r="BV784" s="18"/>
      <c r="BX784" s="1"/>
      <c r="BY784" s="18"/>
    </row>
    <row r="785" ht="15.75" customHeight="1">
      <c r="BI785" s="1"/>
      <c r="BJ785" s="18"/>
      <c r="BL785" s="1"/>
      <c r="BM785" s="18"/>
      <c r="BO785" s="1"/>
      <c r="BP785" s="18"/>
      <c r="BR785" s="1"/>
      <c r="BS785" s="18"/>
      <c r="BU785" s="1"/>
      <c r="BV785" s="18"/>
      <c r="BX785" s="1"/>
      <c r="BY785" s="18"/>
    </row>
    <row r="786" ht="15.75" customHeight="1">
      <c r="BI786" s="1"/>
      <c r="BJ786" s="18"/>
      <c r="BL786" s="1"/>
      <c r="BM786" s="18"/>
      <c r="BO786" s="1"/>
      <c r="BP786" s="18"/>
      <c r="BR786" s="1"/>
      <c r="BS786" s="18"/>
      <c r="BU786" s="1"/>
      <c r="BV786" s="18"/>
      <c r="BX786" s="1"/>
      <c r="BY786" s="18"/>
    </row>
    <row r="787" ht="15.75" customHeight="1">
      <c r="BI787" s="1"/>
      <c r="BJ787" s="18"/>
      <c r="BL787" s="1"/>
      <c r="BM787" s="18"/>
      <c r="BO787" s="1"/>
      <c r="BP787" s="18"/>
      <c r="BR787" s="1"/>
      <c r="BS787" s="18"/>
      <c r="BU787" s="1"/>
      <c r="BV787" s="18"/>
      <c r="BX787" s="1"/>
      <c r="BY787" s="18"/>
    </row>
    <row r="788" ht="15.75" customHeight="1">
      <c r="BI788" s="1"/>
      <c r="BJ788" s="18"/>
      <c r="BL788" s="1"/>
      <c r="BM788" s="18"/>
      <c r="BO788" s="1"/>
      <c r="BP788" s="18"/>
      <c r="BR788" s="1"/>
      <c r="BS788" s="18"/>
      <c r="BU788" s="1"/>
      <c r="BV788" s="18"/>
      <c r="BX788" s="1"/>
      <c r="BY788" s="18"/>
    </row>
    <row r="789" ht="15.75" customHeight="1">
      <c r="BI789" s="1"/>
      <c r="BJ789" s="18"/>
      <c r="BL789" s="1"/>
      <c r="BM789" s="18"/>
      <c r="BO789" s="1"/>
      <c r="BP789" s="18"/>
      <c r="BR789" s="1"/>
      <c r="BS789" s="18"/>
      <c r="BU789" s="1"/>
      <c r="BV789" s="18"/>
      <c r="BX789" s="1"/>
      <c r="BY789" s="18"/>
    </row>
    <row r="790" ht="15.75" customHeight="1">
      <c r="BI790" s="1"/>
      <c r="BJ790" s="18"/>
      <c r="BL790" s="1"/>
      <c r="BM790" s="18"/>
      <c r="BO790" s="1"/>
      <c r="BP790" s="18"/>
      <c r="BR790" s="1"/>
      <c r="BS790" s="18"/>
      <c r="BU790" s="1"/>
      <c r="BV790" s="18"/>
      <c r="BX790" s="1"/>
      <c r="BY790" s="18"/>
    </row>
    <row r="791" ht="15.75" customHeight="1">
      <c r="BI791" s="1"/>
      <c r="BJ791" s="18"/>
      <c r="BL791" s="1"/>
      <c r="BM791" s="18"/>
      <c r="BO791" s="1"/>
      <c r="BP791" s="18"/>
      <c r="BR791" s="1"/>
      <c r="BS791" s="18"/>
      <c r="BU791" s="1"/>
      <c r="BV791" s="18"/>
      <c r="BX791" s="1"/>
      <c r="BY791" s="18"/>
    </row>
    <row r="792" ht="15.75" customHeight="1">
      <c r="BI792" s="1"/>
      <c r="BJ792" s="18"/>
      <c r="BL792" s="1"/>
      <c r="BM792" s="18"/>
      <c r="BO792" s="1"/>
      <c r="BP792" s="18"/>
      <c r="BR792" s="1"/>
      <c r="BS792" s="18"/>
      <c r="BU792" s="1"/>
      <c r="BV792" s="18"/>
      <c r="BX792" s="1"/>
      <c r="BY792" s="18"/>
    </row>
    <row r="793" ht="15.75" customHeight="1">
      <c r="BI793" s="1"/>
      <c r="BJ793" s="18"/>
      <c r="BL793" s="1"/>
      <c r="BM793" s="18"/>
      <c r="BO793" s="1"/>
      <c r="BP793" s="18"/>
      <c r="BR793" s="1"/>
      <c r="BS793" s="18"/>
      <c r="BU793" s="1"/>
      <c r="BV793" s="18"/>
      <c r="BX793" s="1"/>
      <c r="BY793" s="18"/>
    </row>
    <row r="794" ht="15.75" customHeight="1">
      <c r="BI794" s="1"/>
      <c r="BJ794" s="18"/>
      <c r="BL794" s="1"/>
      <c r="BM794" s="18"/>
      <c r="BO794" s="1"/>
      <c r="BP794" s="18"/>
      <c r="BR794" s="1"/>
      <c r="BS794" s="18"/>
      <c r="BU794" s="1"/>
      <c r="BV794" s="18"/>
      <c r="BX794" s="1"/>
      <c r="BY794" s="18"/>
    </row>
    <row r="795" ht="15.75" customHeight="1">
      <c r="BI795" s="1"/>
      <c r="BJ795" s="18"/>
      <c r="BL795" s="1"/>
      <c r="BM795" s="18"/>
      <c r="BO795" s="1"/>
      <c r="BP795" s="18"/>
      <c r="BR795" s="1"/>
      <c r="BS795" s="18"/>
      <c r="BU795" s="1"/>
      <c r="BV795" s="18"/>
      <c r="BX795" s="1"/>
      <c r="BY795" s="18"/>
    </row>
    <row r="796" ht="15.75" customHeight="1">
      <c r="BI796" s="1"/>
      <c r="BJ796" s="18"/>
      <c r="BL796" s="1"/>
      <c r="BM796" s="18"/>
      <c r="BO796" s="1"/>
      <c r="BP796" s="18"/>
      <c r="BR796" s="1"/>
      <c r="BS796" s="18"/>
      <c r="BU796" s="1"/>
      <c r="BV796" s="18"/>
      <c r="BX796" s="1"/>
      <c r="BY796" s="18"/>
    </row>
    <row r="797" ht="15.75" customHeight="1">
      <c r="BI797" s="1"/>
      <c r="BJ797" s="18"/>
      <c r="BL797" s="1"/>
      <c r="BM797" s="18"/>
      <c r="BO797" s="1"/>
      <c r="BP797" s="18"/>
      <c r="BR797" s="1"/>
      <c r="BS797" s="18"/>
      <c r="BU797" s="1"/>
      <c r="BV797" s="18"/>
      <c r="BX797" s="1"/>
      <c r="BY797" s="18"/>
    </row>
    <row r="798" ht="15.75" customHeight="1">
      <c r="BI798" s="1"/>
      <c r="BJ798" s="18"/>
      <c r="BL798" s="1"/>
      <c r="BM798" s="18"/>
      <c r="BO798" s="1"/>
      <c r="BP798" s="18"/>
      <c r="BR798" s="1"/>
      <c r="BS798" s="18"/>
      <c r="BU798" s="1"/>
      <c r="BV798" s="18"/>
      <c r="BX798" s="1"/>
      <c r="BY798" s="18"/>
    </row>
    <row r="799" ht="15.75" customHeight="1">
      <c r="BI799" s="1"/>
      <c r="BJ799" s="18"/>
      <c r="BL799" s="1"/>
      <c r="BM799" s="18"/>
      <c r="BO799" s="1"/>
      <c r="BP799" s="18"/>
      <c r="BR799" s="1"/>
      <c r="BS799" s="18"/>
      <c r="BU799" s="1"/>
      <c r="BV799" s="18"/>
      <c r="BX799" s="1"/>
      <c r="BY799" s="18"/>
    </row>
    <row r="800" ht="15.75" customHeight="1">
      <c r="BI800" s="1"/>
      <c r="BJ800" s="18"/>
      <c r="BL800" s="1"/>
      <c r="BM800" s="18"/>
      <c r="BO800" s="1"/>
      <c r="BP800" s="18"/>
      <c r="BR800" s="1"/>
      <c r="BS800" s="18"/>
      <c r="BU800" s="1"/>
      <c r="BV800" s="18"/>
      <c r="BX800" s="1"/>
      <c r="BY800" s="18"/>
    </row>
    <row r="801" ht="15.75" customHeight="1">
      <c r="BI801" s="1"/>
      <c r="BJ801" s="18"/>
      <c r="BL801" s="1"/>
      <c r="BM801" s="18"/>
      <c r="BO801" s="1"/>
      <c r="BP801" s="18"/>
      <c r="BR801" s="1"/>
      <c r="BS801" s="18"/>
      <c r="BU801" s="1"/>
      <c r="BV801" s="18"/>
      <c r="BX801" s="1"/>
      <c r="BY801" s="18"/>
    </row>
    <row r="802" ht="15.75" customHeight="1">
      <c r="BI802" s="1"/>
      <c r="BJ802" s="18"/>
      <c r="BL802" s="1"/>
      <c r="BM802" s="18"/>
      <c r="BO802" s="1"/>
      <c r="BP802" s="18"/>
      <c r="BR802" s="1"/>
      <c r="BS802" s="18"/>
      <c r="BU802" s="1"/>
      <c r="BV802" s="18"/>
      <c r="BX802" s="1"/>
      <c r="BY802" s="18"/>
    </row>
    <row r="803" ht="15.75" customHeight="1">
      <c r="BI803" s="1"/>
      <c r="BJ803" s="18"/>
      <c r="BL803" s="1"/>
      <c r="BM803" s="18"/>
      <c r="BO803" s="1"/>
      <c r="BP803" s="18"/>
      <c r="BR803" s="1"/>
      <c r="BS803" s="18"/>
      <c r="BU803" s="1"/>
      <c r="BV803" s="18"/>
      <c r="BX803" s="1"/>
      <c r="BY803" s="18"/>
    </row>
    <row r="804" ht="15.75" customHeight="1">
      <c r="BI804" s="1"/>
      <c r="BJ804" s="18"/>
      <c r="BL804" s="1"/>
      <c r="BM804" s="18"/>
      <c r="BO804" s="1"/>
      <c r="BP804" s="18"/>
      <c r="BR804" s="1"/>
      <c r="BS804" s="18"/>
      <c r="BU804" s="1"/>
      <c r="BV804" s="18"/>
      <c r="BX804" s="1"/>
      <c r="BY804" s="18"/>
    </row>
    <row r="805" ht="15.75" customHeight="1">
      <c r="BI805" s="1"/>
      <c r="BJ805" s="18"/>
      <c r="BL805" s="1"/>
      <c r="BM805" s="18"/>
      <c r="BO805" s="1"/>
      <c r="BP805" s="18"/>
      <c r="BR805" s="1"/>
      <c r="BS805" s="18"/>
      <c r="BU805" s="1"/>
      <c r="BV805" s="18"/>
      <c r="BX805" s="1"/>
      <c r="BY805" s="18"/>
    </row>
    <row r="806" ht="15.75" customHeight="1">
      <c r="BI806" s="1"/>
      <c r="BJ806" s="18"/>
      <c r="BL806" s="1"/>
      <c r="BM806" s="18"/>
      <c r="BO806" s="1"/>
      <c r="BP806" s="18"/>
      <c r="BR806" s="1"/>
      <c r="BS806" s="18"/>
      <c r="BU806" s="1"/>
      <c r="BV806" s="18"/>
      <c r="BX806" s="1"/>
      <c r="BY806" s="18"/>
    </row>
    <row r="807" ht="15.75" customHeight="1">
      <c r="BI807" s="1"/>
      <c r="BJ807" s="18"/>
      <c r="BL807" s="1"/>
      <c r="BM807" s="18"/>
      <c r="BO807" s="1"/>
      <c r="BP807" s="18"/>
      <c r="BR807" s="1"/>
      <c r="BS807" s="18"/>
      <c r="BU807" s="1"/>
      <c r="BV807" s="18"/>
      <c r="BX807" s="1"/>
      <c r="BY807" s="18"/>
    </row>
    <row r="808" ht="15.75" customHeight="1">
      <c r="BI808" s="1"/>
      <c r="BJ808" s="18"/>
      <c r="BL808" s="1"/>
      <c r="BM808" s="18"/>
      <c r="BO808" s="1"/>
      <c r="BP808" s="18"/>
      <c r="BR808" s="1"/>
      <c r="BS808" s="18"/>
      <c r="BU808" s="1"/>
      <c r="BV808" s="18"/>
      <c r="BX808" s="1"/>
      <c r="BY808" s="18"/>
    </row>
    <row r="809" ht="15.75" customHeight="1">
      <c r="BI809" s="1"/>
      <c r="BJ809" s="18"/>
      <c r="BL809" s="1"/>
      <c r="BM809" s="18"/>
      <c r="BO809" s="1"/>
      <c r="BP809" s="18"/>
      <c r="BR809" s="1"/>
      <c r="BS809" s="18"/>
      <c r="BU809" s="1"/>
      <c r="BV809" s="18"/>
      <c r="BX809" s="1"/>
      <c r="BY809" s="18"/>
    </row>
    <row r="810" ht="15.75" customHeight="1">
      <c r="BI810" s="1"/>
      <c r="BJ810" s="18"/>
      <c r="BL810" s="1"/>
      <c r="BM810" s="18"/>
      <c r="BO810" s="1"/>
      <c r="BP810" s="18"/>
      <c r="BR810" s="1"/>
      <c r="BS810" s="18"/>
      <c r="BU810" s="1"/>
      <c r="BV810" s="18"/>
      <c r="BX810" s="1"/>
      <c r="BY810" s="18"/>
    </row>
    <row r="811" ht="15.75" customHeight="1">
      <c r="BI811" s="1"/>
      <c r="BJ811" s="18"/>
      <c r="BL811" s="1"/>
      <c r="BM811" s="18"/>
      <c r="BO811" s="1"/>
      <c r="BP811" s="18"/>
      <c r="BR811" s="1"/>
      <c r="BS811" s="18"/>
      <c r="BU811" s="1"/>
      <c r="BV811" s="18"/>
      <c r="BX811" s="1"/>
      <c r="BY811" s="18"/>
    </row>
    <row r="812" ht="15.75" customHeight="1">
      <c r="BI812" s="1"/>
      <c r="BJ812" s="18"/>
      <c r="BL812" s="1"/>
      <c r="BM812" s="18"/>
      <c r="BO812" s="1"/>
      <c r="BP812" s="18"/>
      <c r="BR812" s="1"/>
      <c r="BS812" s="18"/>
      <c r="BU812" s="1"/>
      <c r="BV812" s="18"/>
      <c r="BX812" s="1"/>
      <c r="BY812" s="18"/>
    </row>
    <row r="813" ht="15.75" customHeight="1">
      <c r="BI813" s="1"/>
      <c r="BJ813" s="18"/>
      <c r="BL813" s="1"/>
      <c r="BM813" s="18"/>
      <c r="BO813" s="1"/>
      <c r="BP813" s="18"/>
      <c r="BR813" s="1"/>
      <c r="BS813" s="18"/>
      <c r="BU813" s="1"/>
      <c r="BV813" s="18"/>
      <c r="BX813" s="1"/>
      <c r="BY813" s="18"/>
    </row>
    <row r="814" ht="15.75" customHeight="1">
      <c r="BI814" s="1"/>
      <c r="BJ814" s="18"/>
      <c r="BL814" s="1"/>
      <c r="BM814" s="18"/>
      <c r="BO814" s="1"/>
      <c r="BP814" s="18"/>
      <c r="BR814" s="1"/>
      <c r="BS814" s="18"/>
      <c r="BU814" s="1"/>
      <c r="BV814" s="18"/>
      <c r="BX814" s="1"/>
      <c r="BY814" s="18"/>
    </row>
    <row r="815" ht="15.75" customHeight="1">
      <c r="BI815" s="1"/>
      <c r="BJ815" s="18"/>
      <c r="BL815" s="1"/>
      <c r="BM815" s="18"/>
      <c r="BO815" s="1"/>
      <c r="BP815" s="18"/>
      <c r="BR815" s="1"/>
      <c r="BS815" s="18"/>
      <c r="BU815" s="1"/>
      <c r="BV815" s="18"/>
      <c r="BX815" s="1"/>
      <c r="BY815" s="18"/>
    </row>
    <row r="816" ht="15.75" customHeight="1">
      <c r="BI816" s="1"/>
      <c r="BJ816" s="18"/>
      <c r="BL816" s="1"/>
      <c r="BM816" s="18"/>
      <c r="BO816" s="1"/>
      <c r="BP816" s="18"/>
      <c r="BR816" s="1"/>
      <c r="BS816" s="18"/>
      <c r="BU816" s="1"/>
      <c r="BV816" s="18"/>
      <c r="BX816" s="1"/>
      <c r="BY816" s="18"/>
    </row>
    <row r="817" ht="15.75" customHeight="1">
      <c r="BI817" s="1"/>
      <c r="BJ817" s="18"/>
      <c r="BL817" s="1"/>
      <c r="BM817" s="18"/>
      <c r="BO817" s="1"/>
      <c r="BP817" s="18"/>
      <c r="BR817" s="1"/>
      <c r="BS817" s="18"/>
      <c r="BU817" s="1"/>
      <c r="BV817" s="18"/>
      <c r="BX817" s="1"/>
      <c r="BY817" s="18"/>
    </row>
    <row r="818" ht="15.75" customHeight="1">
      <c r="BI818" s="1"/>
      <c r="BJ818" s="18"/>
      <c r="BL818" s="1"/>
      <c r="BM818" s="18"/>
      <c r="BO818" s="1"/>
      <c r="BP818" s="18"/>
      <c r="BR818" s="1"/>
      <c r="BS818" s="18"/>
      <c r="BU818" s="1"/>
      <c r="BV818" s="18"/>
      <c r="BX818" s="1"/>
      <c r="BY818" s="18"/>
    </row>
    <row r="819" ht="15.75" customHeight="1">
      <c r="BI819" s="1"/>
      <c r="BJ819" s="18"/>
      <c r="BL819" s="1"/>
      <c r="BM819" s="18"/>
      <c r="BO819" s="1"/>
      <c r="BP819" s="18"/>
      <c r="BR819" s="1"/>
      <c r="BS819" s="18"/>
      <c r="BU819" s="1"/>
      <c r="BV819" s="18"/>
      <c r="BX819" s="1"/>
      <c r="BY819" s="18"/>
    </row>
    <row r="820" ht="15.75" customHeight="1">
      <c r="BI820" s="1"/>
      <c r="BJ820" s="18"/>
      <c r="BL820" s="1"/>
      <c r="BM820" s="18"/>
      <c r="BO820" s="1"/>
      <c r="BP820" s="18"/>
      <c r="BR820" s="1"/>
      <c r="BS820" s="18"/>
      <c r="BU820" s="1"/>
      <c r="BV820" s="18"/>
      <c r="BX820" s="1"/>
      <c r="BY820" s="18"/>
    </row>
    <row r="821" ht="15.75" customHeight="1">
      <c r="BI821" s="1"/>
      <c r="BJ821" s="18"/>
      <c r="BL821" s="1"/>
      <c r="BM821" s="18"/>
      <c r="BO821" s="1"/>
      <c r="BP821" s="18"/>
      <c r="BR821" s="1"/>
      <c r="BS821" s="18"/>
      <c r="BU821" s="1"/>
      <c r="BV821" s="18"/>
      <c r="BX821" s="1"/>
      <c r="BY821" s="18"/>
    </row>
    <row r="822" ht="15.75" customHeight="1">
      <c r="BI822" s="1"/>
      <c r="BJ822" s="18"/>
      <c r="BL822" s="1"/>
      <c r="BM822" s="18"/>
      <c r="BO822" s="1"/>
      <c r="BP822" s="18"/>
      <c r="BR822" s="1"/>
      <c r="BS822" s="18"/>
      <c r="BU822" s="1"/>
      <c r="BV822" s="18"/>
      <c r="BX822" s="1"/>
      <c r="BY822" s="18"/>
    </row>
    <row r="823" ht="15.75" customHeight="1">
      <c r="BI823" s="1"/>
      <c r="BJ823" s="18"/>
      <c r="BL823" s="1"/>
      <c r="BM823" s="18"/>
      <c r="BO823" s="1"/>
      <c r="BP823" s="18"/>
      <c r="BR823" s="1"/>
      <c r="BS823" s="18"/>
      <c r="BU823" s="1"/>
      <c r="BV823" s="18"/>
      <c r="BX823" s="1"/>
      <c r="BY823" s="18"/>
    </row>
    <row r="824" ht="15.75" customHeight="1">
      <c r="BI824" s="1"/>
      <c r="BJ824" s="18"/>
      <c r="BL824" s="1"/>
      <c r="BM824" s="18"/>
      <c r="BO824" s="1"/>
      <c r="BP824" s="18"/>
      <c r="BR824" s="1"/>
      <c r="BS824" s="18"/>
      <c r="BU824" s="1"/>
      <c r="BV824" s="18"/>
      <c r="BX824" s="1"/>
      <c r="BY824" s="18"/>
    </row>
    <row r="825" ht="15.75" customHeight="1">
      <c r="BI825" s="1"/>
      <c r="BJ825" s="18"/>
      <c r="BL825" s="1"/>
      <c r="BM825" s="18"/>
      <c r="BO825" s="1"/>
      <c r="BP825" s="18"/>
      <c r="BR825" s="1"/>
      <c r="BS825" s="18"/>
      <c r="BU825" s="1"/>
      <c r="BV825" s="18"/>
      <c r="BX825" s="1"/>
      <c r="BY825" s="18"/>
    </row>
    <row r="826" ht="15.75" customHeight="1">
      <c r="BI826" s="1"/>
      <c r="BJ826" s="18"/>
      <c r="BL826" s="1"/>
      <c r="BM826" s="18"/>
      <c r="BO826" s="1"/>
      <c r="BP826" s="18"/>
      <c r="BR826" s="1"/>
      <c r="BS826" s="18"/>
      <c r="BU826" s="1"/>
      <c r="BV826" s="18"/>
      <c r="BX826" s="1"/>
      <c r="BY826" s="18"/>
    </row>
    <row r="827" ht="15.75" customHeight="1">
      <c r="BI827" s="1"/>
      <c r="BJ827" s="18"/>
      <c r="BL827" s="1"/>
      <c r="BM827" s="18"/>
      <c r="BO827" s="1"/>
      <c r="BP827" s="18"/>
      <c r="BR827" s="1"/>
      <c r="BS827" s="18"/>
      <c r="BU827" s="1"/>
      <c r="BV827" s="18"/>
      <c r="BX827" s="1"/>
      <c r="BY827" s="18"/>
    </row>
    <row r="828" ht="15.75" customHeight="1">
      <c r="BI828" s="1"/>
      <c r="BJ828" s="18"/>
      <c r="BL828" s="1"/>
      <c r="BM828" s="18"/>
      <c r="BO828" s="1"/>
      <c r="BP828" s="18"/>
      <c r="BR828" s="1"/>
      <c r="BS828" s="18"/>
      <c r="BU828" s="1"/>
      <c r="BV828" s="18"/>
      <c r="BX828" s="1"/>
      <c r="BY828" s="18"/>
    </row>
    <row r="829" ht="15.75" customHeight="1">
      <c r="BI829" s="1"/>
      <c r="BJ829" s="18"/>
      <c r="BL829" s="1"/>
      <c r="BM829" s="18"/>
      <c r="BO829" s="1"/>
      <c r="BP829" s="18"/>
      <c r="BR829" s="1"/>
      <c r="BS829" s="18"/>
      <c r="BU829" s="1"/>
      <c r="BV829" s="18"/>
      <c r="BX829" s="1"/>
      <c r="BY829" s="18"/>
    </row>
    <row r="830" ht="15.75" customHeight="1">
      <c r="BI830" s="1"/>
      <c r="BJ830" s="18"/>
      <c r="BL830" s="1"/>
      <c r="BM830" s="18"/>
      <c r="BO830" s="1"/>
      <c r="BP830" s="18"/>
      <c r="BR830" s="1"/>
      <c r="BS830" s="18"/>
      <c r="BU830" s="1"/>
      <c r="BV830" s="18"/>
      <c r="BX830" s="1"/>
      <c r="BY830" s="18"/>
    </row>
    <row r="831" ht="15.75" customHeight="1">
      <c r="BI831" s="1"/>
      <c r="BJ831" s="18"/>
      <c r="BL831" s="1"/>
      <c r="BM831" s="18"/>
      <c r="BO831" s="1"/>
      <c r="BP831" s="18"/>
      <c r="BR831" s="1"/>
      <c r="BS831" s="18"/>
      <c r="BU831" s="1"/>
      <c r="BV831" s="18"/>
      <c r="BX831" s="1"/>
      <c r="BY831" s="18"/>
    </row>
    <row r="832" ht="15.75" customHeight="1">
      <c r="BI832" s="1"/>
      <c r="BJ832" s="18"/>
      <c r="BL832" s="1"/>
      <c r="BM832" s="18"/>
      <c r="BO832" s="1"/>
      <c r="BP832" s="18"/>
      <c r="BR832" s="1"/>
      <c r="BS832" s="18"/>
      <c r="BU832" s="1"/>
      <c r="BV832" s="18"/>
      <c r="BX832" s="1"/>
      <c r="BY832" s="18"/>
    </row>
    <row r="833" ht="15.75" customHeight="1">
      <c r="BI833" s="1"/>
      <c r="BJ833" s="18"/>
      <c r="BL833" s="1"/>
      <c r="BM833" s="18"/>
      <c r="BO833" s="1"/>
      <c r="BP833" s="18"/>
      <c r="BR833" s="1"/>
      <c r="BS833" s="18"/>
      <c r="BU833" s="1"/>
      <c r="BV833" s="18"/>
      <c r="BX833" s="1"/>
      <c r="BY833" s="18"/>
    </row>
    <row r="834" ht="15.75" customHeight="1">
      <c r="BI834" s="1"/>
      <c r="BJ834" s="18"/>
      <c r="BL834" s="1"/>
      <c r="BM834" s="18"/>
      <c r="BO834" s="1"/>
      <c r="BP834" s="18"/>
      <c r="BR834" s="1"/>
      <c r="BS834" s="18"/>
      <c r="BU834" s="1"/>
      <c r="BV834" s="18"/>
      <c r="BX834" s="1"/>
      <c r="BY834" s="18"/>
    </row>
    <row r="835" ht="15.75" customHeight="1">
      <c r="BI835" s="1"/>
      <c r="BJ835" s="18"/>
      <c r="BL835" s="1"/>
      <c r="BM835" s="18"/>
      <c r="BO835" s="1"/>
      <c r="BP835" s="18"/>
      <c r="BR835" s="1"/>
      <c r="BS835" s="18"/>
      <c r="BU835" s="1"/>
      <c r="BV835" s="18"/>
      <c r="BX835" s="1"/>
      <c r="BY835" s="18"/>
    </row>
    <row r="836" ht="15.75" customHeight="1">
      <c r="BI836" s="1"/>
      <c r="BJ836" s="18"/>
      <c r="BL836" s="1"/>
      <c r="BM836" s="18"/>
      <c r="BO836" s="1"/>
      <c r="BP836" s="18"/>
      <c r="BR836" s="1"/>
      <c r="BS836" s="18"/>
      <c r="BU836" s="1"/>
      <c r="BV836" s="18"/>
      <c r="BX836" s="1"/>
      <c r="BY836" s="18"/>
    </row>
    <row r="837" ht="15.75" customHeight="1">
      <c r="BI837" s="1"/>
      <c r="BJ837" s="18"/>
      <c r="BL837" s="1"/>
      <c r="BM837" s="18"/>
      <c r="BO837" s="1"/>
      <c r="BP837" s="18"/>
      <c r="BR837" s="1"/>
      <c r="BS837" s="18"/>
      <c r="BU837" s="1"/>
      <c r="BV837" s="18"/>
      <c r="BX837" s="1"/>
      <c r="BY837" s="18"/>
    </row>
    <row r="838" ht="15.75" customHeight="1">
      <c r="BI838" s="1"/>
      <c r="BJ838" s="18"/>
      <c r="BL838" s="1"/>
      <c r="BM838" s="18"/>
      <c r="BO838" s="1"/>
      <c r="BP838" s="18"/>
      <c r="BR838" s="1"/>
      <c r="BS838" s="18"/>
      <c r="BU838" s="1"/>
      <c r="BV838" s="18"/>
      <c r="BX838" s="1"/>
      <c r="BY838" s="18"/>
    </row>
    <row r="839" ht="15.75" customHeight="1">
      <c r="BI839" s="1"/>
      <c r="BJ839" s="18"/>
      <c r="BL839" s="1"/>
      <c r="BM839" s="18"/>
      <c r="BO839" s="1"/>
      <c r="BP839" s="18"/>
      <c r="BR839" s="1"/>
      <c r="BS839" s="18"/>
      <c r="BU839" s="1"/>
      <c r="BV839" s="18"/>
      <c r="BX839" s="1"/>
      <c r="BY839" s="18"/>
    </row>
    <row r="840" ht="15.75" customHeight="1">
      <c r="BI840" s="1"/>
      <c r="BJ840" s="18"/>
      <c r="BL840" s="1"/>
      <c r="BM840" s="18"/>
      <c r="BO840" s="1"/>
      <c r="BP840" s="18"/>
      <c r="BR840" s="1"/>
      <c r="BS840" s="18"/>
      <c r="BU840" s="1"/>
      <c r="BV840" s="18"/>
      <c r="BX840" s="1"/>
      <c r="BY840" s="18"/>
    </row>
    <row r="841" ht="15.75" customHeight="1">
      <c r="BI841" s="1"/>
      <c r="BJ841" s="18"/>
      <c r="BL841" s="1"/>
      <c r="BM841" s="18"/>
      <c r="BO841" s="1"/>
      <c r="BP841" s="18"/>
      <c r="BR841" s="1"/>
      <c r="BS841" s="18"/>
      <c r="BU841" s="1"/>
      <c r="BV841" s="18"/>
      <c r="BX841" s="1"/>
      <c r="BY841" s="18"/>
    </row>
    <row r="842" ht="15.75" customHeight="1">
      <c r="BI842" s="1"/>
      <c r="BJ842" s="18"/>
      <c r="BL842" s="1"/>
      <c r="BM842" s="18"/>
      <c r="BO842" s="1"/>
      <c r="BP842" s="18"/>
      <c r="BR842" s="1"/>
      <c r="BS842" s="18"/>
      <c r="BU842" s="1"/>
      <c r="BV842" s="18"/>
      <c r="BX842" s="1"/>
      <c r="BY842" s="18"/>
    </row>
    <row r="843" ht="15.75" customHeight="1">
      <c r="BI843" s="1"/>
      <c r="BJ843" s="18"/>
      <c r="BL843" s="1"/>
      <c r="BM843" s="18"/>
      <c r="BO843" s="1"/>
      <c r="BP843" s="18"/>
      <c r="BR843" s="1"/>
      <c r="BS843" s="18"/>
      <c r="BU843" s="1"/>
      <c r="BV843" s="18"/>
      <c r="BX843" s="1"/>
      <c r="BY843" s="18"/>
    </row>
    <row r="844" ht="15.75" customHeight="1">
      <c r="BI844" s="1"/>
      <c r="BJ844" s="18"/>
      <c r="BL844" s="1"/>
      <c r="BM844" s="18"/>
      <c r="BO844" s="1"/>
      <c r="BP844" s="18"/>
      <c r="BR844" s="1"/>
      <c r="BS844" s="18"/>
      <c r="BU844" s="1"/>
      <c r="BV844" s="18"/>
      <c r="BX844" s="1"/>
      <c r="BY844" s="18"/>
    </row>
    <row r="845" ht="15.75" customHeight="1">
      <c r="BI845" s="1"/>
      <c r="BJ845" s="18"/>
      <c r="BL845" s="1"/>
      <c r="BM845" s="18"/>
      <c r="BO845" s="1"/>
      <c r="BP845" s="18"/>
      <c r="BR845" s="1"/>
      <c r="BS845" s="18"/>
      <c r="BU845" s="1"/>
      <c r="BV845" s="18"/>
      <c r="BX845" s="1"/>
      <c r="BY845" s="18"/>
    </row>
    <row r="846" ht="15.75" customHeight="1">
      <c r="BI846" s="1"/>
      <c r="BJ846" s="18"/>
      <c r="BL846" s="1"/>
      <c r="BM846" s="18"/>
      <c r="BO846" s="1"/>
      <c r="BP846" s="18"/>
      <c r="BR846" s="1"/>
      <c r="BS846" s="18"/>
      <c r="BU846" s="1"/>
      <c r="BV846" s="18"/>
      <c r="BX846" s="1"/>
      <c r="BY846" s="18"/>
    </row>
    <row r="847" ht="15.75" customHeight="1">
      <c r="BI847" s="1"/>
      <c r="BJ847" s="18"/>
      <c r="BL847" s="1"/>
      <c r="BM847" s="18"/>
      <c r="BO847" s="1"/>
      <c r="BP847" s="18"/>
      <c r="BR847" s="1"/>
      <c r="BS847" s="18"/>
      <c r="BU847" s="1"/>
      <c r="BV847" s="18"/>
      <c r="BX847" s="1"/>
      <c r="BY847" s="18"/>
    </row>
    <row r="848" ht="15.75" customHeight="1">
      <c r="BI848" s="1"/>
      <c r="BJ848" s="18"/>
      <c r="BL848" s="1"/>
      <c r="BM848" s="18"/>
      <c r="BO848" s="1"/>
      <c r="BP848" s="18"/>
      <c r="BR848" s="1"/>
      <c r="BS848" s="18"/>
      <c r="BU848" s="1"/>
      <c r="BV848" s="18"/>
      <c r="BX848" s="1"/>
      <c r="BY848" s="18"/>
    </row>
    <row r="849" ht="15.75" customHeight="1">
      <c r="BI849" s="1"/>
      <c r="BJ849" s="18"/>
      <c r="BL849" s="1"/>
      <c r="BM849" s="18"/>
      <c r="BO849" s="1"/>
      <c r="BP849" s="18"/>
      <c r="BR849" s="1"/>
      <c r="BS849" s="18"/>
      <c r="BU849" s="1"/>
      <c r="BV849" s="18"/>
      <c r="BX849" s="1"/>
      <c r="BY849" s="18"/>
    </row>
    <row r="850" ht="15.75" customHeight="1">
      <c r="BI850" s="1"/>
      <c r="BJ850" s="18"/>
      <c r="BL850" s="1"/>
      <c r="BM850" s="18"/>
      <c r="BO850" s="1"/>
      <c r="BP850" s="18"/>
      <c r="BR850" s="1"/>
      <c r="BS850" s="18"/>
      <c r="BU850" s="1"/>
      <c r="BV850" s="18"/>
      <c r="BX850" s="1"/>
      <c r="BY850" s="18"/>
    </row>
    <row r="851" ht="15.75" customHeight="1">
      <c r="BI851" s="1"/>
      <c r="BJ851" s="18"/>
      <c r="BL851" s="1"/>
      <c r="BM851" s="18"/>
      <c r="BO851" s="1"/>
      <c r="BP851" s="18"/>
      <c r="BR851" s="1"/>
      <c r="BS851" s="18"/>
      <c r="BU851" s="1"/>
      <c r="BV851" s="18"/>
      <c r="BX851" s="1"/>
      <c r="BY851" s="18"/>
    </row>
    <row r="852" ht="15.75" customHeight="1">
      <c r="BI852" s="1"/>
      <c r="BJ852" s="18"/>
      <c r="BL852" s="1"/>
      <c r="BM852" s="18"/>
      <c r="BO852" s="1"/>
      <c r="BP852" s="18"/>
      <c r="BR852" s="1"/>
      <c r="BS852" s="18"/>
      <c r="BU852" s="1"/>
      <c r="BV852" s="18"/>
      <c r="BX852" s="1"/>
      <c r="BY852" s="18"/>
    </row>
    <row r="853" ht="15.75" customHeight="1">
      <c r="BI853" s="1"/>
      <c r="BJ853" s="18"/>
      <c r="BL853" s="1"/>
      <c r="BM853" s="18"/>
      <c r="BO853" s="1"/>
      <c r="BP853" s="18"/>
      <c r="BR853" s="1"/>
      <c r="BS853" s="18"/>
      <c r="BU853" s="1"/>
      <c r="BV853" s="18"/>
      <c r="BX853" s="1"/>
      <c r="BY853" s="18"/>
    </row>
    <row r="854" ht="15.75" customHeight="1">
      <c r="BI854" s="1"/>
      <c r="BJ854" s="18"/>
      <c r="BL854" s="1"/>
      <c r="BM854" s="18"/>
      <c r="BO854" s="1"/>
      <c r="BP854" s="18"/>
      <c r="BR854" s="1"/>
      <c r="BS854" s="18"/>
      <c r="BU854" s="1"/>
      <c r="BV854" s="18"/>
      <c r="BX854" s="1"/>
      <c r="BY854" s="18"/>
    </row>
    <row r="855" ht="15.75" customHeight="1">
      <c r="BI855" s="1"/>
      <c r="BJ855" s="18"/>
      <c r="BL855" s="1"/>
      <c r="BM855" s="18"/>
      <c r="BO855" s="1"/>
      <c r="BP855" s="18"/>
      <c r="BR855" s="1"/>
      <c r="BS855" s="18"/>
      <c r="BU855" s="1"/>
      <c r="BV855" s="18"/>
      <c r="BX855" s="1"/>
      <c r="BY855" s="18"/>
    </row>
    <row r="856" ht="15.75" customHeight="1">
      <c r="BI856" s="1"/>
      <c r="BJ856" s="18"/>
      <c r="BL856" s="1"/>
      <c r="BM856" s="18"/>
      <c r="BO856" s="1"/>
      <c r="BP856" s="18"/>
      <c r="BR856" s="1"/>
      <c r="BS856" s="18"/>
      <c r="BU856" s="1"/>
      <c r="BV856" s="18"/>
      <c r="BX856" s="1"/>
      <c r="BY856" s="18"/>
    </row>
    <row r="857" ht="15.75" customHeight="1">
      <c r="BI857" s="1"/>
      <c r="BJ857" s="18"/>
      <c r="BL857" s="1"/>
      <c r="BM857" s="18"/>
      <c r="BO857" s="1"/>
      <c r="BP857" s="18"/>
      <c r="BR857" s="1"/>
      <c r="BS857" s="18"/>
      <c r="BU857" s="1"/>
      <c r="BV857" s="18"/>
      <c r="BX857" s="1"/>
      <c r="BY857" s="18"/>
    </row>
    <row r="858" ht="15.75" customHeight="1">
      <c r="BI858" s="1"/>
      <c r="BJ858" s="18"/>
      <c r="BL858" s="1"/>
      <c r="BM858" s="18"/>
      <c r="BO858" s="1"/>
      <c r="BP858" s="18"/>
      <c r="BR858" s="1"/>
      <c r="BS858" s="18"/>
      <c r="BU858" s="1"/>
      <c r="BV858" s="18"/>
      <c r="BX858" s="1"/>
      <c r="BY858" s="18"/>
    </row>
    <row r="859" ht="15.75" customHeight="1">
      <c r="BI859" s="1"/>
      <c r="BJ859" s="18"/>
      <c r="BL859" s="1"/>
      <c r="BM859" s="18"/>
      <c r="BO859" s="1"/>
      <c r="BP859" s="18"/>
      <c r="BR859" s="1"/>
      <c r="BS859" s="18"/>
      <c r="BU859" s="1"/>
      <c r="BV859" s="18"/>
      <c r="BX859" s="1"/>
      <c r="BY859" s="18"/>
    </row>
    <row r="860" ht="15.75" customHeight="1">
      <c r="BI860" s="1"/>
      <c r="BJ860" s="18"/>
      <c r="BL860" s="1"/>
      <c r="BM860" s="18"/>
      <c r="BO860" s="1"/>
      <c r="BP860" s="18"/>
      <c r="BR860" s="1"/>
      <c r="BS860" s="18"/>
      <c r="BU860" s="1"/>
      <c r="BV860" s="18"/>
      <c r="BX860" s="1"/>
      <c r="BY860" s="18"/>
    </row>
    <row r="861" ht="15.75" customHeight="1">
      <c r="BI861" s="1"/>
      <c r="BJ861" s="18"/>
      <c r="BL861" s="1"/>
      <c r="BM861" s="18"/>
      <c r="BO861" s="1"/>
      <c r="BP861" s="18"/>
      <c r="BR861" s="1"/>
      <c r="BS861" s="18"/>
      <c r="BU861" s="1"/>
      <c r="BV861" s="18"/>
      <c r="BX861" s="1"/>
      <c r="BY861" s="18"/>
    </row>
    <row r="862" ht="15.75" customHeight="1">
      <c r="BI862" s="1"/>
      <c r="BJ862" s="18"/>
      <c r="BL862" s="1"/>
      <c r="BM862" s="18"/>
      <c r="BO862" s="1"/>
      <c r="BP862" s="18"/>
      <c r="BR862" s="1"/>
      <c r="BS862" s="18"/>
      <c r="BU862" s="1"/>
      <c r="BV862" s="18"/>
      <c r="BX862" s="1"/>
      <c r="BY862" s="18"/>
    </row>
    <row r="863" ht="15.75" customHeight="1">
      <c r="BI863" s="1"/>
      <c r="BJ863" s="18"/>
      <c r="BL863" s="1"/>
      <c r="BM863" s="18"/>
      <c r="BO863" s="1"/>
      <c r="BP863" s="18"/>
      <c r="BR863" s="1"/>
      <c r="BS863" s="18"/>
      <c r="BU863" s="1"/>
      <c r="BV863" s="18"/>
      <c r="BX863" s="1"/>
      <c r="BY863" s="18"/>
    </row>
    <row r="864" ht="15.75" customHeight="1">
      <c r="BI864" s="1"/>
      <c r="BJ864" s="18"/>
      <c r="BL864" s="1"/>
      <c r="BM864" s="18"/>
      <c r="BO864" s="1"/>
      <c r="BP864" s="18"/>
      <c r="BR864" s="1"/>
      <c r="BS864" s="18"/>
      <c r="BU864" s="1"/>
      <c r="BV864" s="18"/>
      <c r="BX864" s="1"/>
      <c r="BY864" s="18"/>
    </row>
    <row r="865" ht="15.75" customHeight="1">
      <c r="BI865" s="1"/>
      <c r="BJ865" s="18"/>
      <c r="BL865" s="1"/>
      <c r="BM865" s="18"/>
      <c r="BO865" s="1"/>
      <c r="BP865" s="18"/>
      <c r="BR865" s="1"/>
      <c r="BS865" s="18"/>
      <c r="BU865" s="1"/>
      <c r="BV865" s="18"/>
      <c r="BX865" s="1"/>
      <c r="BY865" s="18"/>
    </row>
    <row r="866" ht="15.75" customHeight="1">
      <c r="BI866" s="1"/>
      <c r="BJ866" s="18"/>
      <c r="BL866" s="1"/>
      <c r="BM866" s="18"/>
      <c r="BO866" s="1"/>
      <c r="BP866" s="18"/>
      <c r="BR866" s="1"/>
      <c r="BS866" s="18"/>
      <c r="BU866" s="1"/>
      <c r="BV866" s="18"/>
      <c r="BX866" s="1"/>
      <c r="BY866" s="18"/>
    </row>
    <row r="867" ht="15.75" customHeight="1">
      <c r="BI867" s="1"/>
      <c r="BJ867" s="18"/>
      <c r="BL867" s="1"/>
      <c r="BM867" s="18"/>
      <c r="BO867" s="1"/>
      <c r="BP867" s="18"/>
      <c r="BR867" s="1"/>
      <c r="BS867" s="18"/>
      <c r="BU867" s="1"/>
      <c r="BV867" s="18"/>
      <c r="BX867" s="1"/>
      <c r="BY867" s="18"/>
    </row>
    <row r="868" ht="15.75" customHeight="1">
      <c r="BI868" s="1"/>
      <c r="BJ868" s="18"/>
      <c r="BL868" s="1"/>
      <c r="BM868" s="18"/>
      <c r="BO868" s="1"/>
      <c r="BP868" s="18"/>
      <c r="BR868" s="1"/>
      <c r="BS868" s="18"/>
      <c r="BU868" s="1"/>
      <c r="BV868" s="18"/>
      <c r="BX868" s="1"/>
      <c r="BY868" s="18"/>
    </row>
    <row r="869" ht="15.75" customHeight="1">
      <c r="BI869" s="1"/>
      <c r="BJ869" s="18"/>
      <c r="BL869" s="1"/>
      <c r="BM869" s="18"/>
      <c r="BO869" s="1"/>
      <c r="BP869" s="18"/>
      <c r="BR869" s="1"/>
      <c r="BS869" s="18"/>
      <c r="BU869" s="1"/>
      <c r="BV869" s="18"/>
      <c r="BX869" s="1"/>
      <c r="BY869" s="18"/>
    </row>
    <row r="870" ht="15.75" customHeight="1">
      <c r="BI870" s="1"/>
      <c r="BJ870" s="18"/>
      <c r="BL870" s="1"/>
      <c r="BM870" s="18"/>
      <c r="BO870" s="1"/>
      <c r="BP870" s="18"/>
      <c r="BR870" s="1"/>
      <c r="BS870" s="18"/>
      <c r="BU870" s="1"/>
      <c r="BV870" s="18"/>
      <c r="BX870" s="1"/>
      <c r="BY870" s="18"/>
    </row>
    <row r="871" ht="15.75" customHeight="1">
      <c r="BI871" s="1"/>
      <c r="BJ871" s="18"/>
      <c r="BL871" s="1"/>
      <c r="BM871" s="18"/>
      <c r="BO871" s="1"/>
      <c r="BP871" s="18"/>
      <c r="BR871" s="1"/>
      <c r="BS871" s="18"/>
      <c r="BU871" s="1"/>
      <c r="BV871" s="18"/>
      <c r="BX871" s="1"/>
      <c r="BY871" s="18"/>
    </row>
    <row r="872" ht="15.75" customHeight="1">
      <c r="BI872" s="1"/>
      <c r="BJ872" s="18"/>
      <c r="BL872" s="1"/>
      <c r="BM872" s="18"/>
      <c r="BO872" s="1"/>
      <c r="BP872" s="18"/>
      <c r="BR872" s="1"/>
      <c r="BS872" s="18"/>
      <c r="BU872" s="1"/>
      <c r="BV872" s="18"/>
      <c r="BX872" s="1"/>
      <c r="BY872" s="18"/>
    </row>
    <row r="873" ht="15.75" customHeight="1">
      <c r="BI873" s="1"/>
      <c r="BJ873" s="18"/>
      <c r="BL873" s="1"/>
      <c r="BM873" s="18"/>
      <c r="BO873" s="1"/>
      <c r="BP873" s="18"/>
      <c r="BR873" s="1"/>
      <c r="BS873" s="18"/>
      <c r="BU873" s="1"/>
      <c r="BV873" s="18"/>
      <c r="BX873" s="1"/>
      <c r="BY873" s="18"/>
    </row>
    <row r="874" ht="15.75" customHeight="1">
      <c r="BI874" s="1"/>
      <c r="BJ874" s="18"/>
      <c r="BL874" s="1"/>
      <c r="BM874" s="18"/>
      <c r="BO874" s="1"/>
      <c r="BP874" s="18"/>
      <c r="BR874" s="1"/>
      <c r="BS874" s="18"/>
      <c r="BU874" s="1"/>
      <c r="BV874" s="18"/>
      <c r="BX874" s="1"/>
      <c r="BY874" s="18"/>
    </row>
    <row r="875" ht="15.75" customHeight="1">
      <c r="BI875" s="1"/>
      <c r="BJ875" s="18"/>
      <c r="BL875" s="1"/>
      <c r="BM875" s="18"/>
      <c r="BO875" s="1"/>
      <c r="BP875" s="18"/>
      <c r="BR875" s="1"/>
      <c r="BS875" s="18"/>
      <c r="BU875" s="1"/>
      <c r="BV875" s="18"/>
      <c r="BX875" s="1"/>
      <c r="BY875" s="18"/>
    </row>
    <row r="876" ht="15.75" customHeight="1">
      <c r="BI876" s="1"/>
      <c r="BJ876" s="18"/>
      <c r="BL876" s="1"/>
      <c r="BM876" s="18"/>
      <c r="BO876" s="1"/>
      <c r="BP876" s="18"/>
      <c r="BR876" s="1"/>
      <c r="BS876" s="18"/>
      <c r="BU876" s="1"/>
      <c r="BV876" s="18"/>
      <c r="BX876" s="1"/>
      <c r="BY876" s="18"/>
    </row>
    <row r="877" ht="15.75" customHeight="1">
      <c r="BI877" s="1"/>
      <c r="BJ877" s="18"/>
      <c r="BL877" s="1"/>
      <c r="BM877" s="18"/>
      <c r="BO877" s="1"/>
      <c r="BP877" s="18"/>
      <c r="BR877" s="1"/>
      <c r="BS877" s="18"/>
      <c r="BU877" s="1"/>
      <c r="BV877" s="18"/>
      <c r="BX877" s="1"/>
      <c r="BY877" s="18"/>
    </row>
    <row r="878" ht="15.75" customHeight="1">
      <c r="BI878" s="1"/>
      <c r="BJ878" s="18"/>
      <c r="BL878" s="1"/>
      <c r="BM878" s="18"/>
      <c r="BO878" s="1"/>
      <c r="BP878" s="18"/>
      <c r="BR878" s="1"/>
      <c r="BS878" s="18"/>
      <c r="BU878" s="1"/>
      <c r="BV878" s="18"/>
      <c r="BX878" s="1"/>
      <c r="BY878" s="18"/>
    </row>
    <row r="879" ht="15.75" customHeight="1">
      <c r="BI879" s="1"/>
      <c r="BJ879" s="18"/>
      <c r="BL879" s="1"/>
      <c r="BM879" s="18"/>
      <c r="BO879" s="1"/>
      <c r="BP879" s="18"/>
      <c r="BR879" s="1"/>
      <c r="BS879" s="18"/>
      <c r="BU879" s="1"/>
      <c r="BV879" s="18"/>
      <c r="BX879" s="1"/>
      <c r="BY879" s="18"/>
    </row>
    <row r="880" ht="15.75" customHeight="1">
      <c r="BI880" s="1"/>
      <c r="BJ880" s="18"/>
      <c r="BL880" s="1"/>
      <c r="BM880" s="18"/>
      <c r="BO880" s="1"/>
      <c r="BP880" s="18"/>
      <c r="BR880" s="1"/>
      <c r="BS880" s="18"/>
      <c r="BU880" s="1"/>
      <c r="BV880" s="18"/>
      <c r="BX880" s="1"/>
      <c r="BY880" s="18"/>
    </row>
    <row r="881" ht="15.75" customHeight="1">
      <c r="BI881" s="1"/>
      <c r="BJ881" s="18"/>
      <c r="BL881" s="1"/>
      <c r="BM881" s="18"/>
      <c r="BO881" s="1"/>
      <c r="BP881" s="18"/>
      <c r="BR881" s="1"/>
      <c r="BS881" s="18"/>
      <c r="BU881" s="1"/>
      <c r="BV881" s="18"/>
      <c r="BX881" s="1"/>
      <c r="BY881" s="18"/>
    </row>
    <row r="882" ht="15.75" customHeight="1">
      <c r="BI882" s="1"/>
      <c r="BJ882" s="18"/>
      <c r="BL882" s="1"/>
      <c r="BM882" s="18"/>
      <c r="BO882" s="1"/>
      <c r="BP882" s="18"/>
      <c r="BR882" s="1"/>
      <c r="BS882" s="18"/>
      <c r="BU882" s="1"/>
      <c r="BV882" s="18"/>
      <c r="BX882" s="1"/>
      <c r="BY882" s="18"/>
    </row>
    <row r="883" ht="15.75" customHeight="1">
      <c r="BI883" s="1"/>
      <c r="BJ883" s="18"/>
      <c r="BL883" s="1"/>
      <c r="BM883" s="18"/>
      <c r="BO883" s="1"/>
      <c r="BP883" s="18"/>
      <c r="BR883" s="1"/>
      <c r="BS883" s="18"/>
      <c r="BU883" s="1"/>
      <c r="BV883" s="18"/>
      <c r="BX883" s="1"/>
      <c r="BY883" s="18"/>
    </row>
    <row r="884" ht="15.75" customHeight="1">
      <c r="BI884" s="1"/>
      <c r="BJ884" s="18"/>
      <c r="BL884" s="1"/>
      <c r="BM884" s="18"/>
      <c r="BO884" s="1"/>
      <c r="BP884" s="18"/>
      <c r="BR884" s="1"/>
      <c r="BS884" s="18"/>
      <c r="BU884" s="1"/>
      <c r="BV884" s="18"/>
      <c r="BX884" s="1"/>
      <c r="BY884" s="18"/>
    </row>
    <row r="885" ht="15.75" customHeight="1">
      <c r="BI885" s="1"/>
      <c r="BJ885" s="18"/>
      <c r="BL885" s="1"/>
      <c r="BM885" s="18"/>
      <c r="BO885" s="1"/>
      <c r="BP885" s="18"/>
      <c r="BR885" s="1"/>
      <c r="BS885" s="18"/>
      <c r="BU885" s="1"/>
      <c r="BV885" s="18"/>
      <c r="BX885" s="1"/>
      <c r="BY885" s="18"/>
    </row>
    <row r="886" ht="15.75" customHeight="1">
      <c r="BI886" s="1"/>
      <c r="BJ886" s="18"/>
      <c r="BL886" s="1"/>
      <c r="BM886" s="18"/>
      <c r="BO886" s="1"/>
      <c r="BP886" s="18"/>
      <c r="BR886" s="1"/>
      <c r="BS886" s="18"/>
      <c r="BU886" s="1"/>
      <c r="BV886" s="18"/>
      <c r="BX886" s="1"/>
      <c r="BY886" s="18"/>
    </row>
    <row r="887" ht="15.75" customHeight="1">
      <c r="BI887" s="1"/>
      <c r="BJ887" s="18"/>
      <c r="BL887" s="1"/>
      <c r="BM887" s="18"/>
      <c r="BO887" s="1"/>
      <c r="BP887" s="18"/>
      <c r="BR887" s="1"/>
      <c r="BS887" s="18"/>
      <c r="BU887" s="1"/>
      <c r="BV887" s="18"/>
      <c r="BX887" s="1"/>
      <c r="BY887" s="18"/>
    </row>
    <row r="888" ht="15.75" customHeight="1">
      <c r="BI888" s="1"/>
      <c r="BJ888" s="18"/>
      <c r="BL888" s="1"/>
      <c r="BM888" s="18"/>
      <c r="BO888" s="1"/>
      <c r="BP888" s="18"/>
      <c r="BR888" s="1"/>
      <c r="BS888" s="18"/>
      <c r="BU888" s="1"/>
      <c r="BV888" s="18"/>
      <c r="BX888" s="1"/>
      <c r="BY888" s="18"/>
    </row>
    <row r="889" ht="15.75" customHeight="1">
      <c r="BI889" s="1"/>
      <c r="BJ889" s="18"/>
      <c r="BL889" s="1"/>
      <c r="BM889" s="18"/>
      <c r="BO889" s="1"/>
      <c r="BP889" s="18"/>
      <c r="BR889" s="1"/>
      <c r="BS889" s="18"/>
      <c r="BU889" s="1"/>
      <c r="BV889" s="18"/>
      <c r="BX889" s="1"/>
      <c r="BY889" s="18"/>
    </row>
    <row r="890" ht="15.75" customHeight="1">
      <c r="BI890" s="1"/>
      <c r="BJ890" s="18"/>
      <c r="BL890" s="1"/>
      <c r="BM890" s="18"/>
      <c r="BO890" s="1"/>
      <c r="BP890" s="18"/>
      <c r="BR890" s="1"/>
      <c r="BS890" s="18"/>
      <c r="BU890" s="1"/>
      <c r="BV890" s="18"/>
      <c r="BX890" s="1"/>
      <c r="BY890" s="18"/>
    </row>
    <row r="891" ht="15.75" customHeight="1">
      <c r="BI891" s="1"/>
      <c r="BJ891" s="18"/>
      <c r="BL891" s="1"/>
      <c r="BM891" s="18"/>
      <c r="BO891" s="1"/>
      <c r="BP891" s="18"/>
      <c r="BR891" s="1"/>
      <c r="BS891" s="18"/>
      <c r="BU891" s="1"/>
      <c r="BV891" s="18"/>
      <c r="BX891" s="1"/>
      <c r="BY891" s="18"/>
    </row>
    <row r="892" ht="15.75" customHeight="1">
      <c r="BI892" s="1"/>
      <c r="BJ892" s="18"/>
      <c r="BL892" s="1"/>
      <c r="BM892" s="18"/>
      <c r="BO892" s="1"/>
      <c r="BP892" s="18"/>
      <c r="BR892" s="1"/>
      <c r="BS892" s="18"/>
      <c r="BU892" s="1"/>
      <c r="BV892" s="18"/>
      <c r="BX892" s="1"/>
      <c r="BY892" s="18"/>
    </row>
    <row r="893" ht="15.75" customHeight="1">
      <c r="BI893" s="1"/>
      <c r="BJ893" s="18"/>
      <c r="BL893" s="1"/>
      <c r="BM893" s="18"/>
      <c r="BO893" s="1"/>
      <c r="BP893" s="18"/>
      <c r="BR893" s="1"/>
      <c r="BS893" s="18"/>
      <c r="BU893" s="1"/>
      <c r="BV893" s="18"/>
      <c r="BX893" s="1"/>
      <c r="BY893" s="18"/>
    </row>
    <row r="894" ht="15.75" customHeight="1">
      <c r="BI894" s="1"/>
      <c r="BJ894" s="18"/>
      <c r="BL894" s="1"/>
      <c r="BM894" s="18"/>
      <c r="BO894" s="1"/>
      <c r="BP894" s="18"/>
      <c r="BR894" s="1"/>
      <c r="BS894" s="18"/>
      <c r="BU894" s="1"/>
      <c r="BV894" s="18"/>
      <c r="BX894" s="1"/>
      <c r="BY894" s="18"/>
    </row>
    <row r="895" ht="15.75" customHeight="1">
      <c r="BI895" s="1"/>
      <c r="BJ895" s="18"/>
      <c r="BL895" s="1"/>
      <c r="BM895" s="18"/>
      <c r="BO895" s="1"/>
      <c r="BP895" s="18"/>
      <c r="BR895" s="1"/>
      <c r="BS895" s="18"/>
      <c r="BU895" s="1"/>
      <c r="BV895" s="18"/>
      <c r="BX895" s="1"/>
      <c r="BY895" s="18"/>
    </row>
    <row r="896" ht="15.75" customHeight="1">
      <c r="BI896" s="1"/>
      <c r="BJ896" s="18"/>
      <c r="BL896" s="1"/>
      <c r="BM896" s="18"/>
      <c r="BO896" s="1"/>
      <c r="BP896" s="18"/>
      <c r="BR896" s="1"/>
      <c r="BS896" s="18"/>
      <c r="BU896" s="1"/>
      <c r="BV896" s="18"/>
      <c r="BX896" s="1"/>
      <c r="BY896" s="18"/>
    </row>
    <row r="897" ht="15.75" customHeight="1">
      <c r="BI897" s="1"/>
      <c r="BJ897" s="18"/>
      <c r="BL897" s="1"/>
      <c r="BM897" s="18"/>
      <c r="BO897" s="1"/>
      <c r="BP897" s="18"/>
      <c r="BR897" s="1"/>
      <c r="BS897" s="18"/>
      <c r="BU897" s="1"/>
      <c r="BV897" s="18"/>
      <c r="BX897" s="1"/>
      <c r="BY897" s="18"/>
    </row>
    <row r="898" ht="15.75" customHeight="1">
      <c r="BI898" s="1"/>
      <c r="BJ898" s="18"/>
      <c r="BL898" s="1"/>
      <c r="BM898" s="18"/>
      <c r="BO898" s="1"/>
      <c r="BP898" s="18"/>
      <c r="BR898" s="1"/>
      <c r="BS898" s="18"/>
      <c r="BU898" s="1"/>
      <c r="BV898" s="18"/>
      <c r="BX898" s="1"/>
      <c r="BY898" s="18"/>
    </row>
    <row r="899" ht="15.75" customHeight="1">
      <c r="BI899" s="1"/>
      <c r="BJ899" s="18"/>
      <c r="BL899" s="1"/>
      <c r="BM899" s="18"/>
      <c r="BO899" s="1"/>
      <c r="BP899" s="18"/>
      <c r="BR899" s="1"/>
      <c r="BS899" s="18"/>
      <c r="BU899" s="1"/>
      <c r="BV899" s="18"/>
      <c r="BX899" s="1"/>
      <c r="BY899" s="18"/>
    </row>
    <row r="900" ht="15.75" customHeight="1">
      <c r="BI900" s="1"/>
      <c r="BJ900" s="18"/>
      <c r="BL900" s="1"/>
      <c r="BM900" s="18"/>
      <c r="BO900" s="1"/>
      <c r="BP900" s="18"/>
      <c r="BR900" s="1"/>
      <c r="BS900" s="18"/>
      <c r="BU900" s="1"/>
      <c r="BV900" s="18"/>
      <c r="BX900" s="1"/>
      <c r="BY900" s="18"/>
    </row>
    <row r="901" ht="15.75" customHeight="1">
      <c r="BI901" s="1"/>
      <c r="BJ901" s="18"/>
      <c r="BL901" s="1"/>
      <c r="BM901" s="18"/>
      <c r="BO901" s="1"/>
      <c r="BP901" s="18"/>
      <c r="BR901" s="1"/>
      <c r="BS901" s="18"/>
      <c r="BU901" s="1"/>
      <c r="BV901" s="18"/>
      <c r="BX901" s="1"/>
      <c r="BY901" s="18"/>
    </row>
    <row r="902" ht="15.75" customHeight="1">
      <c r="BI902" s="1"/>
      <c r="BJ902" s="18"/>
      <c r="BL902" s="1"/>
      <c r="BM902" s="18"/>
      <c r="BO902" s="1"/>
      <c r="BP902" s="18"/>
      <c r="BR902" s="1"/>
      <c r="BS902" s="18"/>
      <c r="BU902" s="1"/>
      <c r="BV902" s="18"/>
      <c r="BX902" s="1"/>
      <c r="BY902" s="18"/>
    </row>
    <row r="903" ht="15.75" customHeight="1">
      <c r="BI903" s="1"/>
      <c r="BJ903" s="18"/>
      <c r="BL903" s="1"/>
      <c r="BM903" s="18"/>
      <c r="BO903" s="1"/>
      <c r="BP903" s="18"/>
      <c r="BR903" s="1"/>
      <c r="BS903" s="18"/>
      <c r="BU903" s="1"/>
      <c r="BV903" s="18"/>
      <c r="BX903" s="1"/>
      <c r="BY903" s="18"/>
    </row>
    <row r="904" ht="15.75" customHeight="1">
      <c r="BI904" s="1"/>
      <c r="BJ904" s="18"/>
      <c r="BL904" s="1"/>
      <c r="BM904" s="18"/>
      <c r="BO904" s="1"/>
      <c r="BP904" s="18"/>
      <c r="BR904" s="1"/>
      <c r="BS904" s="18"/>
      <c r="BU904" s="1"/>
      <c r="BV904" s="18"/>
      <c r="BX904" s="1"/>
      <c r="BY904" s="18"/>
    </row>
    <row r="905" ht="15.75" customHeight="1">
      <c r="BI905" s="1"/>
      <c r="BJ905" s="18"/>
      <c r="BL905" s="1"/>
      <c r="BM905" s="18"/>
      <c r="BO905" s="1"/>
      <c r="BP905" s="18"/>
      <c r="BR905" s="1"/>
      <c r="BS905" s="18"/>
      <c r="BU905" s="1"/>
      <c r="BV905" s="18"/>
      <c r="BX905" s="1"/>
      <c r="BY905" s="18"/>
    </row>
    <row r="906" ht="15.75" customHeight="1">
      <c r="BI906" s="1"/>
      <c r="BJ906" s="18"/>
      <c r="BL906" s="1"/>
      <c r="BM906" s="18"/>
      <c r="BO906" s="1"/>
      <c r="BP906" s="18"/>
      <c r="BR906" s="1"/>
      <c r="BS906" s="18"/>
      <c r="BU906" s="1"/>
      <c r="BV906" s="18"/>
      <c r="BX906" s="1"/>
      <c r="BY906" s="18"/>
    </row>
    <row r="907" ht="15.75" customHeight="1">
      <c r="BI907" s="1"/>
      <c r="BJ907" s="18"/>
      <c r="BL907" s="1"/>
      <c r="BM907" s="18"/>
      <c r="BO907" s="1"/>
      <c r="BP907" s="18"/>
      <c r="BR907" s="1"/>
      <c r="BS907" s="18"/>
      <c r="BU907" s="1"/>
      <c r="BV907" s="18"/>
      <c r="BX907" s="1"/>
      <c r="BY907" s="18"/>
    </row>
    <row r="908" ht="15.75" customHeight="1">
      <c r="BI908" s="1"/>
      <c r="BJ908" s="18"/>
      <c r="BL908" s="1"/>
      <c r="BM908" s="18"/>
      <c r="BO908" s="1"/>
      <c r="BP908" s="18"/>
      <c r="BR908" s="1"/>
      <c r="BS908" s="18"/>
      <c r="BU908" s="1"/>
      <c r="BV908" s="18"/>
      <c r="BX908" s="1"/>
      <c r="BY908" s="18"/>
    </row>
    <row r="909" ht="15.75" customHeight="1">
      <c r="BI909" s="1"/>
      <c r="BJ909" s="18"/>
      <c r="BL909" s="1"/>
      <c r="BM909" s="18"/>
      <c r="BO909" s="1"/>
      <c r="BP909" s="18"/>
      <c r="BR909" s="1"/>
      <c r="BS909" s="18"/>
      <c r="BU909" s="1"/>
      <c r="BV909" s="18"/>
      <c r="BX909" s="1"/>
      <c r="BY909" s="18"/>
    </row>
    <row r="910" ht="15.75" customHeight="1">
      <c r="BI910" s="1"/>
      <c r="BJ910" s="18"/>
      <c r="BL910" s="1"/>
      <c r="BM910" s="18"/>
      <c r="BO910" s="1"/>
      <c r="BP910" s="18"/>
      <c r="BR910" s="1"/>
      <c r="BS910" s="18"/>
      <c r="BU910" s="1"/>
      <c r="BV910" s="18"/>
      <c r="BX910" s="1"/>
      <c r="BY910" s="18"/>
    </row>
    <row r="911" ht="15.75" customHeight="1">
      <c r="BI911" s="1"/>
      <c r="BJ911" s="18"/>
      <c r="BL911" s="1"/>
      <c r="BM911" s="18"/>
      <c r="BO911" s="1"/>
      <c r="BP911" s="18"/>
      <c r="BR911" s="1"/>
      <c r="BS911" s="18"/>
      <c r="BU911" s="1"/>
      <c r="BV911" s="18"/>
      <c r="BX911" s="1"/>
      <c r="BY911" s="18"/>
    </row>
    <row r="912" ht="15.75" customHeight="1">
      <c r="BI912" s="1"/>
      <c r="BJ912" s="18"/>
      <c r="BL912" s="1"/>
      <c r="BM912" s="18"/>
      <c r="BO912" s="1"/>
      <c r="BP912" s="18"/>
      <c r="BR912" s="1"/>
      <c r="BS912" s="18"/>
      <c r="BU912" s="1"/>
      <c r="BV912" s="18"/>
      <c r="BX912" s="1"/>
      <c r="BY912" s="18"/>
    </row>
    <row r="913" ht="15.75" customHeight="1">
      <c r="BI913" s="1"/>
      <c r="BJ913" s="18"/>
      <c r="BL913" s="1"/>
      <c r="BM913" s="18"/>
      <c r="BO913" s="1"/>
      <c r="BP913" s="18"/>
      <c r="BR913" s="1"/>
      <c r="BS913" s="18"/>
      <c r="BU913" s="1"/>
      <c r="BV913" s="18"/>
      <c r="BX913" s="1"/>
      <c r="BY913" s="18"/>
    </row>
    <row r="914" ht="15.75" customHeight="1">
      <c r="BI914" s="1"/>
      <c r="BJ914" s="18"/>
      <c r="BL914" s="1"/>
      <c r="BM914" s="18"/>
      <c r="BO914" s="1"/>
      <c r="BP914" s="18"/>
      <c r="BR914" s="1"/>
      <c r="BS914" s="18"/>
      <c r="BU914" s="1"/>
      <c r="BV914" s="18"/>
      <c r="BX914" s="1"/>
      <c r="BY914" s="18"/>
    </row>
    <row r="915" ht="15.75" customHeight="1">
      <c r="BI915" s="1"/>
      <c r="BJ915" s="18"/>
      <c r="BL915" s="1"/>
      <c r="BM915" s="18"/>
      <c r="BO915" s="1"/>
      <c r="BP915" s="18"/>
      <c r="BR915" s="1"/>
      <c r="BS915" s="18"/>
      <c r="BU915" s="1"/>
      <c r="BV915" s="18"/>
      <c r="BX915" s="1"/>
      <c r="BY915" s="18"/>
    </row>
    <row r="916" ht="15.75" customHeight="1">
      <c r="BI916" s="1"/>
      <c r="BJ916" s="18"/>
      <c r="BL916" s="1"/>
      <c r="BM916" s="18"/>
      <c r="BO916" s="1"/>
      <c r="BP916" s="18"/>
      <c r="BR916" s="1"/>
      <c r="BS916" s="18"/>
      <c r="BU916" s="1"/>
      <c r="BV916" s="18"/>
      <c r="BX916" s="1"/>
      <c r="BY916" s="18"/>
    </row>
    <row r="917" ht="15.75" customHeight="1">
      <c r="BI917" s="1"/>
      <c r="BJ917" s="18"/>
      <c r="BL917" s="1"/>
      <c r="BM917" s="18"/>
      <c r="BO917" s="1"/>
      <c r="BP917" s="18"/>
      <c r="BR917" s="1"/>
      <c r="BS917" s="18"/>
      <c r="BU917" s="1"/>
      <c r="BV917" s="18"/>
      <c r="BX917" s="1"/>
      <c r="BY917" s="18"/>
    </row>
    <row r="918" ht="15.75" customHeight="1">
      <c r="BI918" s="1"/>
      <c r="BJ918" s="18"/>
      <c r="BL918" s="1"/>
      <c r="BM918" s="18"/>
      <c r="BO918" s="1"/>
      <c r="BP918" s="18"/>
      <c r="BR918" s="1"/>
      <c r="BS918" s="18"/>
      <c r="BU918" s="1"/>
      <c r="BV918" s="18"/>
      <c r="BX918" s="1"/>
      <c r="BY918" s="18"/>
    </row>
    <row r="919" ht="15.75" customHeight="1">
      <c r="BI919" s="1"/>
      <c r="BJ919" s="18"/>
      <c r="BL919" s="1"/>
      <c r="BM919" s="18"/>
      <c r="BO919" s="1"/>
      <c r="BP919" s="18"/>
      <c r="BR919" s="1"/>
      <c r="BS919" s="18"/>
      <c r="BU919" s="1"/>
      <c r="BV919" s="18"/>
      <c r="BX919" s="1"/>
      <c r="BY919" s="18"/>
    </row>
    <row r="920" ht="15.75" customHeight="1">
      <c r="BI920" s="1"/>
      <c r="BJ920" s="18"/>
      <c r="BL920" s="1"/>
      <c r="BM920" s="18"/>
      <c r="BO920" s="1"/>
      <c r="BP920" s="18"/>
      <c r="BR920" s="1"/>
      <c r="BS920" s="18"/>
      <c r="BU920" s="1"/>
      <c r="BV920" s="18"/>
      <c r="BX920" s="1"/>
      <c r="BY920" s="18"/>
    </row>
    <row r="921" ht="15.75" customHeight="1">
      <c r="BI921" s="1"/>
      <c r="BJ921" s="18"/>
      <c r="BL921" s="1"/>
      <c r="BM921" s="18"/>
      <c r="BO921" s="1"/>
      <c r="BP921" s="18"/>
      <c r="BR921" s="1"/>
      <c r="BS921" s="18"/>
      <c r="BU921" s="1"/>
      <c r="BV921" s="18"/>
      <c r="BX921" s="1"/>
      <c r="BY921" s="18"/>
    </row>
    <row r="922" ht="15.75" customHeight="1">
      <c r="BI922" s="1"/>
      <c r="BJ922" s="18"/>
      <c r="BL922" s="1"/>
      <c r="BM922" s="18"/>
      <c r="BO922" s="1"/>
      <c r="BP922" s="18"/>
      <c r="BR922" s="1"/>
      <c r="BS922" s="18"/>
      <c r="BU922" s="1"/>
      <c r="BV922" s="18"/>
      <c r="BX922" s="1"/>
      <c r="BY922" s="18"/>
    </row>
    <row r="923" ht="15.75" customHeight="1">
      <c r="BI923" s="1"/>
      <c r="BJ923" s="18"/>
      <c r="BL923" s="1"/>
      <c r="BM923" s="18"/>
      <c r="BO923" s="1"/>
      <c r="BP923" s="18"/>
      <c r="BR923" s="1"/>
      <c r="BS923" s="18"/>
      <c r="BU923" s="1"/>
      <c r="BV923" s="18"/>
      <c r="BX923" s="1"/>
      <c r="BY923" s="18"/>
    </row>
    <row r="924" ht="15.75" customHeight="1">
      <c r="BI924" s="1"/>
      <c r="BJ924" s="18"/>
      <c r="BL924" s="1"/>
      <c r="BM924" s="18"/>
      <c r="BO924" s="1"/>
      <c r="BP924" s="18"/>
      <c r="BR924" s="1"/>
      <c r="BS924" s="18"/>
      <c r="BU924" s="1"/>
      <c r="BV924" s="18"/>
      <c r="BX924" s="1"/>
      <c r="BY924" s="18"/>
    </row>
    <row r="925" ht="15.75" customHeight="1">
      <c r="BI925" s="1"/>
      <c r="BJ925" s="18"/>
      <c r="BL925" s="1"/>
      <c r="BM925" s="18"/>
      <c r="BO925" s="1"/>
      <c r="BP925" s="18"/>
      <c r="BR925" s="1"/>
      <c r="BS925" s="18"/>
      <c r="BU925" s="1"/>
      <c r="BV925" s="18"/>
      <c r="BX925" s="1"/>
      <c r="BY925" s="18"/>
    </row>
    <row r="926" ht="15.75" customHeight="1">
      <c r="BI926" s="1"/>
      <c r="BJ926" s="18"/>
      <c r="BL926" s="1"/>
      <c r="BM926" s="18"/>
      <c r="BO926" s="1"/>
      <c r="BP926" s="18"/>
      <c r="BR926" s="1"/>
      <c r="BS926" s="18"/>
      <c r="BU926" s="1"/>
      <c r="BV926" s="18"/>
      <c r="BX926" s="1"/>
      <c r="BY926" s="18"/>
    </row>
    <row r="927" ht="15.75" customHeight="1">
      <c r="BI927" s="1"/>
      <c r="BJ927" s="18"/>
      <c r="BL927" s="1"/>
      <c r="BM927" s="18"/>
      <c r="BO927" s="1"/>
      <c r="BP927" s="18"/>
      <c r="BR927" s="1"/>
      <c r="BS927" s="18"/>
      <c r="BU927" s="1"/>
      <c r="BV927" s="18"/>
      <c r="BX927" s="1"/>
      <c r="BY927" s="18"/>
    </row>
    <row r="928" ht="15.75" customHeight="1">
      <c r="BI928" s="1"/>
      <c r="BJ928" s="18"/>
      <c r="BL928" s="1"/>
      <c r="BM928" s="18"/>
      <c r="BO928" s="1"/>
      <c r="BP928" s="18"/>
      <c r="BR928" s="1"/>
      <c r="BS928" s="18"/>
      <c r="BU928" s="1"/>
      <c r="BV928" s="18"/>
      <c r="BX928" s="1"/>
      <c r="BY928" s="18"/>
    </row>
    <row r="929" ht="15.75" customHeight="1">
      <c r="BI929" s="1"/>
      <c r="BJ929" s="18"/>
      <c r="BL929" s="1"/>
      <c r="BM929" s="18"/>
      <c r="BO929" s="1"/>
      <c r="BP929" s="18"/>
      <c r="BR929" s="1"/>
      <c r="BS929" s="18"/>
      <c r="BU929" s="1"/>
      <c r="BV929" s="18"/>
      <c r="BX929" s="1"/>
      <c r="BY929" s="18"/>
    </row>
    <row r="930" ht="15.75" customHeight="1">
      <c r="BI930" s="1"/>
      <c r="BJ930" s="18"/>
      <c r="BL930" s="1"/>
      <c r="BM930" s="18"/>
      <c r="BO930" s="1"/>
      <c r="BP930" s="18"/>
      <c r="BR930" s="1"/>
      <c r="BS930" s="18"/>
      <c r="BU930" s="1"/>
      <c r="BV930" s="18"/>
      <c r="BX930" s="1"/>
      <c r="BY930" s="18"/>
    </row>
    <row r="931" ht="15.75" customHeight="1">
      <c r="BI931" s="1"/>
      <c r="BJ931" s="18"/>
      <c r="BL931" s="1"/>
      <c r="BM931" s="18"/>
      <c r="BO931" s="1"/>
      <c r="BP931" s="18"/>
      <c r="BR931" s="1"/>
      <c r="BS931" s="18"/>
      <c r="BU931" s="1"/>
      <c r="BV931" s="18"/>
      <c r="BX931" s="1"/>
      <c r="BY931" s="18"/>
    </row>
    <row r="932" ht="15.75" customHeight="1">
      <c r="BI932" s="1"/>
      <c r="BJ932" s="18"/>
      <c r="BL932" s="1"/>
      <c r="BM932" s="18"/>
      <c r="BO932" s="1"/>
      <c r="BP932" s="18"/>
      <c r="BR932" s="1"/>
      <c r="BS932" s="18"/>
      <c r="BU932" s="1"/>
      <c r="BV932" s="18"/>
      <c r="BX932" s="1"/>
      <c r="BY932" s="18"/>
    </row>
    <row r="933" ht="15.75" customHeight="1">
      <c r="BI933" s="1"/>
      <c r="BJ933" s="18"/>
      <c r="BL933" s="1"/>
      <c r="BM933" s="18"/>
      <c r="BO933" s="1"/>
      <c r="BP933" s="18"/>
      <c r="BR933" s="1"/>
      <c r="BS933" s="18"/>
      <c r="BU933" s="1"/>
      <c r="BV933" s="18"/>
      <c r="BX933" s="1"/>
      <c r="BY933" s="18"/>
    </row>
    <row r="934" ht="15.75" customHeight="1">
      <c r="BI934" s="1"/>
      <c r="BJ934" s="18"/>
      <c r="BL934" s="1"/>
      <c r="BM934" s="18"/>
      <c r="BO934" s="1"/>
      <c r="BP934" s="18"/>
      <c r="BR934" s="1"/>
      <c r="BS934" s="18"/>
      <c r="BU934" s="1"/>
      <c r="BV934" s="18"/>
      <c r="BX934" s="1"/>
      <c r="BY934" s="18"/>
    </row>
    <row r="935" ht="15.75" customHeight="1">
      <c r="BI935" s="1"/>
      <c r="BJ935" s="18"/>
      <c r="BL935" s="1"/>
      <c r="BM935" s="18"/>
      <c r="BO935" s="1"/>
      <c r="BP935" s="18"/>
      <c r="BR935" s="1"/>
      <c r="BS935" s="18"/>
      <c r="BU935" s="1"/>
      <c r="BV935" s="18"/>
      <c r="BX935" s="1"/>
      <c r="BY935" s="18"/>
    </row>
    <row r="936" ht="15.75" customHeight="1">
      <c r="BI936" s="1"/>
      <c r="BJ936" s="18"/>
      <c r="BL936" s="1"/>
      <c r="BM936" s="18"/>
      <c r="BO936" s="1"/>
      <c r="BP936" s="18"/>
      <c r="BR936" s="1"/>
      <c r="BS936" s="18"/>
      <c r="BU936" s="1"/>
      <c r="BV936" s="18"/>
      <c r="BX936" s="1"/>
      <c r="BY936" s="18"/>
    </row>
    <row r="937" ht="15.75" customHeight="1">
      <c r="BI937" s="1"/>
      <c r="BJ937" s="18"/>
      <c r="BL937" s="1"/>
      <c r="BM937" s="18"/>
      <c r="BO937" s="1"/>
      <c r="BP937" s="18"/>
      <c r="BR937" s="1"/>
      <c r="BS937" s="18"/>
      <c r="BU937" s="1"/>
      <c r="BV937" s="18"/>
      <c r="BX937" s="1"/>
      <c r="BY937" s="18"/>
    </row>
    <row r="938" ht="15.75" customHeight="1">
      <c r="BI938" s="1"/>
      <c r="BJ938" s="18"/>
      <c r="BL938" s="1"/>
      <c r="BM938" s="18"/>
      <c r="BO938" s="1"/>
      <c r="BP938" s="18"/>
      <c r="BR938" s="1"/>
      <c r="BS938" s="18"/>
      <c r="BU938" s="1"/>
      <c r="BV938" s="18"/>
      <c r="BX938" s="1"/>
      <c r="BY938" s="18"/>
    </row>
    <row r="939" ht="15.75" customHeight="1">
      <c r="BI939" s="1"/>
      <c r="BJ939" s="18"/>
      <c r="BL939" s="1"/>
      <c r="BM939" s="18"/>
      <c r="BO939" s="1"/>
      <c r="BP939" s="18"/>
      <c r="BR939" s="1"/>
      <c r="BS939" s="18"/>
      <c r="BU939" s="1"/>
      <c r="BV939" s="18"/>
      <c r="BX939" s="1"/>
      <c r="BY939" s="18"/>
    </row>
    <row r="940" ht="15.75" customHeight="1">
      <c r="BI940" s="1"/>
      <c r="BJ940" s="18"/>
      <c r="BL940" s="1"/>
      <c r="BM940" s="18"/>
      <c r="BO940" s="1"/>
      <c r="BP940" s="18"/>
      <c r="BR940" s="1"/>
      <c r="BS940" s="18"/>
      <c r="BU940" s="1"/>
      <c r="BV940" s="18"/>
      <c r="BX940" s="1"/>
      <c r="BY940" s="18"/>
    </row>
    <row r="941" ht="15.75" customHeight="1">
      <c r="BI941" s="1"/>
      <c r="BJ941" s="18"/>
      <c r="BL941" s="1"/>
      <c r="BM941" s="18"/>
      <c r="BO941" s="1"/>
      <c r="BP941" s="18"/>
      <c r="BR941" s="1"/>
      <c r="BS941" s="18"/>
      <c r="BU941" s="1"/>
      <c r="BV941" s="18"/>
      <c r="BX941" s="1"/>
      <c r="BY941" s="18"/>
    </row>
    <row r="942" ht="15.75" customHeight="1">
      <c r="BI942" s="1"/>
      <c r="BJ942" s="18"/>
      <c r="BL942" s="1"/>
      <c r="BM942" s="18"/>
      <c r="BO942" s="1"/>
      <c r="BP942" s="18"/>
      <c r="BR942" s="1"/>
      <c r="BS942" s="18"/>
      <c r="BU942" s="1"/>
      <c r="BV942" s="18"/>
      <c r="BX942" s="1"/>
      <c r="BY942" s="18"/>
    </row>
    <row r="943" ht="15.75" customHeight="1">
      <c r="BI943" s="1"/>
      <c r="BJ943" s="18"/>
      <c r="BL943" s="1"/>
      <c r="BM943" s="18"/>
      <c r="BO943" s="1"/>
      <c r="BP943" s="18"/>
      <c r="BR943" s="1"/>
      <c r="BS943" s="18"/>
      <c r="BU943" s="1"/>
      <c r="BV943" s="18"/>
      <c r="BX943" s="1"/>
      <c r="BY943" s="18"/>
    </row>
    <row r="944" ht="15.75" customHeight="1">
      <c r="BI944" s="1"/>
      <c r="BJ944" s="18"/>
      <c r="BL944" s="1"/>
      <c r="BM944" s="18"/>
      <c r="BO944" s="1"/>
      <c r="BP944" s="18"/>
      <c r="BR944" s="1"/>
      <c r="BS944" s="18"/>
      <c r="BU944" s="1"/>
      <c r="BV944" s="18"/>
      <c r="BX944" s="1"/>
      <c r="BY944" s="18"/>
    </row>
    <row r="945" ht="15.75" customHeight="1">
      <c r="BI945" s="1"/>
      <c r="BJ945" s="18"/>
      <c r="BL945" s="1"/>
      <c r="BM945" s="18"/>
      <c r="BO945" s="1"/>
      <c r="BP945" s="18"/>
      <c r="BR945" s="1"/>
      <c r="BS945" s="18"/>
      <c r="BU945" s="1"/>
      <c r="BV945" s="18"/>
      <c r="BX945" s="1"/>
      <c r="BY945" s="18"/>
    </row>
    <row r="946" ht="15.75" customHeight="1">
      <c r="BI946" s="1"/>
      <c r="BJ946" s="18"/>
      <c r="BL946" s="1"/>
      <c r="BM946" s="18"/>
      <c r="BO946" s="1"/>
      <c r="BP946" s="18"/>
      <c r="BR946" s="1"/>
      <c r="BS946" s="18"/>
      <c r="BU946" s="1"/>
      <c r="BV946" s="18"/>
      <c r="BX946" s="1"/>
      <c r="BY946" s="18"/>
    </row>
    <row r="947" ht="15.75" customHeight="1">
      <c r="BI947" s="1"/>
      <c r="BJ947" s="18"/>
      <c r="BL947" s="1"/>
      <c r="BM947" s="18"/>
      <c r="BO947" s="1"/>
      <c r="BP947" s="18"/>
      <c r="BR947" s="1"/>
      <c r="BS947" s="18"/>
      <c r="BU947" s="1"/>
      <c r="BV947" s="18"/>
      <c r="BX947" s="1"/>
      <c r="BY947" s="18"/>
    </row>
    <row r="948" ht="15.75" customHeight="1">
      <c r="BI948" s="1"/>
      <c r="BJ948" s="18"/>
      <c r="BL948" s="1"/>
      <c r="BM948" s="18"/>
      <c r="BO948" s="1"/>
      <c r="BP948" s="18"/>
      <c r="BR948" s="1"/>
      <c r="BS948" s="18"/>
      <c r="BU948" s="1"/>
      <c r="BV948" s="18"/>
      <c r="BX948" s="1"/>
      <c r="BY948" s="18"/>
    </row>
    <row r="949" ht="15.75" customHeight="1">
      <c r="BI949" s="1"/>
      <c r="BJ949" s="18"/>
      <c r="BL949" s="1"/>
      <c r="BM949" s="18"/>
      <c r="BO949" s="1"/>
      <c r="BP949" s="18"/>
      <c r="BR949" s="1"/>
      <c r="BS949" s="18"/>
      <c r="BU949" s="1"/>
      <c r="BV949" s="18"/>
      <c r="BX949" s="1"/>
      <c r="BY949" s="18"/>
    </row>
    <row r="950" ht="15.75" customHeight="1">
      <c r="BI950" s="1"/>
      <c r="BJ950" s="18"/>
      <c r="BL950" s="1"/>
      <c r="BM950" s="18"/>
      <c r="BO950" s="1"/>
      <c r="BP950" s="18"/>
      <c r="BR950" s="1"/>
      <c r="BS950" s="18"/>
      <c r="BU950" s="1"/>
      <c r="BV950" s="18"/>
      <c r="BX950" s="1"/>
      <c r="BY950" s="18"/>
    </row>
    <row r="951" ht="15.75" customHeight="1">
      <c r="BI951" s="1"/>
      <c r="BJ951" s="18"/>
      <c r="BL951" s="1"/>
      <c r="BM951" s="18"/>
      <c r="BO951" s="1"/>
      <c r="BP951" s="18"/>
      <c r="BR951" s="1"/>
      <c r="BS951" s="18"/>
      <c r="BU951" s="1"/>
      <c r="BV951" s="18"/>
      <c r="BX951" s="1"/>
      <c r="BY951" s="18"/>
    </row>
    <row r="952" ht="15.75" customHeight="1">
      <c r="BI952" s="1"/>
      <c r="BJ952" s="18"/>
      <c r="BL952" s="1"/>
      <c r="BM952" s="18"/>
      <c r="BO952" s="1"/>
      <c r="BP952" s="18"/>
      <c r="BR952" s="1"/>
      <c r="BS952" s="18"/>
      <c r="BU952" s="1"/>
      <c r="BV952" s="18"/>
      <c r="BX952" s="1"/>
      <c r="BY952" s="18"/>
    </row>
    <row r="953" ht="15.75" customHeight="1">
      <c r="BI953" s="1"/>
      <c r="BJ953" s="18"/>
      <c r="BL953" s="1"/>
      <c r="BM953" s="18"/>
      <c r="BO953" s="1"/>
      <c r="BP953" s="18"/>
      <c r="BR953" s="1"/>
      <c r="BS953" s="18"/>
      <c r="BU953" s="1"/>
      <c r="BV953" s="18"/>
      <c r="BX953" s="1"/>
      <c r="BY953" s="18"/>
    </row>
    <row r="954" ht="15.75" customHeight="1">
      <c r="BI954" s="1"/>
      <c r="BJ954" s="18"/>
      <c r="BL954" s="1"/>
      <c r="BM954" s="18"/>
      <c r="BO954" s="1"/>
      <c r="BP954" s="18"/>
      <c r="BR954" s="1"/>
      <c r="BS954" s="18"/>
      <c r="BU954" s="1"/>
      <c r="BV954" s="18"/>
      <c r="BX954" s="1"/>
      <c r="BY954" s="18"/>
    </row>
    <row r="955" ht="15.75" customHeight="1">
      <c r="BI955" s="1"/>
      <c r="BJ955" s="18"/>
      <c r="BL955" s="1"/>
      <c r="BM955" s="18"/>
      <c r="BO955" s="1"/>
      <c r="BP955" s="18"/>
      <c r="BR955" s="1"/>
      <c r="BS955" s="18"/>
      <c r="BU955" s="1"/>
      <c r="BV955" s="18"/>
      <c r="BX955" s="1"/>
      <c r="BY955" s="18"/>
    </row>
    <row r="956" ht="15.75" customHeight="1">
      <c r="BI956" s="1"/>
      <c r="BJ956" s="18"/>
      <c r="BL956" s="1"/>
      <c r="BM956" s="18"/>
      <c r="BO956" s="1"/>
      <c r="BP956" s="18"/>
      <c r="BR956" s="1"/>
      <c r="BS956" s="18"/>
      <c r="BU956" s="1"/>
      <c r="BV956" s="18"/>
      <c r="BX956" s="1"/>
      <c r="BY956" s="18"/>
    </row>
    <row r="957" ht="15.75" customHeight="1">
      <c r="BI957" s="1"/>
      <c r="BJ957" s="18"/>
      <c r="BL957" s="1"/>
      <c r="BM957" s="18"/>
      <c r="BO957" s="1"/>
      <c r="BP957" s="18"/>
      <c r="BR957" s="1"/>
      <c r="BS957" s="18"/>
      <c r="BU957" s="1"/>
      <c r="BV957" s="18"/>
      <c r="BX957" s="1"/>
      <c r="BY957" s="18"/>
    </row>
    <row r="958" ht="15.75" customHeight="1">
      <c r="BI958" s="1"/>
      <c r="BJ958" s="18"/>
      <c r="BL958" s="1"/>
      <c r="BM958" s="18"/>
      <c r="BO958" s="1"/>
      <c r="BP958" s="18"/>
      <c r="BR958" s="1"/>
      <c r="BS958" s="18"/>
      <c r="BU958" s="1"/>
      <c r="BV958" s="18"/>
      <c r="BX958" s="1"/>
      <c r="BY958" s="18"/>
    </row>
    <row r="959" ht="15.75" customHeight="1">
      <c r="BI959" s="1"/>
      <c r="BJ959" s="18"/>
      <c r="BL959" s="1"/>
      <c r="BM959" s="18"/>
      <c r="BO959" s="1"/>
      <c r="BP959" s="18"/>
      <c r="BR959" s="1"/>
      <c r="BS959" s="18"/>
      <c r="BU959" s="1"/>
      <c r="BV959" s="18"/>
      <c r="BX959" s="1"/>
      <c r="BY959" s="18"/>
    </row>
    <row r="960" ht="15.75" customHeight="1">
      <c r="BI960" s="1"/>
      <c r="BJ960" s="18"/>
      <c r="BL960" s="1"/>
      <c r="BM960" s="18"/>
      <c r="BO960" s="1"/>
      <c r="BP960" s="18"/>
      <c r="BR960" s="1"/>
      <c r="BS960" s="18"/>
      <c r="BU960" s="1"/>
      <c r="BV960" s="18"/>
      <c r="BX960" s="1"/>
      <c r="BY960" s="18"/>
    </row>
    <row r="961" ht="15.75" customHeight="1">
      <c r="BI961" s="1"/>
      <c r="BJ961" s="18"/>
      <c r="BL961" s="1"/>
      <c r="BM961" s="18"/>
      <c r="BO961" s="1"/>
      <c r="BP961" s="18"/>
      <c r="BR961" s="1"/>
      <c r="BS961" s="18"/>
      <c r="BU961" s="1"/>
      <c r="BV961" s="18"/>
      <c r="BX961" s="1"/>
      <c r="BY961" s="18"/>
    </row>
    <row r="962" ht="15.75" customHeight="1">
      <c r="BI962" s="1"/>
      <c r="BJ962" s="18"/>
      <c r="BL962" s="1"/>
      <c r="BM962" s="18"/>
      <c r="BO962" s="1"/>
      <c r="BP962" s="18"/>
      <c r="BR962" s="1"/>
      <c r="BS962" s="18"/>
      <c r="BU962" s="1"/>
      <c r="BV962" s="18"/>
      <c r="BX962" s="1"/>
      <c r="BY962" s="18"/>
    </row>
    <row r="963" ht="15.75" customHeight="1">
      <c r="BI963" s="1"/>
      <c r="BJ963" s="18"/>
      <c r="BL963" s="1"/>
      <c r="BM963" s="18"/>
      <c r="BO963" s="1"/>
      <c r="BP963" s="18"/>
      <c r="BR963" s="1"/>
      <c r="BS963" s="18"/>
      <c r="BU963" s="1"/>
      <c r="BV963" s="18"/>
      <c r="BX963" s="1"/>
      <c r="BY963" s="18"/>
    </row>
    <row r="964" ht="15.75" customHeight="1">
      <c r="BI964" s="1"/>
      <c r="BJ964" s="18"/>
      <c r="BL964" s="1"/>
      <c r="BM964" s="18"/>
      <c r="BO964" s="1"/>
      <c r="BP964" s="18"/>
      <c r="BR964" s="1"/>
      <c r="BS964" s="18"/>
      <c r="BU964" s="1"/>
      <c r="BV964" s="18"/>
      <c r="BX964" s="1"/>
      <c r="BY964" s="18"/>
    </row>
    <row r="965" ht="15.75" customHeight="1">
      <c r="BI965" s="1"/>
      <c r="BJ965" s="18"/>
      <c r="BL965" s="1"/>
      <c r="BM965" s="18"/>
      <c r="BO965" s="1"/>
      <c r="BP965" s="18"/>
      <c r="BR965" s="1"/>
      <c r="BS965" s="18"/>
      <c r="BU965" s="1"/>
      <c r="BV965" s="18"/>
      <c r="BX965" s="1"/>
      <c r="BY965" s="18"/>
    </row>
    <row r="966" ht="15.75" customHeight="1">
      <c r="BI966" s="1"/>
      <c r="BJ966" s="18"/>
      <c r="BL966" s="1"/>
      <c r="BM966" s="18"/>
      <c r="BO966" s="1"/>
      <c r="BP966" s="18"/>
      <c r="BR966" s="1"/>
      <c r="BS966" s="18"/>
      <c r="BU966" s="1"/>
      <c r="BV966" s="18"/>
      <c r="BX966" s="1"/>
      <c r="BY966" s="18"/>
    </row>
    <row r="967" ht="15.75" customHeight="1">
      <c r="BI967" s="1"/>
      <c r="BJ967" s="18"/>
      <c r="BL967" s="1"/>
      <c r="BM967" s="18"/>
      <c r="BO967" s="1"/>
      <c r="BP967" s="18"/>
      <c r="BR967" s="1"/>
      <c r="BS967" s="18"/>
      <c r="BU967" s="1"/>
      <c r="BV967" s="18"/>
      <c r="BX967" s="1"/>
      <c r="BY967" s="18"/>
    </row>
    <row r="968" ht="15.75" customHeight="1">
      <c r="BI968" s="1"/>
      <c r="BJ968" s="18"/>
      <c r="BL968" s="1"/>
      <c r="BM968" s="18"/>
      <c r="BO968" s="1"/>
      <c r="BP968" s="18"/>
      <c r="BR968" s="1"/>
      <c r="BS968" s="18"/>
      <c r="BU968" s="1"/>
      <c r="BV968" s="18"/>
      <c r="BX968" s="1"/>
      <c r="BY968" s="18"/>
    </row>
    <row r="969" ht="15.75" customHeight="1">
      <c r="BI969" s="1"/>
      <c r="BJ969" s="18"/>
      <c r="BL969" s="1"/>
      <c r="BM969" s="18"/>
      <c r="BO969" s="1"/>
      <c r="BP969" s="18"/>
      <c r="BR969" s="1"/>
      <c r="BS969" s="18"/>
      <c r="BU969" s="1"/>
      <c r="BV969" s="18"/>
      <c r="BX969" s="1"/>
      <c r="BY969" s="18"/>
    </row>
    <row r="970" ht="15.75" customHeight="1">
      <c r="BI970" s="1"/>
      <c r="BJ970" s="18"/>
      <c r="BL970" s="1"/>
      <c r="BM970" s="18"/>
      <c r="BO970" s="1"/>
      <c r="BP970" s="18"/>
      <c r="BR970" s="1"/>
      <c r="BS970" s="18"/>
      <c r="BU970" s="1"/>
      <c r="BV970" s="18"/>
      <c r="BX970" s="1"/>
      <c r="BY970" s="18"/>
    </row>
    <row r="971" ht="15.75" customHeight="1">
      <c r="BI971" s="1"/>
      <c r="BJ971" s="18"/>
      <c r="BL971" s="1"/>
      <c r="BM971" s="18"/>
      <c r="BO971" s="1"/>
      <c r="BP971" s="18"/>
      <c r="BR971" s="1"/>
      <c r="BS971" s="18"/>
      <c r="BU971" s="1"/>
      <c r="BV971" s="18"/>
      <c r="BX971" s="1"/>
      <c r="BY971" s="18"/>
    </row>
    <row r="972" ht="15.75" customHeight="1">
      <c r="BI972" s="1"/>
      <c r="BJ972" s="18"/>
      <c r="BL972" s="1"/>
      <c r="BM972" s="18"/>
      <c r="BO972" s="1"/>
      <c r="BP972" s="18"/>
      <c r="BR972" s="1"/>
      <c r="BS972" s="18"/>
      <c r="BU972" s="1"/>
      <c r="BV972" s="18"/>
      <c r="BX972" s="1"/>
      <c r="BY972" s="18"/>
    </row>
    <row r="973" ht="15.75" customHeight="1">
      <c r="BI973" s="1"/>
      <c r="BJ973" s="18"/>
      <c r="BL973" s="1"/>
      <c r="BM973" s="18"/>
      <c r="BO973" s="1"/>
      <c r="BP973" s="18"/>
      <c r="BR973" s="1"/>
      <c r="BS973" s="18"/>
      <c r="BU973" s="1"/>
      <c r="BV973" s="18"/>
      <c r="BX973" s="1"/>
      <c r="BY973" s="18"/>
    </row>
    <row r="974" ht="15.75" customHeight="1">
      <c r="BI974" s="1"/>
      <c r="BJ974" s="18"/>
      <c r="BL974" s="1"/>
      <c r="BM974" s="18"/>
      <c r="BO974" s="1"/>
      <c r="BP974" s="18"/>
      <c r="BR974" s="1"/>
      <c r="BS974" s="18"/>
      <c r="BU974" s="1"/>
      <c r="BV974" s="18"/>
      <c r="BX974" s="1"/>
      <c r="BY974" s="18"/>
    </row>
    <row r="975" ht="15.75" customHeight="1">
      <c r="BI975" s="1"/>
      <c r="BJ975" s="18"/>
      <c r="BL975" s="1"/>
      <c r="BM975" s="18"/>
      <c r="BO975" s="1"/>
      <c r="BP975" s="18"/>
      <c r="BR975" s="1"/>
      <c r="BS975" s="18"/>
      <c r="BU975" s="1"/>
      <c r="BV975" s="18"/>
      <c r="BX975" s="1"/>
      <c r="BY975" s="18"/>
    </row>
    <row r="976" ht="15.75" customHeight="1">
      <c r="BI976" s="1"/>
      <c r="BJ976" s="18"/>
      <c r="BL976" s="1"/>
      <c r="BM976" s="18"/>
      <c r="BO976" s="1"/>
      <c r="BP976" s="18"/>
      <c r="BR976" s="1"/>
      <c r="BS976" s="18"/>
      <c r="BU976" s="1"/>
      <c r="BV976" s="18"/>
      <c r="BX976" s="1"/>
      <c r="BY976" s="18"/>
    </row>
    <row r="977" ht="15.75" customHeight="1">
      <c r="BI977" s="1"/>
      <c r="BJ977" s="18"/>
      <c r="BL977" s="1"/>
      <c r="BM977" s="18"/>
      <c r="BO977" s="1"/>
      <c r="BP977" s="18"/>
      <c r="BR977" s="1"/>
      <c r="BS977" s="18"/>
      <c r="BU977" s="1"/>
      <c r="BV977" s="18"/>
      <c r="BX977" s="1"/>
      <c r="BY977" s="18"/>
    </row>
    <row r="978" ht="15.75" customHeight="1">
      <c r="BI978" s="1"/>
      <c r="BJ978" s="18"/>
      <c r="BL978" s="1"/>
      <c r="BM978" s="18"/>
      <c r="BO978" s="1"/>
      <c r="BP978" s="18"/>
      <c r="BR978" s="1"/>
      <c r="BS978" s="18"/>
      <c r="BU978" s="1"/>
      <c r="BV978" s="18"/>
      <c r="BX978" s="1"/>
      <c r="BY978" s="18"/>
    </row>
    <row r="979" ht="15.75" customHeight="1">
      <c r="BI979" s="1"/>
      <c r="BJ979" s="18"/>
      <c r="BL979" s="1"/>
      <c r="BM979" s="18"/>
      <c r="BO979" s="1"/>
      <c r="BP979" s="18"/>
      <c r="BR979" s="1"/>
      <c r="BS979" s="18"/>
      <c r="BU979" s="1"/>
      <c r="BV979" s="18"/>
      <c r="BX979" s="1"/>
      <c r="BY979" s="18"/>
    </row>
    <row r="980" ht="15.75" customHeight="1">
      <c r="BI980" s="1"/>
      <c r="BJ980" s="18"/>
      <c r="BL980" s="1"/>
      <c r="BM980" s="18"/>
      <c r="BO980" s="1"/>
      <c r="BP980" s="18"/>
      <c r="BR980" s="1"/>
      <c r="BS980" s="18"/>
      <c r="BU980" s="1"/>
      <c r="BV980" s="18"/>
      <c r="BX980" s="1"/>
      <c r="BY980" s="18"/>
    </row>
    <row r="981" ht="15.75" customHeight="1">
      <c r="BI981" s="1"/>
      <c r="BJ981" s="18"/>
      <c r="BL981" s="1"/>
      <c r="BM981" s="18"/>
      <c r="BO981" s="1"/>
      <c r="BP981" s="18"/>
      <c r="BR981" s="1"/>
      <c r="BS981" s="18"/>
      <c r="BU981" s="1"/>
      <c r="BV981" s="18"/>
      <c r="BX981" s="1"/>
      <c r="BY981" s="18"/>
    </row>
    <row r="982" ht="15.75" customHeight="1">
      <c r="BI982" s="1"/>
      <c r="BJ982" s="18"/>
      <c r="BL982" s="1"/>
      <c r="BM982" s="18"/>
      <c r="BO982" s="1"/>
      <c r="BP982" s="18"/>
      <c r="BR982" s="1"/>
      <c r="BS982" s="18"/>
      <c r="BU982" s="1"/>
      <c r="BV982" s="18"/>
      <c r="BX982" s="1"/>
      <c r="BY982" s="18"/>
    </row>
    <row r="983" ht="15.75" customHeight="1">
      <c r="BI983" s="1"/>
      <c r="BJ983" s="18"/>
      <c r="BL983" s="1"/>
      <c r="BM983" s="18"/>
      <c r="BO983" s="1"/>
      <c r="BP983" s="18"/>
      <c r="BR983" s="1"/>
      <c r="BS983" s="18"/>
      <c r="BU983" s="1"/>
      <c r="BV983" s="18"/>
      <c r="BX983" s="1"/>
      <c r="BY983" s="18"/>
    </row>
    <row r="984" ht="15.75" customHeight="1">
      <c r="BI984" s="1"/>
      <c r="BJ984" s="18"/>
      <c r="BL984" s="1"/>
      <c r="BM984" s="18"/>
      <c r="BO984" s="1"/>
      <c r="BP984" s="18"/>
      <c r="BR984" s="1"/>
      <c r="BS984" s="18"/>
      <c r="BU984" s="1"/>
      <c r="BV984" s="18"/>
      <c r="BX984" s="1"/>
      <c r="BY984" s="18"/>
    </row>
    <row r="985" ht="15.75" customHeight="1">
      <c r="BI985" s="1"/>
      <c r="BJ985" s="18"/>
      <c r="BL985" s="1"/>
      <c r="BM985" s="18"/>
      <c r="BO985" s="1"/>
      <c r="BP985" s="18"/>
      <c r="BR985" s="1"/>
      <c r="BS985" s="18"/>
      <c r="BU985" s="1"/>
      <c r="BV985" s="18"/>
      <c r="BX985" s="1"/>
      <c r="BY985" s="18"/>
    </row>
    <row r="986" ht="15.75" customHeight="1">
      <c r="BI986" s="1"/>
      <c r="BJ986" s="18"/>
      <c r="BL986" s="1"/>
      <c r="BM986" s="18"/>
      <c r="BO986" s="1"/>
      <c r="BP986" s="18"/>
      <c r="BR986" s="1"/>
      <c r="BS986" s="18"/>
      <c r="BU986" s="1"/>
      <c r="BV986" s="18"/>
      <c r="BX986" s="1"/>
      <c r="BY986" s="18"/>
    </row>
    <row r="987" ht="15.75" customHeight="1">
      <c r="BI987" s="1"/>
      <c r="BJ987" s="18"/>
      <c r="BL987" s="1"/>
      <c r="BM987" s="18"/>
      <c r="BO987" s="1"/>
      <c r="BP987" s="18"/>
      <c r="BR987" s="1"/>
      <c r="BS987" s="18"/>
      <c r="BU987" s="1"/>
      <c r="BV987" s="18"/>
      <c r="BX987" s="1"/>
      <c r="BY987" s="18"/>
    </row>
    <row r="988" ht="15.75" customHeight="1">
      <c r="BI988" s="1"/>
      <c r="BJ988" s="18"/>
      <c r="BL988" s="1"/>
      <c r="BM988" s="18"/>
      <c r="BO988" s="1"/>
      <c r="BP988" s="18"/>
      <c r="BR988" s="1"/>
      <c r="BS988" s="18"/>
      <c r="BU988" s="1"/>
      <c r="BV988" s="18"/>
      <c r="BX988" s="1"/>
      <c r="BY988" s="18"/>
    </row>
    <row r="989" ht="15.75" customHeight="1">
      <c r="BI989" s="1"/>
      <c r="BJ989" s="18"/>
      <c r="BL989" s="1"/>
      <c r="BM989" s="18"/>
      <c r="BO989" s="1"/>
      <c r="BP989" s="18"/>
      <c r="BR989" s="1"/>
      <c r="BS989" s="18"/>
      <c r="BU989" s="1"/>
      <c r="BV989" s="18"/>
      <c r="BX989" s="1"/>
      <c r="BY989" s="18"/>
    </row>
    <row r="990" ht="15.75" customHeight="1">
      <c r="BI990" s="1"/>
      <c r="BJ990" s="18"/>
      <c r="BL990" s="1"/>
      <c r="BM990" s="18"/>
      <c r="BO990" s="1"/>
      <c r="BP990" s="18"/>
      <c r="BR990" s="1"/>
      <c r="BS990" s="18"/>
      <c r="BU990" s="1"/>
      <c r="BV990" s="18"/>
      <c r="BX990" s="1"/>
      <c r="BY990" s="18"/>
    </row>
    <row r="991" ht="15.75" customHeight="1">
      <c r="BI991" s="1"/>
      <c r="BJ991" s="18"/>
      <c r="BL991" s="1"/>
      <c r="BM991" s="18"/>
      <c r="BO991" s="1"/>
      <c r="BP991" s="18"/>
      <c r="BR991" s="1"/>
      <c r="BS991" s="18"/>
      <c r="BU991" s="1"/>
      <c r="BV991" s="18"/>
      <c r="BX991" s="1"/>
      <c r="BY991" s="18"/>
    </row>
    <row r="992" ht="15.75" customHeight="1">
      <c r="BI992" s="1"/>
      <c r="BJ992" s="18"/>
      <c r="BL992" s="1"/>
      <c r="BM992" s="18"/>
      <c r="BO992" s="1"/>
      <c r="BP992" s="18"/>
      <c r="BR992" s="1"/>
      <c r="BS992" s="18"/>
      <c r="BU992" s="1"/>
      <c r="BV992" s="18"/>
      <c r="BX992" s="1"/>
      <c r="BY992" s="18"/>
    </row>
    <row r="993" ht="15.75" customHeight="1">
      <c r="BI993" s="1"/>
      <c r="BJ993" s="18"/>
      <c r="BL993" s="1"/>
      <c r="BM993" s="18"/>
      <c r="BO993" s="1"/>
      <c r="BP993" s="18"/>
      <c r="BR993" s="1"/>
      <c r="BS993" s="18"/>
      <c r="BU993" s="1"/>
      <c r="BV993" s="18"/>
      <c r="BX993" s="1"/>
      <c r="BY993" s="18"/>
    </row>
    <row r="994" ht="15.75" customHeight="1">
      <c r="BI994" s="1"/>
      <c r="BJ994" s="18"/>
      <c r="BL994" s="1"/>
      <c r="BM994" s="18"/>
      <c r="BO994" s="1"/>
      <c r="BP994" s="18"/>
      <c r="BR994" s="1"/>
      <c r="BS994" s="18"/>
      <c r="BU994" s="1"/>
      <c r="BV994" s="18"/>
      <c r="BX994" s="1"/>
      <c r="BY994" s="18"/>
    </row>
    <row r="995" ht="15.75" customHeight="1">
      <c r="BI995" s="1"/>
      <c r="BJ995" s="18"/>
      <c r="BL995" s="1"/>
      <c r="BM995" s="18"/>
      <c r="BO995" s="1"/>
      <c r="BP995" s="18"/>
      <c r="BR995" s="1"/>
      <c r="BS995" s="18"/>
      <c r="BU995" s="1"/>
      <c r="BV995" s="18"/>
      <c r="BX995" s="1"/>
      <c r="BY995" s="18"/>
    </row>
    <row r="996" ht="15.75" customHeight="1">
      <c r="BI996" s="1"/>
      <c r="BJ996" s="18"/>
      <c r="BL996" s="1"/>
      <c r="BM996" s="18"/>
      <c r="BO996" s="1"/>
      <c r="BP996" s="18"/>
      <c r="BR996" s="1"/>
      <c r="BS996" s="18"/>
      <c r="BU996" s="1"/>
      <c r="BV996" s="18"/>
      <c r="BX996" s="1"/>
      <c r="BY996" s="18"/>
    </row>
    <row r="997" ht="15.75" customHeight="1">
      <c r="BI997" s="1"/>
      <c r="BJ997" s="18"/>
      <c r="BL997" s="1"/>
      <c r="BM997" s="18"/>
      <c r="BO997" s="1"/>
      <c r="BP997" s="18"/>
      <c r="BR997" s="1"/>
      <c r="BS997" s="18"/>
      <c r="BU997" s="1"/>
      <c r="BV997" s="18"/>
      <c r="BX997" s="1"/>
      <c r="BY997" s="18"/>
    </row>
    <row r="998" ht="15.75" customHeight="1">
      <c r="BI998" s="1"/>
      <c r="BJ998" s="18"/>
      <c r="BL998" s="1"/>
      <c r="BM998" s="18"/>
      <c r="BO998" s="1"/>
      <c r="BP998" s="18"/>
      <c r="BR998" s="1"/>
      <c r="BS998" s="18"/>
      <c r="BU998" s="1"/>
      <c r="BV998" s="18"/>
      <c r="BX998" s="1"/>
      <c r="BY998" s="18"/>
    </row>
    <row r="999" ht="15.75" customHeight="1">
      <c r="BI999" s="1"/>
      <c r="BJ999" s="18"/>
      <c r="BL999" s="1"/>
      <c r="BM999" s="18"/>
      <c r="BO999" s="1"/>
      <c r="BP999" s="18"/>
      <c r="BR999" s="1"/>
      <c r="BS999" s="18"/>
      <c r="BU999" s="1"/>
      <c r="BV999" s="18"/>
      <c r="BX999" s="1"/>
      <c r="BY999" s="18"/>
    </row>
    <row r="1000" ht="15.75" customHeight="1">
      <c r="BI1000" s="1"/>
      <c r="BJ1000" s="18"/>
      <c r="BL1000" s="1"/>
      <c r="BM1000" s="18"/>
      <c r="BO1000" s="1"/>
      <c r="BP1000" s="18"/>
      <c r="BR1000" s="1"/>
      <c r="BS1000" s="18"/>
      <c r="BU1000" s="1"/>
      <c r="BV1000" s="18"/>
      <c r="BX1000" s="1"/>
      <c r="BY1000" s="18"/>
    </row>
  </sheetData>
  <autoFilter ref="$A$3:$CP$48"/>
  <printOptions/>
  <pageMargins bottom="0.75" footer="0.0" header="0.0" left="0.7" right="0.7" top="0.75"/>
  <pageSetup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2020-07-02T17:21:46Z</dcterms:created>
  <dc:creator>Neal Adolph (United Way)</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0x010100690CD4DF689B2C4FA6B0A9712A3780A6</vt:lpwstr>
  </property>
  <property fmtid="{D5CDD505-2E9C-101B-9397-08002B2CF9AE}" pid="3" name="MediaServiceImageTags">
    <vt:lpwstr/>
  </property>
</Properties>
</file>