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00000000-0000-0000-0000-000000000000}"/>
  <fileSharing readOnlyRecommended="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xaG\Downloads\"/>
    </mc:Choice>
  </mc:AlternateContent>
  <xr:revisionPtr revIDLastSave="0" documentId="13_ncr:1_{D26E6CF6-EA6D-4AD9-9294-A7DF1201518B}" xr6:coauthVersionLast="47" xr6:coauthVersionMax="47" xr10:uidLastSave="{00000000-0000-0000-0000-000000000000}"/>
  <bookViews>
    <workbookView xWindow="-110" yWindow="-110" windowWidth="19420" windowHeight="10300" firstSheet="8" activeTab="11" xr2:uid="{00000000-000D-0000-FFFF-FFFF00000000}"/>
  </bookViews>
  <sheets>
    <sheet name="Collection to Date" sheetId="1" r:id="rId1"/>
    <sheet name="For Mail Merge" sheetId="11" state="hidden" r:id="rId2"/>
    <sheet name="Example - Calculator" sheetId="2" state="hidden" r:id="rId3"/>
    <sheet name="Distribution to Date" sheetId="5" r:id="rId4"/>
    <sheet name="Fundraising Spreadsheet" sheetId="16" r:id="rId5"/>
    <sheet name="Hi Neighbour Collections" sheetId="13" r:id="rId6"/>
    <sheet name="Hi Neighbour Distributions" sheetId="12" r:id="rId7"/>
    <sheet name="Distribution Calculator" sheetId="9" r:id="rId8"/>
    <sheet name="Distributions On Hand June 22" sheetId="14" r:id="rId9"/>
    <sheet name="Distributions Future" sheetId="15" state="hidden" r:id="rId10"/>
    <sheet name="Distributions October 2021" sheetId="18" r:id="rId11"/>
    <sheet name="Sheet1" sheetId="19" r:id="rId12"/>
  </sheets>
  <definedNames>
    <definedName name="_xlnm._FilterDatabase" localSheetId="7" hidden="1">'Distribution Calculator'!$A$3:$AG$87</definedName>
    <definedName name="_xlnm._FilterDatabase" localSheetId="8" hidden="1">'Distributions On Hand June 22'!$A$3:$AE$45</definedName>
    <definedName name="_xlnm._FilterDatabase" localSheetId="2" hidden="1">'Example - Calculator'!$A$3:$AH$48</definedName>
    <definedName name="_xlnm._FilterDatabase" localSheetId="1" hidden="1">'For Mail Merge'!$A$1:$AG$81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95" i="5" l="1"/>
  <c r="L39" i="1"/>
  <c r="L40" i="1"/>
  <c r="L41" i="1"/>
  <c r="L42" i="1"/>
  <c r="L43" i="1"/>
  <c r="K95" i="5"/>
  <c r="H93" i="5"/>
  <c r="H95" i="5" s="1"/>
  <c r="G93" i="5"/>
  <c r="F93" i="5"/>
  <c r="G80" i="5"/>
  <c r="G48" i="5"/>
  <c r="J83" i="5"/>
  <c r="J82" i="5"/>
  <c r="F84" i="5"/>
  <c r="F95" i="5" s="1"/>
  <c r="E84" i="5"/>
  <c r="J45" i="1"/>
  <c r="I45" i="1"/>
  <c r="H45" i="1"/>
  <c r="G45" i="1"/>
  <c r="F45" i="1"/>
  <c r="E45" i="1"/>
  <c r="N36" i="1"/>
  <c r="D93" i="5"/>
  <c r="E93" i="5"/>
  <c r="I93" i="5"/>
  <c r="I95" i="5" s="1"/>
  <c r="J92" i="5"/>
  <c r="J87" i="5"/>
  <c r="J88" i="5"/>
  <c r="J89" i="5"/>
  <c r="J90" i="5"/>
  <c r="J91" i="5"/>
  <c r="P33" i="1"/>
  <c r="P36" i="1" s="1"/>
  <c r="N30" i="1"/>
  <c r="N32" i="1" s="1"/>
  <c r="D84" i="5"/>
  <c r="D95" i="5" s="1"/>
  <c r="K29" i="1"/>
  <c r="K30" i="1"/>
  <c r="K31" i="1"/>
  <c r="J34" i="1"/>
  <c r="I34" i="1"/>
  <c r="H34" i="1"/>
  <c r="E32" i="1"/>
  <c r="F32" i="1"/>
  <c r="J86" i="5"/>
  <c r="K26" i="1"/>
  <c r="G10" i="1"/>
  <c r="G34" i="1" s="1"/>
  <c r="F10" i="1"/>
  <c r="E10" i="1"/>
  <c r="K27" i="1"/>
  <c r="K25" i="1"/>
  <c r="K24" i="1"/>
  <c r="L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J31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J3" i="5"/>
  <c r="J2" i="5"/>
  <c r="J48" i="5" s="1"/>
  <c r="D80" i="5"/>
  <c r="E80" i="5"/>
  <c r="F80" i="5"/>
  <c r="H80" i="5"/>
  <c r="I80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D48" i="5"/>
  <c r="E48" i="5"/>
  <c r="F48" i="5"/>
  <c r="H48" i="5"/>
  <c r="I48" i="5"/>
  <c r="J49" i="5"/>
  <c r="K5" i="1"/>
  <c r="I46" i="19"/>
  <c r="G46" i="19"/>
  <c r="G44" i="19"/>
  <c r="A44" i="19"/>
  <c r="B44" i="19"/>
  <c r="C44" i="19"/>
  <c r="D44" i="19"/>
  <c r="E44" i="19"/>
  <c r="K21" i="1"/>
  <c r="K22" i="1"/>
  <c r="AA43" i="18"/>
  <c r="X43" i="18"/>
  <c r="U43" i="18"/>
  <c r="R43" i="18"/>
  <c r="O43" i="18"/>
  <c r="L43" i="18"/>
  <c r="N33" i="15"/>
  <c r="Z39" i="12"/>
  <c r="Y39" i="12"/>
  <c r="X39" i="12"/>
  <c r="W39" i="12"/>
  <c r="V39" i="12"/>
  <c r="U39" i="12"/>
  <c r="T39" i="12"/>
  <c r="E9" i="1"/>
  <c r="K8" i="1"/>
  <c r="K19" i="1"/>
  <c r="F47" i="16"/>
  <c r="K4" i="1"/>
  <c r="K23" i="1"/>
  <c r="K20" i="1"/>
  <c r="K18" i="1"/>
  <c r="K17" i="1"/>
  <c r="K16" i="1"/>
  <c r="K15" i="1"/>
  <c r="K14" i="1"/>
  <c r="K13" i="1"/>
  <c r="K12" i="1"/>
  <c r="K11" i="1"/>
  <c r="K9" i="1"/>
  <c r="K7" i="1"/>
  <c r="K6" i="1"/>
  <c r="F28" i="1"/>
  <c r="E28" i="1"/>
  <c r="K28" i="1" s="1"/>
  <c r="F46" i="16"/>
  <c r="D55" i="16"/>
  <c r="C55" i="16"/>
  <c r="F55" i="16" s="1"/>
  <c r="F52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F13" i="16"/>
  <c r="F12" i="16"/>
  <c r="F11" i="16"/>
  <c r="F10" i="16"/>
  <c r="F9" i="16"/>
  <c r="F8" i="16"/>
  <c r="F7" i="16"/>
  <c r="F6" i="16"/>
  <c r="F5" i="16"/>
  <c r="F4" i="16"/>
  <c r="F3" i="16"/>
  <c r="F2" i="16"/>
  <c r="Z32" i="15"/>
  <c r="Z31" i="15"/>
  <c r="Z30" i="15"/>
  <c r="Z29" i="15"/>
  <c r="Z28" i="15"/>
  <c r="Z27" i="15"/>
  <c r="Z26" i="15"/>
  <c r="Z25" i="15"/>
  <c r="Z24" i="15"/>
  <c r="Z23" i="15"/>
  <c r="Z22" i="15"/>
  <c r="Z21" i="15"/>
  <c r="Z20" i="15"/>
  <c r="Z19" i="15"/>
  <c r="Z18" i="15"/>
  <c r="Z17" i="15"/>
  <c r="Z16" i="15"/>
  <c r="Z15" i="15"/>
  <c r="Z14" i="15"/>
  <c r="Z13" i="15"/>
  <c r="Z12" i="15"/>
  <c r="Z11" i="15"/>
  <c r="Z10" i="15"/>
  <c r="Z9" i="15"/>
  <c r="Z8" i="15"/>
  <c r="Z7" i="15"/>
  <c r="Z6" i="15"/>
  <c r="Z5" i="15"/>
  <c r="Z4" i="15"/>
  <c r="AA40" i="15"/>
  <c r="X40" i="15"/>
  <c r="U40" i="15"/>
  <c r="R40" i="15"/>
  <c r="O40" i="15"/>
  <c r="L40" i="15"/>
  <c r="AA48" i="14"/>
  <c r="X48" i="14"/>
  <c r="U48" i="14"/>
  <c r="R48" i="14"/>
  <c r="O48" i="14"/>
  <c r="L48" i="14"/>
  <c r="W33" i="14"/>
  <c r="T42" i="14"/>
  <c r="T19" i="14"/>
  <c r="T8" i="14"/>
  <c r="K56" i="14"/>
  <c r="AA47" i="14" s="1"/>
  <c r="AC43" i="14" s="1"/>
  <c r="J56" i="14"/>
  <c r="X47" i="14" s="1"/>
  <c r="Z32" i="14" s="1"/>
  <c r="I56" i="14"/>
  <c r="U47" i="14" s="1"/>
  <c r="H56" i="14"/>
  <c r="R47" i="14" s="1"/>
  <c r="T44" i="14" s="1"/>
  <c r="G56" i="14"/>
  <c r="O47" i="14" s="1"/>
  <c r="Q26" i="14" s="1"/>
  <c r="F56" i="14"/>
  <c r="L47" i="14" s="1"/>
  <c r="N37" i="14" s="1"/>
  <c r="K49" i="15"/>
  <c r="AA39" i="15" s="1"/>
  <c r="J49" i="15"/>
  <c r="X39" i="15" s="1"/>
  <c r="I49" i="15"/>
  <c r="U39" i="15" s="1"/>
  <c r="H49" i="15"/>
  <c r="R39" i="15" s="1"/>
  <c r="G49" i="15"/>
  <c r="O39" i="15" s="1"/>
  <c r="F49" i="15"/>
  <c r="L39" i="15" s="1"/>
  <c r="X12" i="12"/>
  <c r="X13" i="12"/>
  <c r="U5" i="12"/>
  <c r="R5" i="12"/>
  <c r="O5" i="12"/>
  <c r="R13" i="12"/>
  <c r="R12" i="12"/>
  <c r="O13" i="12"/>
  <c r="O12" i="12"/>
  <c r="AD13" i="12"/>
  <c r="AD12" i="12"/>
  <c r="AA13" i="12"/>
  <c r="AA12" i="12"/>
  <c r="U13" i="12"/>
  <c r="U12" i="12"/>
  <c r="AD23" i="12"/>
  <c r="AD22" i="12"/>
  <c r="AD21" i="12"/>
  <c r="AD20" i="12"/>
  <c r="AA23" i="12"/>
  <c r="AA22" i="12"/>
  <c r="AA21" i="12"/>
  <c r="AA20" i="12"/>
  <c r="X23" i="12"/>
  <c r="X22" i="12"/>
  <c r="X21" i="12"/>
  <c r="X20" i="12"/>
  <c r="R23" i="12"/>
  <c r="R22" i="12"/>
  <c r="R21" i="12"/>
  <c r="U23" i="12"/>
  <c r="U22" i="12"/>
  <c r="U20" i="12"/>
  <c r="U21" i="12"/>
  <c r="R20" i="12"/>
  <c r="AB8" i="12"/>
  <c r="Y8" i="12"/>
  <c r="V8" i="12"/>
  <c r="S8" i="12"/>
  <c r="P8" i="12"/>
  <c r="AB7" i="12"/>
  <c r="Y7" i="12"/>
  <c r="Y9" i="12" s="1"/>
  <c r="V7" i="12"/>
  <c r="S7" i="12"/>
  <c r="P7" i="12"/>
  <c r="M7" i="12"/>
  <c r="M9" i="12" s="1"/>
  <c r="M8" i="12"/>
  <c r="AB15" i="12"/>
  <c r="Y15" i="12"/>
  <c r="V15" i="12"/>
  <c r="S15" i="12"/>
  <c r="P15" i="12"/>
  <c r="M15" i="12"/>
  <c r="AB16" i="12"/>
  <c r="Y16" i="12"/>
  <c r="V16" i="12"/>
  <c r="S16" i="12"/>
  <c r="P16" i="12"/>
  <c r="M16" i="12"/>
  <c r="AB26" i="12"/>
  <c r="Y26" i="12"/>
  <c r="V26" i="12"/>
  <c r="S26" i="12"/>
  <c r="P26" i="12"/>
  <c r="M26" i="12"/>
  <c r="AB25" i="12"/>
  <c r="Y25" i="12"/>
  <c r="V25" i="12"/>
  <c r="S25" i="12"/>
  <c r="P25" i="12"/>
  <c r="M25" i="12"/>
  <c r="I16" i="13"/>
  <c r="H16" i="13"/>
  <c r="G16" i="13"/>
  <c r="F16" i="13"/>
  <c r="E16" i="13"/>
  <c r="D16" i="13"/>
  <c r="C16" i="13"/>
  <c r="AA83" i="11"/>
  <c r="X83" i="11"/>
  <c r="U83" i="11"/>
  <c r="R83" i="11"/>
  <c r="O83" i="11"/>
  <c r="AB85" i="9"/>
  <c r="Y85" i="9"/>
  <c r="V85" i="9"/>
  <c r="S85" i="9"/>
  <c r="P85" i="9"/>
  <c r="G95" i="5" l="1"/>
  <c r="J93" i="5"/>
  <c r="E95" i="5"/>
  <c r="J84" i="5"/>
  <c r="L45" i="1"/>
  <c r="E34" i="1"/>
  <c r="F34" i="1"/>
  <c r="K48" i="5"/>
  <c r="J80" i="5"/>
  <c r="K80" i="5"/>
  <c r="O39" i="18"/>
  <c r="R39" i="18"/>
  <c r="U39" i="18"/>
  <c r="X39" i="18"/>
  <c r="AA39" i="18"/>
  <c r="N29" i="15"/>
  <c r="N19" i="15"/>
  <c r="Q32" i="15"/>
  <c r="Q31" i="15"/>
  <c r="Q30" i="15"/>
  <c r="Q29" i="15"/>
  <c r="Q28" i="15"/>
  <c r="Q27" i="15"/>
  <c r="Q26" i="15"/>
  <c r="Q25" i="15"/>
  <c r="Q24" i="15"/>
  <c r="Q23" i="15"/>
  <c r="Q22" i="15"/>
  <c r="Q21" i="15"/>
  <c r="Q20" i="15"/>
  <c r="Q19" i="15"/>
  <c r="Q18" i="15"/>
  <c r="Q17" i="15"/>
  <c r="Q16" i="15"/>
  <c r="Q15" i="15"/>
  <c r="Q14" i="15"/>
  <c r="Q13" i="15"/>
  <c r="Q12" i="15"/>
  <c r="Q11" i="15"/>
  <c r="Q10" i="15"/>
  <c r="Q9" i="15"/>
  <c r="Q8" i="15"/>
  <c r="Q7" i="15"/>
  <c r="Q6" i="15"/>
  <c r="Q5" i="15"/>
  <c r="Q4" i="15"/>
  <c r="T32" i="15"/>
  <c r="T31" i="15"/>
  <c r="T30" i="15"/>
  <c r="T29" i="15"/>
  <c r="T28" i="15"/>
  <c r="T27" i="15"/>
  <c r="T26" i="15"/>
  <c r="T25" i="15"/>
  <c r="T24" i="15"/>
  <c r="T23" i="15"/>
  <c r="T22" i="15"/>
  <c r="T21" i="15"/>
  <c r="T20" i="15"/>
  <c r="T19" i="15"/>
  <c r="T18" i="15"/>
  <c r="T17" i="15"/>
  <c r="T16" i="15"/>
  <c r="T15" i="15"/>
  <c r="T14" i="15"/>
  <c r="T13" i="15"/>
  <c r="T12" i="15"/>
  <c r="T11" i="15"/>
  <c r="T10" i="15"/>
  <c r="T9" i="15"/>
  <c r="T8" i="15"/>
  <c r="T7" i="15"/>
  <c r="T6" i="15"/>
  <c r="T5" i="15"/>
  <c r="T4" i="15"/>
  <c r="W32" i="15"/>
  <c r="W31" i="15"/>
  <c r="W30" i="15"/>
  <c r="W29" i="15"/>
  <c r="W28" i="15"/>
  <c r="W27" i="15"/>
  <c r="W26" i="15"/>
  <c r="W25" i="15"/>
  <c r="W24" i="15"/>
  <c r="W23" i="15"/>
  <c r="W22" i="15"/>
  <c r="W21" i="15"/>
  <c r="W20" i="15"/>
  <c r="W19" i="15"/>
  <c r="W18" i="15"/>
  <c r="W17" i="15"/>
  <c r="W16" i="15"/>
  <c r="W15" i="15"/>
  <c r="W14" i="15"/>
  <c r="W13" i="15"/>
  <c r="W12" i="15"/>
  <c r="W11" i="15"/>
  <c r="W10" i="15"/>
  <c r="W9" i="15"/>
  <c r="W8" i="15"/>
  <c r="W7" i="15"/>
  <c r="W6" i="15"/>
  <c r="W5" i="15"/>
  <c r="W4" i="15"/>
  <c r="AC32" i="15"/>
  <c r="AC31" i="15"/>
  <c r="AC30" i="15"/>
  <c r="AC29" i="15"/>
  <c r="AC28" i="15"/>
  <c r="AC27" i="15"/>
  <c r="AC26" i="15"/>
  <c r="AC25" i="15"/>
  <c r="AC24" i="15"/>
  <c r="AC23" i="15"/>
  <c r="AC22" i="15"/>
  <c r="AC21" i="15"/>
  <c r="AC20" i="15"/>
  <c r="AC19" i="15"/>
  <c r="AC18" i="15"/>
  <c r="AC17" i="15"/>
  <c r="AC16" i="15"/>
  <c r="AC15" i="15"/>
  <c r="AC14" i="15"/>
  <c r="AC13" i="15"/>
  <c r="AC12" i="15"/>
  <c r="AC11" i="15"/>
  <c r="AC10" i="15"/>
  <c r="AC9" i="15"/>
  <c r="AC8" i="15"/>
  <c r="AC7" i="15"/>
  <c r="AC6" i="15"/>
  <c r="AC5" i="15"/>
  <c r="AC4" i="15"/>
  <c r="O23" i="12"/>
  <c r="O22" i="12"/>
  <c r="O21" i="12"/>
  <c r="O20" i="12"/>
  <c r="K10" i="1"/>
  <c r="K32" i="1" s="1"/>
  <c r="N7" i="15"/>
  <c r="N23" i="15"/>
  <c r="N11" i="15"/>
  <c r="N27" i="15"/>
  <c r="N15" i="15"/>
  <c r="N4" i="15"/>
  <c r="N8" i="15"/>
  <c r="N12" i="15"/>
  <c r="N16" i="15"/>
  <c r="N20" i="15"/>
  <c r="N24" i="15"/>
  <c r="N28" i="15"/>
  <c r="N5" i="15"/>
  <c r="N9" i="15"/>
  <c r="N13" i="15"/>
  <c r="N17" i="15"/>
  <c r="N21" i="15"/>
  <c r="N25" i="15"/>
  <c r="N6" i="15"/>
  <c r="N10" i="15"/>
  <c r="N14" i="15"/>
  <c r="N18" i="15"/>
  <c r="N22" i="15"/>
  <c r="N26" i="15"/>
  <c r="N30" i="15"/>
  <c r="N31" i="15"/>
  <c r="N32" i="15"/>
  <c r="T30" i="14"/>
  <c r="T23" i="14"/>
  <c r="T12" i="14"/>
  <c r="T34" i="14"/>
  <c r="Q37" i="14"/>
  <c r="Q8" i="14"/>
  <c r="T39" i="14"/>
  <c r="T13" i="14"/>
  <c r="T25" i="14"/>
  <c r="T35" i="14"/>
  <c r="Q16" i="14"/>
  <c r="T4" i="14"/>
  <c r="T18" i="14"/>
  <c r="T29" i="14"/>
  <c r="T40" i="14"/>
  <c r="N9" i="14"/>
  <c r="W14" i="14"/>
  <c r="N27" i="14"/>
  <c r="Z8" i="14"/>
  <c r="Z36" i="14"/>
  <c r="N21" i="14"/>
  <c r="N42" i="14"/>
  <c r="Q20" i="14"/>
  <c r="Q30" i="14"/>
  <c r="Q41" i="14"/>
  <c r="Z10" i="14"/>
  <c r="Z24" i="14"/>
  <c r="Z41" i="14"/>
  <c r="N11" i="14"/>
  <c r="N32" i="14"/>
  <c r="Q21" i="14"/>
  <c r="Q43" i="14"/>
  <c r="T9" i="14"/>
  <c r="T15" i="14"/>
  <c r="T20" i="14"/>
  <c r="T31" i="14"/>
  <c r="T37" i="14"/>
  <c r="T43" i="14"/>
  <c r="Z13" i="14"/>
  <c r="Z27" i="14"/>
  <c r="AC9" i="14"/>
  <c r="N17" i="14"/>
  <c r="N38" i="14"/>
  <c r="Z20" i="14"/>
  <c r="N31" i="14"/>
  <c r="N4" i="14"/>
  <c r="N22" i="14"/>
  <c r="Q32" i="14"/>
  <c r="Q10" i="14"/>
  <c r="Q31" i="14"/>
  <c r="T6" i="14"/>
  <c r="T26" i="14"/>
  <c r="N5" i="14"/>
  <c r="N13" i="14"/>
  <c r="N25" i="14"/>
  <c r="Q4" i="14"/>
  <c r="Q12" i="14"/>
  <c r="Q24" i="14"/>
  <c r="Q36" i="14"/>
  <c r="T7" i="14"/>
  <c r="T11" i="14"/>
  <c r="T16" i="14"/>
  <c r="T22" i="14"/>
  <c r="T27" i="14"/>
  <c r="T33" i="14"/>
  <c r="T38" i="14"/>
  <c r="T45" i="14"/>
  <c r="Z5" i="14"/>
  <c r="Z17" i="14"/>
  <c r="AC23" i="14"/>
  <c r="W38" i="14"/>
  <c r="W6" i="14"/>
  <c r="W23" i="14"/>
  <c r="W44" i="14"/>
  <c r="W18" i="14"/>
  <c r="W28" i="14"/>
  <c r="AC40" i="14"/>
  <c r="AC16" i="14"/>
  <c r="AC30" i="14"/>
  <c r="AC4" i="14"/>
  <c r="AC31" i="14"/>
  <c r="AC38" i="14"/>
  <c r="AC39" i="14"/>
  <c r="W15" i="14"/>
  <c r="W29" i="14"/>
  <c r="W40" i="14"/>
  <c r="N43" i="14"/>
  <c r="N39" i="14"/>
  <c r="N34" i="14"/>
  <c r="N30" i="14"/>
  <c r="N26" i="14"/>
  <c r="N23" i="14"/>
  <c r="N19" i="14"/>
  <c r="N16" i="14"/>
  <c r="N12" i="14"/>
  <c r="N7" i="14"/>
  <c r="N35" i="14"/>
  <c r="Z43" i="14"/>
  <c r="Z39" i="14"/>
  <c r="Z35" i="14"/>
  <c r="Z30" i="14"/>
  <c r="Z26" i="14"/>
  <c r="Z23" i="14"/>
  <c r="Z19" i="14"/>
  <c r="Z16" i="14"/>
  <c r="Z12" i="14"/>
  <c r="Z7" i="14"/>
  <c r="Z33" i="14"/>
  <c r="Z42" i="14"/>
  <c r="Z38" i="14"/>
  <c r="Z34" i="14"/>
  <c r="Z29" i="14"/>
  <c r="Z25" i="14"/>
  <c r="Z22" i="14"/>
  <c r="Z18" i="14"/>
  <c r="Z15" i="14"/>
  <c r="Z11" i="14"/>
  <c r="Z6" i="14"/>
  <c r="N6" i="14"/>
  <c r="N14" i="14"/>
  <c r="N18" i="14"/>
  <c r="N28" i="14"/>
  <c r="N33" i="14"/>
  <c r="N40" i="14"/>
  <c r="N44" i="14"/>
  <c r="Q5" i="14"/>
  <c r="Q13" i="14"/>
  <c r="Q17" i="14"/>
  <c r="Q23" i="14"/>
  <c r="Q27" i="14"/>
  <c r="Q33" i="14"/>
  <c r="Q39" i="14"/>
  <c r="W43" i="14"/>
  <c r="W11" i="14"/>
  <c r="W16" i="14"/>
  <c r="W21" i="14"/>
  <c r="W25" i="14"/>
  <c r="W30" i="14"/>
  <c r="W36" i="14"/>
  <c r="W41" i="14"/>
  <c r="Z14" i="14"/>
  <c r="Z21" i="14"/>
  <c r="Z28" i="14"/>
  <c r="Z37" i="14"/>
  <c r="Z44" i="14"/>
  <c r="AC7" i="14"/>
  <c r="AC12" i="14"/>
  <c r="AC19" i="14"/>
  <c r="AC26" i="14"/>
  <c r="AC34" i="14"/>
  <c r="W39" i="14"/>
  <c r="W35" i="14"/>
  <c r="W31" i="14"/>
  <c r="W27" i="14"/>
  <c r="W20" i="14"/>
  <c r="W13" i="14"/>
  <c r="W9" i="14"/>
  <c r="W8" i="14"/>
  <c r="W4" i="14"/>
  <c r="W7" i="14"/>
  <c r="W10" i="14"/>
  <c r="W19" i="14"/>
  <c r="W24" i="14"/>
  <c r="W34" i="14"/>
  <c r="W45" i="14"/>
  <c r="Q45" i="14"/>
  <c r="Q42" i="14"/>
  <c r="Q38" i="14"/>
  <c r="Q34" i="14"/>
  <c r="Q29" i="14"/>
  <c r="Q25" i="14"/>
  <c r="Q22" i="14"/>
  <c r="Q18" i="14"/>
  <c r="Q15" i="14"/>
  <c r="Q11" i="14"/>
  <c r="Q6" i="14"/>
  <c r="AC45" i="14"/>
  <c r="AC42" i="14"/>
  <c r="AC37" i="14"/>
  <c r="AC33" i="14"/>
  <c r="AC29" i="14"/>
  <c r="AC25" i="14"/>
  <c r="AC22" i="14"/>
  <c r="AC18" i="14"/>
  <c r="AC15" i="14"/>
  <c r="AC11" i="14"/>
  <c r="AC6" i="14"/>
  <c r="AC44" i="14"/>
  <c r="AC41" i="14"/>
  <c r="AC36" i="14"/>
  <c r="AC32" i="14"/>
  <c r="AC28" i="14"/>
  <c r="AC24" i="14"/>
  <c r="AC21" i="14"/>
  <c r="AC17" i="14"/>
  <c r="AC14" i="14"/>
  <c r="AC10" i="14"/>
  <c r="AC5" i="14"/>
  <c r="N8" i="14"/>
  <c r="N10" i="14"/>
  <c r="N15" i="14"/>
  <c r="N20" i="14"/>
  <c r="N24" i="14"/>
  <c r="N29" i="14"/>
  <c r="N36" i="14"/>
  <c r="N41" i="14"/>
  <c r="N45" i="14"/>
  <c r="Q7" i="14"/>
  <c r="Q9" i="14"/>
  <c r="Q14" i="14"/>
  <c r="Q19" i="14"/>
  <c r="Q28" i="14"/>
  <c r="Q35" i="14"/>
  <c r="Q40" i="14"/>
  <c r="Q44" i="14"/>
  <c r="W5" i="14"/>
  <c r="W12" i="14"/>
  <c r="W17" i="14"/>
  <c r="W22" i="14"/>
  <c r="W26" i="14"/>
  <c r="W32" i="14"/>
  <c r="W37" i="14"/>
  <c r="W42" i="14"/>
  <c r="Z4" i="14"/>
  <c r="Z9" i="14"/>
  <c r="Z31" i="14"/>
  <c r="Z40" i="14"/>
  <c r="Z45" i="14"/>
  <c r="AC8" i="14"/>
  <c r="AC13" i="14"/>
  <c r="AC20" i="14"/>
  <c r="AC27" i="14"/>
  <c r="AC35" i="14"/>
  <c r="T5" i="14"/>
  <c r="T10" i="14"/>
  <c r="T14" i="14"/>
  <c r="T17" i="14"/>
  <c r="T21" i="14"/>
  <c r="T24" i="14"/>
  <c r="T28" i="14"/>
  <c r="T32" i="14"/>
  <c r="T36" i="14"/>
  <c r="T41" i="14"/>
  <c r="L49" i="14"/>
  <c r="R49" i="14"/>
  <c r="X49" i="14"/>
  <c r="U49" i="14"/>
  <c r="O49" i="14"/>
  <c r="AA49" i="14"/>
  <c r="AA41" i="15"/>
  <c r="L41" i="15"/>
  <c r="X41" i="15"/>
  <c r="U41" i="15"/>
  <c r="O41" i="15"/>
  <c r="R41" i="15"/>
  <c r="V9" i="12"/>
  <c r="S9" i="12"/>
  <c r="P9" i="12"/>
  <c r="AB9" i="12"/>
  <c r="AB17" i="12"/>
  <c r="Y17" i="12"/>
  <c r="P17" i="12"/>
  <c r="M17" i="12"/>
  <c r="V17" i="12"/>
  <c r="S17" i="12"/>
  <c r="M27" i="12"/>
  <c r="Y27" i="12"/>
  <c r="P27" i="12"/>
  <c r="AB27" i="12"/>
  <c r="S27" i="12"/>
  <c r="V27" i="12"/>
  <c r="K16" i="13"/>
  <c r="L34" i="1" l="1"/>
  <c r="L39" i="18"/>
  <c r="R42" i="15"/>
  <c r="AA42" i="15"/>
  <c r="X42" i="15"/>
  <c r="O42" i="15"/>
  <c r="U42" i="15"/>
  <c r="AA40" i="18" l="1"/>
  <c r="AA41" i="18" s="1"/>
  <c r="X40" i="18"/>
  <c r="X41" i="18" s="1"/>
  <c r="U40" i="18"/>
  <c r="U41" i="18" s="1"/>
  <c r="R40" i="18" l="1"/>
  <c r="R41" i="18" s="1"/>
  <c r="O40" i="18"/>
  <c r="O41" i="18" s="1"/>
  <c r="L40" i="18"/>
  <c r="U44" i="18"/>
  <c r="W25" i="18"/>
  <c r="W33" i="18"/>
  <c r="W12" i="18"/>
  <c r="W13" i="18"/>
  <c r="W14" i="18"/>
  <c r="W16" i="18"/>
  <c r="W18" i="18"/>
  <c r="W31" i="18"/>
  <c r="W15" i="18"/>
  <c r="W17" i="18"/>
  <c r="W19" i="18"/>
  <c r="W20" i="18"/>
  <c r="W21" i="18"/>
  <c r="W22" i="18"/>
  <c r="W23" i="18"/>
  <c r="W24" i="18"/>
  <c r="W26" i="18"/>
  <c r="W27" i="18"/>
  <c r="W28" i="18"/>
  <c r="W29" i="18"/>
  <c r="W30" i="18"/>
  <c r="W32" i="18"/>
  <c r="W4" i="18"/>
  <c r="W5" i="18"/>
  <c r="W6" i="18"/>
  <c r="W7" i="18"/>
  <c r="W8" i="18"/>
  <c r="W9" i="18"/>
  <c r="W10" i="18"/>
  <c r="W11" i="18"/>
  <c r="X44" i="18"/>
  <c r="Z7" i="18"/>
  <c r="Z8" i="18"/>
  <c r="Z9" i="18"/>
  <c r="Z10" i="18"/>
  <c r="Z11" i="18"/>
  <c r="Z25" i="18"/>
  <c r="Z33" i="18"/>
  <c r="Z12" i="18"/>
  <c r="Z13" i="18"/>
  <c r="Z14" i="18"/>
  <c r="Z16" i="18"/>
  <c r="Z18" i="18"/>
  <c r="Z31" i="18"/>
  <c r="Z15" i="18"/>
  <c r="Z17" i="18"/>
  <c r="Z19" i="18"/>
  <c r="Z20" i="18"/>
  <c r="Z21" i="18"/>
  <c r="Z22" i="18"/>
  <c r="Z23" i="18"/>
  <c r="Z24" i="18"/>
  <c r="Z26" i="18"/>
  <c r="Z27" i="18"/>
  <c r="Z28" i="18"/>
  <c r="Z29" i="18"/>
  <c r="Z30" i="18"/>
  <c r="Z32" i="18"/>
  <c r="Z4" i="18"/>
  <c r="Z5" i="18"/>
  <c r="Z6" i="18"/>
  <c r="AA44" i="18"/>
  <c r="AC11" i="18"/>
  <c r="AC25" i="18"/>
  <c r="AC33" i="18"/>
  <c r="AC12" i="18"/>
  <c r="AC13" i="18"/>
  <c r="AC14" i="18"/>
  <c r="AC16" i="18"/>
  <c r="AC18" i="18"/>
  <c r="AC31" i="18"/>
  <c r="AC15" i="18"/>
  <c r="AC17" i="18"/>
  <c r="AC19" i="18"/>
  <c r="AC20" i="18"/>
  <c r="AC21" i="18"/>
  <c r="AC22" i="18"/>
  <c r="AC23" i="18"/>
  <c r="AC24" i="18"/>
  <c r="AC26" i="18"/>
  <c r="AC27" i="18"/>
  <c r="AC28" i="18"/>
  <c r="AC29" i="18"/>
  <c r="AC30" i="18"/>
  <c r="AC32" i="18"/>
  <c r="AC4" i="18"/>
  <c r="AC5" i="18"/>
  <c r="AC6" i="18"/>
  <c r="AC7" i="18"/>
  <c r="AC8" i="18"/>
  <c r="AC9" i="18"/>
  <c r="AC10" i="18"/>
  <c r="R44" i="18"/>
  <c r="T7" i="18"/>
  <c r="T8" i="18"/>
  <c r="T9" i="18"/>
  <c r="T10" i="18"/>
  <c r="T11" i="18"/>
  <c r="T25" i="18"/>
  <c r="T33" i="18"/>
  <c r="T12" i="18"/>
  <c r="T13" i="18"/>
  <c r="T14" i="18"/>
  <c r="T16" i="18"/>
  <c r="T18" i="18"/>
  <c r="T31" i="18"/>
  <c r="T15" i="18"/>
  <c r="T17" i="18"/>
  <c r="T19" i="18"/>
  <c r="T20" i="18"/>
  <c r="T21" i="18"/>
  <c r="T22" i="18"/>
  <c r="T23" i="18"/>
  <c r="T24" i="18"/>
  <c r="T26" i="18"/>
  <c r="T27" i="18"/>
  <c r="T28" i="18"/>
  <c r="T29" i="18"/>
  <c r="T30" i="18"/>
  <c r="T32" i="18"/>
  <c r="T4" i="18"/>
  <c r="T5" i="18"/>
  <c r="T6" i="18"/>
  <c r="Q5" i="18"/>
  <c r="Q6" i="18"/>
  <c r="Q7" i="18"/>
  <c r="Q8" i="18"/>
  <c r="Q9" i="18"/>
  <c r="Q10" i="18"/>
  <c r="Q11" i="18"/>
  <c r="Q25" i="18"/>
  <c r="Q33" i="18"/>
  <c r="Q12" i="18"/>
  <c r="Q13" i="18"/>
  <c r="Q14" i="18"/>
  <c r="Q16" i="18"/>
  <c r="Q18" i="18"/>
  <c r="Q31" i="18"/>
  <c r="Q15" i="18"/>
  <c r="Q17" i="18"/>
  <c r="Q19" i="18"/>
  <c r="Q20" i="18"/>
  <c r="Q21" i="18"/>
  <c r="Q22" i="18"/>
  <c r="Q23" i="18"/>
  <c r="Q24" i="18"/>
  <c r="Q26" i="18"/>
  <c r="Q27" i="18"/>
  <c r="Q28" i="18"/>
  <c r="Q29" i="18"/>
  <c r="Q30" i="18"/>
  <c r="Q32" i="18"/>
  <c r="Q4" i="18"/>
  <c r="O44" i="18"/>
  <c r="L41" i="18"/>
  <c r="L84" i="11"/>
  <c r="M86" i="9"/>
  <c r="L47" i="2"/>
  <c r="O84" i="11"/>
  <c r="O85" i="11" s="1"/>
  <c r="P86" i="9"/>
  <c r="P87" i="9" s="1"/>
  <c r="R84" i="11"/>
  <c r="R85" i="11" s="1"/>
  <c r="S86" i="9"/>
  <c r="S87" i="9" s="1"/>
  <c r="U84" i="11"/>
  <c r="U85" i="11" s="1"/>
  <c r="V86" i="9"/>
  <c r="V87" i="9" s="1"/>
  <c r="X84" i="11"/>
  <c r="X85" i="11" s="1"/>
  <c r="Y86" i="9"/>
  <c r="Y87" i="9" s="1"/>
  <c r="AA84" i="11"/>
  <c r="AA85" i="11" s="1"/>
  <c r="AB86" i="9"/>
  <c r="AB87" i="9" s="1"/>
  <c r="AA47" i="2"/>
  <c r="X47" i="2"/>
  <c r="U47" i="2"/>
  <c r="R47" i="2"/>
  <c r="O47" i="2"/>
  <c r="AA46" i="2"/>
  <c r="X46" i="2"/>
  <c r="U46" i="2"/>
  <c r="R46" i="2"/>
  <c r="O46" i="2"/>
  <c r="F94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H94" i="2"/>
  <c r="H93" i="2"/>
  <c r="H92" i="2"/>
  <c r="H91" i="2"/>
  <c r="H90" i="2"/>
  <c r="H89" i="2"/>
  <c r="H88" i="2"/>
  <c r="H87" i="2"/>
  <c r="H86" i="2"/>
  <c r="H85" i="2"/>
  <c r="H84" i="2"/>
  <c r="H83" i="2"/>
  <c r="H82" i="2"/>
  <c r="H81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95" i="2" s="1"/>
  <c r="N10" i="18" l="1"/>
  <c r="N11" i="18"/>
  <c r="N25" i="18"/>
  <c r="N33" i="18"/>
  <c r="N12" i="18"/>
  <c r="N13" i="18"/>
  <c r="N14" i="18"/>
  <c r="N16" i="18"/>
  <c r="N18" i="18"/>
  <c r="N31" i="18"/>
  <c r="N15" i="18"/>
  <c r="N17" i="18"/>
  <c r="N19" i="18"/>
  <c r="N20" i="18"/>
  <c r="N21" i="18"/>
  <c r="N22" i="18"/>
  <c r="N23" i="18"/>
  <c r="N24" i="18"/>
  <c r="N26" i="18"/>
  <c r="N27" i="18"/>
  <c r="N28" i="18"/>
  <c r="N29" i="18"/>
  <c r="N30" i="18"/>
  <c r="N32" i="18"/>
  <c r="N4" i="18"/>
  <c r="N5" i="18"/>
  <c r="N6" i="18"/>
  <c r="N7" i="18"/>
  <c r="N8" i="18"/>
  <c r="N9" i="18"/>
  <c r="L44" i="18"/>
  <c r="AC29" i="9"/>
  <c r="AC72" i="9"/>
  <c r="AC54" i="9"/>
  <c r="AC35" i="9"/>
  <c r="AC18" i="9"/>
  <c r="AC58" i="9"/>
  <c r="AC28" i="9"/>
  <c r="AC7" i="9"/>
  <c r="AC38" i="9"/>
  <c r="AC71" i="9"/>
  <c r="AC13" i="9"/>
  <c r="AC14" i="9"/>
  <c r="AC74" i="9"/>
  <c r="AC6" i="9"/>
  <c r="AC27" i="9"/>
  <c r="AC75" i="9"/>
  <c r="AC49" i="9"/>
  <c r="AC81" i="9"/>
  <c r="AC17" i="9"/>
  <c r="AC60" i="9"/>
  <c r="AC50" i="9"/>
  <c r="AC65" i="9"/>
  <c r="AC40" i="9"/>
  <c r="AC57" i="9"/>
  <c r="AC11" i="9"/>
  <c r="AC5" i="9"/>
  <c r="AC76" i="9"/>
  <c r="AC79" i="9"/>
  <c r="AC70" i="9"/>
  <c r="AC30" i="9"/>
  <c r="AC36" i="9"/>
  <c r="AC20" i="9"/>
  <c r="AC32" i="9"/>
  <c r="AC47" i="9"/>
  <c r="AC66" i="9"/>
  <c r="AC56" i="9"/>
  <c r="AC9" i="9"/>
  <c r="AC8" i="9"/>
  <c r="AC67" i="9"/>
  <c r="AC19" i="9"/>
  <c r="AC48" i="9"/>
  <c r="AC23" i="9"/>
  <c r="AC34" i="9"/>
  <c r="AC12" i="9"/>
  <c r="AC69" i="9"/>
  <c r="AC4" i="9"/>
  <c r="AC41" i="9"/>
  <c r="AC10" i="9"/>
  <c r="AC53" i="9"/>
  <c r="AC51" i="9"/>
  <c r="AC21" i="9"/>
  <c r="AC15" i="9"/>
  <c r="AC80" i="9"/>
  <c r="AC52" i="9"/>
  <c r="AC46" i="9"/>
  <c r="AC33" i="9"/>
  <c r="AC64" i="9"/>
  <c r="AC63" i="9"/>
  <c r="AC73" i="9"/>
  <c r="AC31" i="9"/>
  <c r="AC68" i="9"/>
  <c r="AC78" i="9"/>
  <c r="AC77" i="9"/>
  <c r="AC62" i="9"/>
  <c r="AC55" i="9"/>
  <c r="AC44" i="9"/>
  <c r="AC24" i="9"/>
  <c r="AC43" i="9"/>
  <c r="AC25" i="9"/>
  <c r="AC83" i="9"/>
  <c r="AC16" i="9"/>
  <c r="AC26" i="9"/>
  <c r="AC59" i="9"/>
  <c r="AC37" i="9"/>
  <c r="AC45" i="9"/>
  <c r="AC42" i="9"/>
  <c r="AC22" i="9"/>
  <c r="AC82" i="9"/>
  <c r="AC61" i="9"/>
  <c r="AC39" i="9"/>
  <c r="AB75" i="11"/>
  <c r="AB67" i="11"/>
  <c r="AB35" i="11"/>
  <c r="AB79" i="11"/>
  <c r="AB47" i="11"/>
  <c r="AB57" i="11"/>
  <c r="AB39" i="11"/>
  <c r="AB49" i="11"/>
  <c r="AB59" i="11"/>
  <c r="AB71" i="11"/>
  <c r="AB81" i="11"/>
  <c r="AB31" i="11"/>
  <c r="AB41" i="11"/>
  <c r="AB51" i="11"/>
  <c r="AB63" i="11"/>
  <c r="AB73" i="11"/>
  <c r="AB33" i="11"/>
  <c r="AB43" i="11"/>
  <c r="AB55" i="11"/>
  <c r="AB65" i="11"/>
  <c r="AB80" i="11"/>
  <c r="AB70" i="11"/>
  <c r="AB62" i="11"/>
  <c r="AB50" i="11"/>
  <c r="AB48" i="11"/>
  <c r="AB36" i="11"/>
  <c r="AB27" i="11"/>
  <c r="AB21" i="11"/>
  <c r="AB15" i="11"/>
  <c r="AB14" i="11"/>
  <c r="AB9" i="11"/>
  <c r="AB8" i="11"/>
  <c r="AB2" i="11"/>
  <c r="AB44" i="11"/>
  <c r="AB42" i="11"/>
  <c r="AB30" i="11"/>
  <c r="AB12" i="11"/>
  <c r="AB11" i="11"/>
  <c r="AB5" i="11"/>
  <c r="AB13" i="11"/>
  <c r="AB7" i="11"/>
  <c r="AB6" i="11"/>
  <c r="AB76" i="11"/>
  <c r="AB66" i="11"/>
  <c r="AB64" i="11"/>
  <c r="AB52" i="11"/>
  <c r="AB40" i="11"/>
  <c r="AB38" i="11"/>
  <c r="AB28" i="11"/>
  <c r="AB23" i="11"/>
  <c r="AB22" i="11"/>
  <c r="AB17" i="11"/>
  <c r="AB16" i="11"/>
  <c r="AB10" i="11"/>
  <c r="AB4" i="11"/>
  <c r="AB3" i="11"/>
  <c r="AB78" i="11"/>
  <c r="AB72" i="11"/>
  <c r="AB56" i="11"/>
  <c r="AB54" i="11"/>
  <c r="AB25" i="11"/>
  <c r="AB24" i="11"/>
  <c r="AB18" i="11"/>
  <c r="AB74" i="11"/>
  <c r="AB68" i="11"/>
  <c r="AB60" i="11"/>
  <c r="AB58" i="11"/>
  <c r="AB46" i="11"/>
  <c r="AB34" i="11"/>
  <c r="AB32" i="11"/>
  <c r="AB26" i="11"/>
  <c r="AB20" i="11"/>
  <c r="AB19" i="11"/>
  <c r="AB29" i="11"/>
  <c r="AB37" i="11"/>
  <c r="AB45" i="11"/>
  <c r="AB53" i="11"/>
  <c r="AB61" i="11"/>
  <c r="AB69" i="11"/>
  <c r="AB77" i="11"/>
  <c r="Z27" i="9"/>
  <c r="Z75" i="9"/>
  <c r="Z49" i="9"/>
  <c r="Z81" i="9"/>
  <c r="Z17" i="9"/>
  <c r="Z60" i="9"/>
  <c r="Z50" i="9"/>
  <c r="Z65" i="9"/>
  <c r="Z40" i="9"/>
  <c r="Z57" i="9"/>
  <c r="Z11" i="9"/>
  <c r="Z5" i="9"/>
  <c r="Z79" i="9"/>
  <c r="Z70" i="9"/>
  <c r="Z30" i="9"/>
  <c r="Z36" i="9"/>
  <c r="Z20" i="9"/>
  <c r="Z32" i="9"/>
  <c r="Z47" i="9"/>
  <c r="Z66" i="9"/>
  <c r="Z56" i="9"/>
  <c r="Z9" i="9"/>
  <c r="Z8" i="9"/>
  <c r="Z67" i="9"/>
  <c r="Z48" i="9"/>
  <c r="Z4" i="9"/>
  <c r="Z51" i="9"/>
  <c r="Z53" i="9"/>
  <c r="Z23" i="9"/>
  <c r="Z41" i="9"/>
  <c r="Z21" i="9"/>
  <c r="Z12" i="9"/>
  <c r="Z34" i="9"/>
  <c r="Z10" i="9"/>
  <c r="Z15" i="9"/>
  <c r="Z69" i="9"/>
  <c r="Z72" i="9"/>
  <c r="Z58" i="9"/>
  <c r="Z71" i="9"/>
  <c r="Z38" i="9"/>
  <c r="Z54" i="9"/>
  <c r="Z28" i="9"/>
  <c r="Z13" i="9"/>
  <c r="Z14" i="9"/>
  <c r="Z18" i="9"/>
  <c r="Z74" i="9"/>
  <c r="Z35" i="9"/>
  <c r="Z7" i="9"/>
  <c r="Z42" i="9"/>
  <c r="Z43" i="9"/>
  <c r="Z63" i="9"/>
  <c r="Z83" i="9"/>
  <c r="Z55" i="9"/>
  <c r="Z24" i="9"/>
  <c r="Z64" i="9"/>
  <c r="Z29" i="9"/>
  <c r="Z77" i="9"/>
  <c r="Z19" i="9"/>
  <c r="Z33" i="9"/>
  <c r="Z26" i="9"/>
  <c r="Z62" i="9"/>
  <c r="Z59" i="9"/>
  <c r="Z46" i="9"/>
  <c r="Z73" i="9"/>
  <c r="Z44" i="9"/>
  <c r="Z37" i="9"/>
  <c r="Z52" i="9"/>
  <c r="Z22" i="9"/>
  <c r="Z31" i="9"/>
  <c r="Z68" i="9"/>
  <c r="Z78" i="9"/>
  <c r="Z45" i="9"/>
  <c r="Z6" i="9"/>
  <c r="Z16" i="9"/>
  <c r="Z25" i="9"/>
  <c r="Z80" i="9"/>
  <c r="Z61" i="9"/>
  <c r="Z39" i="9"/>
  <c r="Z76" i="9"/>
  <c r="Z82" i="9"/>
  <c r="Y52" i="11"/>
  <c r="Y17" i="11"/>
  <c r="Y25" i="11"/>
  <c r="Y44" i="11"/>
  <c r="Y19" i="11"/>
  <c r="Y27" i="11"/>
  <c r="Y64" i="11"/>
  <c r="Y68" i="11"/>
  <c r="Y80" i="11"/>
  <c r="Y5" i="11"/>
  <c r="Y21" i="11"/>
  <c r="Y77" i="11"/>
  <c r="Y75" i="11"/>
  <c r="Y69" i="11"/>
  <c r="Y67" i="11"/>
  <c r="Y61" i="11"/>
  <c r="Y59" i="11"/>
  <c r="Y53" i="11"/>
  <c r="Y51" i="11"/>
  <c r="Y45" i="11"/>
  <c r="Y43" i="11"/>
  <c r="Y37" i="11"/>
  <c r="Y35" i="11"/>
  <c r="Y78" i="11"/>
  <c r="Y74" i="11"/>
  <c r="Y62" i="11"/>
  <c r="Y58" i="11"/>
  <c r="Y46" i="11"/>
  <c r="Y42" i="11"/>
  <c r="Y30" i="11"/>
  <c r="Y29" i="11"/>
  <c r="Y22" i="11"/>
  <c r="Y20" i="11"/>
  <c r="Y14" i="11"/>
  <c r="Y12" i="11"/>
  <c r="Y6" i="11"/>
  <c r="Y4" i="11"/>
  <c r="Y3" i="11"/>
  <c r="Y32" i="11"/>
  <c r="Y7" i="11"/>
  <c r="Y15" i="11"/>
  <c r="Y56" i="11"/>
  <c r="Y23" i="11"/>
  <c r="Y28" i="11"/>
  <c r="Y8" i="11"/>
  <c r="Y16" i="11"/>
  <c r="Y24" i="11"/>
  <c r="Y34" i="11"/>
  <c r="Y50" i="11"/>
  <c r="Y66" i="11"/>
  <c r="Y31" i="11"/>
  <c r="Y39" i="11"/>
  <c r="Y47" i="11"/>
  <c r="Y55" i="11"/>
  <c r="Y63" i="11"/>
  <c r="Y71" i="11"/>
  <c r="Y79" i="11"/>
  <c r="Y13" i="11"/>
  <c r="Y76" i="11"/>
  <c r="Y60" i="11"/>
  <c r="Y9" i="11"/>
  <c r="Y40" i="11"/>
  <c r="Y11" i="11"/>
  <c r="Y2" i="11"/>
  <c r="Y10" i="11"/>
  <c r="Y18" i="11"/>
  <c r="Y26" i="11"/>
  <c r="Y38" i="11"/>
  <c r="Y54" i="11"/>
  <c r="Y70" i="11"/>
  <c r="Y33" i="11"/>
  <c r="Y41" i="11"/>
  <c r="Y49" i="11"/>
  <c r="Y57" i="11"/>
  <c r="Y65" i="11"/>
  <c r="Y73" i="11"/>
  <c r="Y81" i="11"/>
  <c r="Y36" i="11"/>
  <c r="Y72" i="11"/>
  <c r="Y48" i="11"/>
  <c r="W80" i="9"/>
  <c r="W48" i="9"/>
  <c r="W4" i="9"/>
  <c r="W51" i="9"/>
  <c r="W53" i="9"/>
  <c r="W23" i="9"/>
  <c r="W41" i="9"/>
  <c r="W21" i="9"/>
  <c r="W12" i="9"/>
  <c r="W34" i="9"/>
  <c r="W10" i="9"/>
  <c r="W15" i="9"/>
  <c r="W69" i="9"/>
  <c r="W54" i="9"/>
  <c r="W35" i="9"/>
  <c r="W18" i="9"/>
  <c r="W58" i="9"/>
  <c r="W28" i="9"/>
  <c r="W7" i="9"/>
  <c r="W38" i="9"/>
  <c r="W71" i="9"/>
  <c r="W13" i="9"/>
  <c r="W14" i="9"/>
  <c r="W74" i="9"/>
  <c r="W6" i="9"/>
  <c r="W75" i="9"/>
  <c r="W49" i="9"/>
  <c r="W81" i="9"/>
  <c r="W17" i="9"/>
  <c r="W60" i="9"/>
  <c r="W50" i="9"/>
  <c r="W65" i="9"/>
  <c r="W40" i="9"/>
  <c r="W57" i="9"/>
  <c r="W11" i="9"/>
  <c r="W5" i="9"/>
  <c r="W76" i="9"/>
  <c r="W79" i="9"/>
  <c r="W20" i="9"/>
  <c r="W56" i="9"/>
  <c r="W30" i="9"/>
  <c r="W36" i="9"/>
  <c r="W70" i="9"/>
  <c r="W32" i="9"/>
  <c r="W9" i="9"/>
  <c r="W8" i="9"/>
  <c r="W66" i="9"/>
  <c r="W47" i="9"/>
  <c r="W67" i="9"/>
  <c r="W29" i="9"/>
  <c r="W55" i="9"/>
  <c r="W61" i="9"/>
  <c r="W44" i="9"/>
  <c r="W46" i="9"/>
  <c r="W33" i="9"/>
  <c r="W39" i="9"/>
  <c r="W26" i="9"/>
  <c r="W22" i="9"/>
  <c r="W45" i="9"/>
  <c r="W68" i="9"/>
  <c r="W24" i="9"/>
  <c r="W52" i="9"/>
  <c r="W82" i="9"/>
  <c r="W16" i="9"/>
  <c r="W19" i="9"/>
  <c r="W72" i="9"/>
  <c r="W59" i="9"/>
  <c r="W27" i="9"/>
  <c r="W64" i="9"/>
  <c r="W73" i="9"/>
  <c r="W25" i="9"/>
  <c r="W43" i="9"/>
  <c r="W63" i="9"/>
  <c r="W37" i="9"/>
  <c r="W78" i="9"/>
  <c r="W31" i="9"/>
  <c r="W42" i="9"/>
  <c r="W62" i="9"/>
  <c r="W83" i="9"/>
  <c r="W77" i="9"/>
  <c r="V23" i="11"/>
  <c r="V15" i="11"/>
  <c r="V48" i="11"/>
  <c r="V75" i="11"/>
  <c r="V80" i="11"/>
  <c r="V55" i="11"/>
  <c r="V47" i="11"/>
  <c r="V56" i="11"/>
  <c r="V26" i="11"/>
  <c r="V10" i="11"/>
  <c r="V63" i="11"/>
  <c r="V51" i="11"/>
  <c r="V32" i="11"/>
  <c r="V64" i="11"/>
  <c r="V13" i="11"/>
  <c r="V31" i="11"/>
  <c r="V2" i="11"/>
  <c r="V40" i="11"/>
  <c r="V72" i="11"/>
  <c r="V79" i="11"/>
  <c r="V49" i="11"/>
  <c r="V11" i="11"/>
  <c r="V37" i="11"/>
  <c r="V17" i="11"/>
  <c r="V5" i="11"/>
  <c r="V24" i="11"/>
  <c r="V18" i="11"/>
  <c r="V12" i="11"/>
  <c r="V34" i="11"/>
  <c r="V42" i="11"/>
  <c r="V50" i="11"/>
  <c r="V58" i="11"/>
  <c r="V66" i="11"/>
  <c r="V74" i="11"/>
  <c r="V71" i="11"/>
  <c r="V77" i="11"/>
  <c r="V53" i="11"/>
  <c r="V25" i="11"/>
  <c r="V35" i="11"/>
  <c r="V9" i="11"/>
  <c r="V45" i="11"/>
  <c r="V27" i="11"/>
  <c r="V14" i="11"/>
  <c r="V69" i="11"/>
  <c r="V22" i="11"/>
  <c r="V28" i="11"/>
  <c r="V36" i="11"/>
  <c r="V44" i="11"/>
  <c r="V52" i="11"/>
  <c r="V60" i="11"/>
  <c r="V68" i="11"/>
  <c r="V76" i="11"/>
  <c r="V67" i="11"/>
  <c r="V65" i="11"/>
  <c r="V41" i="11"/>
  <c r="V20" i="11"/>
  <c r="V7" i="11"/>
  <c r="V33" i="11"/>
  <c r="V4" i="11"/>
  <c r="V73" i="11"/>
  <c r="V43" i="11"/>
  <c r="V21" i="11"/>
  <c r="V61" i="11"/>
  <c r="V81" i="11"/>
  <c r="V30" i="11"/>
  <c r="V38" i="11"/>
  <c r="V46" i="11"/>
  <c r="V54" i="11"/>
  <c r="V62" i="11"/>
  <c r="V70" i="11"/>
  <c r="V78" i="11"/>
  <c r="V29" i="11"/>
  <c r="V19" i="11"/>
  <c r="V6" i="11"/>
  <c r="V16" i="11"/>
  <c r="V3" i="11"/>
  <c r="V57" i="11"/>
  <c r="V8" i="11"/>
  <c r="V59" i="11"/>
  <c r="V39" i="11"/>
  <c r="T64" i="9"/>
  <c r="T27" i="9"/>
  <c r="T75" i="9"/>
  <c r="T49" i="9"/>
  <c r="T81" i="9"/>
  <c r="T17" i="9"/>
  <c r="T60" i="9"/>
  <c r="T50" i="9"/>
  <c r="T65" i="9"/>
  <c r="T40" i="9"/>
  <c r="T57" i="9"/>
  <c r="T11" i="9"/>
  <c r="T5" i="9"/>
  <c r="T76" i="9"/>
  <c r="T79" i="9"/>
  <c r="T70" i="9"/>
  <c r="T30" i="9"/>
  <c r="T36" i="9"/>
  <c r="T20" i="9"/>
  <c r="T32" i="9"/>
  <c r="T47" i="9"/>
  <c r="T66" i="9"/>
  <c r="T56" i="9"/>
  <c r="T9" i="9"/>
  <c r="T8" i="9"/>
  <c r="T67" i="9"/>
  <c r="T48" i="9"/>
  <c r="T4" i="9"/>
  <c r="T51" i="9"/>
  <c r="T53" i="9"/>
  <c r="T23" i="9"/>
  <c r="T41" i="9"/>
  <c r="T21" i="9"/>
  <c r="T12" i="9"/>
  <c r="T34" i="9"/>
  <c r="T10" i="9"/>
  <c r="T15" i="9"/>
  <c r="T69" i="9"/>
  <c r="T72" i="9"/>
  <c r="T58" i="9"/>
  <c r="T71" i="9"/>
  <c r="T6" i="9"/>
  <c r="T35" i="9"/>
  <c r="T18" i="9"/>
  <c r="T74" i="9"/>
  <c r="T54" i="9"/>
  <c r="T28" i="9"/>
  <c r="T13" i="9"/>
  <c r="T14" i="9"/>
  <c r="T38" i="9"/>
  <c r="T7" i="9"/>
  <c r="T42" i="9"/>
  <c r="T25" i="9"/>
  <c r="T29" i="9"/>
  <c r="T73" i="9"/>
  <c r="T59" i="9"/>
  <c r="T26" i="9"/>
  <c r="T22" i="9"/>
  <c r="T33" i="9"/>
  <c r="T24" i="9"/>
  <c r="T44" i="9"/>
  <c r="T46" i="9"/>
  <c r="T43" i="9"/>
  <c r="T82" i="9"/>
  <c r="T62" i="9"/>
  <c r="T83" i="9"/>
  <c r="T77" i="9"/>
  <c r="T80" i="9"/>
  <c r="T63" i="9"/>
  <c r="T68" i="9"/>
  <c r="T61" i="9"/>
  <c r="T16" i="9"/>
  <c r="T45" i="9"/>
  <c r="T19" i="9"/>
  <c r="T78" i="9"/>
  <c r="T37" i="9"/>
  <c r="T52" i="9"/>
  <c r="T39" i="9"/>
  <c r="T55" i="9"/>
  <c r="T31" i="9"/>
  <c r="S39" i="11"/>
  <c r="S16" i="11"/>
  <c r="S57" i="11"/>
  <c r="S35" i="11"/>
  <c r="S69" i="11"/>
  <c r="S9" i="11"/>
  <c r="S50" i="11"/>
  <c r="S26" i="11"/>
  <c r="S15" i="11"/>
  <c r="S56" i="11"/>
  <c r="S75" i="11"/>
  <c r="S31" i="11"/>
  <c r="S25" i="11"/>
  <c r="S34" i="11"/>
  <c r="S66" i="11"/>
  <c r="S10" i="11"/>
  <c r="S29" i="11"/>
  <c r="S6" i="11"/>
  <c r="S37" i="11"/>
  <c r="S40" i="11"/>
  <c r="S72" i="11"/>
  <c r="S59" i="11"/>
  <c r="S30" i="11"/>
  <c r="S17" i="11"/>
  <c r="S41" i="11"/>
  <c r="S73" i="11"/>
  <c r="S42" i="11"/>
  <c r="S58" i="11"/>
  <c r="S74" i="11"/>
  <c r="S63" i="11"/>
  <c r="S79" i="11"/>
  <c r="S2" i="11"/>
  <c r="S7" i="11"/>
  <c r="S23" i="11"/>
  <c r="S53" i="11"/>
  <c r="S32" i="11"/>
  <c r="S48" i="11"/>
  <c r="S64" i="11"/>
  <c r="S80" i="11"/>
  <c r="S12" i="11"/>
  <c r="S20" i="11"/>
  <c r="S71" i="11"/>
  <c r="S51" i="11"/>
  <c r="S18" i="11"/>
  <c r="S8" i="11"/>
  <c r="S47" i="11"/>
  <c r="S22" i="11"/>
  <c r="S3" i="11"/>
  <c r="S11" i="11"/>
  <c r="S19" i="11"/>
  <c r="S27" i="11"/>
  <c r="S45" i="11"/>
  <c r="S61" i="11"/>
  <c r="S77" i="11"/>
  <c r="S36" i="11"/>
  <c r="S44" i="11"/>
  <c r="S52" i="11"/>
  <c r="S60" i="11"/>
  <c r="S68" i="11"/>
  <c r="S76" i="11"/>
  <c r="S28" i="11"/>
  <c r="S4" i="11"/>
  <c r="S67" i="11"/>
  <c r="S14" i="11"/>
  <c r="S24" i="11"/>
  <c r="S43" i="11"/>
  <c r="S5" i="11"/>
  <c r="S13" i="11"/>
  <c r="S21" i="11"/>
  <c r="S33" i="11"/>
  <c r="S49" i="11"/>
  <c r="S65" i="11"/>
  <c r="S81" i="11"/>
  <c r="S38" i="11"/>
  <c r="S46" i="11"/>
  <c r="S54" i="11"/>
  <c r="S62" i="11"/>
  <c r="S70" i="11"/>
  <c r="S78" i="11"/>
  <c r="S55" i="11"/>
  <c r="Q79" i="9"/>
  <c r="Q70" i="9"/>
  <c r="Q30" i="9"/>
  <c r="Q36" i="9"/>
  <c r="Q20" i="9"/>
  <c r="Q32" i="9"/>
  <c r="Q47" i="9"/>
  <c r="Q66" i="9"/>
  <c r="Q56" i="9"/>
  <c r="Q9" i="9"/>
  <c r="Q8" i="9"/>
  <c r="Q67" i="9"/>
  <c r="Q19" i="9"/>
  <c r="Q52" i="9"/>
  <c r="Q48" i="9"/>
  <c r="Q4" i="9"/>
  <c r="Q51" i="9"/>
  <c r="Q53" i="9"/>
  <c r="Q23" i="9"/>
  <c r="Q41" i="9"/>
  <c r="Q21" i="9"/>
  <c r="Q12" i="9"/>
  <c r="Q34" i="9"/>
  <c r="Q10" i="9"/>
  <c r="Q15" i="9"/>
  <c r="Q69" i="9"/>
  <c r="Q37" i="9"/>
  <c r="Q72" i="9"/>
  <c r="Q54" i="9"/>
  <c r="Q35" i="9"/>
  <c r="Q18" i="9"/>
  <c r="Q58" i="9"/>
  <c r="Q28" i="9"/>
  <c r="Q7" i="9"/>
  <c r="Q38" i="9"/>
  <c r="Q71" i="9"/>
  <c r="Q13" i="9"/>
  <c r="Q14" i="9"/>
  <c r="Q74" i="9"/>
  <c r="Q6" i="9"/>
  <c r="Q81" i="9"/>
  <c r="Q65" i="9"/>
  <c r="Q5" i="9"/>
  <c r="Q75" i="9"/>
  <c r="Q60" i="9"/>
  <c r="Q50" i="9"/>
  <c r="Q27" i="9"/>
  <c r="Q17" i="9"/>
  <c r="Q40" i="9"/>
  <c r="Q76" i="9"/>
  <c r="Q57" i="9"/>
  <c r="Q49" i="9"/>
  <c r="Q11" i="9"/>
  <c r="Q78" i="9"/>
  <c r="Q16" i="9"/>
  <c r="Q55" i="9"/>
  <c r="Q39" i="9"/>
  <c r="Q68" i="9"/>
  <c r="Q43" i="9"/>
  <c r="Q46" i="9"/>
  <c r="Q31" i="9"/>
  <c r="Q25" i="9"/>
  <c r="Q61" i="9"/>
  <c r="Q45" i="9"/>
  <c r="Q73" i="9"/>
  <c r="Q82" i="9"/>
  <c r="Q44" i="9"/>
  <c r="Q33" i="9"/>
  <c r="Q22" i="9"/>
  <c r="Q62" i="9"/>
  <c r="Q26" i="9"/>
  <c r="Q63" i="9"/>
  <c r="Q83" i="9"/>
  <c r="Q77" i="9"/>
  <c r="Q80" i="9"/>
  <c r="Q42" i="9"/>
  <c r="Q29" i="9"/>
  <c r="Q64" i="9"/>
  <c r="Q59" i="9"/>
  <c r="Q24" i="9"/>
  <c r="P75" i="11"/>
  <c r="P37" i="11"/>
  <c r="P81" i="11"/>
  <c r="P41" i="11"/>
  <c r="P57" i="11"/>
  <c r="P65" i="11"/>
  <c r="P49" i="11"/>
  <c r="P69" i="11"/>
  <c r="P33" i="11"/>
  <c r="P53" i="11"/>
  <c r="P73" i="11"/>
  <c r="P29" i="11"/>
  <c r="P45" i="11"/>
  <c r="P61" i="11"/>
  <c r="P77" i="11"/>
  <c r="P31" i="11"/>
  <c r="P39" i="11"/>
  <c r="P47" i="11"/>
  <c r="P55" i="11"/>
  <c r="P63" i="11"/>
  <c r="P71" i="11"/>
  <c r="P79" i="11"/>
  <c r="P35" i="11"/>
  <c r="P43" i="11"/>
  <c r="P51" i="11"/>
  <c r="P59" i="11"/>
  <c r="P67" i="11"/>
  <c r="P74" i="11"/>
  <c r="P68" i="11"/>
  <c r="P58" i="11"/>
  <c r="P46" i="11"/>
  <c r="P44" i="11"/>
  <c r="P34" i="11"/>
  <c r="P32" i="11"/>
  <c r="P24" i="11"/>
  <c r="P18" i="11"/>
  <c r="P17" i="11"/>
  <c r="P11" i="11"/>
  <c r="P5" i="11"/>
  <c r="P4" i="11"/>
  <c r="P40" i="11"/>
  <c r="P38" i="11"/>
  <c r="P15" i="11"/>
  <c r="P14" i="11"/>
  <c r="P8" i="11"/>
  <c r="P2" i="11"/>
  <c r="P16" i="11"/>
  <c r="P10" i="11"/>
  <c r="P9" i="11"/>
  <c r="P3" i="11"/>
  <c r="P80" i="11"/>
  <c r="P70" i="11"/>
  <c r="P62" i="11"/>
  <c r="P60" i="11"/>
  <c r="P50" i="11"/>
  <c r="P48" i="11"/>
  <c r="P36" i="11"/>
  <c r="P26" i="11"/>
  <c r="P25" i="11"/>
  <c r="P19" i="11"/>
  <c r="P13" i="11"/>
  <c r="P12" i="11"/>
  <c r="P7" i="11"/>
  <c r="P6" i="11"/>
  <c r="P76" i="11"/>
  <c r="P66" i="11"/>
  <c r="P64" i="11"/>
  <c r="P52" i="11"/>
  <c r="P27" i="11"/>
  <c r="P21" i="11"/>
  <c r="P20" i="11"/>
  <c r="P78" i="11"/>
  <c r="P72" i="11"/>
  <c r="P56" i="11"/>
  <c r="P54" i="11"/>
  <c r="P42" i="11"/>
  <c r="P30" i="11"/>
  <c r="P28" i="11"/>
  <c r="P23" i="11"/>
  <c r="P22" i="11"/>
  <c r="AA48" i="2"/>
  <c r="AB44" i="2" s="1"/>
  <c r="U48" i="2"/>
  <c r="V44" i="2" s="1"/>
  <c r="O48" i="2"/>
  <c r="P35" i="2" s="1"/>
  <c r="R48" i="2"/>
  <c r="X48" i="2"/>
  <c r="Y44" i="2" s="1"/>
  <c r="F95" i="2"/>
  <c r="P85" i="11" l="1"/>
  <c r="P87" i="11"/>
  <c r="P89" i="11" s="1"/>
  <c r="Q87" i="9"/>
  <c r="Q89" i="9"/>
  <c r="Q91" i="9" s="1"/>
  <c r="S85" i="11"/>
  <c r="T87" i="9"/>
  <c r="V85" i="11"/>
  <c r="W87" i="9"/>
  <c r="Y85" i="11"/>
  <c r="Z87" i="9"/>
  <c r="AB85" i="11"/>
  <c r="AC87" i="9"/>
  <c r="P25" i="2"/>
  <c r="P16" i="2"/>
  <c r="P15" i="2"/>
  <c r="P6" i="2"/>
  <c r="P13" i="2"/>
  <c r="P11" i="2"/>
  <c r="P26" i="2"/>
  <c r="P40" i="2"/>
  <c r="P23" i="2"/>
  <c r="P38" i="2"/>
  <c r="P28" i="2"/>
  <c r="P18" i="2"/>
  <c r="P8" i="2"/>
  <c r="P33" i="2"/>
  <c r="V10" i="2"/>
  <c r="V20" i="2"/>
  <c r="V19" i="2"/>
  <c r="V21" i="2"/>
  <c r="V13" i="2"/>
  <c r="V24" i="2"/>
  <c r="V7" i="2"/>
  <c r="V26" i="2"/>
  <c r="V27" i="2"/>
  <c r="V29" i="2"/>
  <c r="V35" i="2"/>
  <c r="V23" i="2"/>
  <c r="V34" i="2"/>
  <c r="V30" i="2"/>
  <c r="V39" i="2"/>
  <c r="V36" i="2"/>
  <c r="V18" i="2"/>
  <c r="V15" i="2"/>
  <c r="V32" i="2"/>
  <c r="V28" i="2"/>
  <c r="V38" i="2"/>
  <c r="V43" i="2"/>
  <c r="V4" i="2"/>
  <c r="V40" i="2"/>
  <c r="V33" i="2"/>
  <c r="V9" i="2"/>
  <c r="V8" i="2"/>
  <c r="V45" i="2"/>
  <c r="V37" i="2"/>
  <c r="V5" i="2"/>
  <c r="V14" i="2"/>
  <c r="V12" i="2"/>
  <c r="P42" i="2"/>
  <c r="P44" i="2"/>
  <c r="S42" i="2"/>
  <c r="S44" i="2"/>
  <c r="V42" i="2"/>
  <c r="V41" i="2"/>
  <c r="V6" i="2"/>
  <c r="V11" i="2"/>
  <c r="V17" i="2"/>
  <c r="S14" i="2"/>
  <c r="S4" i="2"/>
  <c r="S8" i="2"/>
  <c r="S23" i="2"/>
  <c r="S34" i="2"/>
  <c r="S25" i="2"/>
  <c r="S28" i="2"/>
  <c r="S33" i="2"/>
  <c r="S40" i="2"/>
  <c r="S15" i="2"/>
  <c r="S22" i="2"/>
  <c r="S13" i="2"/>
  <c r="S20" i="2"/>
  <c r="S35" i="2"/>
  <c r="S38" i="2"/>
  <c r="S18" i="2"/>
  <c r="P34" i="2"/>
  <c r="P10" i="2"/>
  <c r="S29" i="2"/>
  <c r="S9" i="2"/>
  <c r="P29" i="2"/>
  <c r="P9" i="2"/>
  <c r="S36" i="2"/>
  <c r="S12" i="2"/>
  <c r="P32" i="2"/>
  <c r="P12" i="2"/>
  <c r="S39" i="2"/>
  <c r="S19" i="2"/>
  <c r="P19" i="2"/>
  <c r="P27" i="2"/>
  <c r="S30" i="2"/>
  <c r="S6" i="2"/>
  <c r="P22" i="2"/>
  <c r="S41" i="2"/>
  <c r="S17" i="2"/>
  <c r="P41" i="2"/>
  <c r="P17" i="2"/>
  <c r="S45" i="2"/>
  <c r="S24" i="2"/>
  <c r="P45" i="2"/>
  <c r="P24" i="2"/>
  <c r="S31" i="2"/>
  <c r="S7" i="2"/>
  <c r="P30" i="2"/>
  <c r="P14" i="2"/>
  <c r="P37" i="2"/>
  <c r="P21" i="2"/>
  <c r="P5" i="2"/>
  <c r="P36" i="2"/>
  <c r="P20" i="2"/>
  <c r="P4" i="2"/>
  <c r="P31" i="2"/>
  <c r="P43" i="2"/>
  <c r="P39" i="2"/>
  <c r="P7" i="2"/>
  <c r="S26" i="2"/>
  <c r="S10" i="2"/>
  <c r="S37" i="2"/>
  <c r="S21" i="2"/>
  <c r="S5" i="2"/>
  <c r="S32" i="2"/>
  <c r="S16" i="2"/>
  <c r="S43" i="2"/>
  <c r="S27" i="2"/>
  <c r="S11" i="2"/>
  <c r="V16" i="2"/>
  <c r="V25" i="2"/>
  <c r="V22" i="2"/>
  <c r="V31" i="2"/>
  <c r="P50" i="2" l="1"/>
  <c r="P52" i="2" s="1"/>
  <c r="P55" i="2" s="1"/>
  <c r="P48" i="2"/>
  <c r="S48" i="2"/>
  <c r="AB5" i="2"/>
  <c r="AB25" i="2"/>
  <c r="V48" i="2"/>
  <c r="Y30" i="2"/>
  <c r="Y41" i="2"/>
  <c r="Y38" i="2"/>
  <c r="Y22" i="2"/>
  <c r="Y14" i="2"/>
  <c r="Y15" i="2"/>
  <c r="Y34" i="2"/>
  <c r="Y4" i="2"/>
  <c r="Y27" i="2"/>
  <c r="Y20" i="2"/>
  <c r="Y36" i="2"/>
  <c r="Y5" i="2"/>
  <c r="Y21" i="2"/>
  <c r="Y37" i="2"/>
  <c r="Y6" i="2"/>
  <c r="Y23" i="2"/>
  <c r="Y10" i="2"/>
  <c r="Y42" i="2"/>
  <c r="Y35" i="2"/>
  <c r="Y8" i="2"/>
  <c r="Y24" i="2"/>
  <c r="Y40" i="2"/>
  <c r="Y9" i="2"/>
  <c r="Y25" i="2"/>
  <c r="Y31" i="2"/>
  <c r="Y18" i="2"/>
  <c r="Y11" i="2"/>
  <c r="Y43" i="2"/>
  <c r="Y12" i="2"/>
  <c r="Y28" i="2"/>
  <c r="Y45" i="2"/>
  <c r="Y13" i="2"/>
  <c r="Y29" i="2"/>
  <c r="Y7" i="2"/>
  <c r="Y39" i="2"/>
  <c r="Y26" i="2"/>
  <c r="Y19" i="2"/>
  <c r="Y16" i="2"/>
  <c r="Y32" i="2"/>
  <c r="Y17" i="2"/>
  <c r="Y33" i="2"/>
  <c r="Y48" i="2" l="1"/>
  <c r="AB17" i="2"/>
  <c r="AB26" i="2"/>
  <c r="AB8" i="2"/>
  <c r="AB38" i="2"/>
  <c r="AB35" i="2"/>
  <c r="AB42" i="2"/>
  <c r="AB28" i="2"/>
  <c r="AB15" i="2"/>
  <c r="AB36" i="2"/>
  <c r="AB14" i="2"/>
  <c r="AB9" i="2"/>
  <c r="AB23" i="2"/>
  <c r="AB32" i="2"/>
  <c r="AB13" i="2"/>
  <c r="AB7" i="2"/>
  <c r="AB19" i="2"/>
  <c r="AB33" i="2"/>
  <c r="AB22" i="2"/>
  <c r="AB30" i="2"/>
  <c r="AB18" i="2"/>
  <c r="AB20" i="2"/>
  <c r="AB27" i="2"/>
  <c r="AB34" i="2"/>
  <c r="AB40" i="2"/>
  <c r="AB16" i="2"/>
  <c r="AB6" i="2"/>
  <c r="AB10" i="2"/>
  <c r="AB21" i="2"/>
  <c r="AB24" i="2"/>
  <c r="AB29" i="2"/>
  <c r="AB37" i="2"/>
  <c r="AB41" i="2"/>
  <c r="AB11" i="2"/>
  <c r="AB39" i="2"/>
  <c r="AB31" i="2"/>
  <c r="AB45" i="2"/>
  <c r="AB43" i="2"/>
  <c r="AB4" i="2"/>
  <c r="AB12" i="2"/>
  <c r="AB48" i="2" l="1"/>
  <c r="L42" i="15" l="1"/>
  <c r="L46" i="2"/>
  <c r="L48" i="2"/>
  <c r="M20" i="2"/>
  <c r="M85" i="9"/>
  <c r="M87" i="9"/>
  <c r="N72" i="9"/>
  <c r="L83" i="11"/>
  <c r="L85" i="11"/>
  <c r="M23" i="11"/>
  <c r="M2" i="11" l="1"/>
  <c r="M18" i="11"/>
  <c r="M79" i="11"/>
  <c r="M71" i="11"/>
  <c r="M63" i="11"/>
  <c r="M55" i="11"/>
  <c r="M47" i="11"/>
  <c r="M39" i="11"/>
  <c r="M31" i="11"/>
  <c r="M76" i="11"/>
  <c r="M60" i="11"/>
  <c r="M44" i="11"/>
  <c r="M28" i="11"/>
  <c r="M20" i="11"/>
  <c r="M7" i="11"/>
  <c r="M75" i="11"/>
  <c r="M67" i="11"/>
  <c r="M59" i="11"/>
  <c r="M51" i="11"/>
  <c r="M43" i="11"/>
  <c r="M35" i="11"/>
  <c r="M29" i="11"/>
  <c r="M68" i="11"/>
  <c r="M52" i="11"/>
  <c r="M36" i="11"/>
  <c r="M24" i="11"/>
  <c r="M15" i="11"/>
  <c r="M81" i="11"/>
  <c r="M65" i="11"/>
  <c r="M49" i="11"/>
  <c r="M33" i="11"/>
  <c r="M64" i="11"/>
  <c r="M32" i="11"/>
  <c r="M16" i="11"/>
  <c r="M8" i="11"/>
  <c r="M19" i="11"/>
  <c r="M58" i="11"/>
  <c r="M78" i="11"/>
  <c r="M9" i="11"/>
  <c r="M38" i="11"/>
  <c r="M21" i="11"/>
  <c r="M77" i="11"/>
  <c r="M50" i="11"/>
  <c r="M57" i="11"/>
  <c r="M37" i="11"/>
  <c r="M56" i="11"/>
  <c r="M22" i="11"/>
  <c r="M10" i="11"/>
  <c r="M25" i="11"/>
  <c r="M61" i="11"/>
  <c r="M30" i="11"/>
  <c r="M40" i="11"/>
  <c r="M12" i="11"/>
  <c r="M11" i="11"/>
  <c r="M62" i="11"/>
  <c r="M53" i="11"/>
  <c r="M72" i="11"/>
  <c r="M14" i="11"/>
  <c r="M42" i="11"/>
  <c r="M3" i="11"/>
  <c r="M45" i="11"/>
  <c r="M26" i="11"/>
  <c r="M54" i="11"/>
  <c r="M13" i="11"/>
  <c r="M46" i="11"/>
  <c r="M41" i="11"/>
  <c r="M6" i="11"/>
  <c r="M80" i="11"/>
  <c r="M27" i="11"/>
  <c r="M74" i="11"/>
  <c r="M17" i="11"/>
  <c r="M48" i="11"/>
  <c r="M70" i="11"/>
  <c r="M4" i="11"/>
  <c r="M5" i="11"/>
  <c r="M66" i="11"/>
  <c r="M34" i="11"/>
  <c r="M73" i="11"/>
  <c r="M69" i="11"/>
  <c r="N4" i="9"/>
  <c r="N20" i="9"/>
  <c r="N16" i="9"/>
  <c r="N78" i="9"/>
  <c r="N31" i="9"/>
  <c r="N55" i="9"/>
  <c r="N64" i="9"/>
  <c r="N26" i="9"/>
  <c r="N42" i="9"/>
  <c r="N46" i="9"/>
  <c r="N22" i="9"/>
  <c r="N73" i="9"/>
  <c r="N82" i="9"/>
  <c r="N62" i="9"/>
  <c r="N34" i="9"/>
  <c r="N52" i="9"/>
  <c r="N68" i="9"/>
  <c r="N23" i="9"/>
  <c r="N24" i="9"/>
  <c r="N12" i="9"/>
  <c r="N63" i="9"/>
  <c r="N37" i="9"/>
  <c r="N15" i="9"/>
  <c r="N21" i="9"/>
  <c r="N51" i="9"/>
  <c r="N44" i="9"/>
  <c r="N69" i="9"/>
  <c r="N48" i="9"/>
  <c r="N59" i="9"/>
  <c r="N5" i="9"/>
  <c r="N53" i="9"/>
  <c r="N61" i="9"/>
  <c r="N39" i="9"/>
  <c r="N76" i="9"/>
  <c r="N10" i="9"/>
  <c r="N41" i="9"/>
  <c r="N29" i="9"/>
  <c r="N45" i="9"/>
  <c r="N43" i="9"/>
  <c r="N19" i="9"/>
  <c r="N67" i="9"/>
  <c r="N8" i="9"/>
  <c r="N9" i="9"/>
  <c r="N56" i="9"/>
  <c r="N66" i="9"/>
  <c r="N47" i="9"/>
  <c r="N32" i="9"/>
  <c r="N36" i="9"/>
  <c r="N30" i="9"/>
  <c r="N70" i="9"/>
  <c r="N79" i="9"/>
  <c r="N80" i="9"/>
  <c r="N11" i="9"/>
  <c r="N40" i="9"/>
  <c r="N50" i="9"/>
  <c r="N81" i="9"/>
  <c r="N75" i="9"/>
  <c r="N27" i="9"/>
  <c r="N57" i="9"/>
  <c r="N65" i="9"/>
  <c r="N60" i="9"/>
  <c r="N17" i="9"/>
  <c r="N49" i="9"/>
  <c r="N25" i="9"/>
  <c r="N83" i="9"/>
  <c r="N33" i="9"/>
  <c r="N77" i="9"/>
  <c r="N6" i="9"/>
  <c r="N74" i="9"/>
  <c r="N14" i="9"/>
  <c r="N13" i="9"/>
  <c r="N71" i="9"/>
  <c r="N38" i="9"/>
  <c r="N7" i="9"/>
  <c r="N28" i="9"/>
  <c r="N58" i="9"/>
  <c r="N18" i="9"/>
  <c r="N35" i="9"/>
  <c r="N54" i="9"/>
  <c r="M4" i="2"/>
  <c r="M44" i="2"/>
  <c r="M42" i="2"/>
  <c r="M7" i="2"/>
  <c r="M13" i="2"/>
  <c r="M9" i="2"/>
  <c r="M37" i="2"/>
  <c r="M14" i="2"/>
  <c r="M22" i="2"/>
  <c r="M23" i="2"/>
  <c r="M25" i="2"/>
  <c r="M26" i="2"/>
  <c r="M35" i="2"/>
  <c r="M36" i="2"/>
  <c r="M45" i="2"/>
  <c r="M5" i="2"/>
  <c r="M12" i="2"/>
  <c r="M19" i="2"/>
  <c r="M15" i="2"/>
  <c r="M41" i="2"/>
  <c r="M18" i="2"/>
  <c r="M11" i="2"/>
  <c r="M31" i="2"/>
  <c r="M40" i="2"/>
  <c r="M6" i="2"/>
  <c r="M38" i="2"/>
  <c r="M8" i="2"/>
  <c r="M27" i="2"/>
  <c r="M17" i="2"/>
  <c r="M24" i="2"/>
  <c r="M29" i="2"/>
  <c r="M32" i="2"/>
  <c r="M34" i="2"/>
  <c r="M28" i="2"/>
  <c r="M30" i="2"/>
  <c r="M33" i="2"/>
  <c r="M43" i="2"/>
  <c r="M16" i="2"/>
  <c r="M10" i="2"/>
  <c r="M39" i="2"/>
  <c r="M21" i="2"/>
  <c r="M50" i="2" l="1"/>
  <c r="M52" i="2" s="1"/>
  <c r="M55" i="2" s="1"/>
  <c r="M48" i="2"/>
  <c r="N89" i="9"/>
  <c r="N91" i="9" s="1"/>
  <c r="N87" i="9"/>
  <c r="M87" i="11"/>
  <c r="M89" i="11" s="1"/>
  <c r="M85" i="11"/>
</calcChain>
</file>

<file path=xl/sharedStrings.xml><?xml version="1.0" encoding="utf-8"?>
<sst xmlns="http://schemas.openxmlformats.org/spreadsheetml/2006/main" count="3417" uniqueCount="928">
  <si>
    <t>Updated</t>
  </si>
  <si>
    <t>July 7th, 2021</t>
  </si>
  <si>
    <t>Password = labourinfo</t>
  </si>
  <si>
    <t>Tally Sheet</t>
  </si>
  <si>
    <t>Account/Source</t>
  </si>
  <si>
    <t>ANDAR Number</t>
  </si>
  <si>
    <t>Source Type</t>
  </si>
  <si>
    <t>Pads</t>
  </si>
  <si>
    <t>Tampons</t>
  </si>
  <si>
    <t>Liners</t>
  </si>
  <si>
    <t>Reusable Pads (ex Aisle):</t>
  </si>
  <si>
    <t>Reusable Underwear</t>
  </si>
  <si>
    <t>Diva Cups</t>
  </si>
  <si>
    <t>Total</t>
  </si>
  <si>
    <t>Link-2 Enterprise / AIRQUEEN</t>
  </si>
  <si>
    <t>Corporate/Sponsorship</t>
  </si>
  <si>
    <t>Link-2 Enterprise / AIRQUEEN - 2nd Donation - Flood Response</t>
  </si>
  <si>
    <t>Aisle</t>
  </si>
  <si>
    <t>Annonymous</t>
  </si>
  <si>
    <t>Other</t>
  </si>
  <si>
    <t>BC Fed of Labour</t>
  </si>
  <si>
    <t>Union</t>
  </si>
  <si>
    <t>City of Burnaby</t>
  </si>
  <si>
    <t>Workplace</t>
  </si>
  <si>
    <t>City of Vancouver</t>
  </si>
  <si>
    <t>Clark Wilson</t>
  </si>
  <si>
    <t>Community Savings</t>
  </si>
  <si>
    <t>Creative Kids Daycare</t>
  </si>
  <si>
    <t>CUPW</t>
  </si>
  <si>
    <t>Free Periods Canada</t>
  </si>
  <si>
    <t>HEU-VGH</t>
  </si>
  <si>
    <t>Hi Neighbour</t>
  </si>
  <si>
    <t>IATSE 891</t>
  </si>
  <si>
    <t>Joni</t>
  </si>
  <si>
    <t>Langley Teachers Assn</t>
  </si>
  <si>
    <t>London Drugs</t>
  </si>
  <si>
    <t>London Drugs (2nd Donation</t>
  </si>
  <si>
    <t>Nikki Drive</t>
  </si>
  <si>
    <t>Pathfinders</t>
  </si>
  <si>
    <t>Red Tent Project</t>
  </si>
  <si>
    <t xml:space="preserve">Sentinal Secondary </t>
  </si>
  <si>
    <t>UWLM</t>
  </si>
  <si>
    <t>VDLC</t>
  </si>
  <si>
    <t>P&amp;G Purchase (Veritiv)</t>
  </si>
  <si>
    <t>Purchased</t>
  </si>
  <si>
    <t>2nd Purchase</t>
  </si>
  <si>
    <t>P&amp;G Donation</t>
  </si>
  <si>
    <t>Donation</t>
  </si>
  <si>
    <t>SubTotal</t>
  </si>
  <si>
    <t>TOTAL</t>
  </si>
  <si>
    <t>Distribution 1</t>
  </si>
  <si>
    <t>Distribution 2</t>
  </si>
  <si>
    <t>Distribution 3</t>
  </si>
  <si>
    <t>Distribution 4</t>
  </si>
  <si>
    <t>Received</t>
  </si>
  <si>
    <t>Name of your Organization</t>
  </si>
  <si>
    <t>Street Address</t>
  </si>
  <si>
    <t>Postal Code</t>
  </si>
  <si>
    <t>Contact Name</t>
  </si>
  <si>
    <t>Title</t>
  </si>
  <si>
    <t>Email Address</t>
  </si>
  <si>
    <t>City2</t>
  </si>
  <si>
    <t>Phone Number</t>
  </si>
  <si>
    <t>Does your organization wish to receive Menstrual Product Donations (ie Pads, Tampons, Liners, Menstrual Cups, etc.) from United Way's Period Promise Campaign?</t>
  </si>
  <si>
    <t>Pads (disposable):</t>
  </si>
  <si>
    <t>Amount (Individual)</t>
  </si>
  <si>
    <t>Tampons (disposable):</t>
  </si>
  <si>
    <t>Liners (disposable):</t>
  </si>
  <si>
    <t>Reusable Menstrual Underware (boxers, briefs, panties):</t>
  </si>
  <si>
    <t>Diva Cups / Keepers</t>
  </si>
  <si>
    <t>If we are able to provide your organization with product, are you able to pick up the product from a United Way distribution center? 
Your response will have no impact on whether your organizatio...</t>
  </si>
  <si>
    <t>If it is possible to send a financial contribution to your organization so that you can purchase product directly, would you prefer to do so?</t>
  </si>
  <si>
    <t>If we are able to distribute product to your organization, should the lead contact be the same contact as provided above?</t>
  </si>
  <si>
    <t>This organization will be receiving product</t>
  </si>
  <si>
    <t>Access Youth Outreach Services Society</t>
  </si>
  <si>
    <t>Box 6, 2601 Lougheed Hwy</t>
  </si>
  <si>
    <t>V3C4J2</t>
  </si>
  <si>
    <t>Keri Ford</t>
  </si>
  <si>
    <t>Bus Captain</t>
  </si>
  <si>
    <t>bus.captain@accessyouth.org</t>
  </si>
  <si>
    <t>Coquitlam</t>
  </si>
  <si>
    <t>604-781-6671</t>
  </si>
  <si>
    <t>Yes</t>
  </si>
  <si>
    <t>HN</t>
  </si>
  <si>
    <t>Agassiz-Harrison Community Services Society</t>
  </si>
  <si>
    <t>7086 Cheam Avenue</t>
  </si>
  <si>
    <t>V0M 1A0</t>
  </si>
  <si>
    <t>Andra Holzapfel</t>
  </si>
  <si>
    <t>Family Parenting Place Coordinator</t>
  </si>
  <si>
    <t>familyplace2@agassizcs.ca</t>
  </si>
  <si>
    <t>Agassiz</t>
  </si>
  <si>
    <t>No</t>
  </si>
  <si>
    <t>Alexandra Neighbourhood House</t>
  </si>
  <si>
    <t>15455 Vine Avenue</t>
  </si>
  <si>
    <t>V4B 2T3</t>
  </si>
  <si>
    <t>Cindi Mercer</t>
  </si>
  <si>
    <t>Youth &amp; Family Centre Coordinator</t>
  </si>
  <si>
    <t>cmercer@alexhouse.net</t>
  </si>
  <si>
    <t>White Rock</t>
  </si>
  <si>
    <t>604-538-5060 ext.23</t>
  </si>
  <si>
    <t>Ann Davis Transition Society</t>
  </si>
  <si>
    <t>9046 Young Road</t>
  </si>
  <si>
    <t>V2P 1E1</t>
  </si>
  <si>
    <t>Shelley Bolan</t>
  </si>
  <si>
    <t>Director of Housing &amp; Outreach</t>
  </si>
  <si>
    <t>sbolan@anndavis.org</t>
  </si>
  <si>
    <t>Chilliwack</t>
  </si>
  <si>
    <t>604-792-2760</t>
  </si>
  <si>
    <t>Archway Community Services</t>
  </si>
  <si>
    <t>2243 Sentinel Drive</t>
  </si>
  <si>
    <t>V2S 5C9</t>
  </si>
  <si>
    <t>Linda Kempers</t>
  </si>
  <si>
    <t>Supervisor</t>
  </si>
  <si>
    <t>linda.kempers@archway.ca</t>
  </si>
  <si>
    <t>Abbotsford</t>
  </si>
  <si>
    <t>Archway Community Services - SACRO, In It Together Program</t>
  </si>
  <si>
    <t>5-32700 George Ferguson Way</t>
  </si>
  <si>
    <t>V2T 4V6</t>
  </si>
  <si>
    <t>Manpreet Sarai</t>
  </si>
  <si>
    <t>manpreet.sarai@archway.ca</t>
  </si>
  <si>
    <t xml:space="preserve">Abbotsford </t>
  </si>
  <si>
    <t>604-866-1559</t>
  </si>
  <si>
    <t>Archway Community Services - Seva Food Pantry</t>
  </si>
  <si>
    <t>5-32700 George Ferguson way</t>
  </si>
  <si>
    <t>Archway Community Services - Youth Resource Centre</t>
  </si>
  <si>
    <t>2420 Montrose Avenue</t>
  </si>
  <si>
    <t>V2S 3S9</t>
  </si>
  <si>
    <t>Simone Maassen</t>
  </si>
  <si>
    <t>Manager, Youth Services</t>
  </si>
  <si>
    <t>simone.maassen@archway.ca</t>
  </si>
  <si>
    <t>604-859-7681 ext. 258</t>
  </si>
  <si>
    <t>Archway Community Services (Community Connections program)</t>
  </si>
  <si>
    <t>Jen Romero</t>
  </si>
  <si>
    <t>jen.romero@archway.ca</t>
  </si>
  <si>
    <t>604-217-2299</t>
  </si>
  <si>
    <t>Archway Community Services (Family Connections)</t>
  </si>
  <si>
    <t>2420 Montrose Ave</t>
  </si>
  <si>
    <t>Kim Prins</t>
  </si>
  <si>
    <t>Family Connections Supervisor</t>
  </si>
  <si>
    <t>kim.prins@archway.ca</t>
  </si>
  <si>
    <t>778-344-1003</t>
  </si>
  <si>
    <t>Archway Community Services, Family Centre - The Parenting Place &amp; Best for Babies</t>
  </si>
  <si>
    <t>BC</t>
  </si>
  <si>
    <t>Tania Rempel</t>
  </si>
  <si>
    <t>Program Supervisor</t>
  </si>
  <si>
    <t>tania.rempel@archway.ca</t>
  </si>
  <si>
    <t>604-859-7681, ext 264</t>
  </si>
  <si>
    <t>Archway Food Bank of Abbotsford (Archway Community Services)</t>
  </si>
  <si>
    <t>33914 Essendene Avenue</t>
  </si>
  <si>
    <t>V2S 2H8</t>
  </si>
  <si>
    <t>Meghan Kellington</t>
  </si>
  <si>
    <t>Starfish Pack Coordinator/Media Team</t>
  </si>
  <si>
    <t>Meghan.Kellington@archway.ca</t>
  </si>
  <si>
    <t>778-344-3093</t>
  </si>
  <si>
    <t>Atira Women's Resource Society</t>
  </si>
  <si>
    <t>201- 190 Alexander St.</t>
  </si>
  <si>
    <t>V6A 1B5</t>
  </si>
  <si>
    <t>Ciara hayden</t>
  </si>
  <si>
    <t xml:space="preserve">Department coordinator, Communications and Fund Development </t>
  </si>
  <si>
    <t>ciara_hayden@atira.bc.ca</t>
  </si>
  <si>
    <t>Vancouver</t>
  </si>
  <si>
    <t>778.657.5493</t>
  </si>
  <si>
    <t>Aunt Leah's Independent Lifeskills Society</t>
  </si>
  <si>
    <t>816 20th Street</t>
  </si>
  <si>
    <t>V3M 4W6</t>
  </si>
  <si>
    <t>Pam Costello</t>
  </si>
  <si>
    <t xml:space="preserve">Director of Operations </t>
  </si>
  <si>
    <t>pcostello@auntleahs.org</t>
  </si>
  <si>
    <t>New Westminster</t>
  </si>
  <si>
    <t>604-525-1204</t>
  </si>
  <si>
    <t>Aunt Leah's Place</t>
  </si>
  <si>
    <t>V3M4W6</t>
  </si>
  <si>
    <t>Hope Rayson</t>
  </si>
  <si>
    <t xml:space="preserve">Volunteer Coordinator </t>
  </si>
  <si>
    <t>hrayson@auntleahs.org</t>
  </si>
  <si>
    <t>778 551 5535</t>
  </si>
  <si>
    <t>Burnaby Neighbourhood House</t>
  </si>
  <si>
    <t>4908 Hastings Street and 4460 Beresford Street</t>
  </si>
  <si>
    <t>V5B 1P6 and V5H 0B8</t>
  </si>
  <si>
    <t>Simone Brandl</t>
  </si>
  <si>
    <t>Program Director</t>
  </si>
  <si>
    <t>simoneb@burnabynh.ca</t>
  </si>
  <si>
    <t>Burnaby</t>
  </si>
  <si>
    <t>604-294-5444</t>
  </si>
  <si>
    <t>CEDAR Outreach Society</t>
  </si>
  <si>
    <t>105-34194 Marshall Road</t>
  </si>
  <si>
    <t>V2S 5E4</t>
  </si>
  <si>
    <t>Kim Friesen</t>
  </si>
  <si>
    <t>Executive Director</t>
  </si>
  <si>
    <t>Kim.friesen@cedaroutreach.com</t>
  </si>
  <si>
    <t>604-835-5225</t>
  </si>
  <si>
    <t>Chilliwack Community Services</t>
  </si>
  <si>
    <t>45938 Wellington Avenue</t>
  </si>
  <si>
    <t>V2P 2C7</t>
  </si>
  <si>
    <t>Charisse Moore</t>
  </si>
  <si>
    <t>Director of Operations and Housing</t>
  </si>
  <si>
    <t>moorech@comserv.bc.ca</t>
  </si>
  <si>
    <t>604-792-4267</t>
  </si>
  <si>
    <t>Cloverdale Community Kitchen (Pacific Community Church)</t>
  </si>
  <si>
    <t>5337 180th Street</t>
  </si>
  <si>
    <t>V3S 4K5</t>
  </si>
  <si>
    <t>Michele Faiola</t>
  </si>
  <si>
    <t>Intern</t>
  </si>
  <si>
    <t>info@mycck.ca</t>
  </si>
  <si>
    <t>Surrey</t>
  </si>
  <si>
    <t>778.617.3000</t>
  </si>
  <si>
    <t>Collingwood Neighbourhood House</t>
  </si>
  <si>
    <t xml:space="preserve">5288 Joyce Street </t>
  </si>
  <si>
    <t>V5R 6C9</t>
  </si>
  <si>
    <t>Alison Merton</t>
  </si>
  <si>
    <t xml:space="preserve">Early Years Director </t>
  </si>
  <si>
    <t xml:space="preserve">amerton@cnh.bc.ca </t>
  </si>
  <si>
    <t xml:space="preserve">Vancouver </t>
  </si>
  <si>
    <t>604-435-0323</t>
  </si>
  <si>
    <t>5288 Joyce St</t>
  </si>
  <si>
    <t>Tanya Findlater</t>
  </si>
  <si>
    <t>Youth Coordinator</t>
  </si>
  <si>
    <t>tfindlater@cnh.bc.ca</t>
  </si>
  <si>
    <t>Creative Centre Society - Cheamview Clubhouse</t>
  </si>
  <si>
    <t xml:space="preserve">8916 Mary Street </t>
  </si>
  <si>
    <t>V2P 4J4</t>
  </si>
  <si>
    <t>Jordan Brule</t>
  </si>
  <si>
    <t>Mental Health Worker</t>
  </si>
  <si>
    <t>jordanb.ccs@gmail.com</t>
  </si>
  <si>
    <t>604-792-5287</t>
  </si>
  <si>
    <t>Creative Centre Society- Abby House</t>
  </si>
  <si>
    <t xml:space="preserve">33889 Essendene ave. </t>
  </si>
  <si>
    <t>V2s2h6</t>
  </si>
  <si>
    <t>Adina MacDonald</t>
  </si>
  <si>
    <t xml:space="preserve">Activity Coordinator </t>
  </si>
  <si>
    <t>adinam.ccs@gmail.com</t>
  </si>
  <si>
    <t>6043026001</t>
  </si>
  <si>
    <t>Deltassist Family and Community Services Society</t>
  </si>
  <si>
    <t>9097 120 Street</t>
  </si>
  <si>
    <t>V4C6R7</t>
  </si>
  <si>
    <t>Julie Chadwick</t>
  </si>
  <si>
    <t>juliec@deltassist.com</t>
  </si>
  <si>
    <t>Delta</t>
  </si>
  <si>
    <t>604-594-3455 ext 109</t>
  </si>
  <si>
    <t xml:space="preserve">DIVERSEcity Community Services Society </t>
  </si>
  <si>
    <t>13455 76 Avenue</t>
  </si>
  <si>
    <t>V3W 2W3</t>
  </si>
  <si>
    <t>Richa Karkee</t>
  </si>
  <si>
    <t>Manager - Violence Prevention</t>
  </si>
  <si>
    <t>rkarkee@dcrs.ca</t>
  </si>
  <si>
    <t xml:space="preserve">604-547-9986 </t>
  </si>
  <si>
    <t>Dixon Transition Society</t>
  </si>
  <si>
    <t>204-2101 Holdom Avenue</t>
  </si>
  <si>
    <t>V5B0A4</t>
  </si>
  <si>
    <t>Tara Clarke</t>
  </si>
  <si>
    <t>Community Relations Assistant</t>
  </si>
  <si>
    <t>communityrelations@dixonsociety.ca</t>
  </si>
  <si>
    <t>6044334191</t>
  </si>
  <si>
    <t>DTES Response - Everbody Is In Community Hubs</t>
  </si>
  <si>
    <t>multiple addresses</t>
  </si>
  <si>
    <t>V6A area</t>
  </si>
  <si>
    <t>daniyah shamsi</t>
  </si>
  <si>
    <t>everybodyisin2020@gmail.com</t>
  </si>
  <si>
    <t>vancouver</t>
  </si>
  <si>
    <t>6047103050</t>
  </si>
  <si>
    <t>Elizabeth Fry Society</t>
  </si>
  <si>
    <t>402 East Columbia Street</t>
  </si>
  <si>
    <t>V3L 3X1</t>
  </si>
  <si>
    <t>Kim Irving</t>
  </si>
  <si>
    <t>Program Manager</t>
  </si>
  <si>
    <t>kim.irving@elizabethfry.com</t>
  </si>
  <si>
    <t>New Westminster, B.C.</t>
  </si>
  <si>
    <t>604-520-1166</t>
  </si>
  <si>
    <t xml:space="preserve">Face of Today Foundation </t>
  </si>
  <si>
    <t>100-207 W Hastings St</t>
  </si>
  <si>
    <t>V6B 1H7</t>
  </si>
  <si>
    <t>Meagan Conn</t>
  </si>
  <si>
    <t>meaganconn@faceoftoday.ca</t>
  </si>
  <si>
    <t>6043543915</t>
  </si>
  <si>
    <t>Family Dynamix Association</t>
  </si>
  <si>
    <t>1317 - 7th Avenue</t>
  </si>
  <si>
    <t>V0A 1K0</t>
  </si>
  <si>
    <t>Pat Cope</t>
  </si>
  <si>
    <t>pcope@fdx.family</t>
  </si>
  <si>
    <t>Invermere</t>
  </si>
  <si>
    <t>250-688-0673</t>
  </si>
  <si>
    <t>Foundry Abbotsford</t>
  </si>
  <si>
    <t xml:space="preserve">32555 Simon Avenue #101 </t>
  </si>
  <si>
    <t>V2T 4Y2</t>
  </si>
  <si>
    <t>Jane Rempel</t>
  </si>
  <si>
    <t>Donations Coordinator</t>
  </si>
  <si>
    <t>jane.rempel@foundryabbotsford.ca</t>
  </si>
  <si>
    <t>604-302-2083</t>
  </si>
  <si>
    <t xml:space="preserve">Fraser Health </t>
  </si>
  <si>
    <t>9634 King George Blvd</t>
  </si>
  <si>
    <t>V3T0G7</t>
  </si>
  <si>
    <t>Aileen Gandhi</t>
  </si>
  <si>
    <t>Patient care coordinator (RN)</t>
  </si>
  <si>
    <t>aileen.gandhi@fraserhealth.ca</t>
  </si>
  <si>
    <t>604-585-5999</t>
  </si>
  <si>
    <t>Frontier College</t>
  </si>
  <si>
    <t>1001 Cotton Street</t>
  </si>
  <si>
    <t>V5L 3T4</t>
  </si>
  <si>
    <t>Annie Montague</t>
  </si>
  <si>
    <t>Community Coordinator</t>
  </si>
  <si>
    <t>amontague@frontiercollege.ca</t>
  </si>
  <si>
    <t>8018560812</t>
  </si>
  <si>
    <t>Gordon Neighbourhood House</t>
  </si>
  <si>
    <t xml:space="preserve">1019 Broughton Street, Vancouver, BC </t>
  </si>
  <si>
    <t>V6G2A7</t>
  </si>
  <si>
    <t>Jim Balakshin</t>
  </si>
  <si>
    <t>Director of Community Development</t>
  </si>
  <si>
    <t>jim@gordonhouse.org</t>
  </si>
  <si>
    <t>(604) 683-2554</t>
  </si>
  <si>
    <t>Hope &amp; Area Transition Society</t>
  </si>
  <si>
    <t xml:space="preserve">400 Park St. </t>
  </si>
  <si>
    <t>V0X1L0</t>
  </si>
  <si>
    <t>Anna Gladue</t>
  </si>
  <si>
    <t>Program Coordinator</t>
  </si>
  <si>
    <t>anna@hopetransition.org</t>
  </si>
  <si>
    <t>Hope</t>
  </si>
  <si>
    <t>604-869-5191</t>
  </si>
  <si>
    <t>Ishtar Women's Resource Society</t>
  </si>
  <si>
    <t>#101- 6350 203 St</t>
  </si>
  <si>
    <t>V2Y1L9</t>
  </si>
  <si>
    <t>Mardel Donnelly</t>
  </si>
  <si>
    <t>mardel@ishtarsociety.org</t>
  </si>
  <si>
    <t>Langley</t>
  </si>
  <si>
    <t>236-888-4989</t>
  </si>
  <si>
    <t>ISSofBC</t>
  </si>
  <si>
    <t>2610 Victoria Drive (Head Office - other offices located throughout Metro Vancouver)</t>
  </si>
  <si>
    <t>V5N 4L2</t>
  </si>
  <si>
    <t>Kathy Sherrell</t>
  </si>
  <si>
    <t>Associate Director, Settlement Services</t>
  </si>
  <si>
    <t>kathy.sherrell@issbc.org</t>
  </si>
  <si>
    <t>604-761-1948</t>
  </si>
  <si>
    <t>Jewish Family Services</t>
  </si>
  <si>
    <t>320-2285 Clark drive</t>
  </si>
  <si>
    <t>V5N 3G8</t>
  </si>
  <si>
    <t>Janelle Zwarych</t>
  </si>
  <si>
    <t>Food Security Director</t>
  </si>
  <si>
    <t>jzwarych@jfsvancouver.ca</t>
  </si>
  <si>
    <t>7783169396</t>
  </si>
  <si>
    <t>Kateslem Youth Society</t>
  </si>
  <si>
    <t>33138 Myrtle Avenue</t>
  </si>
  <si>
    <t>V2V 5W1</t>
  </si>
  <si>
    <t>Karyn Bell</t>
  </si>
  <si>
    <t>karynskateslem@yahoo.ca</t>
  </si>
  <si>
    <t>Mission</t>
  </si>
  <si>
    <t>6042509332</t>
  </si>
  <si>
    <t>Kehila Society of Richmond</t>
  </si>
  <si>
    <t xml:space="preserve">130 - 10691 Shellbridge Way </t>
  </si>
  <si>
    <t>V6X 2W8</t>
  </si>
  <si>
    <t>Lynne Fader</t>
  </si>
  <si>
    <t>CO Executive Director</t>
  </si>
  <si>
    <t>lfader@kehilasociety.org</t>
  </si>
  <si>
    <t>Richmond</t>
  </si>
  <si>
    <t>604 241 9270</t>
  </si>
  <si>
    <t>Kitsilano Neighbourhood House</t>
  </si>
  <si>
    <t>2305 West 7th Avenue</t>
  </si>
  <si>
    <t>V6K1Y4</t>
  </si>
  <si>
    <t>Patricia Paz</t>
  </si>
  <si>
    <t>Family Programs Coordinator</t>
  </si>
  <si>
    <t>patriciap@kitshouse.org</t>
  </si>
  <si>
    <t>778-785-1157</t>
  </si>
  <si>
    <t xml:space="preserve">Langley Community Services Society </t>
  </si>
  <si>
    <t xml:space="preserve">5339 207th Street </t>
  </si>
  <si>
    <t>v3a2e6</t>
  </si>
  <si>
    <t xml:space="preserve">Jenilee Woods </t>
  </si>
  <si>
    <t xml:space="preserve">Manager of Family Services </t>
  </si>
  <si>
    <t>jwoods@lcss.ca</t>
  </si>
  <si>
    <t>604-534-7921 ext 1317</t>
  </si>
  <si>
    <t>Lower Mainland Down Syndrome Society</t>
  </si>
  <si>
    <t>#481-13320-78th Ave</t>
  </si>
  <si>
    <t>V3W 0H6</t>
  </si>
  <si>
    <t>Theresa Preston</t>
  </si>
  <si>
    <t>info@lmdss.com</t>
  </si>
  <si>
    <t>604-591-2722</t>
  </si>
  <si>
    <t>Mamas for Mamas - Vancouver</t>
  </si>
  <si>
    <t xml:space="preserve">Unit 123-11121 Horseshoe Way </t>
  </si>
  <si>
    <t xml:space="preserve">V7a5g7 </t>
  </si>
  <si>
    <t>celena Arthur</t>
  </si>
  <si>
    <t xml:space="preserve">Partnership coordinator </t>
  </si>
  <si>
    <t>celena@mamasformamas.org</t>
  </si>
  <si>
    <t xml:space="preserve">Richmond </t>
  </si>
  <si>
    <t>7787918453</t>
  </si>
  <si>
    <t>Marpole Oakridge Family Place Society</t>
  </si>
  <si>
    <t>8188 Lord Street</t>
  </si>
  <si>
    <t>V6P 0G8</t>
  </si>
  <si>
    <t>Tracy Beshara</t>
  </si>
  <si>
    <t>ed@mofp.org</t>
  </si>
  <si>
    <t>6042631405</t>
  </si>
  <si>
    <t>Métis Nation BC</t>
  </si>
  <si>
    <t>5668 192 St,</t>
  </si>
  <si>
    <t>V3S 2V7</t>
  </si>
  <si>
    <t>Gaby Woodland</t>
  </si>
  <si>
    <t>Administrative Coordinator</t>
  </si>
  <si>
    <t>gwoodland@mnbc.ca</t>
  </si>
  <si>
    <t>604-557-5851 Ext 8226</t>
  </si>
  <si>
    <t>Milieu Family Services</t>
  </si>
  <si>
    <t xml:space="preserve">17733-66 Ave </t>
  </si>
  <si>
    <t>V3S7X1</t>
  </si>
  <si>
    <t>Lisa Doucette</t>
  </si>
  <si>
    <t xml:space="preserve">Coordinator </t>
  </si>
  <si>
    <t>lisa.doucette@milieu.ca</t>
  </si>
  <si>
    <t>Surrey BC</t>
  </si>
  <si>
    <t>604-369-4716</t>
  </si>
  <si>
    <t>Mission Community Services Society</t>
  </si>
  <si>
    <t>33179 2nd Ave</t>
  </si>
  <si>
    <t>V2V 1J9</t>
  </si>
  <si>
    <t>Michelle Puffer</t>
  </si>
  <si>
    <t>ed@missionmcss.com</t>
  </si>
  <si>
    <t>604-826-3634</t>
  </si>
  <si>
    <t>MOSAIC</t>
  </si>
  <si>
    <t>5575 Boundary Road</t>
  </si>
  <si>
    <t>V5R2P9</t>
  </si>
  <si>
    <t>Rena</t>
  </si>
  <si>
    <t xml:space="preserve">Multicultural Outreach Worker - Stopping the Violence Program </t>
  </si>
  <si>
    <t>rkim@mosaicbc.org</t>
  </si>
  <si>
    <t>236 512 9739</t>
  </si>
  <si>
    <t>north shore neighbourhood house</t>
  </si>
  <si>
    <t>225 e 2nd st</t>
  </si>
  <si>
    <t>V7L 1C6</t>
  </si>
  <si>
    <t>lisa hubbard</t>
  </si>
  <si>
    <t>executive director</t>
  </si>
  <si>
    <t>lhubbard@nsnh.bc.ca</t>
  </si>
  <si>
    <t>north vancouver</t>
  </si>
  <si>
    <t>604 290 8808</t>
  </si>
  <si>
    <t>North Shore Women's Centre</t>
  </si>
  <si>
    <t>131 East 2nd Street</t>
  </si>
  <si>
    <t>V7L 1C2</t>
  </si>
  <si>
    <t>Niki Najm-Abadi</t>
  </si>
  <si>
    <t xml:space="preserve">Program and Resource Centre Assistant </t>
  </si>
  <si>
    <t>niki@northshorewomen.ca</t>
  </si>
  <si>
    <t>North Vancouver</t>
  </si>
  <si>
    <t>6049846009</t>
  </si>
  <si>
    <t>Pacific Immigrant Resources Society</t>
  </si>
  <si>
    <t>1874 Kingsway</t>
  </si>
  <si>
    <t>V5N 2S7</t>
  </si>
  <si>
    <t>Valerie Lai</t>
  </si>
  <si>
    <t>vlai@pirs.bc.ca</t>
  </si>
  <si>
    <t>604 726 7333</t>
  </si>
  <si>
    <t>Place Maillardville Community Centre</t>
  </si>
  <si>
    <t>1200 Cartier Ave</t>
  </si>
  <si>
    <t>V3K 2C3</t>
  </si>
  <si>
    <t>Melissa Bizier</t>
  </si>
  <si>
    <t>Events &amp; Volunteer Coordinator</t>
  </si>
  <si>
    <t>events@placemaillardville.ca</t>
  </si>
  <si>
    <t>604.933.6165</t>
  </si>
  <si>
    <t>Red Fox Healthy Living Society</t>
  </si>
  <si>
    <t xml:space="preserve">500-610 Main Street </t>
  </si>
  <si>
    <t>V6A 2V3</t>
  </si>
  <si>
    <t>Emma Sutherland</t>
  </si>
  <si>
    <t>redfox@redfoxsociety.org</t>
  </si>
  <si>
    <t>604-319-2571</t>
  </si>
  <si>
    <t>Richmond Cares, Richmond Gives</t>
  </si>
  <si>
    <t>190-7000 Minoru Blvd.</t>
  </si>
  <si>
    <t>V6Y 3Z5</t>
  </si>
  <si>
    <t>Jocelyn Wong</t>
  </si>
  <si>
    <t xml:space="preserve">General Manager </t>
  </si>
  <si>
    <t>jwong@rcrg.org</t>
  </si>
  <si>
    <t>604-279-7020</t>
  </si>
  <si>
    <t>Richmond Family Place Society</t>
  </si>
  <si>
    <t>8660 Ash Street</t>
  </si>
  <si>
    <t>V6Y 2S3</t>
  </si>
  <si>
    <t>Ruth Taverner</t>
  </si>
  <si>
    <t>ruth@richmondfamilyplace.ca</t>
  </si>
  <si>
    <t>604-278-4336 ext 104</t>
  </si>
  <si>
    <t>Ridge Meadow Ridge Community Action Table (CAT)</t>
  </si>
  <si>
    <t xml:space="preserve">21520 124th Ave </t>
  </si>
  <si>
    <t xml:space="preserve">V2X 4H3 </t>
  </si>
  <si>
    <t xml:space="preserve">Kim Dumore </t>
  </si>
  <si>
    <t xml:space="preserve">CAT Table coordinator </t>
  </si>
  <si>
    <t>dumores@outlook.com</t>
  </si>
  <si>
    <t xml:space="preserve">Maple Ridge </t>
  </si>
  <si>
    <t xml:space="preserve">604 812 1335 </t>
  </si>
  <si>
    <t>SARA for Women Society</t>
  </si>
  <si>
    <t>102-33070 5th Ave.</t>
  </si>
  <si>
    <t>V2V 1V5</t>
  </si>
  <si>
    <t>Nikki Clement</t>
  </si>
  <si>
    <t>Administration Coordinator</t>
  </si>
  <si>
    <t>NikkiC@saraforwomen.ca</t>
  </si>
  <si>
    <t>604-820-8455</t>
  </si>
  <si>
    <t xml:space="preserve">Sardis Doorway for Mothers &amp; Children Society </t>
  </si>
  <si>
    <t>45625 South Sumas Road,</t>
  </si>
  <si>
    <t>V2R4M7</t>
  </si>
  <si>
    <t xml:space="preserve">Karin </t>
  </si>
  <si>
    <t xml:space="preserve">Program Director </t>
  </si>
  <si>
    <t>sardisdoorway@shaw.ca</t>
  </si>
  <si>
    <t xml:space="preserve">Chilliwack, BC </t>
  </si>
  <si>
    <t>604-819-6556</t>
  </si>
  <si>
    <t>Sea to Sky Community Services Society</t>
  </si>
  <si>
    <t>PO Box 949 38024 Fourth Avenue</t>
  </si>
  <si>
    <t>v8b 0a7</t>
  </si>
  <si>
    <t>Julie Van Eesteren</t>
  </si>
  <si>
    <t>Manager of Children's Services</t>
  </si>
  <si>
    <t>julie.vaneesteren@sscs.ca</t>
  </si>
  <si>
    <t>Squamish</t>
  </si>
  <si>
    <t>604-892-4178</t>
  </si>
  <si>
    <t>Sereena's Housing for Women</t>
  </si>
  <si>
    <t>143 Dunlevy</t>
  </si>
  <si>
    <t>V6A-3A4</t>
  </si>
  <si>
    <t>Tamara Straiton</t>
  </si>
  <si>
    <t>tamara_straiton@atira.bc.ca</t>
  </si>
  <si>
    <t>6046191059</t>
  </si>
  <si>
    <t>SHARE Family &amp; Community Services</t>
  </si>
  <si>
    <t>#104-3020 Lincoln Avenue</t>
  </si>
  <si>
    <t>V3B 6B4</t>
  </si>
  <si>
    <t>Arshia Bakhshandeh</t>
  </si>
  <si>
    <t>Supervisor Early Years Community Programs</t>
  </si>
  <si>
    <t>arshia.b@sharesociety.ca</t>
  </si>
  <si>
    <t>604-346-8642</t>
  </si>
  <si>
    <t>Skwah First Nations</t>
  </si>
  <si>
    <t>35 45085 Wolfe Rd</t>
  </si>
  <si>
    <t>V2p0c5</t>
  </si>
  <si>
    <t>Raylene Mumford</t>
  </si>
  <si>
    <t>Wellness Coordinator</t>
  </si>
  <si>
    <t>raylene.mumford@skwah.org</t>
  </si>
  <si>
    <t xml:space="preserve">Chilliwack </t>
  </si>
  <si>
    <t>6047929204</t>
  </si>
  <si>
    <t>Sources Women's Place</t>
  </si>
  <si>
    <t>15318 20 Ave</t>
  </si>
  <si>
    <t>V4A 2A3</t>
  </si>
  <si>
    <t>Denise Darrell</t>
  </si>
  <si>
    <t>ddarrell@sourcesbc.ca</t>
  </si>
  <si>
    <t>604-351-7821</t>
  </si>
  <si>
    <t>South Vancouver Neighbourhood House</t>
  </si>
  <si>
    <t>6470  Victoria Drive</t>
  </si>
  <si>
    <t>V4C 2H7</t>
  </si>
  <si>
    <t>Roberta Kihn</t>
  </si>
  <si>
    <t>Office Manager</t>
  </si>
  <si>
    <t>roberta.kihn@southvan.org</t>
  </si>
  <si>
    <t>604-324-6212</t>
  </si>
  <si>
    <t>SRO Collaborative</t>
  </si>
  <si>
    <t>203 - 268 Keefer St</t>
  </si>
  <si>
    <t>V6A 1X5</t>
  </si>
  <si>
    <t>Jill Ratcliffe</t>
  </si>
  <si>
    <t>Director SRO Food Security</t>
  </si>
  <si>
    <t>ratcliffe.jill@gmail.com</t>
  </si>
  <si>
    <t xml:space="preserve">Chinatown, Vancouver BC </t>
  </si>
  <si>
    <t>778-888-4607</t>
  </si>
  <si>
    <t>Sto:lo Health</t>
  </si>
  <si>
    <t>Bldg 7, 7201 Vedder Rd</t>
  </si>
  <si>
    <t>V2R4G5</t>
  </si>
  <si>
    <t>Sue Griffin</t>
  </si>
  <si>
    <t xml:space="preserve">Nursing Supervisor </t>
  </si>
  <si>
    <t>Sue.griffin@stolonation.bc.ca</t>
  </si>
  <si>
    <t>604 703-3076</t>
  </si>
  <si>
    <t>Sunshine Coast Community Services Society</t>
  </si>
  <si>
    <t>5638 Inlet Avenue</t>
  </si>
  <si>
    <t>V0N 3A0</t>
  </si>
  <si>
    <t xml:space="preserve">Denise Woodley </t>
  </si>
  <si>
    <t>Director of Program and Staff Development</t>
  </si>
  <si>
    <t>dwoodley@sccss.ca</t>
  </si>
  <si>
    <t>Sechelt</t>
  </si>
  <si>
    <t>604.885.5881 ext 229</t>
  </si>
  <si>
    <t>Surrey District 36</t>
  </si>
  <si>
    <t>13875 113th Avenue</t>
  </si>
  <si>
    <t>V3R 2J6</t>
  </si>
  <si>
    <t>Sheena Hill</t>
  </si>
  <si>
    <t xml:space="preserve">TEACHER </t>
  </si>
  <si>
    <t>hill_sheena@surreyschools.ca</t>
  </si>
  <si>
    <t>5142999600</t>
  </si>
  <si>
    <t>Surrey Womens Centre</t>
  </si>
  <si>
    <t>10075 Whalley Blvd.</t>
  </si>
  <si>
    <t>V3T 4G1</t>
  </si>
  <si>
    <t>Front Desk</t>
  </si>
  <si>
    <t>frontdesk@surreywomenscentre.ca</t>
  </si>
  <si>
    <t>The Family Education &amp; Support Centre</t>
  </si>
  <si>
    <t>22554 Lougheed Hwy</t>
  </si>
  <si>
    <t>V2X 2V1</t>
  </si>
  <si>
    <t>Natalie Binns</t>
  </si>
  <si>
    <t>Family Navigator</t>
  </si>
  <si>
    <t>familynav@familyed.ca</t>
  </si>
  <si>
    <t>Maple Ridge</t>
  </si>
  <si>
    <t>778-896-0567</t>
  </si>
  <si>
    <t>The Salvation Army Boundless Vancouver</t>
  </si>
  <si>
    <t>3213 Fraser Street</t>
  </si>
  <si>
    <t>V5V 4B8</t>
  </si>
  <si>
    <t>Chelsea Marsh</t>
  </si>
  <si>
    <t xml:space="preserve">Brave Program Coordinator </t>
  </si>
  <si>
    <t>chelsea@boundlessvancouver.ca</t>
  </si>
  <si>
    <t>604 872 7676 ext 227</t>
  </si>
  <si>
    <t>Touchstone Family Association</t>
  </si>
  <si>
    <t>210-3031 Viking Way</t>
  </si>
  <si>
    <t>V6V 1W1</t>
  </si>
  <si>
    <t>Carol Hardie</t>
  </si>
  <si>
    <t>chardie@touchfam.ca</t>
  </si>
  <si>
    <t>604-207-5029</t>
  </si>
  <si>
    <t>Tri City Transitions Society</t>
  </si>
  <si>
    <t>402-2071 Kingsway</t>
  </si>
  <si>
    <t xml:space="preserve">V3C </t>
  </si>
  <si>
    <t>Lorna Thomson</t>
  </si>
  <si>
    <t>lorna@tricitytransitions.com</t>
  </si>
  <si>
    <t>Port Coquitlam</t>
  </si>
  <si>
    <t>604-534-8481</t>
  </si>
  <si>
    <t>Vancouver Aboriginal Child and Family Services Society</t>
  </si>
  <si>
    <t>3284 East Broadway</t>
  </si>
  <si>
    <t>V5M 1Z8</t>
  </si>
  <si>
    <t>Shelley Sheppard</t>
  </si>
  <si>
    <t>Guardianship Consultant</t>
  </si>
  <si>
    <t>shelley_sheppard@vacfss.com</t>
  </si>
  <si>
    <t>778-233-4757</t>
  </si>
  <si>
    <t>Vancouver Aboriginal Friendship Centre Society</t>
  </si>
  <si>
    <t>1607 E Hastings St</t>
  </si>
  <si>
    <t>V5L1s7</t>
  </si>
  <si>
    <t xml:space="preserve">Kaila Wong </t>
  </si>
  <si>
    <t>Program Administrator</t>
  </si>
  <si>
    <t>programadministrator@vafcs.org</t>
  </si>
  <si>
    <t>604-251-4844</t>
  </si>
  <si>
    <t>Vancouver Aboriginal Health Society</t>
  </si>
  <si>
    <t>449 E. Hastings</t>
  </si>
  <si>
    <t>V6A 1P5</t>
  </si>
  <si>
    <t>Jennifer Anderson</t>
  </si>
  <si>
    <t>Clinic Coordinator</t>
  </si>
  <si>
    <t>janderson@vahs.life</t>
  </si>
  <si>
    <t>604-341-7469</t>
  </si>
  <si>
    <t>WINGS</t>
  </si>
  <si>
    <t>#501 104-1015 Columbia St</t>
  </si>
  <si>
    <t>V3M 6V3</t>
  </si>
  <si>
    <t>Susan Stephen</t>
  </si>
  <si>
    <t>wingsadmin2@monarchplace.org</t>
  </si>
  <si>
    <t>604-521-1888</t>
  </si>
  <si>
    <t>WISH Drop-In Centre Society</t>
  </si>
  <si>
    <t>334 Alexander Street</t>
  </si>
  <si>
    <t>V6A 1C3</t>
  </si>
  <si>
    <t>Emily Kydd</t>
  </si>
  <si>
    <t>Operations Manager</t>
  </si>
  <si>
    <t>operationsmgr@wishdropincentre.org</t>
  </si>
  <si>
    <t>604-669-9474 ext 102</t>
  </si>
  <si>
    <t>YWCA Metro Vancouver</t>
  </si>
  <si>
    <t>535 Hornby Street</t>
  </si>
  <si>
    <t>V6C 2E8</t>
  </si>
  <si>
    <t>Kathy Lilyholm</t>
  </si>
  <si>
    <t>Associate Director, Fund Development and Special Events</t>
  </si>
  <si>
    <t>klilyholm@ywcavan.org</t>
  </si>
  <si>
    <t>604-895-5851</t>
  </si>
  <si>
    <t>Totals</t>
  </si>
  <si>
    <t>Total Collected</t>
  </si>
  <si>
    <t>Total Distributed</t>
  </si>
  <si>
    <t>Total Remaining</t>
  </si>
  <si>
    <t>Remaining for Distribution</t>
  </si>
  <si>
    <t>Remaining for Period Promise Research Project</t>
  </si>
  <si>
    <t>Requested Amount</t>
  </si>
  <si>
    <t>Approved Amount</t>
  </si>
  <si>
    <t>Name of your Organization:</t>
  </si>
  <si>
    <t>Address:</t>
  </si>
  <si>
    <t>City/Town:</t>
  </si>
  <si>
    <t>Please specify:</t>
  </si>
  <si>
    <t>Postal Code:</t>
  </si>
  <si>
    <t>Contact Name:</t>
  </si>
  <si>
    <t>Email Address:</t>
  </si>
  <si>
    <t>Phone Number:</t>
  </si>
  <si>
    <t>Does your organization wish to receive donations from United Way's Period Promise Campaign?</t>
  </si>
  <si>
    <t>If we are able to provide your organization with product,, are you able to pick up the product from the United Way office in Burnaby?</t>
  </si>
  <si>
    <t>Address</t>
  </si>
  <si>
    <t>City</t>
  </si>
  <si>
    <t>Province</t>
  </si>
  <si>
    <t>The Elizabeth Fry Society of Greater Vancouver</t>
  </si>
  <si>
    <t>402 East Columbia St,</t>
  </si>
  <si>
    <t/>
  </si>
  <si>
    <t>Vera LeFranc</t>
  </si>
  <si>
    <t>vera.lefranc@elizabethfry.com</t>
  </si>
  <si>
    <t>1</t>
  </si>
  <si>
    <t>Mission Association For Community Living</t>
  </si>
  <si>
    <t>33345 2nd Ave</t>
  </si>
  <si>
    <t>V2V1K4</t>
  </si>
  <si>
    <t>Sarah Bell</t>
  </si>
  <si>
    <t>sarah.bell@macl.bc.ca</t>
  </si>
  <si>
    <t>6048070104</t>
  </si>
  <si>
    <t>0</t>
  </si>
  <si>
    <t>#304  - 133 Powell Street Vancouver  BC V6A 1G2 Canada</t>
  </si>
  <si>
    <t>V6A 1G2</t>
  </si>
  <si>
    <t>Pacific Association of First Nations Women</t>
  </si>
  <si>
    <t>2017 Dundas Street</t>
  </si>
  <si>
    <t>V5L 1J5</t>
  </si>
  <si>
    <t>Diana Day</t>
  </si>
  <si>
    <t>diana.day@pafnw.ca</t>
  </si>
  <si>
    <t>604-872-1849</t>
  </si>
  <si>
    <t>New View Society</t>
  </si>
  <si>
    <t>2050 Mary Hill Road Port Coquitlam BC V3C 2Z8</t>
  </si>
  <si>
    <t>V3c 2Z8</t>
  </si>
  <si>
    <t>Chantelle Burga</t>
  </si>
  <si>
    <t>cburga@newviewsociety.ca</t>
  </si>
  <si>
    <t>604.941.3222</t>
  </si>
  <si>
    <t>Sto:lo Health Agency</t>
  </si>
  <si>
    <t>7201 Vedder Rd. Chilliwack, BC. V2R 4G5</t>
  </si>
  <si>
    <t>V2R 4G5</t>
  </si>
  <si>
    <t>Alice Russell</t>
  </si>
  <si>
    <t>arussell@ywcavan.org</t>
  </si>
  <si>
    <t>604 895 5828</t>
  </si>
  <si>
    <t>533 East Hastings Street</t>
  </si>
  <si>
    <t>V6A 1P9</t>
  </si>
  <si>
    <t>PICS ( harmony Second stage House)</t>
  </si>
  <si>
    <t>205- 12725 80th ave surrey bc v3w3a6</t>
  </si>
  <si>
    <t>v3w3a6</t>
  </si>
  <si>
    <t>Neena Randhawa</t>
  </si>
  <si>
    <t>neena.randhawa@pics.bc.ca</t>
  </si>
  <si>
    <t>6047282945</t>
  </si>
  <si>
    <t>Ridge Meadows Community Action Table</t>
  </si>
  <si>
    <t>c/o 21520 124th Ave Maple Ridge BC</t>
  </si>
  <si>
    <t>V2X 4H3</t>
  </si>
  <si>
    <t>Kim Dumore</t>
  </si>
  <si>
    <t>604 812 1335</t>
  </si>
  <si>
    <t>33138 Myrtle Ave Mission BC v2v 5w1</t>
  </si>
  <si>
    <t>v2v 5w1</t>
  </si>
  <si>
    <t>9046 Young Road Chilliwack BC V2P 4R67</t>
  </si>
  <si>
    <t>V2P 4R6</t>
  </si>
  <si>
    <t>9046 Young Road Chilliwack BC</t>
  </si>
  <si>
    <t>Downtown Eastside Neighbourhood House</t>
  </si>
  <si>
    <t>573 East Hastings St, Vancouver BC</t>
  </si>
  <si>
    <t>Christa Grona</t>
  </si>
  <si>
    <t>Kidskitchen@dtesnhouse.ca</t>
  </si>
  <si>
    <t>6048896125</t>
  </si>
  <si>
    <t>102-33070 5th Ave</t>
  </si>
  <si>
    <t>Boys and Girls Clubs of South Coast BC</t>
  </si>
  <si>
    <t>2875 St. George Street, Vancouver BC, V5T 3R8</t>
  </si>
  <si>
    <t>V5T 3R8</t>
  </si>
  <si>
    <t>Marcie Mark</t>
  </si>
  <si>
    <t>mmark@bgcbc.ca</t>
  </si>
  <si>
    <t>604-309-8398 (cell)</t>
  </si>
  <si>
    <t>2875 St. George Street</t>
  </si>
  <si>
    <t>143 Dunlevy Ave</t>
  </si>
  <si>
    <t>V6A 3A4</t>
  </si>
  <si>
    <t>Tiabelle Doyle</t>
  </si>
  <si>
    <t>sereenassupport@atira.bc.ca</t>
  </si>
  <si>
    <t>604-642-2620</t>
  </si>
  <si>
    <t>The Vivian</t>
  </si>
  <si>
    <t>512 East Cordova Street, Vancouver, BC</t>
  </si>
  <si>
    <t>V6A 1L7</t>
  </si>
  <si>
    <t>Sienna Sangra</t>
  </si>
  <si>
    <t>ssangra@raincityhousing.org</t>
  </si>
  <si>
    <t>6042543778</t>
  </si>
  <si>
    <t>Agassiz-Harrison Community Services</t>
  </si>
  <si>
    <t>7086 Cheam Ave</t>
  </si>
  <si>
    <t>Grace Admiraal-Blansjee</t>
  </si>
  <si>
    <t>info@agassizcs.ca</t>
  </si>
  <si>
    <t>604-796-2585</t>
  </si>
  <si>
    <t>204-2101 Holdom Avenue, Burnaby BC V5B 0A4</t>
  </si>
  <si>
    <t>V5B 0A4</t>
  </si>
  <si>
    <t>604-433-4191 (email is best as our office is working remotely)</t>
  </si>
  <si>
    <t>#1 - 15455 Vine Avenue</t>
  </si>
  <si>
    <t>7782395960</t>
  </si>
  <si>
    <t>5638 Inlet Ave, Sechelt, BC</t>
  </si>
  <si>
    <t>Denise Woodley</t>
  </si>
  <si>
    <t>604-885-5881</t>
  </si>
  <si>
    <t>5638 Inlet Ave</t>
  </si>
  <si>
    <t>WISH Drop-in Centre</t>
  </si>
  <si>
    <t>Tanya Miao</t>
  </si>
  <si>
    <t>respite@wishdropincentre.org</t>
  </si>
  <si>
    <t>7789178856</t>
  </si>
  <si>
    <t>New Westminster Family Place</t>
  </si>
  <si>
    <t>101-93 Sixth Street</t>
  </si>
  <si>
    <t>V3L 2Z8</t>
  </si>
  <si>
    <t>Dana Osiowy</t>
  </si>
  <si>
    <t>info@nwfamily.bc.ca</t>
  </si>
  <si>
    <t>6045203666</t>
  </si>
  <si>
    <t>2305 West 7th Avenue, Vancouver, B. C., V6K 1Y4</t>
  </si>
  <si>
    <t>V6K 1Y4</t>
  </si>
  <si>
    <t>604-736-3588</t>
  </si>
  <si>
    <t>Richmond Family Place Socitey</t>
  </si>
  <si>
    <t>604.278.4336 Ext 104</t>
  </si>
  <si>
    <t>210-3031 Viking Way, Richmond BC</t>
  </si>
  <si>
    <t>V6V1W1</t>
  </si>
  <si>
    <t>6042075029</t>
  </si>
  <si>
    <t>33179 2nd Avenue</t>
  </si>
  <si>
    <t>Cedar Project</t>
  </si>
  <si>
    <t>378 Powell St, Vancouver, BC V6A 1G4</t>
  </si>
  <si>
    <t>V6A 1G4</t>
  </si>
  <si>
    <t>Rachel Bergen</t>
  </si>
  <si>
    <t>rachel.bergen@bcchr.ca</t>
  </si>
  <si>
    <t>604-685-6356</t>
  </si>
  <si>
    <t>Parkgate Commnity Services Society</t>
  </si>
  <si>
    <t>3625 Banff Court</t>
  </si>
  <si>
    <t>v7h 2z8</t>
  </si>
  <si>
    <t>Dale Cheyne</t>
  </si>
  <si>
    <t>dcheyne@myparkgate.com</t>
  </si>
  <si>
    <t>6047838053</t>
  </si>
  <si>
    <t>Langley Community Services Society</t>
  </si>
  <si>
    <t>5339 207th Street Langley</t>
  </si>
  <si>
    <t>V3A2E6</t>
  </si>
  <si>
    <t>Jenilee Woods</t>
  </si>
  <si>
    <t>6045347921</t>
  </si>
  <si>
    <t>6470 Victoria Drive</t>
  </si>
  <si>
    <t>V5P3X7</t>
  </si>
  <si>
    <t>Sherry Lin</t>
  </si>
  <si>
    <t>sherry.lin@southvan.org</t>
  </si>
  <si>
    <t>6043182096</t>
  </si>
  <si>
    <t>Westcoast Family Centres Society</t>
  </si>
  <si>
    <t>1001 Kingsway Avenue, Vancouver</t>
  </si>
  <si>
    <t>V5V 3C7</t>
  </si>
  <si>
    <t>Jan Waldibillig</t>
  </si>
  <si>
    <t>Development@westcoastfamily.org</t>
  </si>
  <si>
    <t>604.254.5457</t>
  </si>
  <si>
    <t>Cheamview Clubhouse (Creative Centre Society)</t>
  </si>
  <si>
    <t>8916 Mary Street Chilliwack V2P 4J4</t>
  </si>
  <si>
    <t>V2P4J4</t>
  </si>
  <si>
    <t>Suzanne Koelstra</t>
  </si>
  <si>
    <t>suzannek.ccs@gmail.com</t>
  </si>
  <si>
    <t>9097 120 Street Delta BC V4C 6R7</t>
  </si>
  <si>
    <t>604-594-3455</t>
  </si>
  <si>
    <t>#481-13320-78th Ave, Surrey, B.C. V3W 0H6</t>
  </si>
  <si>
    <t>2676 Gladys ave</t>
  </si>
  <si>
    <t>V2S3X8</t>
  </si>
  <si>
    <t>6048501235</t>
  </si>
  <si>
    <t>Tri-City Transition Society</t>
  </si>
  <si>
    <t>402- 2071 Kingsway Ave, Port Coquitlam</t>
  </si>
  <si>
    <t>V3C 6N2</t>
  </si>
  <si>
    <t>Carol Metz Murray</t>
  </si>
  <si>
    <t>carol@tricitytransitions.com</t>
  </si>
  <si>
    <t>604 941 7111 ext 101</t>
  </si>
  <si>
    <t>Mamas for Mamas Vancouver</t>
  </si>
  <si>
    <t>unit 7 - 4855 57 street Delta B.C v4k3e7</t>
  </si>
  <si>
    <t>v4k3e7</t>
  </si>
  <si>
    <t>Celena Arthur</t>
  </si>
  <si>
    <t>celena@mamasformamas.ca</t>
  </si>
  <si>
    <t>778-791-8453</t>
  </si>
  <si>
    <t>The Kehila Society of Richmond</t>
  </si>
  <si>
    <t>130 - 10691 Shellbridge Way Richmond BC</t>
  </si>
  <si>
    <t>604 2419270</t>
  </si>
  <si>
    <t>Yale First Nation</t>
  </si>
  <si>
    <t>314 Hudson Bay Street Hope BC</t>
  </si>
  <si>
    <t>V0X 1L0</t>
  </si>
  <si>
    <t>Laureen Duerksen</t>
  </si>
  <si>
    <t>health@yalefirstnation.ca</t>
  </si>
  <si>
    <t>604-206-9507</t>
  </si>
  <si>
    <t>225 e 2nd st, north vancouver</t>
  </si>
  <si>
    <t>V7L 1C4</t>
  </si>
  <si>
    <t>6042908808</t>
  </si>
  <si>
    <t>United Way Food Hubs</t>
  </si>
  <si>
    <t>Coming in from Veritiv</t>
  </si>
  <si>
    <t>DIFFERENCE</t>
  </si>
  <si>
    <t>Distribution Date</t>
  </si>
  <si>
    <t>Venue</t>
  </si>
  <si>
    <t>Reusable Pads</t>
  </si>
  <si>
    <t xml:space="preserve">Menstrual Products </t>
  </si>
  <si>
    <t>Masks</t>
  </si>
  <si>
    <t>God's Gift (Food Hub)</t>
  </si>
  <si>
    <t>Surrey Food Hubs (Kendahl delivered)</t>
  </si>
  <si>
    <t>North Shore Neighbourhood House</t>
  </si>
  <si>
    <t>Distribution # 1</t>
  </si>
  <si>
    <t>Mission Possible</t>
  </si>
  <si>
    <t>Distribution # 2</t>
  </si>
  <si>
    <t>Vancouver / Agassiz &amp; Hope Food Banks</t>
  </si>
  <si>
    <t>Engaged Communities</t>
  </si>
  <si>
    <t>Distribution # 3</t>
  </si>
  <si>
    <t>Mona (Food Pantry)</t>
  </si>
  <si>
    <t>Surrey Food Hubs  - Spoke 1</t>
  </si>
  <si>
    <t>Surrey Food Hubs - Spoke 2</t>
  </si>
  <si>
    <t>NS Neighbourhood House</t>
  </si>
  <si>
    <t>NS Women's Centre</t>
  </si>
  <si>
    <t>Distribution # 4</t>
  </si>
  <si>
    <t>Totals:</t>
  </si>
  <si>
    <t>`</t>
  </si>
  <si>
    <t>Organization</t>
  </si>
  <si>
    <t>ANDAR #</t>
  </si>
  <si>
    <t>Revenue from UTM/SPC</t>
  </si>
  <si>
    <t>Cash/Cheque</t>
  </si>
  <si>
    <t>GenNext / email</t>
  </si>
  <si>
    <t>Klohn Crippen Berger / email</t>
  </si>
  <si>
    <t>STAPR / email</t>
  </si>
  <si>
    <t>PBC / email</t>
  </si>
  <si>
    <t>IATSE 891 / email</t>
  </si>
  <si>
    <t>City of Burnaby / email</t>
  </si>
  <si>
    <t>generation / email</t>
  </si>
  <si>
    <t>MoveUP / email</t>
  </si>
  <si>
    <t>Burke Mountain / email</t>
  </si>
  <si>
    <t>Tri-Cities Donation Drive</t>
  </si>
  <si>
    <t>PP Newsletter / email</t>
  </si>
  <si>
    <t>City of Vancouver / email</t>
  </si>
  <si>
    <t>salmonarmbc / email</t>
  </si>
  <si>
    <t>Health Sciences Association / email</t>
  </si>
  <si>
    <t>Lower Lonsdale / email</t>
  </si>
  <si>
    <t>VDLC / email</t>
  </si>
  <si>
    <t>Julia Dreyer / email</t>
  </si>
  <si>
    <t>Langley Teachers' Association / email</t>
  </si>
  <si>
    <t>Clayton Heights / email</t>
  </si>
  <si>
    <t>Translink / email</t>
  </si>
  <si>
    <t>UWLM Signature / email</t>
  </si>
  <si>
    <t>Angelene Prakash / email</t>
  </si>
  <si>
    <t>BCGEU / email</t>
  </si>
  <si>
    <t>Hospital Employees' Union / email</t>
  </si>
  <si>
    <t>Fraser Valley Labour Council / email</t>
  </si>
  <si>
    <t>New Westminster and District Labour Council / email</t>
  </si>
  <si>
    <t>UFCW 1518 / email</t>
  </si>
  <si>
    <t>PSAC BC / email</t>
  </si>
  <si>
    <t>Cupe Metro District Council</t>
  </si>
  <si>
    <t>IBEW 258</t>
  </si>
  <si>
    <t>CUPE 454</t>
  </si>
  <si>
    <t>IAMAW 764</t>
  </si>
  <si>
    <t>Burnaby Teachers Assn</t>
  </si>
  <si>
    <t>Delta Teachers Association</t>
  </si>
  <si>
    <t>CUPE 1091</t>
  </si>
  <si>
    <t>Nikki's FB Fundraiser</t>
  </si>
  <si>
    <t>Nikki's Donation Drive</t>
  </si>
  <si>
    <t>UW Internal Campaign</t>
  </si>
  <si>
    <t>HEU Dogwood Lodge Local</t>
  </si>
  <si>
    <t>CUPW Local 846</t>
  </si>
  <si>
    <t>CUPE 15</t>
  </si>
  <si>
    <t>Sutherland Secondary School (North Van)</t>
  </si>
  <si>
    <t>Delta Donation Drive (Lyn Verra-Lay Collected)</t>
  </si>
  <si>
    <t>SaveOn Foods</t>
  </si>
  <si>
    <t>No UTM, from Period Promise Website</t>
  </si>
  <si>
    <t>Total:</t>
  </si>
  <si>
    <t>Wipes</t>
  </si>
  <si>
    <t>Tricities</t>
  </si>
  <si>
    <t>Lower Lonsdale</t>
  </si>
  <si>
    <t>Clayton</t>
  </si>
  <si>
    <t>Neighbourhood</t>
  </si>
  <si>
    <t>Distributed</t>
  </si>
  <si>
    <t>Packaged</t>
  </si>
  <si>
    <t>Clayton Heights</t>
  </si>
  <si>
    <t>CL</t>
  </si>
  <si>
    <t>Total Requested</t>
  </si>
  <si>
    <t>Difference</t>
  </si>
  <si>
    <t>LL</t>
  </si>
  <si>
    <t>Burke Mountain</t>
  </si>
  <si>
    <t>BM</t>
  </si>
  <si>
    <t>x</t>
  </si>
  <si>
    <t>l</t>
  </si>
  <si>
    <t>On Hand - June 22</t>
  </si>
  <si>
    <t>To Save for Later Distribution</t>
  </si>
  <si>
    <t>648 Hastings St</t>
  </si>
  <si>
    <t>V6A 1R1</t>
  </si>
  <si>
    <t>Aizhan Myrzabekova</t>
  </si>
  <si>
    <t>Momentum Coordinator</t>
  </si>
  <si>
    <t>aizhan@mission-possible.ca</t>
  </si>
  <si>
    <t>604-253-4469 (ext. 116)</t>
  </si>
  <si>
    <t>Total for Distribution</t>
  </si>
  <si>
    <t>Veritiv Outstanding</t>
  </si>
  <si>
    <t>Air Queen Donation</t>
  </si>
  <si>
    <t>Carry-Over from On Site June 22</t>
  </si>
  <si>
    <t>Total Remaining for Distribution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</si>
</sst>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;[Red]0"/>
    <numFmt numFmtId="165" formatCode="&quot;$&quot;#,##0.00"/>
  </numFmts>
  <fonts count="2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theme="1"/>
      <name val="Arial"/>
      <family val="2"/>
    </font>
    <font>
      <sz val="12"/>
      <name val="Arial"/>
      <family val="1"/>
    </font>
    <font>
      <sz val="12"/>
      <color theme="1"/>
      <name val="Calibri"/>
      <family val="2"/>
      <scheme val="minor"/>
    </font>
    <font>
      <sz val="12"/>
      <color theme="1"/>
      <name val="Arial"/>
      <family val="2"/>
    </font>
    <font>
      <sz val="11"/>
      <color rgb="FF000000"/>
      <name val="Calibri"/>
      <family val="2"/>
    </font>
    <font>
      <sz val="11"/>
      <color rgb="FF444444"/>
      <name val="Calibri"/>
      <family val="2"/>
      <charset val="1"/>
    </font>
    <font>
      <b/>
      <sz val="11"/>
      <color rgb="FF444444"/>
      <name val="Calibri"/>
      <family val="2"/>
      <charset val="1"/>
    </font>
    <font>
      <sz val="12"/>
      <color rgb="FF000000"/>
      <name val="Arial"/>
      <family val="1"/>
    </font>
    <font>
      <sz val="12"/>
      <color rgb="FF000000"/>
      <name val="Arial"/>
      <family val="2"/>
    </font>
    <font>
      <sz val="11"/>
      <color rgb="FF323130"/>
      <name val="Segoe UI"/>
      <family val="2"/>
    </font>
    <font>
      <sz val="11"/>
      <color rgb="FF323130"/>
      <name val="Calibri"/>
      <family val="2"/>
    </font>
    <font>
      <sz val="11"/>
      <color rgb="FF323130"/>
      <name val="Calibri"/>
    </font>
    <font>
      <sz val="11"/>
      <color rgb="FF323130"/>
      <name val="Segoe UI"/>
    </font>
    <font>
      <sz val="11"/>
      <color rgb="FFFF0000"/>
      <name val="Calibri"/>
      <family val="2"/>
    </font>
    <font>
      <sz val="12"/>
      <color rgb="FF000000"/>
      <name val="Calibri"/>
      <charset val="1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FF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rgb="FFA6A6A6"/>
      </top>
      <bottom style="thin">
        <color rgb="FFA6A6A6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 style="thin">
        <color rgb="FF8EA9DB"/>
      </left>
      <right/>
      <top/>
      <bottom style="thin">
        <color rgb="FF8EA9DB"/>
      </bottom>
      <diagonal/>
    </border>
  </borders>
  <cellStyleXfs count="1">
    <xf numFmtId="0" fontId="0" fillId="0" borderId="0"/>
  </cellStyleXfs>
  <cellXfs count="121">
    <xf numFmtId="0" fontId="0" fillId="0" borderId="0" xfId="0"/>
    <xf numFmtId="14" fontId="0" fillId="0" borderId="0" xfId="0" applyNumberFormat="1"/>
    <xf numFmtId="3" fontId="0" fillId="0" borderId="0" xfId="0" applyNumberFormat="1"/>
    <xf numFmtId="0" fontId="2" fillId="0" borderId="0" xfId="0" applyFont="1"/>
    <xf numFmtId="49" fontId="0" fillId="0" borderId="0" xfId="0" applyNumberFormat="1"/>
    <xf numFmtId="1" fontId="0" fillId="0" borderId="0" xfId="0" applyNumberFormat="1"/>
    <xf numFmtId="0" fontId="1" fillId="0" borderId="1" xfId="0" applyFont="1" applyBorder="1" applyAlignment="1">
      <alignment horizontal="left"/>
    </xf>
    <xf numFmtId="3" fontId="1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3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1" fillId="0" borderId="1" xfId="0" applyFont="1" applyBorder="1" applyAlignment="1">
      <alignment horizontal="left" vertical="center"/>
    </xf>
    <xf numFmtId="3" fontId="2" fillId="0" borderId="1" xfId="0" applyNumberFormat="1" applyFont="1" applyBorder="1" applyAlignment="1">
      <alignment horizontal="left"/>
    </xf>
    <xf numFmtId="49" fontId="2" fillId="0" borderId="0" xfId="0" applyNumberFormat="1" applyFont="1"/>
    <xf numFmtId="0" fontId="1" fillId="0" borderId="0" xfId="0" applyFont="1"/>
    <xf numFmtId="0" fontId="3" fillId="0" borderId="0" xfId="0" applyFont="1"/>
    <xf numFmtId="1" fontId="1" fillId="0" borderId="0" xfId="0" applyNumberFormat="1" applyFont="1"/>
    <xf numFmtId="1" fontId="3" fillId="0" borderId="0" xfId="0" applyNumberFormat="1" applyFont="1"/>
    <xf numFmtId="1" fontId="2" fillId="0" borderId="0" xfId="0" applyNumberFormat="1" applyFont="1"/>
    <xf numFmtId="0" fontId="0" fillId="0" borderId="0" xfId="0" applyProtection="1">
      <protection locked="0"/>
    </xf>
    <xf numFmtId="3" fontId="0" fillId="0" borderId="0" xfId="0" applyNumberFormat="1" applyProtection="1">
      <protection locked="0"/>
    </xf>
    <xf numFmtId="49" fontId="0" fillId="0" borderId="0" xfId="0" applyNumberFormat="1" applyProtection="1">
      <protection locked="0"/>
    </xf>
    <xf numFmtId="1" fontId="0" fillId="0" borderId="0" xfId="0" applyNumberFormat="1" applyProtection="1">
      <protection locked="0"/>
    </xf>
    <xf numFmtId="0" fontId="0" fillId="0" borderId="0" xfId="0" quotePrefix="1"/>
    <xf numFmtId="2" fontId="0" fillId="0" borderId="0" xfId="0" quotePrefix="1" applyNumberFormat="1"/>
    <xf numFmtId="0" fontId="0" fillId="2" borderId="2" xfId="0" applyFill="1" applyBorder="1"/>
    <xf numFmtId="0" fontId="0" fillId="2" borderId="3" xfId="0" applyFill="1" applyBorder="1"/>
    <xf numFmtId="0" fontId="0" fillId="2" borderId="3" xfId="0" quotePrefix="1" applyFill="1" applyBorder="1"/>
    <xf numFmtId="0" fontId="0" fillId="0" borderId="2" xfId="0" applyBorder="1"/>
    <xf numFmtId="0" fontId="0" fillId="0" borderId="3" xfId="0" applyBorder="1"/>
    <xf numFmtId="0" fontId="0" fillId="0" borderId="3" xfId="0" quotePrefix="1" applyBorder="1"/>
    <xf numFmtId="0" fontId="0" fillId="2" borderId="3" xfId="0" applyFill="1" applyBorder="1" applyAlignment="1">
      <alignment wrapText="1"/>
    </xf>
    <xf numFmtId="0" fontId="0" fillId="0" borderId="3" xfId="0" applyBorder="1" applyAlignment="1">
      <alignment wrapText="1"/>
    </xf>
    <xf numFmtId="0" fontId="0" fillId="0" borderId="0" xfId="0" applyAlignment="1">
      <alignment wrapText="1"/>
    </xf>
    <xf numFmtId="1" fontId="0" fillId="2" borderId="3" xfId="0" quotePrefix="1" applyNumberFormat="1" applyFill="1" applyBorder="1"/>
    <xf numFmtId="1" fontId="0" fillId="0" borderId="3" xfId="0" quotePrefix="1" applyNumberFormat="1" applyBorder="1"/>
    <xf numFmtId="0" fontId="5" fillId="0" borderId="0" xfId="0" applyFont="1" applyAlignment="1">
      <alignment wrapText="1"/>
    </xf>
    <xf numFmtId="1" fontId="0" fillId="2" borderId="3" xfId="0" applyNumberFormat="1" applyFill="1" applyBorder="1"/>
    <xf numFmtId="164" fontId="1" fillId="0" borderId="0" xfId="0" applyNumberFormat="1" applyFont="1"/>
    <xf numFmtId="0" fontId="2" fillId="2" borderId="2" xfId="0" applyFont="1" applyFill="1" applyBorder="1"/>
    <xf numFmtId="0" fontId="2" fillId="2" borderId="3" xfId="0" applyFont="1" applyFill="1" applyBorder="1"/>
    <xf numFmtId="0" fontId="2" fillId="2" borderId="3" xfId="0" quotePrefix="1" applyFont="1" applyFill="1" applyBorder="1"/>
    <xf numFmtId="1" fontId="2" fillId="2" borderId="3" xfId="0" quotePrefix="1" applyNumberFormat="1" applyFont="1" applyFill="1" applyBorder="1"/>
    <xf numFmtId="15" fontId="2" fillId="0" borderId="0" xfId="0" applyNumberFormat="1" applyFont="1"/>
    <xf numFmtId="0" fontId="0" fillId="3" borderId="0" xfId="0" applyFill="1"/>
    <xf numFmtId="1" fontId="0" fillId="3" borderId="0" xfId="0" applyNumberFormat="1" applyFill="1"/>
    <xf numFmtId="0" fontId="2" fillId="4" borderId="0" xfId="0" applyFont="1" applyFill="1"/>
    <xf numFmtId="0" fontId="0" fillId="4" borderId="0" xfId="0" applyFill="1"/>
    <xf numFmtId="0" fontId="0" fillId="4" borderId="0" xfId="0" applyFill="1" applyProtection="1">
      <protection locked="0"/>
    </xf>
    <xf numFmtId="0" fontId="5" fillId="4" borderId="0" xfId="0" applyFont="1" applyFill="1" applyAlignment="1">
      <alignment wrapText="1"/>
    </xf>
    <xf numFmtId="0" fontId="2" fillId="5" borderId="0" xfId="0" applyFont="1" applyFill="1"/>
    <xf numFmtId="0" fontId="0" fillId="5" borderId="0" xfId="0" applyFill="1"/>
    <xf numFmtId="0" fontId="0" fillId="5" borderId="0" xfId="0" applyFill="1" applyProtection="1">
      <protection locked="0"/>
    </xf>
    <xf numFmtId="0" fontId="5" fillId="5" borderId="0" xfId="0" applyFont="1" applyFill="1" applyAlignment="1">
      <alignment wrapText="1"/>
    </xf>
    <xf numFmtId="0" fontId="0" fillId="6" borderId="0" xfId="0" applyFill="1"/>
    <xf numFmtId="1" fontId="2" fillId="6" borderId="0" xfId="0" applyNumberFormat="1" applyFont="1" applyFill="1"/>
    <xf numFmtId="0" fontId="6" fillId="0" borderId="0" xfId="0" applyFont="1"/>
    <xf numFmtId="0" fontId="7" fillId="0" borderId="0" xfId="0" applyFont="1"/>
    <xf numFmtId="0" fontId="7" fillId="0" borderId="0" xfId="0" applyFont="1" applyAlignment="1">
      <alignment horizontal="left"/>
    </xf>
    <xf numFmtId="165" fontId="7" fillId="0" borderId="0" xfId="0" applyNumberFormat="1" applyFont="1" applyAlignment="1">
      <alignment horizontal="left"/>
    </xf>
    <xf numFmtId="165" fontId="8" fillId="0" borderId="0" xfId="0" applyNumberFormat="1" applyFont="1" applyAlignment="1">
      <alignment horizontal="left"/>
    </xf>
    <xf numFmtId="0" fontId="8" fillId="0" borderId="0" xfId="0" applyFont="1" applyAlignment="1">
      <alignment horizontal="left"/>
    </xf>
    <xf numFmtId="165" fontId="9" fillId="0" borderId="0" xfId="0" applyNumberFormat="1" applyFont="1" applyAlignment="1">
      <alignment horizontal="left"/>
    </xf>
    <xf numFmtId="0" fontId="7" fillId="3" borderId="0" xfId="0" applyFont="1" applyFill="1"/>
    <xf numFmtId="0" fontId="0" fillId="0" borderId="0" xfId="0" applyAlignment="1">
      <alignment horizontal="left"/>
    </xf>
    <xf numFmtId="165" fontId="6" fillId="0" borderId="0" xfId="0" applyNumberFormat="1" applyFont="1" applyAlignment="1">
      <alignment horizontal="left"/>
    </xf>
    <xf numFmtId="0" fontId="10" fillId="0" borderId="0" xfId="0" applyFont="1" applyAlignment="1">
      <alignment wrapText="1"/>
    </xf>
    <xf numFmtId="1" fontId="4" fillId="0" borderId="0" xfId="0" applyNumberFormat="1" applyFont="1"/>
    <xf numFmtId="0" fontId="0" fillId="7" borderId="0" xfId="0" applyFill="1"/>
    <xf numFmtId="165" fontId="0" fillId="0" borderId="0" xfId="0" applyNumberFormat="1"/>
    <xf numFmtId="165" fontId="13" fillId="7" borderId="0" xfId="0" applyNumberFormat="1" applyFont="1" applyFill="1" applyAlignment="1">
      <alignment horizontal="left"/>
    </xf>
    <xf numFmtId="165" fontId="14" fillId="7" borderId="0" xfId="0" applyNumberFormat="1" applyFont="1" applyFill="1" applyAlignment="1">
      <alignment horizontal="left"/>
    </xf>
    <xf numFmtId="0" fontId="0" fillId="7" borderId="4" xfId="0" applyFill="1" applyBorder="1"/>
    <xf numFmtId="0" fontId="10" fillId="7" borderId="5" xfId="0" applyFont="1" applyFill="1" applyBorder="1" applyAlignment="1">
      <alignment wrapText="1"/>
    </xf>
    <xf numFmtId="0" fontId="0" fillId="7" borderId="5" xfId="0" applyFill="1" applyBorder="1"/>
    <xf numFmtId="0" fontId="10" fillId="7" borderId="2" xfId="0" applyFont="1" applyFill="1" applyBorder="1" applyAlignment="1">
      <alignment wrapText="1"/>
    </xf>
    <xf numFmtId="0" fontId="0" fillId="7" borderId="2" xfId="0" applyFill="1" applyBorder="1"/>
    <xf numFmtId="0" fontId="0" fillId="7" borderId="0" xfId="0" applyFill="1" applyProtection="1">
      <protection locked="0"/>
    </xf>
    <xf numFmtId="0" fontId="15" fillId="0" borderId="0" xfId="0" applyFont="1"/>
    <xf numFmtId="0" fontId="16" fillId="0" borderId="0" xfId="0" applyFont="1"/>
    <xf numFmtId="0" fontId="10" fillId="7" borderId="0" xfId="0" applyFont="1" applyFill="1" applyAlignment="1">
      <alignment wrapText="1"/>
    </xf>
    <xf numFmtId="1" fontId="0" fillId="0" borderId="3" xfId="0" applyNumberFormat="1" applyBorder="1"/>
    <xf numFmtId="0" fontId="17" fillId="0" borderId="0" xfId="0" applyFont="1"/>
    <xf numFmtId="0" fontId="18" fillId="0" borderId="0" xfId="0" applyFont="1"/>
    <xf numFmtId="0" fontId="9" fillId="0" borderId="0" xfId="0" applyFont="1" applyAlignment="1">
      <alignment horizontal="left" vertical="top"/>
    </xf>
    <xf numFmtId="165" fontId="9" fillId="0" borderId="0" xfId="0" applyNumberFormat="1" applyFont="1" applyAlignment="1">
      <alignment horizontal="left" vertical="top"/>
    </xf>
    <xf numFmtId="0" fontId="9" fillId="0" borderId="0" xfId="0" applyFont="1" applyAlignment="1">
      <alignment horizontal="left"/>
    </xf>
    <xf numFmtId="0" fontId="9" fillId="0" borderId="0" xfId="0" applyFont="1"/>
    <xf numFmtId="4" fontId="9" fillId="0" borderId="0" xfId="0" applyNumberFormat="1" applyFont="1" applyAlignment="1">
      <alignment horizontal="left"/>
    </xf>
    <xf numFmtId="0" fontId="19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3" borderId="2" xfId="0" applyFill="1" applyBorder="1"/>
    <xf numFmtId="0" fontId="0" fillId="2" borderId="0" xfId="0" applyFill="1"/>
    <xf numFmtId="0" fontId="17" fillId="0" borderId="3" xfId="0" applyFont="1" applyBorder="1"/>
    <xf numFmtId="0" fontId="18" fillId="0" borderId="3" xfId="0" applyFont="1" applyBorder="1"/>
    <xf numFmtId="0" fontId="0" fillId="2" borderId="0" xfId="0" quotePrefix="1" applyFill="1"/>
    <xf numFmtId="1" fontId="0" fillId="2" borderId="0" xfId="0" applyNumberFormat="1" applyFill="1"/>
    <xf numFmtId="0" fontId="0" fillId="2" borderId="0" xfId="0" applyFill="1" applyAlignment="1">
      <alignment wrapText="1"/>
    </xf>
    <xf numFmtId="0" fontId="20" fillId="0" borderId="0" xfId="0" applyFont="1"/>
    <xf numFmtId="1" fontId="19" fillId="0" borderId="0" xfId="0" applyNumberFormat="1" applyFont="1" applyAlignment="1">
      <alignment wrapText="1"/>
    </xf>
    <xf numFmtId="1" fontId="1" fillId="0" borderId="0" xfId="0" applyNumberFormat="1" applyFont="1" applyAlignment="1">
      <alignment wrapText="1"/>
    </xf>
    <xf numFmtId="0" fontId="2" fillId="7" borderId="0" xfId="0" applyFont="1" applyFill="1"/>
    <xf numFmtId="0" fontId="12" fillId="7" borderId="0" xfId="0" applyFont="1" applyFill="1" applyAlignment="1">
      <alignment wrapText="1"/>
    </xf>
    <xf numFmtId="0" fontId="11" fillId="7" borderId="0" xfId="0" applyFont="1" applyFill="1" applyAlignment="1">
      <alignment wrapText="1"/>
    </xf>
    <xf numFmtId="0" fontId="5" fillId="7" borderId="0" xfId="0" applyFont="1" applyFill="1" applyAlignment="1">
      <alignment wrapText="1"/>
    </xf>
    <xf numFmtId="0" fontId="4" fillId="7" borderId="0" xfId="0" applyFont="1" applyFill="1" applyAlignment="1">
      <alignment wrapText="1"/>
    </xf>
    <xf numFmtId="1" fontId="0" fillId="7" borderId="0" xfId="0" applyNumberFormat="1" applyFill="1"/>
    <xf numFmtId="1" fontId="0" fillId="7" borderId="0" xfId="0" applyNumberFormat="1" applyFill="1" applyProtection="1">
      <protection locked="0"/>
    </xf>
    <xf numFmtId="3" fontId="0" fillId="7" borderId="0" xfId="0" applyNumberFormat="1" applyFill="1" applyProtection="1">
      <protection locked="0"/>
    </xf>
    <xf numFmtId="0" fontId="1" fillId="0" borderId="0" xfId="0" applyFont="1" applyProtection="1">
      <protection locked="0"/>
    </xf>
    <xf numFmtId="0" fontId="0" fillId="3" borderId="0" xfId="0" applyFill="1" applyProtection="1">
      <protection locked="0"/>
    </xf>
    <xf numFmtId="0" fontId="10" fillId="3" borderId="0" xfId="0" applyFont="1" applyFill="1" applyAlignment="1">
      <alignment wrapText="1"/>
    </xf>
    <xf numFmtId="1" fontId="20" fillId="0" borderId="0" xfId="0" applyNumberFormat="1" applyFont="1"/>
    <xf numFmtId="1" fontId="4" fillId="0" borderId="0" xfId="0" applyNumberFormat="1" applyFont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 wrapText="1"/>
    </xf>
    <xf numFmtId="0" fontId="4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3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342900</xdr:colOff>
          <xdr:row>13</xdr:row>
          <xdr:rowOff>0</xdr:rowOff>
        </xdr:from>
        <xdr:to>
          <xdr:col>37</xdr:col>
          <xdr:colOff>254000</xdr:colOff>
          <xdr:row>15</xdr:row>
          <xdr:rowOff>107950</xdr:rowOff>
        </xdr:to>
        <xdr:sp macro="" textlink="">
          <xdr:nvSpPr>
            <xdr:cNvPr id="1026" name="Repopulat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406400</xdr:colOff>
          <xdr:row>9</xdr:row>
          <xdr:rowOff>0</xdr:rowOff>
        </xdr:from>
        <xdr:to>
          <xdr:col>37</xdr:col>
          <xdr:colOff>222250</xdr:colOff>
          <xdr:row>11</xdr:row>
          <xdr:rowOff>114300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330200</xdr:colOff>
          <xdr:row>16</xdr:row>
          <xdr:rowOff>0</xdr:rowOff>
        </xdr:from>
        <xdr:to>
          <xdr:col>37</xdr:col>
          <xdr:colOff>254000</xdr:colOff>
          <xdr:row>18</xdr:row>
          <xdr:rowOff>139700</xdr:rowOff>
        </xdr:to>
        <xdr:sp macro="" textlink="">
          <xdr:nvSpPr>
            <xdr:cNvPr id="1028" name="CommandButton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342900</xdr:colOff>
          <xdr:row>87</xdr:row>
          <xdr:rowOff>0</xdr:rowOff>
        </xdr:from>
        <xdr:to>
          <xdr:col>36</xdr:col>
          <xdr:colOff>368300</xdr:colOff>
          <xdr:row>89</xdr:row>
          <xdr:rowOff>101600</xdr:rowOff>
        </xdr:to>
        <xdr:sp macro="" textlink="">
          <xdr:nvSpPr>
            <xdr:cNvPr id="6145" name="Repopulate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406400</xdr:colOff>
          <xdr:row>87</xdr:row>
          <xdr:rowOff>0</xdr:rowOff>
        </xdr:from>
        <xdr:to>
          <xdr:col>36</xdr:col>
          <xdr:colOff>336550</xdr:colOff>
          <xdr:row>89</xdr:row>
          <xdr:rowOff>114300</xdr:rowOff>
        </xdr:to>
        <xdr:sp macro="" textlink="">
          <xdr:nvSpPr>
            <xdr:cNvPr id="6146" name="CommandButton1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330200</xdr:colOff>
          <xdr:row>87</xdr:row>
          <xdr:rowOff>0</xdr:rowOff>
        </xdr:from>
        <xdr:to>
          <xdr:col>36</xdr:col>
          <xdr:colOff>368300</xdr:colOff>
          <xdr:row>89</xdr:row>
          <xdr:rowOff>127000</xdr:rowOff>
        </xdr:to>
        <xdr:sp macro="" textlink="">
          <xdr:nvSpPr>
            <xdr:cNvPr id="6147" name="CommandButton2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51"/>
  <sheetViews>
    <sheetView workbookViewId="0">
      <selection activeCell="G42" sqref="G42"/>
    </sheetView>
  </sheetViews>
  <sheetFormatPr defaultRowHeight="14.5" x14ac:dyDescent="0.35"/>
  <cols>
    <col min="2" max="2" width="32.7265625" bestFit="1" customWidth="1"/>
    <col min="3" max="3" width="17" customWidth="1"/>
    <col min="4" max="4" width="32.7265625" customWidth="1"/>
  </cols>
  <sheetData>
    <row r="1" spans="1:18" x14ac:dyDescent="0.35">
      <c r="A1" s="3" t="s">
        <v>0</v>
      </c>
      <c r="B1" s="1" t="s">
        <v>1</v>
      </c>
      <c r="C1" s="1"/>
      <c r="D1" s="1"/>
    </row>
    <row r="2" spans="1:18" x14ac:dyDescent="0.35">
      <c r="N2" t="s">
        <v>2</v>
      </c>
    </row>
    <row r="3" spans="1:18" s="3" customFormat="1" ht="43.5" x14ac:dyDescent="0.35">
      <c r="A3" s="3" t="s">
        <v>3</v>
      </c>
      <c r="B3" s="101" t="s">
        <v>4</v>
      </c>
      <c r="C3" s="101" t="s">
        <v>5</v>
      </c>
      <c r="D3" s="101" t="s">
        <v>6</v>
      </c>
      <c r="E3" s="101" t="s">
        <v>7</v>
      </c>
      <c r="F3" s="101" t="s">
        <v>8</v>
      </c>
      <c r="G3" s="101" t="s">
        <v>9</v>
      </c>
      <c r="H3" s="102" t="s">
        <v>10</v>
      </c>
      <c r="I3" s="101" t="s">
        <v>11</v>
      </c>
      <c r="J3" s="101" t="s">
        <v>12</v>
      </c>
      <c r="K3" s="101" t="s">
        <v>13</v>
      </c>
      <c r="L3" s="101"/>
    </row>
    <row r="4" spans="1:18" s="3" customFormat="1" x14ac:dyDescent="0.35">
      <c r="B4" s="68" t="s">
        <v>14</v>
      </c>
      <c r="C4" s="68">
        <v>8119836</v>
      </c>
      <c r="D4" s="68" t="s">
        <v>15</v>
      </c>
      <c r="E4" s="68">
        <v>32256</v>
      </c>
      <c r="F4" s="68"/>
      <c r="G4" s="68">
        <v>28800</v>
      </c>
      <c r="H4" s="103"/>
      <c r="I4" s="101"/>
      <c r="J4" s="101"/>
      <c r="K4" s="68">
        <f>SUM(E4:J4)</f>
        <v>61056</v>
      </c>
      <c r="L4" s="101"/>
      <c r="P4" s="44">
        <v>61056</v>
      </c>
    </row>
    <row r="5" spans="1:18" s="3" customFormat="1" x14ac:dyDescent="0.35">
      <c r="B5" s="68" t="s">
        <v>16</v>
      </c>
      <c r="C5" s="68">
        <v>8119836</v>
      </c>
      <c r="D5" s="68" t="s">
        <v>15</v>
      </c>
      <c r="E5" s="68">
        <v>33120</v>
      </c>
      <c r="F5" s="68"/>
      <c r="G5" s="68"/>
      <c r="H5" s="103"/>
      <c r="I5" s="101"/>
      <c r="J5" s="101"/>
      <c r="K5" s="68">
        <f>SUM(E5:J5)</f>
        <v>33120</v>
      </c>
      <c r="L5" s="101"/>
      <c r="P5" s="44">
        <v>33120</v>
      </c>
    </row>
    <row r="6" spans="1:18" s="3" customFormat="1" x14ac:dyDescent="0.35">
      <c r="B6" s="68" t="s">
        <v>17</v>
      </c>
      <c r="C6" s="68">
        <v>6415343</v>
      </c>
      <c r="D6" s="68" t="s">
        <v>15</v>
      </c>
      <c r="E6" s="101"/>
      <c r="F6" s="101"/>
      <c r="G6" s="101"/>
      <c r="H6" s="103">
        <v>146</v>
      </c>
      <c r="I6" s="101"/>
      <c r="J6" s="68">
        <v>4</v>
      </c>
      <c r="K6" s="68">
        <f>SUM(E6:J6)</f>
        <v>150</v>
      </c>
      <c r="L6" s="101"/>
      <c r="P6" s="111">
        <v>150</v>
      </c>
    </row>
    <row r="7" spans="1:18" s="19" customFormat="1" x14ac:dyDescent="0.35">
      <c r="B7" s="80" t="s">
        <v>18</v>
      </c>
      <c r="C7" s="77"/>
      <c r="D7" s="77" t="s">
        <v>19</v>
      </c>
      <c r="E7" s="80">
        <v>1405</v>
      </c>
      <c r="F7" s="80">
        <v>2290</v>
      </c>
      <c r="G7" s="80">
        <v>342</v>
      </c>
      <c r="H7" s="104"/>
      <c r="I7" s="104"/>
      <c r="J7" s="80">
        <v>7</v>
      </c>
      <c r="K7" s="68">
        <f t="shared" ref="K7:K30" si="0">SUM(E7:J7)</f>
        <v>4044</v>
      </c>
      <c r="L7" s="77"/>
      <c r="M7" s="66"/>
      <c r="N7" s="66">
        <v>4044</v>
      </c>
      <c r="O7" s="66"/>
      <c r="P7" s="36"/>
      <c r="Q7" s="36"/>
      <c r="R7" s="66"/>
    </row>
    <row r="8" spans="1:18" s="19" customFormat="1" x14ac:dyDescent="0.35">
      <c r="B8" s="80" t="s">
        <v>20</v>
      </c>
      <c r="C8" s="77">
        <v>86397</v>
      </c>
      <c r="D8" s="77" t="s">
        <v>21</v>
      </c>
      <c r="E8" s="80">
        <v>38</v>
      </c>
      <c r="F8" s="80">
        <v>41</v>
      </c>
      <c r="G8" s="80">
        <v>18</v>
      </c>
      <c r="H8" s="104"/>
      <c r="I8" s="104"/>
      <c r="J8" s="80"/>
      <c r="K8" s="68">
        <f t="shared" si="0"/>
        <v>97</v>
      </c>
      <c r="L8" s="77"/>
      <c r="M8" s="66"/>
      <c r="N8" s="66">
        <v>97</v>
      </c>
      <c r="O8" s="66"/>
      <c r="P8" s="36"/>
      <c r="Q8" s="36"/>
      <c r="R8" s="66"/>
    </row>
    <row r="9" spans="1:18" s="19" customFormat="1" x14ac:dyDescent="0.35">
      <c r="B9" s="80" t="s">
        <v>22</v>
      </c>
      <c r="C9" s="77">
        <v>1891</v>
      </c>
      <c r="D9" s="77" t="s">
        <v>23</v>
      </c>
      <c r="E9" s="80">
        <f>SUM(868+580)</f>
        <v>1448</v>
      </c>
      <c r="F9" s="80">
        <v>764</v>
      </c>
      <c r="G9" s="80">
        <v>104</v>
      </c>
      <c r="H9" s="104"/>
      <c r="I9" s="104"/>
      <c r="J9" s="80"/>
      <c r="K9" s="68">
        <f t="shared" si="0"/>
        <v>2316</v>
      </c>
      <c r="L9" s="77"/>
      <c r="M9" s="66"/>
      <c r="N9" s="66">
        <v>2316</v>
      </c>
      <c r="O9" s="66"/>
      <c r="P9" s="36"/>
      <c r="Q9" s="36"/>
      <c r="R9" s="66"/>
    </row>
    <row r="10" spans="1:18" s="19" customFormat="1" x14ac:dyDescent="0.35">
      <c r="B10" s="80" t="s">
        <v>24</v>
      </c>
      <c r="C10" s="77">
        <v>2089</v>
      </c>
      <c r="D10" s="77" t="s">
        <v>23</v>
      </c>
      <c r="E10" s="80">
        <f>SUM(158+258+694)</f>
        <v>1110</v>
      </c>
      <c r="F10" s="80">
        <f>SUM(380+282+56+395)</f>
        <v>1113</v>
      </c>
      <c r="G10" s="80">
        <f>SUM(210+350+618)</f>
        <v>1178</v>
      </c>
      <c r="H10" s="104"/>
      <c r="I10" s="104"/>
      <c r="J10" s="80"/>
      <c r="K10" s="68">
        <f t="shared" si="0"/>
        <v>3401</v>
      </c>
      <c r="L10" s="77"/>
      <c r="M10" s="66"/>
      <c r="N10" s="66">
        <v>3401</v>
      </c>
      <c r="O10" s="66"/>
      <c r="P10" s="36"/>
      <c r="Q10" s="36"/>
      <c r="R10" s="66"/>
    </row>
    <row r="11" spans="1:18" s="19" customFormat="1" x14ac:dyDescent="0.35">
      <c r="B11" s="80" t="s">
        <v>25</v>
      </c>
      <c r="C11" s="77">
        <v>22699</v>
      </c>
      <c r="D11" s="77" t="s">
        <v>23</v>
      </c>
      <c r="E11" s="80">
        <v>344</v>
      </c>
      <c r="F11" s="80">
        <v>210</v>
      </c>
      <c r="G11" s="80"/>
      <c r="H11" s="104"/>
      <c r="I11" s="104"/>
      <c r="J11" s="80"/>
      <c r="K11" s="68">
        <f t="shared" si="0"/>
        <v>554</v>
      </c>
      <c r="L11" s="77"/>
      <c r="M11" s="66"/>
      <c r="N11" s="66">
        <v>554</v>
      </c>
      <c r="O11" s="66"/>
      <c r="P11" s="36"/>
      <c r="Q11" s="36"/>
      <c r="R11" s="66"/>
    </row>
    <row r="12" spans="1:18" s="19" customFormat="1" x14ac:dyDescent="0.35">
      <c r="B12" s="80" t="s">
        <v>26</v>
      </c>
      <c r="C12" s="77">
        <v>40436</v>
      </c>
      <c r="D12" s="77" t="s">
        <v>23</v>
      </c>
      <c r="E12" s="80">
        <v>1837</v>
      </c>
      <c r="F12" s="80">
        <v>1338</v>
      </c>
      <c r="G12" s="80">
        <v>1950</v>
      </c>
      <c r="H12" s="104"/>
      <c r="I12" s="104"/>
      <c r="J12" s="80"/>
      <c r="K12" s="68">
        <f t="shared" si="0"/>
        <v>5125</v>
      </c>
      <c r="L12" s="77"/>
      <c r="M12" s="66"/>
      <c r="N12" s="66">
        <v>5125</v>
      </c>
      <c r="O12" s="66"/>
      <c r="P12" s="36"/>
      <c r="Q12" s="36"/>
      <c r="R12" s="66"/>
    </row>
    <row r="13" spans="1:18" s="19" customFormat="1" x14ac:dyDescent="0.35">
      <c r="B13" s="80" t="s">
        <v>27</v>
      </c>
      <c r="C13" s="77"/>
      <c r="D13" s="77" t="s">
        <v>19</v>
      </c>
      <c r="E13" s="80">
        <v>806</v>
      </c>
      <c r="F13" s="80">
        <v>264</v>
      </c>
      <c r="G13" s="80"/>
      <c r="H13" s="104"/>
      <c r="I13" s="104"/>
      <c r="J13" s="80"/>
      <c r="K13" s="68">
        <f t="shared" si="0"/>
        <v>1070</v>
      </c>
      <c r="L13" s="77"/>
      <c r="M13" s="66"/>
      <c r="N13" s="66">
        <v>1070</v>
      </c>
      <c r="O13" s="66"/>
      <c r="P13" s="36"/>
      <c r="Q13" s="36"/>
      <c r="R13" s="66"/>
    </row>
    <row r="14" spans="1:18" s="19" customFormat="1" x14ac:dyDescent="0.35">
      <c r="B14" s="80" t="s">
        <v>28</v>
      </c>
      <c r="C14" s="77">
        <v>6452932</v>
      </c>
      <c r="D14" s="77" t="s">
        <v>21</v>
      </c>
      <c r="E14" s="80">
        <v>1317</v>
      </c>
      <c r="F14" s="80">
        <v>1990</v>
      </c>
      <c r="G14" s="80">
        <v>472</v>
      </c>
      <c r="H14" s="104"/>
      <c r="I14" s="104"/>
      <c r="J14" s="80"/>
      <c r="K14" s="68">
        <f t="shared" si="0"/>
        <v>3779</v>
      </c>
      <c r="L14" s="77"/>
      <c r="M14" s="66"/>
      <c r="N14" s="66">
        <v>3779</v>
      </c>
      <c r="O14" s="66"/>
      <c r="P14" s="36"/>
      <c r="Q14" s="36"/>
      <c r="R14" s="66"/>
    </row>
    <row r="15" spans="1:18" s="19" customFormat="1" x14ac:dyDescent="0.35">
      <c r="B15" s="80" t="s">
        <v>29</v>
      </c>
      <c r="C15" s="77"/>
      <c r="D15" s="77" t="s">
        <v>19</v>
      </c>
      <c r="E15" s="80">
        <v>988</v>
      </c>
      <c r="F15" s="80">
        <v>16</v>
      </c>
      <c r="G15" s="80"/>
      <c r="H15" s="104"/>
      <c r="I15" s="104"/>
      <c r="J15" s="80"/>
      <c r="K15" s="68">
        <f t="shared" si="0"/>
        <v>1004</v>
      </c>
      <c r="L15" s="77"/>
      <c r="M15" s="66"/>
      <c r="N15" s="66">
        <v>1004</v>
      </c>
      <c r="O15" s="66"/>
      <c r="P15" s="36"/>
      <c r="Q15" s="36"/>
      <c r="R15" s="66"/>
    </row>
    <row r="16" spans="1:18" s="19" customFormat="1" x14ac:dyDescent="0.35">
      <c r="B16" s="80" t="s">
        <v>30</v>
      </c>
      <c r="C16" s="77">
        <v>299297</v>
      </c>
      <c r="D16" s="77" t="s">
        <v>21</v>
      </c>
      <c r="E16" s="80">
        <v>152</v>
      </c>
      <c r="F16" s="80">
        <v>776</v>
      </c>
      <c r="G16" s="80">
        <v>327</v>
      </c>
      <c r="H16" s="104"/>
      <c r="I16" s="104"/>
      <c r="J16" s="80"/>
      <c r="K16" s="68">
        <f t="shared" si="0"/>
        <v>1255</v>
      </c>
      <c r="L16" s="77"/>
      <c r="M16" s="66"/>
      <c r="N16" s="66">
        <v>1255</v>
      </c>
      <c r="O16" s="66"/>
      <c r="P16" s="36"/>
      <c r="Q16" s="36"/>
      <c r="R16" s="66"/>
    </row>
    <row r="17" spans="2:18" s="19" customFormat="1" x14ac:dyDescent="0.35">
      <c r="B17" s="80" t="s">
        <v>31</v>
      </c>
      <c r="C17" s="77"/>
      <c r="D17" s="77" t="s">
        <v>31</v>
      </c>
      <c r="E17" s="80">
        <v>12662</v>
      </c>
      <c r="F17" s="80">
        <v>13140</v>
      </c>
      <c r="G17" s="80">
        <v>4824</v>
      </c>
      <c r="H17" s="105">
        <v>2</v>
      </c>
      <c r="I17" s="105">
        <v>4</v>
      </c>
      <c r="J17" s="80">
        <v>12</v>
      </c>
      <c r="K17" s="68">
        <f t="shared" si="0"/>
        <v>30644</v>
      </c>
      <c r="L17" s="77"/>
      <c r="M17" s="66"/>
      <c r="N17" s="66">
        <v>30644</v>
      </c>
      <c r="O17" s="66"/>
      <c r="P17" s="36"/>
      <c r="Q17" s="36"/>
      <c r="R17" s="66"/>
    </row>
    <row r="18" spans="2:18" s="19" customFormat="1" x14ac:dyDescent="0.35">
      <c r="B18" s="80" t="s">
        <v>32</v>
      </c>
      <c r="C18" s="77">
        <v>306985</v>
      </c>
      <c r="D18" s="77" t="s">
        <v>21</v>
      </c>
      <c r="E18" s="80">
        <v>450</v>
      </c>
      <c r="F18" s="80">
        <v>433</v>
      </c>
      <c r="G18" s="80">
        <v>502</v>
      </c>
      <c r="H18" s="104"/>
      <c r="I18" s="104"/>
      <c r="J18" s="80">
        <v>2</v>
      </c>
      <c r="K18" s="68">
        <f t="shared" si="0"/>
        <v>1387</v>
      </c>
      <c r="L18" s="77"/>
      <c r="M18" s="66"/>
      <c r="N18" s="66">
        <v>1387</v>
      </c>
      <c r="O18" s="66"/>
      <c r="R18" s="66"/>
    </row>
    <row r="19" spans="2:18" s="19" customFormat="1" x14ac:dyDescent="0.35">
      <c r="B19" s="80" t="s">
        <v>33</v>
      </c>
      <c r="C19" s="77"/>
      <c r="D19" s="77" t="s">
        <v>15</v>
      </c>
      <c r="E19" s="80">
        <v>4592</v>
      </c>
      <c r="F19" s="80"/>
      <c r="G19" s="80"/>
      <c r="H19" s="104"/>
      <c r="I19" s="104"/>
      <c r="J19" s="80"/>
      <c r="K19" s="68">
        <f t="shared" si="0"/>
        <v>4592</v>
      </c>
      <c r="L19" s="77"/>
      <c r="M19" s="66"/>
      <c r="O19" s="66"/>
      <c r="P19" s="111">
        <v>4592</v>
      </c>
      <c r="R19" s="66"/>
    </row>
    <row r="20" spans="2:18" s="19" customFormat="1" x14ac:dyDescent="0.35">
      <c r="B20" s="80" t="s">
        <v>34</v>
      </c>
      <c r="C20" s="77">
        <v>4296992</v>
      </c>
      <c r="D20" s="77" t="s">
        <v>21</v>
      </c>
      <c r="E20" s="80">
        <v>98</v>
      </c>
      <c r="F20" s="80">
        <v>294</v>
      </c>
      <c r="G20" s="80">
        <v>132</v>
      </c>
      <c r="H20" s="77"/>
      <c r="I20" s="77"/>
      <c r="J20" s="80"/>
      <c r="K20" s="68">
        <f t="shared" si="0"/>
        <v>524</v>
      </c>
      <c r="L20" s="77"/>
      <c r="M20" s="66"/>
      <c r="N20" s="66">
        <v>524</v>
      </c>
      <c r="O20" s="66"/>
      <c r="R20" s="66"/>
    </row>
    <row r="21" spans="2:18" s="19" customFormat="1" x14ac:dyDescent="0.35">
      <c r="B21" s="80" t="s">
        <v>35</v>
      </c>
      <c r="C21" s="77"/>
      <c r="D21" s="77" t="s">
        <v>15</v>
      </c>
      <c r="E21" s="80">
        <v>9505</v>
      </c>
      <c r="F21" s="80"/>
      <c r="G21" s="80"/>
      <c r="H21" s="77"/>
      <c r="I21" s="77"/>
      <c r="J21" s="80"/>
      <c r="K21" s="68">
        <f>SUM(E21:J21)</f>
        <v>9505</v>
      </c>
      <c r="L21" s="77"/>
      <c r="M21" s="66"/>
      <c r="O21" s="66"/>
      <c r="P21" s="111">
        <v>9505</v>
      </c>
      <c r="R21" s="66"/>
    </row>
    <row r="22" spans="2:18" s="19" customFormat="1" x14ac:dyDescent="0.35">
      <c r="B22" s="80" t="s">
        <v>36</v>
      </c>
      <c r="C22" s="77"/>
      <c r="D22" s="77" t="s">
        <v>15</v>
      </c>
      <c r="E22" s="80">
        <v>30798</v>
      </c>
      <c r="F22" s="80"/>
      <c r="G22" s="80"/>
      <c r="H22" s="77"/>
      <c r="I22" s="77"/>
      <c r="J22" s="80">
        <v>337</v>
      </c>
      <c r="K22" s="68">
        <f t="shared" si="0"/>
        <v>31135</v>
      </c>
      <c r="L22" s="77"/>
      <c r="P22" s="44">
        <v>31135</v>
      </c>
    </row>
    <row r="23" spans="2:18" s="19" customFormat="1" x14ac:dyDescent="0.35">
      <c r="B23" s="80" t="s">
        <v>37</v>
      </c>
      <c r="C23" s="77"/>
      <c r="D23" s="77" t="s">
        <v>31</v>
      </c>
      <c r="E23" s="80">
        <v>7734</v>
      </c>
      <c r="F23" s="80">
        <v>1603</v>
      </c>
      <c r="G23" s="80">
        <v>796</v>
      </c>
      <c r="H23" s="77"/>
      <c r="I23" s="77"/>
      <c r="J23" s="80"/>
      <c r="K23" s="68">
        <f t="shared" si="0"/>
        <v>10133</v>
      </c>
      <c r="L23" s="77"/>
      <c r="N23">
        <v>10133</v>
      </c>
    </row>
    <row r="24" spans="2:18" s="19" customFormat="1" x14ac:dyDescent="0.35">
      <c r="B24" s="80" t="s">
        <v>38</v>
      </c>
      <c r="C24" s="77"/>
      <c r="D24" s="77" t="s">
        <v>19</v>
      </c>
      <c r="E24" s="80">
        <v>266</v>
      </c>
      <c r="F24" s="80">
        <v>226</v>
      </c>
      <c r="G24" s="80">
        <v>96</v>
      </c>
      <c r="H24" s="77"/>
      <c r="I24" s="77"/>
      <c r="J24" s="80"/>
      <c r="K24" s="68">
        <f t="shared" si="0"/>
        <v>588</v>
      </c>
      <c r="L24" s="77"/>
      <c r="N24">
        <v>588</v>
      </c>
    </row>
    <row r="25" spans="2:18" s="19" customFormat="1" x14ac:dyDescent="0.35">
      <c r="B25" s="80" t="s">
        <v>39</v>
      </c>
      <c r="C25" s="77">
        <v>7505001</v>
      </c>
      <c r="D25" s="77" t="s">
        <v>19</v>
      </c>
      <c r="E25" s="80"/>
      <c r="F25" s="80"/>
      <c r="G25" s="80"/>
      <c r="H25" s="77"/>
      <c r="I25" s="77"/>
      <c r="J25" s="80">
        <v>500</v>
      </c>
      <c r="K25" s="68">
        <f t="shared" si="0"/>
        <v>500</v>
      </c>
      <c r="L25" s="77"/>
      <c r="N25">
        <v>500</v>
      </c>
    </row>
    <row r="26" spans="2:18" s="19" customFormat="1" x14ac:dyDescent="0.35">
      <c r="B26" s="80" t="s">
        <v>40</v>
      </c>
      <c r="C26" s="77"/>
      <c r="D26" s="77" t="s">
        <v>19</v>
      </c>
      <c r="E26" s="80">
        <v>875</v>
      </c>
      <c r="F26" s="80">
        <v>200</v>
      </c>
      <c r="G26" s="80">
        <v>500</v>
      </c>
      <c r="H26" s="77"/>
      <c r="I26" s="77"/>
      <c r="J26" s="80"/>
      <c r="K26" s="68">
        <f t="shared" si="0"/>
        <v>1575</v>
      </c>
      <c r="L26" s="77"/>
      <c r="N26">
        <v>1575</v>
      </c>
    </row>
    <row r="27" spans="2:18" s="19" customFormat="1" x14ac:dyDescent="0.35">
      <c r="B27" s="80" t="s">
        <v>41</v>
      </c>
      <c r="C27" s="77">
        <v>16113</v>
      </c>
      <c r="D27" s="77" t="s">
        <v>23</v>
      </c>
      <c r="E27" s="80">
        <v>855</v>
      </c>
      <c r="F27" s="80">
        <v>733</v>
      </c>
      <c r="G27" s="80">
        <v>462</v>
      </c>
      <c r="H27" s="77"/>
      <c r="I27" s="77"/>
      <c r="J27" s="80">
        <v>2</v>
      </c>
      <c r="K27" s="68">
        <f t="shared" si="0"/>
        <v>2052</v>
      </c>
      <c r="L27" s="77"/>
      <c r="N27">
        <v>2052</v>
      </c>
    </row>
    <row r="28" spans="2:18" s="19" customFormat="1" x14ac:dyDescent="0.35">
      <c r="B28" s="80" t="s">
        <v>42</v>
      </c>
      <c r="C28" s="77">
        <v>174581</v>
      </c>
      <c r="D28" s="77" t="s">
        <v>21</v>
      </c>
      <c r="E28" s="80">
        <f>SUM(162+323)</f>
        <v>485</v>
      </c>
      <c r="F28" s="80">
        <f>SUM(399+399)</f>
        <v>798</v>
      </c>
      <c r="G28" s="80">
        <v>10</v>
      </c>
      <c r="H28" s="77"/>
      <c r="I28" s="77"/>
      <c r="J28" s="80"/>
      <c r="K28" s="68">
        <f t="shared" si="0"/>
        <v>1293</v>
      </c>
      <c r="L28" s="77"/>
      <c r="N28">
        <v>1293</v>
      </c>
    </row>
    <row r="29" spans="2:18" s="19" customFormat="1" x14ac:dyDescent="0.35">
      <c r="B29" s="77" t="s">
        <v>43</v>
      </c>
      <c r="C29" s="77"/>
      <c r="D29" s="77" t="s">
        <v>44</v>
      </c>
      <c r="E29" s="77">
        <v>85040</v>
      </c>
      <c r="F29" s="77">
        <v>63000</v>
      </c>
      <c r="G29" s="77"/>
      <c r="H29" s="77"/>
      <c r="I29" s="77"/>
      <c r="J29" s="77"/>
      <c r="K29" s="68">
        <f t="shared" si="0"/>
        <v>148040</v>
      </c>
      <c r="L29" s="77"/>
    </row>
    <row r="30" spans="2:18" s="19" customFormat="1" x14ac:dyDescent="0.35">
      <c r="B30" s="77" t="s">
        <v>45</v>
      </c>
      <c r="C30" s="77"/>
      <c r="D30" s="77" t="s">
        <v>44</v>
      </c>
      <c r="E30" s="77">
        <v>42804</v>
      </c>
      <c r="F30" s="77">
        <v>45000</v>
      </c>
      <c r="G30" s="77"/>
      <c r="H30" s="77"/>
      <c r="I30" s="77"/>
      <c r="J30" s="77"/>
      <c r="K30" s="68">
        <f t="shared" si="0"/>
        <v>87804</v>
      </c>
      <c r="L30" s="77"/>
      <c r="N30" s="19">
        <f>SUM(N4:N29)</f>
        <v>71341</v>
      </c>
    </row>
    <row r="31" spans="2:18" s="19" customFormat="1" x14ac:dyDescent="0.35">
      <c r="B31" s="77" t="s">
        <v>46</v>
      </c>
      <c r="C31" s="77"/>
      <c r="D31" s="77" t="s">
        <v>47</v>
      </c>
      <c r="E31" s="77">
        <v>43152</v>
      </c>
      <c r="F31" s="77"/>
      <c r="G31" s="77"/>
      <c r="H31" s="77"/>
      <c r="I31" s="77"/>
      <c r="J31" s="77"/>
      <c r="K31" s="77">
        <f>SUM(E31:J31)</f>
        <v>43152</v>
      </c>
      <c r="L31" s="77"/>
      <c r="N31" s="77"/>
      <c r="P31" s="110">
        <v>43152</v>
      </c>
    </row>
    <row r="32" spans="2:18" s="19" customFormat="1" x14ac:dyDescent="0.35">
      <c r="B32" s="77" t="s">
        <v>48</v>
      </c>
      <c r="C32" s="77"/>
      <c r="D32" s="77"/>
      <c r="E32" s="77">
        <f>SUM(E29:E31)</f>
        <v>170996</v>
      </c>
      <c r="F32" s="77">
        <f>SUM(F29:F31)</f>
        <v>108000</v>
      </c>
      <c r="G32" s="77"/>
      <c r="H32" s="77"/>
      <c r="I32" s="77"/>
      <c r="J32" s="77"/>
      <c r="K32" s="77">
        <f>SUM(K4:K31)</f>
        <v>489895</v>
      </c>
      <c r="L32" s="77"/>
      <c r="N32" s="110">
        <f>SUM(N30:N31)</f>
        <v>71341</v>
      </c>
    </row>
    <row r="33" spans="2:16" s="19" customFormat="1" x14ac:dyDescent="0.35">
      <c r="B33" s="77"/>
      <c r="C33" s="77"/>
      <c r="D33" s="77"/>
      <c r="E33" s="77"/>
      <c r="F33" s="77"/>
      <c r="G33" s="77"/>
      <c r="H33" s="77"/>
      <c r="I33" s="77"/>
      <c r="J33" s="77"/>
      <c r="K33" s="77"/>
      <c r="L33" s="77"/>
      <c r="P33" s="19">
        <f>SUM(P4:P32)</f>
        <v>182710</v>
      </c>
    </row>
    <row r="34" spans="2:16" x14ac:dyDescent="0.35">
      <c r="B34" s="101" t="s">
        <v>49</v>
      </c>
      <c r="C34" s="101"/>
      <c r="D34" s="77"/>
      <c r="E34" s="68">
        <f>SUM(E4:E31)</f>
        <v>314137</v>
      </c>
      <c r="F34" s="68">
        <f t="shared" ref="F34:J34" si="1">SUM(F4:F31)</f>
        <v>134229</v>
      </c>
      <c r="G34" s="68">
        <f t="shared" si="1"/>
        <v>40513</v>
      </c>
      <c r="H34" s="68">
        <f t="shared" si="1"/>
        <v>148</v>
      </c>
      <c r="I34" s="68">
        <f t="shared" si="1"/>
        <v>4</v>
      </c>
      <c r="J34" s="68">
        <f t="shared" si="1"/>
        <v>864</v>
      </c>
      <c r="K34" s="101" t="s">
        <v>49</v>
      </c>
      <c r="L34" s="68">
        <f>SUM(E34:J34)</f>
        <v>489895</v>
      </c>
      <c r="N34">
        <v>87804</v>
      </c>
      <c r="P34">
        <v>71341</v>
      </c>
    </row>
    <row r="35" spans="2:16" x14ac:dyDescent="0.35">
      <c r="B35" s="101"/>
      <c r="C35" s="101"/>
      <c r="D35" s="77"/>
      <c r="E35" s="68"/>
      <c r="F35" s="68"/>
      <c r="G35" s="68"/>
      <c r="H35" s="68"/>
      <c r="I35" s="68"/>
      <c r="J35" s="68"/>
      <c r="K35" s="101"/>
      <c r="L35" s="68"/>
      <c r="N35">
        <v>148040</v>
      </c>
    </row>
    <row r="36" spans="2:16" x14ac:dyDescent="0.35">
      <c r="B36" s="101"/>
      <c r="C36" s="101"/>
      <c r="D36" s="77"/>
      <c r="E36" s="68"/>
      <c r="F36" s="68"/>
      <c r="G36" s="68"/>
      <c r="H36" s="68"/>
      <c r="I36" s="68"/>
      <c r="J36" s="68"/>
      <c r="K36" s="101"/>
      <c r="L36" s="68"/>
      <c r="N36" s="44">
        <f>SUM(N34:N35)</f>
        <v>235844</v>
      </c>
      <c r="P36">
        <f>SUM(P33:P35)</f>
        <v>254051</v>
      </c>
    </row>
    <row r="37" spans="2:16" x14ac:dyDescent="0.35">
      <c r="B37" s="101"/>
      <c r="C37" s="101"/>
      <c r="D37" s="77"/>
      <c r="E37" s="68"/>
      <c r="F37" s="68"/>
      <c r="G37" s="68"/>
      <c r="H37" s="68"/>
      <c r="I37" s="68"/>
      <c r="J37" s="68"/>
      <c r="K37" s="101"/>
      <c r="L37" s="68"/>
    </row>
    <row r="38" spans="2:16" x14ac:dyDescent="0.35">
      <c r="B38" s="68"/>
      <c r="C38" s="68"/>
      <c r="D38" s="77"/>
      <c r="E38" s="68"/>
      <c r="F38" s="68"/>
      <c r="G38" s="68"/>
      <c r="H38" s="68"/>
      <c r="I38" s="68"/>
      <c r="J38" s="68"/>
      <c r="K38" s="68"/>
      <c r="L38" s="68"/>
    </row>
    <row r="39" spans="2:16" x14ac:dyDescent="0.35">
      <c r="B39" s="68" t="s">
        <v>50</v>
      </c>
      <c r="C39" s="68"/>
      <c r="D39" s="77"/>
      <c r="E39" s="106">
        <v>130994</v>
      </c>
      <c r="F39" s="106">
        <v>111444</v>
      </c>
      <c r="G39" s="106">
        <v>11061</v>
      </c>
      <c r="H39" s="106">
        <v>113</v>
      </c>
      <c r="I39" s="106">
        <v>4</v>
      </c>
      <c r="J39" s="106">
        <v>540</v>
      </c>
      <c r="K39" s="106"/>
      <c r="L39" s="106">
        <f>SUM(E39:K39)</f>
        <v>254156</v>
      </c>
    </row>
    <row r="40" spans="2:16" x14ac:dyDescent="0.35">
      <c r="B40" s="68" t="s">
        <v>51</v>
      </c>
      <c r="C40" s="68"/>
      <c r="D40" s="68"/>
      <c r="E40" s="105">
        <v>169953</v>
      </c>
      <c r="F40" s="105">
        <v>21748</v>
      </c>
      <c r="G40" s="105">
        <v>28035</v>
      </c>
      <c r="H40" s="105">
        <v>59</v>
      </c>
      <c r="I40" s="105">
        <v>0</v>
      </c>
      <c r="J40" s="105">
        <v>537</v>
      </c>
      <c r="K40" s="68"/>
      <c r="L40" s="68">
        <f>SUM(E40:K40)</f>
        <v>220332</v>
      </c>
    </row>
    <row r="41" spans="2:16" x14ac:dyDescent="0.35">
      <c r="B41" s="68" t="s">
        <v>52</v>
      </c>
      <c r="C41" s="68"/>
      <c r="D41" s="68"/>
      <c r="E41" s="107">
        <v>9936</v>
      </c>
      <c r="F41" s="107"/>
      <c r="G41" s="107"/>
      <c r="H41" s="107"/>
      <c r="I41" s="107"/>
      <c r="J41" s="107"/>
      <c r="K41" s="104"/>
      <c r="L41" s="106">
        <f>SUM(E41:K41)</f>
        <v>9936</v>
      </c>
    </row>
    <row r="42" spans="2:16" x14ac:dyDescent="0.35">
      <c r="B42" s="68"/>
      <c r="C42" s="68"/>
      <c r="D42" s="68"/>
      <c r="E42">
        <v>62791</v>
      </c>
      <c r="F42">
        <v>6808</v>
      </c>
      <c r="G42">
        <v>4375</v>
      </c>
      <c r="H42" s="107"/>
      <c r="I42" s="107"/>
      <c r="J42" s="107"/>
      <c r="K42" s="104"/>
      <c r="L42" s="106">
        <f>SUM(E42:K42)</f>
        <v>73974</v>
      </c>
    </row>
    <row r="43" spans="2:16" x14ac:dyDescent="0.35">
      <c r="B43" s="68" t="s">
        <v>53</v>
      </c>
      <c r="C43" s="68"/>
      <c r="D43" s="68"/>
      <c r="E43" s="107">
        <v>17957</v>
      </c>
      <c r="F43" s="107">
        <v>1601</v>
      </c>
      <c r="G43" s="107">
        <v>1699</v>
      </c>
      <c r="H43" s="107">
        <v>34</v>
      </c>
      <c r="I43" s="107"/>
      <c r="J43" s="107">
        <v>36</v>
      </c>
      <c r="K43" s="104"/>
      <c r="L43" s="106">
        <f>SUM(E43:K43)</f>
        <v>21327</v>
      </c>
    </row>
    <row r="44" spans="2:16" x14ac:dyDescent="0.35">
      <c r="B44" s="68"/>
      <c r="C44" s="68"/>
      <c r="D44" s="68"/>
      <c r="E44" s="108"/>
      <c r="F44" s="68"/>
      <c r="G44" s="68"/>
      <c r="H44" s="68"/>
      <c r="I44" s="68"/>
      <c r="J44" s="68"/>
      <c r="K44" s="68"/>
      <c r="L44" s="106"/>
    </row>
    <row r="45" spans="2:16" x14ac:dyDescent="0.35">
      <c r="B45" s="68"/>
      <c r="C45" s="68"/>
      <c r="D45" s="68"/>
      <c r="E45" s="106">
        <f t="shared" ref="E45:J45" si="2">SUM(E39:E44)</f>
        <v>391631</v>
      </c>
      <c r="F45" s="106">
        <f t="shared" si="2"/>
        <v>141601</v>
      </c>
      <c r="G45" s="106">
        <f t="shared" si="2"/>
        <v>45170</v>
      </c>
      <c r="H45" s="106">
        <f t="shared" si="2"/>
        <v>206</v>
      </c>
      <c r="I45" s="106">
        <f t="shared" si="2"/>
        <v>4</v>
      </c>
      <c r="J45" s="106">
        <f t="shared" si="2"/>
        <v>1113</v>
      </c>
      <c r="K45" s="68"/>
      <c r="L45" s="45">
        <f>SUM(L39:L44)</f>
        <v>579725</v>
      </c>
    </row>
    <row r="46" spans="2:16" x14ac:dyDescent="0.35">
      <c r="B46" s="68"/>
      <c r="C46" s="68"/>
      <c r="D46" s="68"/>
      <c r="E46" s="68"/>
      <c r="F46" s="68"/>
      <c r="G46" s="68"/>
      <c r="H46" s="68"/>
      <c r="I46" s="68"/>
      <c r="J46" s="68"/>
      <c r="K46" s="68"/>
      <c r="L46" s="68"/>
    </row>
    <row r="47" spans="2:16" x14ac:dyDescent="0.35">
      <c r="B47" s="68"/>
      <c r="C47" s="68"/>
      <c r="D47" s="68"/>
      <c r="E47" s="68"/>
      <c r="F47" s="68"/>
      <c r="G47" s="68"/>
      <c r="H47" s="68"/>
      <c r="I47" s="68"/>
      <c r="J47" s="68"/>
      <c r="K47" s="68"/>
      <c r="L47" s="68"/>
    </row>
    <row r="48" spans="2:16" x14ac:dyDescent="0.35">
      <c r="B48" s="68"/>
      <c r="C48" s="68"/>
      <c r="D48" s="68"/>
      <c r="E48" s="68"/>
      <c r="F48" s="68"/>
      <c r="G48" s="68"/>
      <c r="H48" s="68"/>
      <c r="I48" s="68"/>
      <c r="J48" s="68"/>
      <c r="K48" s="68"/>
      <c r="L48" s="68"/>
    </row>
    <row r="49" spans="2:12" x14ac:dyDescent="0.35">
      <c r="B49" s="68"/>
      <c r="C49" s="68"/>
      <c r="D49" s="68"/>
      <c r="E49" s="68"/>
      <c r="F49" s="68"/>
      <c r="G49" s="68"/>
      <c r="H49" s="68"/>
      <c r="I49" s="68"/>
      <c r="J49" s="68"/>
      <c r="K49" s="68"/>
      <c r="L49" s="68"/>
    </row>
    <row r="50" spans="2:12" x14ac:dyDescent="0.35">
      <c r="B50" s="68"/>
    </row>
    <row r="51" spans="2:12" x14ac:dyDescent="0.35">
      <c r="B51" s="68"/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AF492-7110-4F5D-8E60-33A3EB9A95BE}">
  <sheetPr codeName="Sheet7" filterMode="1"/>
  <dimension ref="A1:AG1048574"/>
  <sheetViews>
    <sheetView workbookViewId="0">
      <selection activeCell="E21" sqref="E21"/>
    </sheetView>
  </sheetViews>
  <sheetFormatPr defaultRowHeight="14.5" x14ac:dyDescent="0.35"/>
  <cols>
    <col min="2" max="2" width="10" bestFit="1" customWidth="1"/>
    <col min="11" max="11" width="9" customWidth="1"/>
    <col min="12" max="12" width="9" style="3"/>
    <col min="13" max="13" width="9" style="14"/>
    <col min="14" max="14" width="9" customWidth="1"/>
    <col min="15" max="15" width="9" style="3"/>
    <col min="16" max="16" width="9" style="14"/>
    <col min="17" max="17" width="9" customWidth="1"/>
    <col min="18" max="18" width="9" style="3"/>
    <col min="19" max="19" width="9" style="14"/>
    <col min="20" max="20" width="9" customWidth="1"/>
    <col min="21" max="21" width="9" style="3"/>
    <col min="22" max="22" width="9" style="14"/>
    <col min="23" max="23" width="9" customWidth="1"/>
    <col min="24" max="24" width="9" style="3"/>
    <col min="25" max="25" width="9" style="14"/>
    <col min="26" max="26" width="9" customWidth="1"/>
    <col min="27" max="27" width="9" style="3"/>
    <col min="28" max="28" width="9" style="14"/>
  </cols>
  <sheetData>
    <row r="1" spans="1:32" x14ac:dyDescent="0.35">
      <c r="A1" t="s">
        <v>54</v>
      </c>
      <c r="B1" t="s">
        <v>55</v>
      </c>
      <c r="C1" t="s">
        <v>56</v>
      </c>
      <c r="D1" t="s">
        <v>57</v>
      </c>
      <c r="E1" t="s">
        <v>58</v>
      </c>
      <c r="F1" t="s">
        <v>59</v>
      </c>
      <c r="G1" t="s">
        <v>60</v>
      </c>
      <c r="H1" t="s">
        <v>61</v>
      </c>
      <c r="I1" t="s">
        <v>62</v>
      </c>
      <c r="J1" t="s">
        <v>63</v>
      </c>
      <c r="K1" t="s">
        <v>64</v>
      </c>
      <c r="L1" s="3" t="s">
        <v>64</v>
      </c>
      <c r="M1" s="14" t="s">
        <v>65</v>
      </c>
      <c r="N1" t="s">
        <v>66</v>
      </c>
      <c r="O1" s="3" t="s">
        <v>66</v>
      </c>
      <c r="P1" s="14" t="s">
        <v>65</v>
      </c>
      <c r="Q1" t="s">
        <v>67</v>
      </c>
      <c r="R1" s="3" t="s">
        <v>67</v>
      </c>
      <c r="S1" s="14" t="s">
        <v>65</v>
      </c>
      <c r="T1" t="s">
        <v>10</v>
      </c>
      <c r="U1" s="3" t="s">
        <v>10</v>
      </c>
      <c r="V1" s="14" t="s">
        <v>65</v>
      </c>
      <c r="W1" t="s">
        <v>68</v>
      </c>
      <c r="X1" s="3" t="s">
        <v>68</v>
      </c>
      <c r="Y1" s="14" t="s">
        <v>65</v>
      </c>
      <c r="Z1" t="s">
        <v>69</v>
      </c>
      <c r="AA1" s="3" t="s">
        <v>69</v>
      </c>
      <c r="AB1" s="14" t="s">
        <v>65</v>
      </c>
      <c r="AC1" t="s">
        <v>70</v>
      </c>
      <c r="AD1" t="s">
        <v>71</v>
      </c>
      <c r="AE1" s="3" t="s">
        <v>72</v>
      </c>
      <c r="AF1" t="s">
        <v>73</v>
      </c>
    </row>
    <row r="2" spans="1:32" hidden="1" x14ac:dyDescent="0.35">
      <c r="B2" s="28" t="s">
        <v>74</v>
      </c>
      <c r="C2" s="29" t="s">
        <v>75</v>
      </c>
      <c r="D2" s="29" t="s">
        <v>76</v>
      </c>
      <c r="E2" s="29" t="s">
        <v>77</v>
      </c>
      <c r="F2" s="29" t="s">
        <v>78</v>
      </c>
      <c r="G2" s="29" t="s">
        <v>79</v>
      </c>
      <c r="H2" s="29" t="s">
        <v>80</v>
      </c>
      <c r="I2" s="30" t="s">
        <v>81</v>
      </c>
      <c r="J2" s="29" t="s">
        <v>82</v>
      </c>
      <c r="K2" s="35">
        <v>1000</v>
      </c>
      <c r="L2" s="35">
        <v>1000</v>
      </c>
      <c r="M2" s="16">
        <f t="shared" ref="M2:M65" si="0">SUM($L$85/(SUM($L$2:$L$81)))*L2</f>
        <v>6397.4392523364486</v>
      </c>
      <c r="N2" s="35">
        <v>1000</v>
      </c>
      <c r="O2" s="35">
        <v>1000</v>
      </c>
      <c r="P2" s="16">
        <f t="shared" ref="P2:P65" si="1">SUM($O$85/(SUM($O$2:$O$81)))*O2</f>
        <v>-689.96638655462186</v>
      </c>
      <c r="Q2" s="35">
        <v>1000</v>
      </c>
      <c r="R2" s="35">
        <v>1000</v>
      </c>
      <c r="S2" s="16">
        <f t="shared" ref="S2:S65" si="2">SUM($R$85/(SUM($R$2:$R$81)))*R2</f>
        <v>-1681.860962566845</v>
      </c>
      <c r="T2" s="35">
        <v>1000</v>
      </c>
      <c r="U2" s="35">
        <v>1000</v>
      </c>
      <c r="V2" s="16">
        <f t="shared" ref="V2:V65" si="3">SUM($U$85/(SUM($U$2:$U$81)))*U2</f>
        <v>-19.523809523809522</v>
      </c>
      <c r="W2" s="35">
        <v>1000</v>
      </c>
      <c r="X2" s="35">
        <v>1000</v>
      </c>
      <c r="Y2" s="16">
        <f t="shared" ref="Y2:Y65" si="4">SUM($X$85/(SUM($X$2:$X$81)))*X2</f>
        <v>-0.15686274509803921</v>
      </c>
      <c r="Z2" s="35">
        <v>1000</v>
      </c>
      <c r="AA2" s="35">
        <v>1000</v>
      </c>
      <c r="AB2" s="16">
        <f t="shared" ref="AB2:AB65" si="5">SUM($AA$85/(SUM($AA$2:$AA$81)))*AA2</f>
        <v>-58.752688172043008</v>
      </c>
      <c r="AC2" s="32" t="s">
        <v>82</v>
      </c>
      <c r="AD2" s="21"/>
      <c r="AE2" s="21"/>
      <c r="AF2" s="5" t="s">
        <v>83</v>
      </c>
    </row>
    <row r="3" spans="1:32" x14ac:dyDescent="0.35">
      <c r="B3" s="28" t="s">
        <v>84</v>
      </c>
      <c r="C3" s="29" t="s">
        <v>85</v>
      </c>
      <c r="D3" s="29" t="s">
        <v>86</v>
      </c>
      <c r="E3" s="29" t="s">
        <v>87</v>
      </c>
      <c r="F3" s="29" t="s">
        <v>88</v>
      </c>
      <c r="G3" s="29" t="s">
        <v>89</v>
      </c>
      <c r="H3" s="29" t="s">
        <v>90</v>
      </c>
      <c r="I3" s="30"/>
      <c r="J3" s="29" t="s">
        <v>82</v>
      </c>
      <c r="K3" s="35">
        <v>500</v>
      </c>
      <c r="L3" s="35">
        <v>500</v>
      </c>
      <c r="M3" s="38">
        <f t="shared" si="0"/>
        <v>3198.7196261682243</v>
      </c>
      <c r="N3" s="35">
        <v>500</v>
      </c>
      <c r="O3" s="35">
        <v>500</v>
      </c>
      <c r="P3" s="16">
        <f t="shared" si="1"/>
        <v>-344.98319327731093</v>
      </c>
      <c r="Q3" s="35">
        <v>0</v>
      </c>
      <c r="R3" s="35">
        <v>0</v>
      </c>
      <c r="S3" s="16">
        <f t="shared" si="2"/>
        <v>0</v>
      </c>
      <c r="T3" s="35">
        <v>500</v>
      </c>
      <c r="U3" s="35">
        <v>500</v>
      </c>
      <c r="V3" s="16">
        <f t="shared" si="3"/>
        <v>-9.761904761904761</v>
      </c>
      <c r="W3" s="35">
        <v>500</v>
      </c>
      <c r="X3" s="35">
        <v>500</v>
      </c>
      <c r="Y3" s="16">
        <f t="shared" si="4"/>
        <v>-7.8431372549019607E-2</v>
      </c>
      <c r="Z3" s="35">
        <v>0</v>
      </c>
      <c r="AA3" s="35">
        <v>0</v>
      </c>
      <c r="AB3" s="16">
        <f t="shared" si="5"/>
        <v>0</v>
      </c>
      <c r="AC3" s="32" t="s">
        <v>91</v>
      </c>
      <c r="AD3" s="21"/>
      <c r="AE3" s="21"/>
      <c r="AF3" s="22">
        <v>1</v>
      </c>
    </row>
    <row r="4" spans="1:32" hidden="1" x14ac:dyDescent="0.35">
      <c r="B4" s="25" t="s">
        <v>92</v>
      </c>
      <c r="C4" s="26" t="s">
        <v>93</v>
      </c>
      <c r="D4" s="26" t="s">
        <v>94</v>
      </c>
      <c r="E4" s="26" t="s">
        <v>95</v>
      </c>
      <c r="F4" s="26" t="s">
        <v>96</v>
      </c>
      <c r="G4" s="26" t="s">
        <v>97</v>
      </c>
      <c r="H4" s="26" t="s">
        <v>98</v>
      </c>
      <c r="I4" s="27" t="s">
        <v>99</v>
      </c>
      <c r="J4" s="26" t="s">
        <v>82</v>
      </c>
      <c r="K4" s="34">
        <v>500</v>
      </c>
      <c r="L4" s="34">
        <v>0</v>
      </c>
      <c r="M4" s="16">
        <f t="shared" si="0"/>
        <v>0</v>
      </c>
      <c r="N4" s="34">
        <v>1000</v>
      </c>
      <c r="O4" s="34">
        <v>0</v>
      </c>
      <c r="P4" s="16">
        <f t="shared" si="1"/>
        <v>0</v>
      </c>
      <c r="Q4" s="34">
        <v>0</v>
      </c>
      <c r="R4" s="34">
        <v>0</v>
      </c>
      <c r="S4" s="16">
        <f t="shared" si="2"/>
        <v>0</v>
      </c>
      <c r="T4" s="34">
        <v>0</v>
      </c>
      <c r="U4" s="34">
        <v>0</v>
      </c>
      <c r="V4" s="16">
        <f t="shared" si="3"/>
        <v>0</v>
      </c>
      <c r="W4" s="34">
        <v>0</v>
      </c>
      <c r="X4" s="34">
        <v>0</v>
      </c>
      <c r="Y4" s="16">
        <f t="shared" si="4"/>
        <v>0</v>
      </c>
      <c r="Z4" s="34">
        <v>0</v>
      </c>
      <c r="AA4" s="34">
        <v>0</v>
      </c>
      <c r="AB4" s="16">
        <f t="shared" si="5"/>
        <v>0</v>
      </c>
      <c r="AC4" s="31" t="s">
        <v>82</v>
      </c>
      <c r="AD4" s="21"/>
      <c r="AE4" s="21"/>
      <c r="AF4" s="22">
        <v>0</v>
      </c>
    </row>
    <row r="5" spans="1:32" x14ac:dyDescent="0.35">
      <c r="B5" s="25" t="s">
        <v>100</v>
      </c>
      <c r="C5" s="26" t="s">
        <v>101</v>
      </c>
      <c r="D5" s="26" t="s">
        <v>102</v>
      </c>
      <c r="E5" s="26" t="s">
        <v>103</v>
      </c>
      <c r="F5" s="26" t="s">
        <v>104</v>
      </c>
      <c r="G5" s="26" t="s">
        <v>105</v>
      </c>
      <c r="H5" s="26" t="s">
        <v>106</v>
      </c>
      <c r="I5" s="27" t="s">
        <v>107</v>
      </c>
      <c r="J5" s="26" t="s">
        <v>82</v>
      </c>
      <c r="K5" s="34">
        <v>0</v>
      </c>
      <c r="L5" s="34">
        <v>0</v>
      </c>
      <c r="M5" s="38">
        <f t="shared" si="0"/>
        <v>0</v>
      </c>
      <c r="N5" s="34">
        <v>500</v>
      </c>
      <c r="O5" s="34">
        <v>500</v>
      </c>
      <c r="P5" s="16">
        <f t="shared" si="1"/>
        <v>-344.98319327731093</v>
      </c>
      <c r="Q5" s="34">
        <v>0</v>
      </c>
      <c r="R5" s="34">
        <v>0</v>
      </c>
      <c r="S5" s="16">
        <f t="shared" si="2"/>
        <v>0</v>
      </c>
      <c r="T5" s="34">
        <v>0</v>
      </c>
      <c r="U5" s="34">
        <v>0</v>
      </c>
      <c r="V5" s="16">
        <f t="shared" si="3"/>
        <v>0</v>
      </c>
      <c r="W5" s="34">
        <v>0</v>
      </c>
      <c r="X5" s="34">
        <v>0</v>
      </c>
      <c r="Y5" s="16">
        <f t="shared" si="4"/>
        <v>0</v>
      </c>
      <c r="Z5" s="34">
        <v>0</v>
      </c>
      <c r="AA5" s="34">
        <v>0</v>
      </c>
      <c r="AB5" s="16">
        <f t="shared" si="5"/>
        <v>0</v>
      </c>
      <c r="AC5" s="31" t="s">
        <v>91</v>
      </c>
      <c r="AD5" s="21"/>
      <c r="AE5" s="21"/>
      <c r="AF5" s="22">
        <v>1</v>
      </c>
    </row>
    <row r="6" spans="1:32" hidden="1" x14ac:dyDescent="0.35">
      <c r="B6" s="25" t="s">
        <v>108</v>
      </c>
      <c r="C6" s="26" t="s">
        <v>109</v>
      </c>
      <c r="D6" s="26" t="s">
        <v>110</v>
      </c>
      <c r="E6" s="26" t="s">
        <v>111</v>
      </c>
      <c r="F6" s="26" t="s">
        <v>112</v>
      </c>
      <c r="G6" s="26" t="s">
        <v>113</v>
      </c>
      <c r="H6" s="26" t="s">
        <v>114</v>
      </c>
      <c r="I6" s="27"/>
      <c r="J6" s="26" t="s">
        <v>82</v>
      </c>
      <c r="K6" s="34">
        <v>500</v>
      </c>
      <c r="L6" s="34">
        <v>500</v>
      </c>
      <c r="M6" s="16">
        <f t="shared" si="0"/>
        <v>3198.7196261682243</v>
      </c>
      <c r="N6" s="34">
        <v>1000</v>
      </c>
      <c r="O6" s="34">
        <v>1000</v>
      </c>
      <c r="P6" s="16">
        <f t="shared" si="1"/>
        <v>-689.96638655462186</v>
      </c>
      <c r="Q6" s="34">
        <v>500</v>
      </c>
      <c r="R6" s="34">
        <v>500</v>
      </c>
      <c r="S6" s="16">
        <f t="shared" si="2"/>
        <v>-840.93048128342252</v>
      </c>
      <c r="T6" s="34">
        <v>0</v>
      </c>
      <c r="U6" s="34">
        <v>0</v>
      </c>
      <c r="V6" s="16">
        <f t="shared" si="3"/>
        <v>0</v>
      </c>
      <c r="W6" s="34">
        <v>500</v>
      </c>
      <c r="X6" s="34">
        <v>500</v>
      </c>
      <c r="Y6" s="16">
        <f t="shared" si="4"/>
        <v>-7.8431372549019607E-2</v>
      </c>
      <c r="Z6" s="34">
        <v>500</v>
      </c>
      <c r="AA6" s="34">
        <v>500</v>
      </c>
      <c r="AB6" s="16">
        <f t="shared" si="5"/>
        <v>-29.376344086021504</v>
      </c>
      <c r="AC6" s="31" t="s">
        <v>82</v>
      </c>
      <c r="AD6" s="21"/>
      <c r="AE6" s="21"/>
      <c r="AF6" s="5">
        <v>1</v>
      </c>
    </row>
    <row r="7" spans="1:32" hidden="1" x14ac:dyDescent="0.35">
      <c r="B7" s="25" t="s">
        <v>115</v>
      </c>
      <c r="C7" s="26" t="s">
        <v>116</v>
      </c>
      <c r="D7" s="26" t="s">
        <v>117</v>
      </c>
      <c r="E7" s="26" t="s">
        <v>118</v>
      </c>
      <c r="F7" s="26" t="s">
        <v>112</v>
      </c>
      <c r="G7" s="26" t="s">
        <v>119</v>
      </c>
      <c r="H7" s="26" t="s">
        <v>120</v>
      </c>
      <c r="I7" s="27" t="s">
        <v>121</v>
      </c>
      <c r="J7" s="26" t="s">
        <v>82</v>
      </c>
      <c r="K7" s="34">
        <v>500</v>
      </c>
      <c r="L7" s="34">
        <v>0</v>
      </c>
      <c r="M7" s="16">
        <f t="shared" si="0"/>
        <v>0</v>
      </c>
      <c r="N7" s="34">
        <v>0</v>
      </c>
      <c r="O7" s="34">
        <v>0</v>
      </c>
      <c r="P7" s="16">
        <f t="shared" si="1"/>
        <v>0</v>
      </c>
      <c r="Q7" s="34">
        <v>0</v>
      </c>
      <c r="R7" s="34">
        <v>0</v>
      </c>
      <c r="S7" s="16">
        <f t="shared" si="2"/>
        <v>0</v>
      </c>
      <c r="T7" s="34">
        <v>0</v>
      </c>
      <c r="U7" s="34">
        <v>0</v>
      </c>
      <c r="V7" s="16">
        <f t="shared" si="3"/>
        <v>0</v>
      </c>
      <c r="W7" s="34">
        <v>0</v>
      </c>
      <c r="X7" s="34">
        <v>0</v>
      </c>
      <c r="Y7" s="16">
        <f t="shared" si="4"/>
        <v>0</v>
      </c>
      <c r="Z7" s="34">
        <v>0</v>
      </c>
      <c r="AA7" s="34">
        <v>0</v>
      </c>
      <c r="AB7" s="16">
        <f t="shared" si="5"/>
        <v>0</v>
      </c>
      <c r="AC7" s="31" t="s">
        <v>82</v>
      </c>
      <c r="AD7" s="21"/>
      <c r="AE7" s="21"/>
      <c r="AF7" s="5">
        <v>0</v>
      </c>
    </row>
    <row r="8" spans="1:32" hidden="1" x14ac:dyDescent="0.35">
      <c r="B8" s="28" t="s">
        <v>122</v>
      </c>
      <c r="C8" s="29" t="s">
        <v>123</v>
      </c>
      <c r="D8" s="29" t="s">
        <v>117</v>
      </c>
      <c r="E8" s="29" t="s">
        <v>118</v>
      </c>
      <c r="F8" s="29" t="s">
        <v>112</v>
      </c>
      <c r="G8" s="29" t="s">
        <v>119</v>
      </c>
      <c r="H8" s="29" t="s">
        <v>114</v>
      </c>
      <c r="I8" s="30" t="s">
        <v>121</v>
      </c>
      <c r="J8" s="29" t="s">
        <v>82</v>
      </c>
      <c r="K8" s="35">
        <v>500</v>
      </c>
      <c r="L8" s="35">
        <v>0</v>
      </c>
      <c r="M8" s="16">
        <f t="shared" si="0"/>
        <v>0</v>
      </c>
      <c r="N8" s="35">
        <v>0</v>
      </c>
      <c r="O8" s="35">
        <v>0</v>
      </c>
      <c r="P8" s="16">
        <f t="shared" si="1"/>
        <v>0</v>
      </c>
      <c r="Q8" s="35">
        <v>0</v>
      </c>
      <c r="R8" s="35">
        <v>0</v>
      </c>
      <c r="S8" s="16">
        <f t="shared" si="2"/>
        <v>0</v>
      </c>
      <c r="T8" s="35">
        <v>0</v>
      </c>
      <c r="U8" s="35">
        <v>0</v>
      </c>
      <c r="V8" s="16">
        <f t="shared" si="3"/>
        <v>0</v>
      </c>
      <c r="W8" s="35">
        <v>500</v>
      </c>
      <c r="X8" s="35">
        <v>0</v>
      </c>
      <c r="Y8" s="16">
        <f t="shared" si="4"/>
        <v>0</v>
      </c>
      <c r="Z8" s="35">
        <v>0</v>
      </c>
      <c r="AA8" s="35">
        <v>0</v>
      </c>
      <c r="AB8" s="16">
        <f t="shared" si="5"/>
        <v>0</v>
      </c>
      <c r="AC8" s="32" t="s">
        <v>82</v>
      </c>
      <c r="AD8" s="21"/>
      <c r="AE8" s="21"/>
      <c r="AF8" s="5">
        <v>0</v>
      </c>
    </row>
    <row r="9" spans="1:32" hidden="1" x14ac:dyDescent="0.35">
      <c r="B9" s="28" t="s">
        <v>124</v>
      </c>
      <c r="C9" s="29" t="s">
        <v>125</v>
      </c>
      <c r="D9" s="29" t="s">
        <v>126</v>
      </c>
      <c r="E9" s="29" t="s">
        <v>127</v>
      </c>
      <c r="F9" s="29" t="s">
        <v>128</v>
      </c>
      <c r="G9" s="29" t="s">
        <v>129</v>
      </c>
      <c r="H9" s="29" t="s">
        <v>114</v>
      </c>
      <c r="I9" s="30" t="s">
        <v>130</v>
      </c>
      <c r="J9" s="29" t="s">
        <v>82</v>
      </c>
      <c r="K9" s="35">
        <v>0</v>
      </c>
      <c r="L9" s="35">
        <v>0</v>
      </c>
      <c r="M9" s="16">
        <f t="shared" si="0"/>
        <v>0</v>
      </c>
      <c r="N9" s="35">
        <v>500</v>
      </c>
      <c r="O9" s="35">
        <v>0</v>
      </c>
      <c r="P9" s="16">
        <f t="shared" si="1"/>
        <v>0</v>
      </c>
      <c r="Q9" s="35">
        <v>0</v>
      </c>
      <c r="R9" s="35">
        <v>0</v>
      </c>
      <c r="S9" s="16">
        <f t="shared" si="2"/>
        <v>0</v>
      </c>
      <c r="T9" s="35">
        <v>0</v>
      </c>
      <c r="U9" s="35">
        <v>0</v>
      </c>
      <c r="V9" s="16">
        <f t="shared" si="3"/>
        <v>0</v>
      </c>
      <c r="W9" s="35">
        <v>0</v>
      </c>
      <c r="X9" s="35">
        <v>0</v>
      </c>
      <c r="Y9" s="16">
        <f t="shared" si="4"/>
        <v>0</v>
      </c>
      <c r="Z9" s="35">
        <v>0</v>
      </c>
      <c r="AA9" s="35">
        <v>0</v>
      </c>
      <c r="AB9" s="16">
        <f t="shared" si="5"/>
        <v>0</v>
      </c>
      <c r="AC9" s="32" t="s">
        <v>82</v>
      </c>
      <c r="AD9" s="21"/>
      <c r="AE9" s="21"/>
      <c r="AF9" s="5">
        <v>0</v>
      </c>
    </row>
    <row r="10" spans="1:32" hidden="1" x14ac:dyDescent="0.35">
      <c r="B10" s="28" t="s">
        <v>131</v>
      </c>
      <c r="C10" s="29" t="s">
        <v>125</v>
      </c>
      <c r="D10" s="29" t="s">
        <v>126</v>
      </c>
      <c r="E10" s="29" t="s">
        <v>132</v>
      </c>
      <c r="F10" s="29" t="s">
        <v>112</v>
      </c>
      <c r="G10" s="29" t="s">
        <v>133</v>
      </c>
      <c r="H10" s="29" t="s">
        <v>114</v>
      </c>
      <c r="I10" s="30" t="s">
        <v>134</v>
      </c>
      <c r="J10" s="29" t="s">
        <v>82</v>
      </c>
      <c r="K10" s="35">
        <v>500</v>
      </c>
      <c r="L10" s="35">
        <v>0</v>
      </c>
      <c r="M10" s="16">
        <f t="shared" si="0"/>
        <v>0</v>
      </c>
      <c r="N10" s="35">
        <v>500</v>
      </c>
      <c r="O10" s="35">
        <v>0</v>
      </c>
      <c r="P10" s="16">
        <f t="shared" si="1"/>
        <v>0</v>
      </c>
      <c r="Q10" s="35">
        <v>500</v>
      </c>
      <c r="R10" s="35">
        <v>0</v>
      </c>
      <c r="S10" s="16">
        <f t="shared" si="2"/>
        <v>0</v>
      </c>
      <c r="T10" s="35">
        <v>0</v>
      </c>
      <c r="U10" s="35">
        <v>0</v>
      </c>
      <c r="V10" s="16">
        <f t="shared" si="3"/>
        <v>0</v>
      </c>
      <c r="W10" s="35">
        <v>0</v>
      </c>
      <c r="X10" s="35">
        <v>0</v>
      </c>
      <c r="Y10" s="16">
        <f t="shared" si="4"/>
        <v>0</v>
      </c>
      <c r="Z10" s="35">
        <v>0</v>
      </c>
      <c r="AA10" s="35">
        <v>0</v>
      </c>
      <c r="AB10" s="16">
        <f t="shared" si="5"/>
        <v>0</v>
      </c>
      <c r="AC10" s="32" t="s">
        <v>82</v>
      </c>
      <c r="AD10" s="21"/>
      <c r="AE10" s="21"/>
      <c r="AF10" s="5">
        <v>0</v>
      </c>
    </row>
    <row r="11" spans="1:32" hidden="1" x14ac:dyDescent="0.35">
      <c r="B11" s="25" t="s">
        <v>135</v>
      </c>
      <c r="C11" s="26" t="s">
        <v>136</v>
      </c>
      <c r="D11" s="26" t="s">
        <v>126</v>
      </c>
      <c r="E11" s="26" t="s">
        <v>137</v>
      </c>
      <c r="F11" s="26" t="s">
        <v>138</v>
      </c>
      <c r="G11" s="26" t="s">
        <v>139</v>
      </c>
      <c r="H11" s="26" t="s">
        <v>114</v>
      </c>
      <c r="I11" s="27" t="s">
        <v>140</v>
      </c>
      <c r="J11" s="26" t="s">
        <v>82</v>
      </c>
      <c r="K11" s="34">
        <v>500</v>
      </c>
      <c r="L11" s="34">
        <v>0</v>
      </c>
      <c r="M11" s="16">
        <f t="shared" si="0"/>
        <v>0</v>
      </c>
      <c r="N11" s="34">
        <v>500</v>
      </c>
      <c r="O11" s="34">
        <v>0</v>
      </c>
      <c r="P11" s="16">
        <f t="shared" si="1"/>
        <v>0</v>
      </c>
      <c r="Q11" s="34">
        <v>500</v>
      </c>
      <c r="R11" s="34">
        <v>0</v>
      </c>
      <c r="S11" s="16">
        <f t="shared" si="2"/>
        <v>0</v>
      </c>
      <c r="T11" s="34">
        <v>500</v>
      </c>
      <c r="U11" s="34">
        <v>0</v>
      </c>
      <c r="V11" s="16">
        <f t="shared" si="3"/>
        <v>0</v>
      </c>
      <c r="W11" s="34">
        <v>0</v>
      </c>
      <c r="X11" s="34">
        <v>0</v>
      </c>
      <c r="Y11" s="16">
        <f t="shared" si="4"/>
        <v>0</v>
      </c>
      <c r="Z11" s="34">
        <v>0</v>
      </c>
      <c r="AA11" s="34">
        <v>0</v>
      </c>
      <c r="AB11" s="16">
        <f t="shared" si="5"/>
        <v>0</v>
      </c>
      <c r="AC11" s="31" t="s">
        <v>82</v>
      </c>
      <c r="AD11" s="21"/>
      <c r="AE11" s="21"/>
      <c r="AF11" s="5">
        <v>0</v>
      </c>
    </row>
    <row r="12" spans="1:32" hidden="1" x14ac:dyDescent="0.35">
      <c r="B12" s="25" t="s">
        <v>141</v>
      </c>
      <c r="C12" s="26" t="s">
        <v>125</v>
      </c>
      <c r="D12" s="26" t="s">
        <v>142</v>
      </c>
      <c r="E12" s="26" t="s">
        <v>143</v>
      </c>
      <c r="F12" s="26" t="s">
        <v>144</v>
      </c>
      <c r="G12" s="26" t="s">
        <v>145</v>
      </c>
      <c r="H12" s="26" t="s">
        <v>120</v>
      </c>
      <c r="I12" s="27" t="s">
        <v>146</v>
      </c>
      <c r="J12" s="26" t="s">
        <v>82</v>
      </c>
      <c r="K12" s="34">
        <v>1500</v>
      </c>
      <c r="L12" s="34">
        <v>1500</v>
      </c>
      <c r="M12" s="16">
        <f t="shared" si="0"/>
        <v>9596.1588785046733</v>
      </c>
      <c r="N12" s="34">
        <v>1000</v>
      </c>
      <c r="O12" s="34">
        <v>1000</v>
      </c>
      <c r="P12" s="16">
        <f t="shared" si="1"/>
        <v>-689.96638655462186</v>
      </c>
      <c r="Q12" s="34">
        <v>1000</v>
      </c>
      <c r="R12" s="34">
        <v>1000</v>
      </c>
      <c r="S12" s="16">
        <f t="shared" si="2"/>
        <v>-1681.860962566845</v>
      </c>
      <c r="T12" s="34">
        <v>500</v>
      </c>
      <c r="U12" s="34">
        <v>500</v>
      </c>
      <c r="V12" s="16">
        <f t="shared" si="3"/>
        <v>-9.761904761904761</v>
      </c>
      <c r="W12" s="34">
        <v>1000</v>
      </c>
      <c r="X12" s="34">
        <v>1000</v>
      </c>
      <c r="Y12" s="16">
        <f t="shared" si="4"/>
        <v>-0.15686274509803921</v>
      </c>
      <c r="Z12" s="34">
        <v>1000</v>
      </c>
      <c r="AA12" s="34">
        <v>1000</v>
      </c>
      <c r="AB12" s="16">
        <f t="shared" si="5"/>
        <v>-58.752688172043008</v>
      </c>
      <c r="AC12" s="31" t="s">
        <v>82</v>
      </c>
      <c r="AD12" s="21"/>
      <c r="AE12" s="21"/>
      <c r="AF12" s="5">
        <v>1</v>
      </c>
    </row>
    <row r="13" spans="1:32" hidden="1" x14ac:dyDescent="0.35">
      <c r="B13" s="28" t="s">
        <v>147</v>
      </c>
      <c r="C13" s="29" t="s">
        <v>148</v>
      </c>
      <c r="D13" s="29" t="s">
        <v>149</v>
      </c>
      <c r="E13" s="29" t="s">
        <v>150</v>
      </c>
      <c r="F13" s="29" t="s">
        <v>151</v>
      </c>
      <c r="G13" s="29" t="s">
        <v>152</v>
      </c>
      <c r="H13" s="29" t="s">
        <v>114</v>
      </c>
      <c r="I13" s="30" t="s">
        <v>153</v>
      </c>
      <c r="J13" s="29" t="s">
        <v>82</v>
      </c>
      <c r="K13" s="35">
        <v>2250</v>
      </c>
      <c r="L13" s="35">
        <v>2250</v>
      </c>
      <c r="M13" s="16">
        <f t="shared" si="0"/>
        <v>14394.23831775701</v>
      </c>
      <c r="N13" s="35">
        <v>2250</v>
      </c>
      <c r="O13" s="35">
        <v>2250</v>
      </c>
      <c r="P13" s="16">
        <f t="shared" si="1"/>
        <v>-1552.4243697478992</v>
      </c>
      <c r="Q13" s="35">
        <v>1000</v>
      </c>
      <c r="R13" s="35">
        <v>1000</v>
      </c>
      <c r="S13" s="16">
        <f t="shared" si="2"/>
        <v>-1681.860962566845</v>
      </c>
      <c r="T13" s="35">
        <v>500</v>
      </c>
      <c r="U13" s="35">
        <v>500</v>
      </c>
      <c r="V13" s="16">
        <f t="shared" si="3"/>
        <v>-9.761904761904761</v>
      </c>
      <c r="W13" s="35">
        <v>500</v>
      </c>
      <c r="X13" s="35">
        <v>500</v>
      </c>
      <c r="Y13" s="16">
        <f t="shared" si="4"/>
        <v>-7.8431372549019607E-2</v>
      </c>
      <c r="Z13" s="35">
        <v>500</v>
      </c>
      <c r="AA13" s="35">
        <v>500</v>
      </c>
      <c r="AB13" s="16">
        <f t="shared" si="5"/>
        <v>-29.376344086021504</v>
      </c>
      <c r="AC13" s="32" t="s">
        <v>82</v>
      </c>
      <c r="AD13" s="21"/>
      <c r="AE13" s="21"/>
      <c r="AF13" s="5">
        <v>1</v>
      </c>
    </row>
    <row r="14" spans="1:32" x14ac:dyDescent="0.35">
      <c r="B14" s="25" t="s">
        <v>154</v>
      </c>
      <c r="C14" s="26" t="s">
        <v>155</v>
      </c>
      <c r="D14" s="26" t="s">
        <v>156</v>
      </c>
      <c r="E14" s="26" t="s">
        <v>157</v>
      </c>
      <c r="F14" s="26" t="s">
        <v>158</v>
      </c>
      <c r="G14" s="26" t="s">
        <v>159</v>
      </c>
      <c r="H14" s="26" t="s">
        <v>160</v>
      </c>
      <c r="I14" s="27" t="s">
        <v>161</v>
      </c>
      <c r="J14" s="26" t="s">
        <v>82</v>
      </c>
      <c r="K14" s="34">
        <v>500</v>
      </c>
      <c r="L14" s="34">
        <v>500</v>
      </c>
      <c r="M14" s="38">
        <f t="shared" si="0"/>
        <v>3198.7196261682243</v>
      </c>
      <c r="N14" s="34">
        <v>1500</v>
      </c>
      <c r="O14" s="34">
        <v>1500</v>
      </c>
      <c r="P14" s="16">
        <f t="shared" si="1"/>
        <v>-1034.9495798319329</v>
      </c>
      <c r="Q14" s="34">
        <v>500</v>
      </c>
      <c r="R14" s="34">
        <v>500</v>
      </c>
      <c r="S14" s="16">
        <f t="shared" si="2"/>
        <v>-840.93048128342252</v>
      </c>
      <c r="T14" s="34">
        <v>0</v>
      </c>
      <c r="U14" s="34">
        <v>0</v>
      </c>
      <c r="V14" s="16">
        <f t="shared" si="3"/>
        <v>0</v>
      </c>
      <c r="W14" s="34">
        <v>0</v>
      </c>
      <c r="X14" s="34">
        <v>0</v>
      </c>
      <c r="Y14" s="16">
        <f t="shared" si="4"/>
        <v>0</v>
      </c>
      <c r="Z14" s="34">
        <v>0</v>
      </c>
      <c r="AA14" s="34">
        <v>0</v>
      </c>
      <c r="AB14" s="16">
        <f t="shared" si="5"/>
        <v>0</v>
      </c>
      <c r="AC14" s="31" t="s">
        <v>91</v>
      </c>
      <c r="AF14" s="5">
        <v>1</v>
      </c>
    </row>
    <row r="15" spans="1:32" hidden="1" x14ac:dyDescent="0.35">
      <c r="B15" s="28" t="s">
        <v>162</v>
      </c>
      <c r="C15" s="29" t="s">
        <v>163</v>
      </c>
      <c r="D15" s="29" t="s">
        <v>164</v>
      </c>
      <c r="E15" s="29" t="s">
        <v>165</v>
      </c>
      <c r="F15" s="29" t="s">
        <v>166</v>
      </c>
      <c r="G15" s="29" t="s">
        <v>167</v>
      </c>
      <c r="H15" s="29" t="s">
        <v>168</v>
      </c>
      <c r="I15" s="30" t="s">
        <v>169</v>
      </c>
      <c r="J15" s="29" t="s">
        <v>82</v>
      </c>
      <c r="K15" s="35">
        <v>500</v>
      </c>
      <c r="L15" s="35">
        <v>500</v>
      </c>
      <c r="M15" s="16">
        <f t="shared" si="0"/>
        <v>3198.7196261682243</v>
      </c>
      <c r="N15" s="35">
        <v>1000</v>
      </c>
      <c r="O15" s="35">
        <v>1000</v>
      </c>
      <c r="P15" s="16">
        <f t="shared" si="1"/>
        <v>-689.96638655462186</v>
      </c>
      <c r="Q15" s="35">
        <v>500</v>
      </c>
      <c r="R15" s="35">
        <v>500</v>
      </c>
      <c r="S15" s="16">
        <f t="shared" si="2"/>
        <v>-840.93048128342252</v>
      </c>
      <c r="T15" s="35">
        <v>0</v>
      </c>
      <c r="U15" s="35">
        <v>0</v>
      </c>
      <c r="V15" s="16">
        <f t="shared" si="3"/>
        <v>0</v>
      </c>
      <c r="W15" s="35">
        <v>500</v>
      </c>
      <c r="X15" s="35">
        <v>500</v>
      </c>
      <c r="Y15" s="16">
        <f t="shared" si="4"/>
        <v>-7.8431372549019607E-2</v>
      </c>
      <c r="Z15" s="35">
        <v>500</v>
      </c>
      <c r="AA15" s="35">
        <v>500</v>
      </c>
      <c r="AB15" s="16">
        <f t="shared" si="5"/>
        <v>-29.376344086021504</v>
      </c>
      <c r="AC15" s="32" t="s">
        <v>82</v>
      </c>
      <c r="AD15" s="21"/>
      <c r="AE15" s="21"/>
      <c r="AF15" s="5">
        <v>1</v>
      </c>
    </row>
    <row r="16" spans="1:32" hidden="1" x14ac:dyDescent="0.35">
      <c r="B16" s="25" t="s">
        <v>170</v>
      </c>
      <c r="C16" s="26" t="s">
        <v>163</v>
      </c>
      <c r="D16" s="26" t="s">
        <v>171</v>
      </c>
      <c r="E16" s="26" t="s">
        <v>172</v>
      </c>
      <c r="F16" s="26" t="s">
        <v>173</v>
      </c>
      <c r="G16" s="26" t="s">
        <v>174</v>
      </c>
      <c r="H16" s="26" t="s">
        <v>168</v>
      </c>
      <c r="I16" s="27" t="s">
        <v>175</v>
      </c>
      <c r="J16" s="26" t="s">
        <v>82</v>
      </c>
      <c r="K16" s="34">
        <v>500</v>
      </c>
      <c r="L16" s="34">
        <v>500</v>
      </c>
      <c r="M16" s="16">
        <f t="shared" si="0"/>
        <v>3198.7196261682243</v>
      </c>
      <c r="N16" s="34">
        <v>1500</v>
      </c>
      <c r="O16" s="34">
        <v>1500</v>
      </c>
      <c r="P16" s="16">
        <f t="shared" si="1"/>
        <v>-1034.9495798319329</v>
      </c>
      <c r="Q16" s="34">
        <v>1000</v>
      </c>
      <c r="R16" s="34">
        <v>1000</v>
      </c>
      <c r="S16" s="16">
        <f t="shared" si="2"/>
        <v>-1681.860962566845</v>
      </c>
      <c r="T16" s="34">
        <v>0</v>
      </c>
      <c r="U16" s="34">
        <v>0</v>
      </c>
      <c r="V16" s="16">
        <f t="shared" si="3"/>
        <v>0</v>
      </c>
      <c r="W16" s="34">
        <v>500</v>
      </c>
      <c r="X16" s="34">
        <v>500</v>
      </c>
      <c r="Y16" s="16">
        <f t="shared" si="4"/>
        <v>-7.8431372549019607E-2</v>
      </c>
      <c r="Z16" s="34">
        <v>500</v>
      </c>
      <c r="AA16" s="34">
        <v>500</v>
      </c>
      <c r="AB16" s="16">
        <f t="shared" si="5"/>
        <v>-29.376344086021504</v>
      </c>
      <c r="AC16" s="31" t="s">
        <v>82</v>
      </c>
      <c r="AD16" s="21"/>
      <c r="AE16" s="21"/>
      <c r="AF16" s="5">
        <v>1</v>
      </c>
    </row>
    <row r="17" spans="2:33" hidden="1" x14ac:dyDescent="0.35">
      <c r="B17" s="25" t="s">
        <v>176</v>
      </c>
      <c r="C17" s="26" t="s">
        <v>177</v>
      </c>
      <c r="D17" s="26" t="s">
        <v>178</v>
      </c>
      <c r="E17" s="26" t="s">
        <v>179</v>
      </c>
      <c r="F17" s="26" t="s">
        <v>180</v>
      </c>
      <c r="G17" s="26" t="s">
        <v>181</v>
      </c>
      <c r="H17" s="26" t="s">
        <v>182</v>
      </c>
      <c r="I17" s="27" t="s">
        <v>183</v>
      </c>
      <c r="J17" s="26" t="s">
        <v>82</v>
      </c>
      <c r="K17" s="34">
        <v>2250</v>
      </c>
      <c r="L17" s="34">
        <v>0</v>
      </c>
      <c r="M17" s="16">
        <f t="shared" si="0"/>
        <v>0</v>
      </c>
      <c r="N17" s="34">
        <v>500</v>
      </c>
      <c r="O17" s="34">
        <v>0</v>
      </c>
      <c r="P17" s="16">
        <f t="shared" si="1"/>
        <v>0</v>
      </c>
      <c r="Q17" s="34">
        <v>0</v>
      </c>
      <c r="R17" s="34">
        <v>0</v>
      </c>
      <c r="S17" s="16">
        <f t="shared" si="2"/>
        <v>0</v>
      </c>
      <c r="T17" s="34">
        <v>0</v>
      </c>
      <c r="U17" s="34">
        <v>0</v>
      </c>
      <c r="V17" s="16">
        <f t="shared" si="3"/>
        <v>0</v>
      </c>
      <c r="W17" s="34">
        <v>500</v>
      </c>
      <c r="X17" s="34">
        <v>0</v>
      </c>
      <c r="Y17" s="16">
        <f t="shared" si="4"/>
        <v>0</v>
      </c>
      <c r="Z17" s="34">
        <v>0</v>
      </c>
      <c r="AA17" s="34">
        <v>0</v>
      </c>
      <c r="AB17" s="16">
        <f t="shared" si="5"/>
        <v>0</v>
      </c>
      <c r="AC17" s="31" t="s">
        <v>82</v>
      </c>
      <c r="AD17" s="21"/>
      <c r="AE17" s="21"/>
      <c r="AF17" s="5">
        <v>0</v>
      </c>
      <c r="AG17" s="16"/>
    </row>
    <row r="18" spans="2:33" x14ac:dyDescent="0.35">
      <c r="B18" s="25" t="s">
        <v>184</v>
      </c>
      <c r="C18" s="26" t="s">
        <v>185</v>
      </c>
      <c r="D18" s="26" t="s">
        <v>186</v>
      </c>
      <c r="E18" s="26" t="s">
        <v>187</v>
      </c>
      <c r="F18" s="26" t="s">
        <v>188</v>
      </c>
      <c r="G18" s="26" t="s">
        <v>189</v>
      </c>
      <c r="H18" s="26" t="s">
        <v>114</v>
      </c>
      <c r="I18" s="27" t="s">
        <v>190</v>
      </c>
      <c r="J18" s="26" t="s">
        <v>82</v>
      </c>
      <c r="K18" s="34">
        <v>1000</v>
      </c>
      <c r="L18" s="34">
        <v>1000</v>
      </c>
      <c r="M18" s="38">
        <f t="shared" si="0"/>
        <v>6397.4392523364486</v>
      </c>
      <c r="N18" s="34">
        <v>1000</v>
      </c>
      <c r="O18" s="34">
        <v>1000</v>
      </c>
      <c r="P18" s="16">
        <f t="shared" si="1"/>
        <v>-689.96638655462186</v>
      </c>
      <c r="Q18" s="34">
        <v>1000</v>
      </c>
      <c r="R18" s="34">
        <v>1000</v>
      </c>
      <c r="S18" s="16">
        <f t="shared" si="2"/>
        <v>-1681.860962566845</v>
      </c>
      <c r="T18" s="34">
        <v>0</v>
      </c>
      <c r="U18" s="34">
        <v>0</v>
      </c>
      <c r="V18" s="16">
        <f t="shared" si="3"/>
        <v>0</v>
      </c>
      <c r="W18" s="34">
        <v>0</v>
      </c>
      <c r="X18" s="34">
        <v>0</v>
      </c>
      <c r="Y18" s="16">
        <f t="shared" si="4"/>
        <v>0</v>
      </c>
      <c r="Z18" s="34">
        <v>0</v>
      </c>
      <c r="AA18" s="34">
        <v>0</v>
      </c>
      <c r="AB18" s="16">
        <f t="shared" si="5"/>
        <v>0</v>
      </c>
      <c r="AC18" s="31" t="s">
        <v>91</v>
      </c>
      <c r="AD18" s="21"/>
      <c r="AE18" s="21"/>
      <c r="AF18" s="22">
        <v>1</v>
      </c>
    </row>
    <row r="19" spans="2:33" x14ac:dyDescent="0.35">
      <c r="B19" s="28" t="s">
        <v>191</v>
      </c>
      <c r="C19" s="29" t="s">
        <v>192</v>
      </c>
      <c r="D19" s="29" t="s">
        <v>193</v>
      </c>
      <c r="E19" s="29" t="s">
        <v>194</v>
      </c>
      <c r="F19" s="29" t="s">
        <v>195</v>
      </c>
      <c r="G19" s="29" t="s">
        <v>196</v>
      </c>
      <c r="H19" s="29" t="s">
        <v>106</v>
      </c>
      <c r="I19" s="30" t="s">
        <v>197</v>
      </c>
      <c r="J19" s="29" t="s">
        <v>82</v>
      </c>
      <c r="K19" s="35">
        <v>1000</v>
      </c>
      <c r="L19" s="35">
        <v>1000</v>
      </c>
      <c r="M19" s="38">
        <f t="shared" si="0"/>
        <v>6397.4392523364486</v>
      </c>
      <c r="N19" s="35">
        <v>2250</v>
      </c>
      <c r="O19" s="35">
        <v>2250</v>
      </c>
      <c r="P19" s="16">
        <f t="shared" si="1"/>
        <v>-1552.4243697478992</v>
      </c>
      <c r="Q19" s="35">
        <v>2250</v>
      </c>
      <c r="R19" s="35">
        <v>2250</v>
      </c>
      <c r="S19" s="16">
        <f t="shared" si="2"/>
        <v>-3784.1871657754014</v>
      </c>
      <c r="T19" s="35">
        <v>0</v>
      </c>
      <c r="U19" s="35">
        <v>0</v>
      </c>
      <c r="V19" s="16">
        <f t="shared" si="3"/>
        <v>0</v>
      </c>
      <c r="W19" s="35">
        <v>2250</v>
      </c>
      <c r="X19" s="35">
        <v>2250</v>
      </c>
      <c r="Y19" s="16">
        <f t="shared" si="4"/>
        <v>-0.35294117647058826</v>
      </c>
      <c r="Z19" s="35">
        <v>500</v>
      </c>
      <c r="AA19" s="35">
        <v>500</v>
      </c>
      <c r="AB19" s="16">
        <f t="shared" si="5"/>
        <v>-29.376344086021504</v>
      </c>
      <c r="AC19" s="32" t="s">
        <v>91</v>
      </c>
      <c r="AD19" s="21"/>
      <c r="AE19" s="21"/>
      <c r="AF19" s="22">
        <v>1</v>
      </c>
    </row>
    <row r="20" spans="2:33" hidden="1" x14ac:dyDescent="0.35">
      <c r="B20" s="25" t="s">
        <v>198</v>
      </c>
      <c r="C20" s="26" t="s">
        <v>199</v>
      </c>
      <c r="D20" s="26" t="s">
        <v>200</v>
      </c>
      <c r="E20" s="26" t="s">
        <v>201</v>
      </c>
      <c r="F20" s="26" t="s">
        <v>202</v>
      </c>
      <c r="G20" s="26" t="s">
        <v>203</v>
      </c>
      <c r="H20" s="26" t="s">
        <v>204</v>
      </c>
      <c r="I20" s="27" t="s">
        <v>205</v>
      </c>
      <c r="J20" s="26" t="s">
        <v>82</v>
      </c>
      <c r="K20" s="34">
        <v>1000</v>
      </c>
      <c r="L20" s="34">
        <v>1000</v>
      </c>
      <c r="M20" s="16">
        <f t="shared" si="0"/>
        <v>6397.4392523364486</v>
      </c>
      <c r="N20" s="34">
        <v>1000</v>
      </c>
      <c r="O20" s="34">
        <v>1000</v>
      </c>
      <c r="P20" s="16">
        <f t="shared" si="1"/>
        <v>-689.96638655462186</v>
      </c>
      <c r="Q20" s="34">
        <v>1000</v>
      </c>
      <c r="R20" s="34">
        <v>1000</v>
      </c>
      <c r="S20" s="16">
        <f t="shared" si="2"/>
        <v>-1681.860962566845</v>
      </c>
      <c r="T20" s="34">
        <v>0</v>
      </c>
      <c r="U20" s="34">
        <v>0</v>
      </c>
      <c r="V20" s="16">
        <f t="shared" si="3"/>
        <v>0</v>
      </c>
      <c r="W20" s="34">
        <v>500</v>
      </c>
      <c r="X20" s="34">
        <v>500</v>
      </c>
      <c r="Y20" s="16">
        <f t="shared" si="4"/>
        <v>-7.8431372549019607E-2</v>
      </c>
      <c r="Z20" s="34">
        <v>500</v>
      </c>
      <c r="AA20" s="34">
        <v>500</v>
      </c>
      <c r="AB20" s="16">
        <f t="shared" si="5"/>
        <v>-29.376344086021504</v>
      </c>
      <c r="AC20" s="31" t="s">
        <v>91</v>
      </c>
      <c r="AF20" s="5" t="s">
        <v>83</v>
      </c>
    </row>
    <row r="21" spans="2:33" x14ac:dyDescent="0.35">
      <c r="B21" s="28" t="s">
        <v>206</v>
      </c>
      <c r="C21" s="29" t="s">
        <v>207</v>
      </c>
      <c r="D21" s="29" t="s">
        <v>208</v>
      </c>
      <c r="E21" s="29" t="s">
        <v>209</v>
      </c>
      <c r="F21" s="29" t="s">
        <v>210</v>
      </c>
      <c r="G21" s="29" t="s">
        <v>211</v>
      </c>
      <c r="H21" s="29" t="s">
        <v>212</v>
      </c>
      <c r="I21" s="30" t="s">
        <v>213</v>
      </c>
      <c r="J21" s="29" t="s">
        <v>82</v>
      </c>
      <c r="K21" s="35">
        <v>2250</v>
      </c>
      <c r="L21" s="35">
        <v>2250</v>
      </c>
      <c r="M21" s="38">
        <f t="shared" si="0"/>
        <v>14394.23831775701</v>
      </c>
      <c r="N21" s="35">
        <v>2250</v>
      </c>
      <c r="O21" s="35">
        <v>2250</v>
      </c>
      <c r="P21" s="16">
        <f t="shared" si="1"/>
        <v>-1552.4243697478992</v>
      </c>
      <c r="Q21" s="35">
        <v>500</v>
      </c>
      <c r="R21" s="35">
        <v>500</v>
      </c>
      <c r="S21" s="16">
        <f t="shared" si="2"/>
        <v>-840.93048128342252</v>
      </c>
      <c r="T21" s="35">
        <v>0</v>
      </c>
      <c r="U21" s="35">
        <v>0</v>
      </c>
      <c r="V21" s="16">
        <f t="shared" si="3"/>
        <v>0</v>
      </c>
      <c r="W21" s="35">
        <v>0</v>
      </c>
      <c r="X21" s="35">
        <v>0</v>
      </c>
      <c r="Y21" s="16">
        <f t="shared" si="4"/>
        <v>0</v>
      </c>
      <c r="Z21" s="35">
        <v>0</v>
      </c>
      <c r="AA21" s="35">
        <v>0</v>
      </c>
      <c r="AB21" s="16">
        <f t="shared" si="5"/>
        <v>0</v>
      </c>
      <c r="AC21" s="32" t="s">
        <v>91</v>
      </c>
      <c r="AD21" s="21"/>
      <c r="AE21" s="21"/>
      <c r="AF21" s="22">
        <v>1</v>
      </c>
    </row>
    <row r="22" spans="2:33" hidden="1" x14ac:dyDescent="0.35">
      <c r="B22" s="28" t="s">
        <v>206</v>
      </c>
      <c r="C22" s="29" t="s">
        <v>214</v>
      </c>
      <c r="D22" s="29" t="s">
        <v>208</v>
      </c>
      <c r="E22" s="29" t="s">
        <v>215</v>
      </c>
      <c r="F22" s="29" t="s">
        <v>216</v>
      </c>
      <c r="G22" s="29" t="s">
        <v>217</v>
      </c>
      <c r="H22" s="29" t="s">
        <v>160</v>
      </c>
      <c r="I22" s="30" t="s">
        <v>213</v>
      </c>
      <c r="J22" s="29" t="s">
        <v>82</v>
      </c>
      <c r="K22" s="35">
        <v>500</v>
      </c>
      <c r="L22" s="35">
        <v>500</v>
      </c>
      <c r="M22" s="16">
        <f t="shared" si="0"/>
        <v>3198.7196261682243</v>
      </c>
      <c r="N22" s="35">
        <v>500</v>
      </c>
      <c r="O22" s="35">
        <v>500</v>
      </c>
      <c r="P22" s="16">
        <f t="shared" si="1"/>
        <v>-344.98319327731093</v>
      </c>
      <c r="Q22" s="35">
        <v>500</v>
      </c>
      <c r="R22" s="35">
        <v>500</v>
      </c>
      <c r="S22" s="16">
        <f t="shared" si="2"/>
        <v>-840.93048128342252</v>
      </c>
      <c r="T22" s="35">
        <v>500</v>
      </c>
      <c r="U22" s="35">
        <v>500</v>
      </c>
      <c r="V22" s="16">
        <f t="shared" si="3"/>
        <v>-9.761904761904761</v>
      </c>
      <c r="W22" s="35">
        <v>0</v>
      </c>
      <c r="X22" s="35">
        <v>0</v>
      </c>
      <c r="Y22" s="16">
        <f t="shared" si="4"/>
        <v>0</v>
      </c>
      <c r="Z22" s="35">
        <v>500</v>
      </c>
      <c r="AA22" s="35">
        <v>500</v>
      </c>
      <c r="AB22" s="16">
        <f t="shared" si="5"/>
        <v>-29.376344086021504</v>
      </c>
      <c r="AC22" s="32" t="s">
        <v>82</v>
      </c>
      <c r="AD22" s="21"/>
      <c r="AE22" s="21"/>
      <c r="AF22" s="5">
        <v>1</v>
      </c>
    </row>
    <row r="23" spans="2:33" hidden="1" x14ac:dyDescent="0.35">
      <c r="B23" s="25" t="s">
        <v>218</v>
      </c>
      <c r="C23" s="26" t="s">
        <v>219</v>
      </c>
      <c r="D23" s="26" t="s">
        <v>220</v>
      </c>
      <c r="E23" s="26" t="s">
        <v>221</v>
      </c>
      <c r="F23" s="26" t="s">
        <v>222</v>
      </c>
      <c r="G23" s="26" t="s">
        <v>223</v>
      </c>
      <c r="H23" s="26" t="s">
        <v>106</v>
      </c>
      <c r="I23" s="27" t="s">
        <v>224</v>
      </c>
      <c r="J23" s="26" t="s">
        <v>82</v>
      </c>
      <c r="K23" s="34">
        <v>500</v>
      </c>
      <c r="L23" s="34">
        <v>500</v>
      </c>
      <c r="M23" s="16">
        <f t="shared" si="0"/>
        <v>3198.7196261682243</v>
      </c>
      <c r="N23" s="34">
        <v>500</v>
      </c>
      <c r="O23" s="34">
        <v>500</v>
      </c>
      <c r="P23" s="16">
        <f t="shared" si="1"/>
        <v>-344.98319327731093</v>
      </c>
      <c r="Q23" s="34">
        <v>500</v>
      </c>
      <c r="R23" s="34">
        <v>500</v>
      </c>
      <c r="S23" s="16">
        <f t="shared" si="2"/>
        <v>-840.93048128342252</v>
      </c>
      <c r="T23" s="34">
        <v>500</v>
      </c>
      <c r="U23" s="34">
        <v>500</v>
      </c>
      <c r="V23" s="16">
        <f t="shared" si="3"/>
        <v>-9.761904761904761</v>
      </c>
      <c r="W23" s="34">
        <v>1000</v>
      </c>
      <c r="X23" s="34">
        <v>1000</v>
      </c>
      <c r="Y23" s="16">
        <f t="shared" si="4"/>
        <v>-0.15686274509803921</v>
      </c>
      <c r="Z23" s="34">
        <v>500</v>
      </c>
      <c r="AA23" s="34">
        <v>500</v>
      </c>
      <c r="AB23" s="16">
        <f t="shared" si="5"/>
        <v>-29.376344086021504</v>
      </c>
      <c r="AC23" s="31" t="s">
        <v>82</v>
      </c>
      <c r="AD23" s="21"/>
      <c r="AE23" s="21"/>
      <c r="AF23" s="5">
        <v>1</v>
      </c>
    </row>
    <row r="24" spans="2:33" x14ac:dyDescent="0.35">
      <c r="B24" s="28" t="s">
        <v>225</v>
      </c>
      <c r="C24" s="29" t="s">
        <v>226</v>
      </c>
      <c r="D24" s="29" t="s">
        <v>227</v>
      </c>
      <c r="E24" s="29" t="s">
        <v>228</v>
      </c>
      <c r="F24" s="29" t="s">
        <v>229</v>
      </c>
      <c r="G24" s="29" t="s">
        <v>230</v>
      </c>
      <c r="H24" s="29" t="s">
        <v>120</v>
      </c>
      <c r="I24" s="30" t="s">
        <v>231</v>
      </c>
      <c r="J24" s="29" t="s">
        <v>82</v>
      </c>
      <c r="K24" s="35">
        <v>0</v>
      </c>
      <c r="L24" s="35">
        <v>0</v>
      </c>
      <c r="M24" s="38">
        <f t="shared" si="0"/>
        <v>0</v>
      </c>
      <c r="N24" s="35">
        <v>1500</v>
      </c>
      <c r="O24" s="35">
        <v>1500</v>
      </c>
      <c r="P24" s="16">
        <f t="shared" si="1"/>
        <v>-1034.9495798319329</v>
      </c>
      <c r="Q24" s="35">
        <v>0</v>
      </c>
      <c r="R24" s="35">
        <v>0</v>
      </c>
      <c r="S24" s="16">
        <f t="shared" si="2"/>
        <v>0</v>
      </c>
      <c r="T24" s="35">
        <v>500</v>
      </c>
      <c r="U24" s="35">
        <v>500</v>
      </c>
      <c r="V24" s="16">
        <f t="shared" si="3"/>
        <v>-9.761904761904761</v>
      </c>
      <c r="W24" s="35">
        <v>500</v>
      </c>
      <c r="X24" s="35">
        <v>500</v>
      </c>
      <c r="Y24" s="16">
        <f t="shared" si="4"/>
        <v>-7.8431372549019607E-2</v>
      </c>
      <c r="Z24" s="35">
        <v>500</v>
      </c>
      <c r="AA24" s="35">
        <v>500</v>
      </c>
      <c r="AB24" s="16">
        <f t="shared" si="5"/>
        <v>-29.376344086021504</v>
      </c>
      <c r="AC24" s="32" t="s">
        <v>91</v>
      </c>
      <c r="AF24" s="5">
        <v>1</v>
      </c>
    </row>
    <row r="25" spans="2:33" x14ac:dyDescent="0.35">
      <c r="B25" s="28" t="s">
        <v>232</v>
      </c>
      <c r="C25" s="29" t="s">
        <v>233</v>
      </c>
      <c r="D25" s="29" t="s">
        <v>234</v>
      </c>
      <c r="E25" s="29" t="s">
        <v>235</v>
      </c>
      <c r="F25" s="29" t="s">
        <v>188</v>
      </c>
      <c r="G25" s="29" t="s">
        <v>236</v>
      </c>
      <c r="H25" s="29" t="s">
        <v>237</v>
      </c>
      <c r="I25" s="30" t="s">
        <v>238</v>
      </c>
      <c r="J25" s="29" t="s">
        <v>82</v>
      </c>
      <c r="K25" s="35">
        <v>500</v>
      </c>
      <c r="L25" s="35">
        <v>500</v>
      </c>
      <c r="M25" s="38">
        <f t="shared" si="0"/>
        <v>3198.7196261682243</v>
      </c>
      <c r="N25" s="35">
        <v>500</v>
      </c>
      <c r="O25" s="35">
        <v>500</v>
      </c>
      <c r="P25" s="16">
        <f t="shared" si="1"/>
        <v>-344.98319327731093</v>
      </c>
      <c r="Q25" s="35">
        <v>500</v>
      </c>
      <c r="R25" s="35">
        <v>500</v>
      </c>
      <c r="S25" s="16">
        <f t="shared" si="2"/>
        <v>-840.93048128342252</v>
      </c>
      <c r="T25" s="35">
        <v>500</v>
      </c>
      <c r="U25" s="35">
        <v>500</v>
      </c>
      <c r="V25" s="16">
        <f t="shared" si="3"/>
        <v>-9.761904761904761</v>
      </c>
      <c r="W25" s="35">
        <v>500</v>
      </c>
      <c r="X25" s="35">
        <v>500</v>
      </c>
      <c r="Y25" s="16">
        <f t="shared" si="4"/>
        <v>-7.8431372549019607E-2</v>
      </c>
      <c r="Z25" s="35">
        <v>500</v>
      </c>
      <c r="AA25" s="35">
        <v>500</v>
      </c>
      <c r="AB25" s="16">
        <f t="shared" si="5"/>
        <v>-29.376344086021504</v>
      </c>
      <c r="AC25" s="32" t="s">
        <v>91</v>
      </c>
      <c r="AD25" s="21"/>
      <c r="AE25" s="21"/>
      <c r="AF25" s="22">
        <v>1</v>
      </c>
    </row>
    <row r="26" spans="2:33" hidden="1" x14ac:dyDescent="0.35">
      <c r="B26" s="25" t="s">
        <v>239</v>
      </c>
      <c r="C26" s="26" t="s">
        <v>240</v>
      </c>
      <c r="D26" s="26" t="s">
        <v>241</v>
      </c>
      <c r="E26" s="26" t="s">
        <v>242</v>
      </c>
      <c r="F26" s="26" t="s">
        <v>243</v>
      </c>
      <c r="G26" s="26" t="s">
        <v>244</v>
      </c>
      <c r="H26" s="26" t="s">
        <v>204</v>
      </c>
      <c r="I26" s="27" t="s">
        <v>245</v>
      </c>
      <c r="J26" s="26" t="s">
        <v>91</v>
      </c>
      <c r="K26" s="34"/>
      <c r="L26" s="34"/>
      <c r="M26" s="16">
        <f t="shared" si="0"/>
        <v>0</v>
      </c>
      <c r="N26" s="34"/>
      <c r="O26" s="34"/>
      <c r="P26" s="16">
        <f t="shared" si="1"/>
        <v>0</v>
      </c>
      <c r="Q26" s="34"/>
      <c r="R26" s="34"/>
      <c r="S26" s="16">
        <f t="shared" si="2"/>
        <v>0</v>
      </c>
      <c r="T26" s="34"/>
      <c r="U26" s="34"/>
      <c r="V26" s="16">
        <f t="shared" si="3"/>
        <v>0</v>
      </c>
      <c r="W26" s="34"/>
      <c r="X26" s="34"/>
      <c r="Y26" s="16">
        <f t="shared" si="4"/>
        <v>0</v>
      </c>
      <c r="Z26" s="34"/>
      <c r="AA26" s="34"/>
      <c r="AB26" s="16">
        <f t="shared" si="5"/>
        <v>0</v>
      </c>
      <c r="AC26" s="31"/>
      <c r="AD26" s="21"/>
      <c r="AE26" s="21"/>
      <c r="AF26" s="5">
        <v>1</v>
      </c>
    </row>
    <row r="27" spans="2:33" hidden="1" x14ac:dyDescent="0.35">
      <c r="B27" s="25" t="s">
        <v>246</v>
      </c>
      <c r="C27" s="26" t="s">
        <v>247</v>
      </c>
      <c r="D27" s="26" t="s">
        <v>248</v>
      </c>
      <c r="E27" s="26" t="s">
        <v>249</v>
      </c>
      <c r="F27" s="26" t="s">
        <v>250</v>
      </c>
      <c r="G27" s="26" t="s">
        <v>251</v>
      </c>
      <c r="H27" s="26" t="s">
        <v>182</v>
      </c>
      <c r="I27" s="27" t="s">
        <v>252</v>
      </c>
      <c r="J27" s="26" t="s">
        <v>82</v>
      </c>
      <c r="K27" s="34">
        <v>1000</v>
      </c>
      <c r="L27" s="34">
        <v>1000</v>
      </c>
      <c r="M27" s="16">
        <f t="shared" si="0"/>
        <v>6397.4392523364486</v>
      </c>
      <c r="N27" s="34">
        <v>500</v>
      </c>
      <c r="O27" s="34">
        <v>500</v>
      </c>
      <c r="P27" s="16">
        <f t="shared" si="1"/>
        <v>-344.98319327731093</v>
      </c>
      <c r="Q27" s="34">
        <v>500</v>
      </c>
      <c r="R27" s="34">
        <v>500</v>
      </c>
      <c r="S27" s="16">
        <f t="shared" si="2"/>
        <v>-840.93048128342252</v>
      </c>
      <c r="T27" s="34">
        <v>500</v>
      </c>
      <c r="U27" s="34">
        <v>500</v>
      </c>
      <c r="V27" s="16">
        <f t="shared" si="3"/>
        <v>-9.761904761904761</v>
      </c>
      <c r="W27" s="34">
        <v>500</v>
      </c>
      <c r="X27" s="34">
        <v>500</v>
      </c>
      <c r="Y27" s="16">
        <f t="shared" si="4"/>
        <v>-7.8431372549019607E-2</v>
      </c>
      <c r="Z27" s="34">
        <v>500</v>
      </c>
      <c r="AA27" s="34">
        <v>500</v>
      </c>
      <c r="AB27" s="16">
        <f t="shared" si="5"/>
        <v>-29.376344086021504</v>
      </c>
      <c r="AC27" s="31" t="s">
        <v>82</v>
      </c>
      <c r="AD27" s="21"/>
      <c r="AE27" s="21"/>
      <c r="AF27" s="5">
        <v>1</v>
      </c>
    </row>
    <row r="28" spans="2:33" hidden="1" x14ac:dyDescent="0.35">
      <c r="B28" s="25" t="s">
        <v>253</v>
      </c>
      <c r="C28" s="26" t="s">
        <v>254</v>
      </c>
      <c r="D28" s="26" t="s">
        <v>255</v>
      </c>
      <c r="E28" s="26" t="s">
        <v>256</v>
      </c>
      <c r="F28" s="26"/>
      <c r="G28" s="26" t="s">
        <v>257</v>
      </c>
      <c r="H28" s="26" t="s">
        <v>258</v>
      </c>
      <c r="I28" s="27" t="s">
        <v>259</v>
      </c>
      <c r="J28" s="26" t="s">
        <v>82</v>
      </c>
      <c r="K28" s="34">
        <v>2250</v>
      </c>
      <c r="L28" s="34">
        <v>0</v>
      </c>
      <c r="M28" s="16">
        <f t="shared" si="0"/>
        <v>0</v>
      </c>
      <c r="N28" s="34">
        <v>2250</v>
      </c>
      <c r="O28" s="34">
        <v>0</v>
      </c>
      <c r="P28" s="16">
        <f t="shared" si="1"/>
        <v>0</v>
      </c>
      <c r="Q28" s="34">
        <v>1000</v>
      </c>
      <c r="R28" s="34">
        <v>0</v>
      </c>
      <c r="S28" s="16">
        <f t="shared" si="2"/>
        <v>0</v>
      </c>
      <c r="T28" s="34">
        <v>0</v>
      </c>
      <c r="U28" s="34">
        <v>0</v>
      </c>
      <c r="V28" s="16">
        <f t="shared" si="3"/>
        <v>0</v>
      </c>
      <c r="W28" s="34">
        <v>0</v>
      </c>
      <c r="X28" s="34">
        <v>0</v>
      </c>
      <c r="Y28" s="16">
        <f t="shared" si="4"/>
        <v>0</v>
      </c>
      <c r="Z28" s="34">
        <v>0</v>
      </c>
      <c r="AA28" s="34">
        <v>0</v>
      </c>
      <c r="AB28" s="16">
        <f t="shared" si="5"/>
        <v>0</v>
      </c>
      <c r="AC28" s="31" t="s">
        <v>82</v>
      </c>
      <c r="AD28" s="21"/>
      <c r="AE28" s="21"/>
      <c r="AF28" s="5">
        <v>0</v>
      </c>
    </row>
    <row r="29" spans="2:33" hidden="1" x14ac:dyDescent="0.35">
      <c r="B29" s="28" t="s">
        <v>260</v>
      </c>
      <c r="C29" s="29" t="s">
        <v>261</v>
      </c>
      <c r="D29" s="29" t="s">
        <v>262</v>
      </c>
      <c r="E29" s="29" t="s">
        <v>263</v>
      </c>
      <c r="F29" s="29" t="s">
        <v>264</v>
      </c>
      <c r="G29" s="29" t="s">
        <v>265</v>
      </c>
      <c r="H29" s="29" t="s">
        <v>266</v>
      </c>
      <c r="I29" s="30" t="s">
        <v>267</v>
      </c>
      <c r="J29" s="29" t="s">
        <v>82</v>
      </c>
      <c r="K29" s="35">
        <v>2250</v>
      </c>
      <c r="L29" s="35">
        <v>2250</v>
      </c>
      <c r="M29" s="16">
        <f t="shared" si="0"/>
        <v>14394.23831775701</v>
      </c>
      <c r="N29" s="35">
        <v>2250</v>
      </c>
      <c r="O29" s="35">
        <v>2250</v>
      </c>
      <c r="P29" s="16">
        <f t="shared" si="1"/>
        <v>-1552.4243697478992</v>
      </c>
      <c r="Q29" s="35">
        <v>2250</v>
      </c>
      <c r="R29" s="35">
        <v>2250</v>
      </c>
      <c r="S29" s="16">
        <f t="shared" si="2"/>
        <v>-3784.1871657754014</v>
      </c>
      <c r="T29" s="35">
        <v>500</v>
      </c>
      <c r="U29" s="35">
        <v>500</v>
      </c>
      <c r="V29" s="16">
        <f t="shared" si="3"/>
        <v>-9.761904761904761</v>
      </c>
      <c r="W29" s="35">
        <v>500</v>
      </c>
      <c r="X29" s="35">
        <v>500</v>
      </c>
      <c r="Y29" s="16">
        <f t="shared" si="4"/>
        <v>-7.8431372549019607E-2</v>
      </c>
      <c r="Z29" s="35">
        <v>500</v>
      </c>
      <c r="AA29" s="35">
        <v>500</v>
      </c>
      <c r="AB29" s="16">
        <f t="shared" si="5"/>
        <v>-29.376344086021504</v>
      </c>
      <c r="AC29" s="32" t="s">
        <v>82</v>
      </c>
      <c r="AF29" s="5">
        <v>1</v>
      </c>
    </row>
    <row r="30" spans="2:33" hidden="1" x14ac:dyDescent="0.35">
      <c r="B30" s="25" t="s">
        <v>268</v>
      </c>
      <c r="C30" s="26" t="s">
        <v>269</v>
      </c>
      <c r="D30" s="26" t="s">
        <v>270</v>
      </c>
      <c r="E30" s="26" t="s">
        <v>271</v>
      </c>
      <c r="F30" s="26"/>
      <c r="G30" s="26" t="s">
        <v>272</v>
      </c>
      <c r="H30" s="26" t="s">
        <v>212</v>
      </c>
      <c r="I30" s="27" t="s">
        <v>273</v>
      </c>
      <c r="J30" s="26" t="s">
        <v>82</v>
      </c>
      <c r="K30" s="34">
        <v>1000</v>
      </c>
      <c r="L30" s="34">
        <v>1000</v>
      </c>
      <c r="M30" s="16">
        <f t="shared" si="0"/>
        <v>6397.4392523364486</v>
      </c>
      <c r="N30" s="34">
        <v>500</v>
      </c>
      <c r="O30" s="34">
        <v>500</v>
      </c>
      <c r="P30" s="16">
        <f t="shared" si="1"/>
        <v>-344.98319327731093</v>
      </c>
      <c r="Q30" s="34">
        <v>0</v>
      </c>
      <c r="R30" s="34">
        <v>0</v>
      </c>
      <c r="S30" s="16">
        <f t="shared" si="2"/>
        <v>0</v>
      </c>
      <c r="T30" s="34">
        <v>500</v>
      </c>
      <c r="U30" s="34">
        <v>500</v>
      </c>
      <c r="V30" s="16">
        <f t="shared" si="3"/>
        <v>-9.761904761904761</v>
      </c>
      <c r="W30" s="34">
        <v>500</v>
      </c>
      <c r="X30" s="34">
        <v>500</v>
      </c>
      <c r="Y30" s="16">
        <f t="shared" si="4"/>
        <v>-7.8431372549019607E-2</v>
      </c>
      <c r="Z30" s="34">
        <v>500</v>
      </c>
      <c r="AA30" s="34">
        <v>500</v>
      </c>
      <c r="AB30" s="16">
        <f t="shared" si="5"/>
        <v>-29.376344086021504</v>
      </c>
      <c r="AC30" s="31" t="s">
        <v>82</v>
      </c>
      <c r="AD30" s="21"/>
      <c r="AE30" s="21"/>
      <c r="AF30" s="5">
        <v>1</v>
      </c>
    </row>
    <row r="31" spans="2:33" hidden="1" x14ac:dyDescent="0.35">
      <c r="B31" s="25" t="s">
        <v>274</v>
      </c>
      <c r="C31" s="26" t="s">
        <v>275</v>
      </c>
      <c r="D31" s="26" t="s">
        <v>276</v>
      </c>
      <c r="E31" s="26" t="s">
        <v>277</v>
      </c>
      <c r="F31" s="26" t="s">
        <v>188</v>
      </c>
      <c r="G31" s="26" t="s">
        <v>278</v>
      </c>
      <c r="H31" s="26" t="s">
        <v>279</v>
      </c>
      <c r="I31" s="27" t="s">
        <v>280</v>
      </c>
      <c r="J31" s="26" t="s">
        <v>82</v>
      </c>
      <c r="K31" s="34">
        <v>1500</v>
      </c>
      <c r="L31" s="34">
        <v>1500</v>
      </c>
      <c r="M31" s="16">
        <f t="shared" si="0"/>
        <v>9596.1588785046733</v>
      </c>
      <c r="N31" s="34">
        <v>1500</v>
      </c>
      <c r="O31" s="34">
        <v>1500</v>
      </c>
      <c r="P31" s="16">
        <f t="shared" si="1"/>
        <v>-1034.9495798319329</v>
      </c>
      <c r="Q31" s="34">
        <v>1500</v>
      </c>
      <c r="R31" s="34">
        <v>1500</v>
      </c>
      <c r="S31" s="16">
        <f t="shared" si="2"/>
        <v>-2522.7914438502676</v>
      </c>
      <c r="T31" s="34">
        <v>500</v>
      </c>
      <c r="U31" s="34">
        <v>500</v>
      </c>
      <c r="V31" s="16">
        <f t="shared" si="3"/>
        <v>-9.761904761904761</v>
      </c>
      <c r="W31" s="34">
        <v>500</v>
      </c>
      <c r="X31" s="34">
        <v>500</v>
      </c>
      <c r="Y31" s="16">
        <f t="shared" si="4"/>
        <v>-7.8431372549019607E-2</v>
      </c>
      <c r="Z31" s="34">
        <v>500</v>
      </c>
      <c r="AA31" s="34">
        <v>500</v>
      </c>
      <c r="AB31" s="16">
        <f t="shared" si="5"/>
        <v>-29.376344086021504</v>
      </c>
      <c r="AC31" s="31" t="s">
        <v>82</v>
      </c>
      <c r="AD31" s="21"/>
      <c r="AE31" s="21"/>
      <c r="AF31" s="5">
        <v>1</v>
      </c>
    </row>
    <row r="32" spans="2:33" hidden="1" x14ac:dyDescent="0.35">
      <c r="B32" s="28" t="s">
        <v>281</v>
      </c>
      <c r="C32" s="29" t="s">
        <v>282</v>
      </c>
      <c r="D32" s="29" t="s">
        <v>283</v>
      </c>
      <c r="E32" s="29" t="s">
        <v>284</v>
      </c>
      <c r="F32" s="29" t="s">
        <v>285</v>
      </c>
      <c r="G32" s="29" t="s">
        <v>286</v>
      </c>
      <c r="H32" s="29" t="s">
        <v>114</v>
      </c>
      <c r="I32" s="30" t="s">
        <v>287</v>
      </c>
      <c r="J32" s="29" t="s">
        <v>82</v>
      </c>
      <c r="K32" s="35">
        <v>500</v>
      </c>
      <c r="L32" s="35">
        <v>500</v>
      </c>
      <c r="M32" s="16">
        <f t="shared" si="0"/>
        <v>3198.7196261682243</v>
      </c>
      <c r="N32" s="35">
        <v>500</v>
      </c>
      <c r="O32" s="35">
        <v>500</v>
      </c>
      <c r="P32" s="16">
        <f t="shared" si="1"/>
        <v>-344.98319327731093</v>
      </c>
      <c r="Q32" s="35">
        <v>500</v>
      </c>
      <c r="R32" s="35">
        <v>500</v>
      </c>
      <c r="S32" s="16">
        <f t="shared" si="2"/>
        <v>-840.93048128342252</v>
      </c>
      <c r="T32" s="35">
        <v>500</v>
      </c>
      <c r="U32" s="35">
        <v>500</v>
      </c>
      <c r="V32" s="16">
        <f t="shared" si="3"/>
        <v>-9.761904761904761</v>
      </c>
      <c r="W32" s="35">
        <v>0</v>
      </c>
      <c r="X32" s="35">
        <v>0</v>
      </c>
      <c r="Y32" s="16">
        <f t="shared" si="4"/>
        <v>0</v>
      </c>
      <c r="Z32" s="35">
        <v>500</v>
      </c>
      <c r="AA32" s="35">
        <v>500</v>
      </c>
      <c r="AB32" s="16">
        <f t="shared" si="5"/>
        <v>-29.376344086021504</v>
      </c>
      <c r="AC32" s="32" t="s">
        <v>82</v>
      </c>
      <c r="AD32" s="21"/>
      <c r="AE32" s="21"/>
      <c r="AF32" s="5">
        <v>1</v>
      </c>
    </row>
    <row r="33" spans="2:32" hidden="1" x14ac:dyDescent="0.35">
      <c r="B33" s="25" t="s">
        <v>288</v>
      </c>
      <c r="C33" s="26" t="s">
        <v>289</v>
      </c>
      <c r="D33" s="26" t="s">
        <v>290</v>
      </c>
      <c r="E33" s="26" t="s">
        <v>291</v>
      </c>
      <c r="F33" s="26" t="s">
        <v>292</v>
      </c>
      <c r="G33" s="26" t="s">
        <v>293</v>
      </c>
      <c r="H33" s="26" t="s">
        <v>204</v>
      </c>
      <c r="I33" s="27" t="s">
        <v>294</v>
      </c>
      <c r="J33" s="26" t="s">
        <v>82</v>
      </c>
      <c r="K33" s="34">
        <v>500</v>
      </c>
      <c r="L33" s="34">
        <v>500</v>
      </c>
      <c r="M33" s="16">
        <f t="shared" si="0"/>
        <v>3198.7196261682243</v>
      </c>
      <c r="N33" s="34">
        <v>500</v>
      </c>
      <c r="O33" s="34">
        <v>500</v>
      </c>
      <c r="P33" s="16">
        <f t="shared" si="1"/>
        <v>-344.98319327731093</v>
      </c>
      <c r="Q33" s="34">
        <v>500</v>
      </c>
      <c r="R33" s="34">
        <v>500</v>
      </c>
      <c r="S33" s="16">
        <f t="shared" si="2"/>
        <v>-840.93048128342252</v>
      </c>
      <c r="T33" s="34">
        <v>0</v>
      </c>
      <c r="U33" s="34">
        <v>0</v>
      </c>
      <c r="V33" s="16">
        <f t="shared" si="3"/>
        <v>0</v>
      </c>
      <c r="W33" s="34">
        <v>0</v>
      </c>
      <c r="X33" s="34">
        <v>0</v>
      </c>
      <c r="Y33" s="16">
        <f t="shared" si="4"/>
        <v>0</v>
      </c>
      <c r="Z33" s="34">
        <v>500</v>
      </c>
      <c r="AA33" s="34">
        <v>500</v>
      </c>
      <c r="AB33" s="16">
        <f t="shared" si="5"/>
        <v>-29.376344086021504</v>
      </c>
      <c r="AC33" s="31" t="s">
        <v>82</v>
      </c>
      <c r="AD33" s="21"/>
      <c r="AE33" s="21"/>
      <c r="AF33" s="5">
        <v>1</v>
      </c>
    </row>
    <row r="34" spans="2:32" hidden="1" x14ac:dyDescent="0.35">
      <c r="B34" s="25" t="s">
        <v>295</v>
      </c>
      <c r="C34" s="26" t="s">
        <v>296</v>
      </c>
      <c r="D34" s="26" t="s">
        <v>297</v>
      </c>
      <c r="E34" s="26" t="s">
        <v>298</v>
      </c>
      <c r="F34" s="26" t="s">
        <v>299</v>
      </c>
      <c r="G34" s="26" t="s">
        <v>300</v>
      </c>
      <c r="H34" s="26" t="s">
        <v>160</v>
      </c>
      <c r="I34" s="27" t="s">
        <v>301</v>
      </c>
      <c r="J34" s="26" t="s">
        <v>82</v>
      </c>
      <c r="K34" s="34">
        <v>1000</v>
      </c>
      <c r="L34" s="34">
        <v>1000</v>
      </c>
      <c r="M34" s="16">
        <f t="shared" si="0"/>
        <v>6397.4392523364486</v>
      </c>
      <c r="N34" s="34">
        <v>1000</v>
      </c>
      <c r="O34" s="34">
        <v>1000</v>
      </c>
      <c r="P34" s="16">
        <f t="shared" si="1"/>
        <v>-689.96638655462186</v>
      </c>
      <c r="Q34" s="34">
        <v>1000</v>
      </c>
      <c r="R34" s="34">
        <v>1000</v>
      </c>
      <c r="S34" s="16">
        <f t="shared" si="2"/>
        <v>-1681.860962566845</v>
      </c>
      <c r="T34" s="34">
        <v>0</v>
      </c>
      <c r="U34" s="34">
        <v>0</v>
      </c>
      <c r="V34" s="16">
        <f t="shared" si="3"/>
        <v>0</v>
      </c>
      <c r="W34" s="34">
        <v>0</v>
      </c>
      <c r="X34" s="34">
        <v>0</v>
      </c>
      <c r="Y34" s="16">
        <f t="shared" si="4"/>
        <v>0</v>
      </c>
      <c r="Z34" s="34">
        <v>500</v>
      </c>
      <c r="AA34" s="34">
        <v>500</v>
      </c>
      <c r="AB34" s="16">
        <f t="shared" si="5"/>
        <v>-29.376344086021504</v>
      </c>
      <c r="AC34" s="31" t="s">
        <v>82</v>
      </c>
      <c r="AD34" s="21"/>
      <c r="AE34" s="21"/>
      <c r="AF34" s="5">
        <v>1</v>
      </c>
    </row>
    <row r="35" spans="2:32" hidden="1" x14ac:dyDescent="0.35">
      <c r="B35" s="28" t="s">
        <v>302</v>
      </c>
      <c r="C35" s="29" t="s">
        <v>303</v>
      </c>
      <c r="D35" s="29" t="s">
        <v>304</v>
      </c>
      <c r="E35" s="29" t="s">
        <v>305</v>
      </c>
      <c r="F35" s="29" t="s">
        <v>306</v>
      </c>
      <c r="G35" s="29" t="s">
        <v>307</v>
      </c>
      <c r="H35" s="29" t="s">
        <v>160</v>
      </c>
      <c r="I35" s="30" t="s">
        <v>308</v>
      </c>
      <c r="J35" s="29" t="s">
        <v>82</v>
      </c>
      <c r="K35" s="35">
        <v>500</v>
      </c>
      <c r="L35" s="35">
        <v>500</v>
      </c>
      <c r="M35" s="16">
        <f t="shared" si="0"/>
        <v>3198.7196261682243</v>
      </c>
      <c r="N35" s="35">
        <v>500</v>
      </c>
      <c r="O35" s="35">
        <v>500</v>
      </c>
      <c r="P35" s="16">
        <f t="shared" si="1"/>
        <v>-344.98319327731093</v>
      </c>
      <c r="Q35" s="35">
        <v>500</v>
      </c>
      <c r="R35" s="35">
        <v>500</v>
      </c>
      <c r="S35" s="16">
        <f t="shared" si="2"/>
        <v>-840.93048128342252</v>
      </c>
      <c r="T35" s="35">
        <v>500</v>
      </c>
      <c r="U35" s="35">
        <v>500</v>
      </c>
      <c r="V35" s="16">
        <f t="shared" si="3"/>
        <v>-9.761904761904761</v>
      </c>
      <c r="W35" s="35">
        <v>500</v>
      </c>
      <c r="X35" s="35">
        <v>500</v>
      </c>
      <c r="Y35" s="16">
        <f t="shared" si="4"/>
        <v>-7.8431372549019607E-2</v>
      </c>
      <c r="Z35" s="35">
        <v>500</v>
      </c>
      <c r="AA35" s="35">
        <v>500</v>
      </c>
      <c r="AB35" s="16">
        <f t="shared" si="5"/>
        <v>-29.376344086021504</v>
      </c>
      <c r="AC35" s="32" t="s">
        <v>82</v>
      </c>
      <c r="AD35" s="21"/>
      <c r="AE35" s="21"/>
      <c r="AF35" s="5">
        <v>1</v>
      </c>
    </row>
    <row r="36" spans="2:32" hidden="1" x14ac:dyDescent="0.35">
      <c r="B36" s="25" t="s">
        <v>309</v>
      </c>
      <c r="C36" s="26" t="s">
        <v>310</v>
      </c>
      <c r="D36" s="26" t="s">
        <v>311</v>
      </c>
      <c r="E36" s="26" t="s">
        <v>312</v>
      </c>
      <c r="F36" s="26" t="s">
        <v>313</v>
      </c>
      <c r="G36" s="26" t="s">
        <v>314</v>
      </c>
      <c r="H36" s="26" t="s">
        <v>315</v>
      </c>
      <c r="I36" s="27" t="s">
        <v>316</v>
      </c>
      <c r="J36" s="26" t="s">
        <v>82</v>
      </c>
      <c r="K36" s="34">
        <v>2250</v>
      </c>
      <c r="L36" s="34">
        <v>0</v>
      </c>
      <c r="M36" s="16">
        <f t="shared" si="0"/>
        <v>0</v>
      </c>
      <c r="N36" s="34">
        <v>2250</v>
      </c>
      <c r="O36" s="34">
        <v>0</v>
      </c>
      <c r="P36" s="16">
        <f t="shared" si="1"/>
        <v>0</v>
      </c>
      <c r="Q36" s="34">
        <v>2250</v>
      </c>
      <c r="R36" s="34">
        <v>0</v>
      </c>
      <c r="S36" s="16">
        <f t="shared" si="2"/>
        <v>0</v>
      </c>
      <c r="T36" s="34">
        <v>0</v>
      </c>
      <c r="U36" s="34">
        <v>0</v>
      </c>
      <c r="V36" s="16">
        <f t="shared" si="3"/>
        <v>0</v>
      </c>
      <c r="W36" s="34">
        <v>0</v>
      </c>
      <c r="X36" s="34">
        <v>0</v>
      </c>
      <c r="Y36" s="16">
        <f t="shared" si="4"/>
        <v>0</v>
      </c>
      <c r="Z36" s="34">
        <v>0</v>
      </c>
      <c r="AA36" s="34">
        <v>0</v>
      </c>
      <c r="AB36" s="16">
        <f t="shared" si="5"/>
        <v>0</v>
      </c>
      <c r="AC36" s="31" t="s">
        <v>82</v>
      </c>
      <c r="AD36" s="21"/>
      <c r="AE36" s="21"/>
      <c r="AF36" s="5">
        <v>0</v>
      </c>
    </row>
    <row r="37" spans="2:32" hidden="1" x14ac:dyDescent="0.35">
      <c r="B37" s="28" t="s">
        <v>317</v>
      </c>
      <c r="C37" s="29" t="s">
        <v>318</v>
      </c>
      <c r="D37" s="29" t="s">
        <v>319</v>
      </c>
      <c r="E37" s="29" t="s">
        <v>320</v>
      </c>
      <c r="F37" s="29" t="s">
        <v>264</v>
      </c>
      <c r="G37" s="29" t="s">
        <v>321</v>
      </c>
      <c r="H37" s="29" t="s">
        <v>322</v>
      </c>
      <c r="I37" s="30" t="s">
        <v>323</v>
      </c>
      <c r="J37" s="29" t="s">
        <v>82</v>
      </c>
      <c r="K37" s="35">
        <v>1500</v>
      </c>
      <c r="L37" s="35">
        <v>1500</v>
      </c>
      <c r="M37" s="16">
        <f t="shared" si="0"/>
        <v>9596.1588785046733</v>
      </c>
      <c r="N37" s="35">
        <v>1500</v>
      </c>
      <c r="O37" s="35">
        <v>1500</v>
      </c>
      <c r="P37" s="16">
        <f t="shared" si="1"/>
        <v>-1034.9495798319329</v>
      </c>
      <c r="Q37" s="35">
        <v>1500</v>
      </c>
      <c r="R37" s="35">
        <v>1500</v>
      </c>
      <c r="S37" s="16">
        <f t="shared" si="2"/>
        <v>-2522.7914438502676</v>
      </c>
      <c r="T37" s="35">
        <v>500</v>
      </c>
      <c r="U37" s="35">
        <v>500</v>
      </c>
      <c r="V37" s="16">
        <f t="shared" si="3"/>
        <v>-9.761904761904761</v>
      </c>
      <c r="W37" s="35">
        <v>500</v>
      </c>
      <c r="X37" s="35">
        <v>500</v>
      </c>
      <c r="Y37" s="16">
        <f t="shared" si="4"/>
        <v>-7.8431372549019607E-2</v>
      </c>
      <c r="Z37" s="35">
        <v>500</v>
      </c>
      <c r="AA37" s="35">
        <v>500</v>
      </c>
      <c r="AB37" s="16">
        <f t="shared" si="5"/>
        <v>-29.376344086021504</v>
      </c>
      <c r="AC37" s="32" t="s">
        <v>82</v>
      </c>
      <c r="AD37" s="21"/>
      <c r="AE37" s="21"/>
      <c r="AF37" s="5">
        <v>1</v>
      </c>
    </row>
    <row r="38" spans="2:32" hidden="1" x14ac:dyDescent="0.35">
      <c r="B38" s="28" t="s">
        <v>324</v>
      </c>
      <c r="C38" s="29" t="s">
        <v>325</v>
      </c>
      <c r="D38" s="29" t="s">
        <v>326</v>
      </c>
      <c r="E38" s="29" t="s">
        <v>327</v>
      </c>
      <c r="F38" s="29" t="s">
        <v>328</v>
      </c>
      <c r="G38" s="29" t="s">
        <v>329</v>
      </c>
      <c r="H38" s="29" t="s">
        <v>160</v>
      </c>
      <c r="I38" s="30" t="s">
        <v>330</v>
      </c>
      <c r="J38" s="29" t="s">
        <v>82</v>
      </c>
      <c r="K38" s="35">
        <v>2250</v>
      </c>
      <c r="L38" s="35">
        <v>2250</v>
      </c>
      <c r="M38" s="16">
        <f t="shared" si="0"/>
        <v>14394.23831775701</v>
      </c>
      <c r="N38" s="35">
        <v>2250</v>
      </c>
      <c r="O38" s="35">
        <v>2250</v>
      </c>
      <c r="P38" s="16">
        <f t="shared" si="1"/>
        <v>-1552.4243697478992</v>
      </c>
      <c r="Q38" s="35">
        <v>2250</v>
      </c>
      <c r="R38" s="35">
        <v>2250</v>
      </c>
      <c r="S38" s="16">
        <f t="shared" si="2"/>
        <v>-3784.1871657754014</v>
      </c>
      <c r="T38" s="35">
        <v>2250</v>
      </c>
      <c r="U38" s="35">
        <v>2250</v>
      </c>
      <c r="V38" s="16">
        <f t="shared" si="3"/>
        <v>-43.928571428571431</v>
      </c>
      <c r="W38" s="35">
        <v>0</v>
      </c>
      <c r="X38" s="35">
        <v>0</v>
      </c>
      <c r="Y38" s="16">
        <f t="shared" si="4"/>
        <v>0</v>
      </c>
      <c r="Z38" s="35">
        <v>500</v>
      </c>
      <c r="AA38" s="35">
        <v>500</v>
      </c>
      <c r="AB38" s="16">
        <f t="shared" si="5"/>
        <v>-29.376344086021504</v>
      </c>
      <c r="AC38" s="32" t="s">
        <v>82</v>
      </c>
      <c r="AD38" s="21"/>
      <c r="AE38" s="21"/>
      <c r="AF38" s="5">
        <v>1</v>
      </c>
    </row>
    <row r="39" spans="2:32" hidden="1" x14ac:dyDescent="0.35">
      <c r="B39" s="28" t="s">
        <v>331</v>
      </c>
      <c r="C39" s="29" t="s">
        <v>332</v>
      </c>
      <c r="D39" s="29" t="s">
        <v>333</v>
      </c>
      <c r="E39" s="29" t="s">
        <v>334</v>
      </c>
      <c r="F39" s="29" t="s">
        <v>335</v>
      </c>
      <c r="G39" s="29" t="s">
        <v>336</v>
      </c>
      <c r="H39" s="29" t="s">
        <v>160</v>
      </c>
      <c r="I39" s="30" t="s">
        <v>337</v>
      </c>
      <c r="J39" s="29" t="s">
        <v>82</v>
      </c>
      <c r="K39" s="35">
        <v>1000</v>
      </c>
      <c r="L39" s="35">
        <v>0</v>
      </c>
      <c r="M39" s="16">
        <f t="shared" si="0"/>
        <v>0</v>
      </c>
      <c r="N39" s="35">
        <v>500</v>
      </c>
      <c r="O39" s="35">
        <v>0</v>
      </c>
      <c r="P39" s="16">
        <f t="shared" si="1"/>
        <v>0</v>
      </c>
      <c r="Q39" s="35">
        <v>1000</v>
      </c>
      <c r="R39" s="35">
        <v>0</v>
      </c>
      <c r="S39" s="16">
        <f t="shared" si="2"/>
        <v>0</v>
      </c>
      <c r="T39" s="35">
        <v>500</v>
      </c>
      <c r="U39" s="35">
        <v>0</v>
      </c>
      <c r="V39" s="16">
        <f t="shared" si="3"/>
        <v>0</v>
      </c>
      <c r="W39" s="35">
        <v>500</v>
      </c>
      <c r="X39" s="35">
        <v>0</v>
      </c>
      <c r="Y39" s="16">
        <f t="shared" si="4"/>
        <v>0</v>
      </c>
      <c r="Z39" s="35">
        <v>0</v>
      </c>
      <c r="AA39" s="35">
        <v>0</v>
      </c>
      <c r="AB39" s="16">
        <f t="shared" si="5"/>
        <v>0</v>
      </c>
      <c r="AC39" s="32" t="s">
        <v>82</v>
      </c>
      <c r="AD39" s="21"/>
      <c r="AE39" s="21"/>
      <c r="AF39" s="5">
        <v>0</v>
      </c>
    </row>
    <row r="40" spans="2:32" hidden="1" x14ac:dyDescent="0.35">
      <c r="B40" s="25" t="s">
        <v>338</v>
      </c>
      <c r="C40" s="26" t="s">
        <v>339</v>
      </c>
      <c r="D40" s="26" t="s">
        <v>340</v>
      </c>
      <c r="E40" s="26" t="s">
        <v>341</v>
      </c>
      <c r="F40" s="26" t="s">
        <v>188</v>
      </c>
      <c r="G40" s="26" t="s">
        <v>342</v>
      </c>
      <c r="H40" s="26" t="s">
        <v>343</v>
      </c>
      <c r="I40" s="27" t="s">
        <v>344</v>
      </c>
      <c r="J40" s="26" t="s">
        <v>82</v>
      </c>
      <c r="K40" s="34">
        <v>1000</v>
      </c>
      <c r="L40" s="34">
        <v>1000</v>
      </c>
      <c r="M40" s="16">
        <f t="shared" si="0"/>
        <v>6397.4392523364486</v>
      </c>
      <c r="N40" s="34">
        <v>1000</v>
      </c>
      <c r="O40" s="34">
        <v>1000</v>
      </c>
      <c r="P40" s="16">
        <f t="shared" si="1"/>
        <v>-689.96638655462186</v>
      </c>
      <c r="Q40" s="34">
        <v>1000</v>
      </c>
      <c r="R40" s="34">
        <v>1000</v>
      </c>
      <c r="S40" s="16">
        <f t="shared" si="2"/>
        <v>-1681.860962566845</v>
      </c>
      <c r="T40" s="34">
        <v>500</v>
      </c>
      <c r="U40" s="34">
        <v>500</v>
      </c>
      <c r="V40" s="16">
        <f t="shared" si="3"/>
        <v>-9.761904761904761</v>
      </c>
      <c r="W40" s="34">
        <v>500</v>
      </c>
      <c r="X40" s="34">
        <v>500</v>
      </c>
      <c r="Y40" s="16">
        <f t="shared" si="4"/>
        <v>-7.8431372549019607E-2</v>
      </c>
      <c r="Z40" s="34">
        <v>500</v>
      </c>
      <c r="AA40" s="34">
        <v>500</v>
      </c>
      <c r="AB40" s="16">
        <f t="shared" si="5"/>
        <v>-29.376344086021504</v>
      </c>
      <c r="AC40" s="31" t="s">
        <v>82</v>
      </c>
      <c r="AF40" s="5">
        <v>1</v>
      </c>
    </row>
    <row r="41" spans="2:32" hidden="1" x14ac:dyDescent="0.35">
      <c r="B41" s="25" t="s">
        <v>345</v>
      </c>
      <c r="C41" s="26" t="s">
        <v>346</v>
      </c>
      <c r="D41" s="26" t="s">
        <v>347</v>
      </c>
      <c r="E41" s="26" t="s">
        <v>348</v>
      </c>
      <c r="F41" s="26" t="s">
        <v>349</v>
      </c>
      <c r="G41" s="26" t="s">
        <v>350</v>
      </c>
      <c r="H41" s="26" t="s">
        <v>351</v>
      </c>
      <c r="I41" s="27" t="s">
        <v>352</v>
      </c>
      <c r="J41" s="26" t="s">
        <v>82</v>
      </c>
      <c r="K41" s="34">
        <v>500</v>
      </c>
      <c r="L41" s="34">
        <v>500</v>
      </c>
      <c r="M41" s="16">
        <f t="shared" si="0"/>
        <v>3198.7196261682243</v>
      </c>
      <c r="N41" s="34">
        <v>500</v>
      </c>
      <c r="O41" s="34">
        <v>500</v>
      </c>
      <c r="P41" s="16">
        <f t="shared" si="1"/>
        <v>-344.98319327731093</v>
      </c>
      <c r="Q41" s="34">
        <v>500</v>
      </c>
      <c r="R41" s="34">
        <v>500</v>
      </c>
      <c r="S41" s="16">
        <f t="shared" si="2"/>
        <v>-840.93048128342252</v>
      </c>
      <c r="T41" s="34">
        <v>500</v>
      </c>
      <c r="U41" s="34">
        <v>500</v>
      </c>
      <c r="V41" s="16">
        <f t="shared" si="3"/>
        <v>-9.761904761904761</v>
      </c>
      <c r="W41" s="34">
        <v>500</v>
      </c>
      <c r="X41" s="34">
        <v>500</v>
      </c>
      <c r="Y41" s="16">
        <f t="shared" si="4"/>
        <v>-7.8431372549019607E-2</v>
      </c>
      <c r="Z41" s="34">
        <v>500</v>
      </c>
      <c r="AA41" s="34">
        <v>500</v>
      </c>
      <c r="AB41" s="16">
        <f t="shared" si="5"/>
        <v>-29.376344086021504</v>
      </c>
      <c r="AC41" s="31" t="s">
        <v>82</v>
      </c>
      <c r="AD41" s="21"/>
      <c r="AE41" s="21"/>
      <c r="AF41" s="5">
        <v>1</v>
      </c>
    </row>
    <row r="42" spans="2:32" hidden="1" x14ac:dyDescent="0.35">
      <c r="B42" s="28" t="s">
        <v>353</v>
      </c>
      <c r="C42" s="29" t="s">
        <v>354</v>
      </c>
      <c r="D42" s="29" t="s">
        <v>355</v>
      </c>
      <c r="E42" s="29" t="s">
        <v>356</v>
      </c>
      <c r="F42" s="29" t="s">
        <v>357</v>
      </c>
      <c r="G42" s="29" t="s">
        <v>358</v>
      </c>
      <c r="H42" s="29" t="s">
        <v>160</v>
      </c>
      <c r="I42" s="30" t="s">
        <v>359</v>
      </c>
      <c r="J42" s="29" t="s">
        <v>82</v>
      </c>
      <c r="K42" s="35">
        <v>1000</v>
      </c>
      <c r="L42" s="35">
        <v>0</v>
      </c>
      <c r="M42" s="16">
        <f t="shared" si="0"/>
        <v>0</v>
      </c>
      <c r="N42" s="35">
        <v>500</v>
      </c>
      <c r="O42" s="35">
        <v>0</v>
      </c>
      <c r="P42" s="16">
        <f t="shared" si="1"/>
        <v>0</v>
      </c>
      <c r="Q42" s="35">
        <v>1000</v>
      </c>
      <c r="R42" s="35">
        <v>0</v>
      </c>
      <c r="S42" s="16">
        <f t="shared" si="2"/>
        <v>0</v>
      </c>
      <c r="T42" s="35">
        <v>0</v>
      </c>
      <c r="U42" s="35">
        <v>0</v>
      </c>
      <c r="V42" s="16">
        <f t="shared" si="3"/>
        <v>0</v>
      </c>
      <c r="W42" s="35">
        <v>0</v>
      </c>
      <c r="X42" s="35">
        <v>0</v>
      </c>
      <c r="Y42" s="16">
        <f t="shared" si="4"/>
        <v>0</v>
      </c>
      <c r="Z42" s="35">
        <v>0</v>
      </c>
      <c r="AA42" s="35">
        <v>0</v>
      </c>
      <c r="AB42" s="16">
        <f t="shared" si="5"/>
        <v>0</v>
      </c>
      <c r="AC42" s="32" t="s">
        <v>82</v>
      </c>
      <c r="AD42" s="21"/>
      <c r="AE42" s="21"/>
      <c r="AF42" s="5">
        <v>0</v>
      </c>
    </row>
    <row r="43" spans="2:32" hidden="1" x14ac:dyDescent="0.35">
      <c r="B43" s="25" t="s">
        <v>360</v>
      </c>
      <c r="C43" s="26" t="s">
        <v>361</v>
      </c>
      <c r="D43" s="26" t="s">
        <v>362</v>
      </c>
      <c r="E43" s="26" t="s">
        <v>363</v>
      </c>
      <c r="F43" s="26" t="s">
        <v>364</v>
      </c>
      <c r="G43" s="26" t="s">
        <v>365</v>
      </c>
      <c r="H43" s="26" t="s">
        <v>322</v>
      </c>
      <c r="I43" s="27" t="s">
        <v>366</v>
      </c>
      <c r="J43" s="26" t="s">
        <v>82</v>
      </c>
      <c r="K43" s="34">
        <v>2250</v>
      </c>
      <c r="L43" s="34">
        <v>0</v>
      </c>
      <c r="M43" s="16">
        <f t="shared" si="0"/>
        <v>0</v>
      </c>
      <c r="N43" s="34">
        <v>2250</v>
      </c>
      <c r="O43" s="34">
        <v>0</v>
      </c>
      <c r="P43" s="16">
        <f t="shared" si="1"/>
        <v>0</v>
      </c>
      <c r="Q43" s="34">
        <v>2250</v>
      </c>
      <c r="R43" s="34">
        <v>0</v>
      </c>
      <c r="S43" s="16">
        <f t="shared" si="2"/>
        <v>0</v>
      </c>
      <c r="T43" s="34">
        <v>0</v>
      </c>
      <c r="U43" s="34">
        <v>0</v>
      </c>
      <c r="V43" s="16">
        <f t="shared" si="3"/>
        <v>0</v>
      </c>
      <c r="W43" s="34">
        <v>0</v>
      </c>
      <c r="X43" s="34">
        <v>0</v>
      </c>
      <c r="Y43" s="16">
        <f t="shared" si="4"/>
        <v>0</v>
      </c>
      <c r="Z43" s="34">
        <v>0</v>
      </c>
      <c r="AA43" s="34">
        <v>0</v>
      </c>
      <c r="AB43" s="16">
        <f t="shared" si="5"/>
        <v>0</v>
      </c>
      <c r="AC43" s="31" t="s">
        <v>82</v>
      </c>
      <c r="AD43" s="21"/>
      <c r="AE43" s="21"/>
      <c r="AF43" s="5">
        <v>0</v>
      </c>
    </row>
    <row r="44" spans="2:32" hidden="1" x14ac:dyDescent="0.35">
      <c r="B44" s="25" t="s">
        <v>367</v>
      </c>
      <c r="C44" s="26" t="s">
        <v>368</v>
      </c>
      <c r="D44" s="26" t="s">
        <v>369</v>
      </c>
      <c r="E44" s="26" t="s">
        <v>370</v>
      </c>
      <c r="F44" s="26" t="s">
        <v>188</v>
      </c>
      <c r="G44" s="26" t="s">
        <v>371</v>
      </c>
      <c r="H44" s="26" t="s">
        <v>204</v>
      </c>
      <c r="I44" s="27" t="s">
        <v>372</v>
      </c>
      <c r="J44" s="26" t="s">
        <v>82</v>
      </c>
      <c r="K44" s="34">
        <v>500</v>
      </c>
      <c r="L44" s="34">
        <v>0</v>
      </c>
      <c r="M44" s="16">
        <f t="shared" si="0"/>
        <v>0</v>
      </c>
      <c r="N44" s="34">
        <v>500</v>
      </c>
      <c r="O44" s="34">
        <v>0</v>
      </c>
      <c r="P44" s="16">
        <f t="shared" si="1"/>
        <v>0</v>
      </c>
      <c r="Q44" s="34">
        <v>500</v>
      </c>
      <c r="R44" s="34">
        <v>0</v>
      </c>
      <c r="S44" s="16">
        <f t="shared" si="2"/>
        <v>0</v>
      </c>
      <c r="T44" s="34">
        <v>0</v>
      </c>
      <c r="U44" s="34">
        <v>0</v>
      </c>
      <c r="V44" s="16">
        <f t="shared" si="3"/>
        <v>0</v>
      </c>
      <c r="W44" s="34">
        <v>0</v>
      </c>
      <c r="X44" s="34">
        <v>0</v>
      </c>
      <c r="Y44" s="16">
        <f t="shared" si="4"/>
        <v>0</v>
      </c>
      <c r="Z44" s="34">
        <v>0</v>
      </c>
      <c r="AA44" s="34">
        <v>0</v>
      </c>
      <c r="AB44" s="16">
        <f t="shared" si="5"/>
        <v>0</v>
      </c>
      <c r="AC44" s="31" t="s">
        <v>82</v>
      </c>
      <c r="AF44" s="5">
        <v>0</v>
      </c>
    </row>
    <row r="45" spans="2:32" hidden="1" x14ac:dyDescent="0.35">
      <c r="B45" s="25" t="s">
        <v>373</v>
      </c>
      <c r="C45" s="26" t="s">
        <v>374</v>
      </c>
      <c r="D45" s="26" t="s">
        <v>375</v>
      </c>
      <c r="E45" s="26" t="s">
        <v>376</v>
      </c>
      <c r="F45" s="26" t="s">
        <v>377</v>
      </c>
      <c r="G45" s="26" t="s">
        <v>378</v>
      </c>
      <c r="H45" s="26" t="s">
        <v>379</v>
      </c>
      <c r="I45" s="27" t="s">
        <v>380</v>
      </c>
      <c r="J45" s="26" t="s">
        <v>82</v>
      </c>
      <c r="K45" s="34">
        <v>1000</v>
      </c>
      <c r="L45" s="34">
        <v>1000</v>
      </c>
      <c r="M45" s="16">
        <f t="shared" si="0"/>
        <v>6397.4392523364486</v>
      </c>
      <c r="N45" s="34">
        <v>1000</v>
      </c>
      <c r="O45" s="34">
        <v>1000</v>
      </c>
      <c r="P45" s="16">
        <f t="shared" si="1"/>
        <v>-689.96638655462186</v>
      </c>
      <c r="Q45" s="34">
        <v>1000</v>
      </c>
      <c r="R45" s="34">
        <v>1000</v>
      </c>
      <c r="S45" s="16">
        <f t="shared" si="2"/>
        <v>-1681.860962566845</v>
      </c>
      <c r="T45" s="34">
        <v>1000</v>
      </c>
      <c r="U45" s="34">
        <v>1000</v>
      </c>
      <c r="V45" s="16">
        <f t="shared" si="3"/>
        <v>-19.523809523809522</v>
      </c>
      <c r="W45" s="34">
        <v>1500</v>
      </c>
      <c r="X45" s="34">
        <v>1500</v>
      </c>
      <c r="Y45" s="16">
        <f t="shared" si="4"/>
        <v>-0.23529411764705882</v>
      </c>
      <c r="Z45" s="34">
        <v>1000</v>
      </c>
      <c r="AA45" s="34">
        <v>1000</v>
      </c>
      <c r="AB45" s="16">
        <f t="shared" si="5"/>
        <v>-58.752688172043008</v>
      </c>
      <c r="AC45" s="31" t="s">
        <v>82</v>
      </c>
      <c r="AD45" s="21"/>
      <c r="AE45" s="21"/>
      <c r="AF45" s="5">
        <v>1</v>
      </c>
    </row>
    <row r="46" spans="2:32" hidden="1" x14ac:dyDescent="0.35">
      <c r="B46" s="28" t="s">
        <v>381</v>
      </c>
      <c r="C46" s="29" t="s">
        <v>382</v>
      </c>
      <c r="D46" s="29" t="s">
        <v>383</v>
      </c>
      <c r="E46" s="29" t="s">
        <v>384</v>
      </c>
      <c r="F46" s="29" t="s">
        <v>188</v>
      </c>
      <c r="G46" s="29" t="s">
        <v>385</v>
      </c>
      <c r="H46" s="29" t="s">
        <v>160</v>
      </c>
      <c r="I46" s="30" t="s">
        <v>386</v>
      </c>
      <c r="J46" s="29" t="s">
        <v>82</v>
      </c>
      <c r="K46" s="35">
        <v>2250</v>
      </c>
      <c r="L46" s="35">
        <v>0</v>
      </c>
      <c r="M46" s="16">
        <f t="shared" si="0"/>
        <v>0</v>
      </c>
      <c r="N46" s="35">
        <v>0</v>
      </c>
      <c r="O46" s="35">
        <v>0</v>
      </c>
      <c r="P46" s="16">
        <f t="shared" si="1"/>
        <v>0</v>
      </c>
      <c r="Q46" s="35">
        <v>2250</v>
      </c>
      <c r="R46" s="35">
        <v>0</v>
      </c>
      <c r="S46" s="16">
        <f t="shared" si="2"/>
        <v>0</v>
      </c>
      <c r="T46" s="35">
        <v>0</v>
      </c>
      <c r="U46" s="35">
        <v>0</v>
      </c>
      <c r="V46" s="16">
        <f t="shared" si="3"/>
        <v>0</v>
      </c>
      <c r="W46" s="35">
        <v>0</v>
      </c>
      <c r="X46" s="35">
        <v>0</v>
      </c>
      <c r="Y46" s="16">
        <f t="shared" si="4"/>
        <v>0</v>
      </c>
      <c r="Z46" s="35">
        <v>0</v>
      </c>
      <c r="AA46" s="35">
        <v>0</v>
      </c>
      <c r="AB46" s="16">
        <f t="shared" si="5"/>
        <v>0</v>
      </c>
      <c r="AC46" s="32" t="s">
        <v>82</v>
      </c>
      <c r="AD46" s="21"/>
      <c r="AE46" s="21"/>
      <c r="AF46" s="5">
        <v>0</v>
      </c>
    </row>
    <row r="47" spans="2:32" x14ac:dyDescent="0.35">
      <c r="B47" s="28" t="s">
        <v>387</v>
      </c>
      <c r="C47" s="29" t="s">
        <v>388</v>
      </c>
      <c r="D47" s="29" t="s">
        <v>389</v>
      </c>
      <c r="E47" s="29" t="s">
        <v>390</v>
      </c>
      <c r="F47" s="29" t="s">
        <v>391</v>
      </c>
      <c r="G47" s="29" t="s">
        <v>392</v>
      </c>
      <c r="H47" s="29" t="s">
        <v>204</v>
      </c>
      <c r="I47" s="30" t="s">
        <v>393</v>
      </c>
      <c r="J47" s="29" t="s">
        <v>82</v>
      </c>
      <c r="K47" s="35">
        <v>500</v>
      </c>
      <c r="L47" s="35">
        <v>500</v>
      </c>
      <c r="M47" s="38">
        <f t="shared" si="0"/>
        <v>3198.7196261682243</v>
      </c>
      <c r="N47" s="35">
        <v>500</v>
      </c>
      <c r="O47" s="35">
        <v>500</v>
      </c>
      <c r="P47" s="16">
        <f t="shared" si="1"/>
        <v>-344.98319327731093</v>
      </c>
      <c r="Q47" s="35">
        <v>500</v>
      </c>
      <c r="R47" s="35">
        <v>500</v>
      </c>
      <c r="S47" s="16">
        <f t="shared" si="2"/>
        <v>-840.93048128342252</v>
      </c>
      <c r="T47" s="35">
        <v>500</v>
      </c>
      <c r="U47" s="35">
        <v>500</v>
      </c>
      <c r="V47" s="16">
        <f t="shared" si="3"/>
        <v>-9.761904761904761</v>
      </c>
      <c r="W47" s="35">
        <v>500</v>
      </c>
      <c r="X47" s="35">
        <v>500</v>
      </c>
      <c r="Y47" s="16">
        <f t="shared" si="4"/>
        <v>-7.8431372549019607E-2</v>
      </c>
      <c r="Z47" s="35">
        <v>500</v>
      </c>
      <c r="AA47" s="35">
        <v>500</v>
      </c>
      <c r="AB47" s="16">
        <f t="shared" si="5"/>
        <v>-29.376344086021504</v>
      </c>
      <c r="AC47" s="32" t="s">
        <v>91</v>
      </c>
      <c r="AD47" s="21"/>
      <c r="AE47" s="21"/>
      <c r="AF47" s="22">
        <v>1</v>
      </c>
    </row>
    <row r="48" spans="2:32" hidden="1" x14ac:dyDescent="0.35">
      <c r="B48" s="28" t="s">
        <v>394</v>
      </c>
      <c r="C48" s="29" t="s">
        <v>395</v>
      </c>
      <c r="D48" s="29" t="s">
        <v>396</v>
      </c>
      <c r="E48" s="29" t="s">
        <v>397</v>
      </c>
      <c r="F48" s="29" t="s">
        <v>398</v>
      </c>
      <c r="G48" s="29" t="s">
        <v>399</v>
      </c>
      <c r="H48" s="29" t="s">
        <v>400</v>
      </c>
      <c r="I48" s="30" t="s">
        <v>401</v>
      </c>
      <c r="J48" s="29" t="s">
        <v>82</v>
      </c>
      <c r="K48" s="35">
        <v>2250</v>
      </c>
      <c r="L48" s="35">
        <v>0</v>
      </c>
      <c r="M48" s="16">
        <f t="shared" si="0"/>
        <v>0</v>
      </c>
      <c r="N48" s="35">
        <v>1000</v>
      </c>
      <c r="O48" s="35">
        <v>0</v>
      </c>
      <c r="P48" s="16">
        <f t="shared" si="1"/>
        <v>0</v>
      </c>
      <c r="Q48" s="35">
        <v>0</v>
      </c>
      <c r="R48" s="35">
        <v>0</v>
      </c>
      <c r="S48" s="16">
        <f t="shared" si="2"/>
        <v>0</v>
      </c>
      <c r="T48" s="35">
        <v>0</v>
      </c>
      <c r="U48" s="35">
        <v>0</v>
      </c>
      <c r="V48" s="16">
        <f t="shared" si="3"/>
        <v>0</v>
      </c>
      <c r="W48" s="35">
        <v>500</v>
      </c>
      <c r="X48" s="35">
        <v>0</v>
      </c>
      <c r="Y48" s="16">
        <f t="shared" si="4"/>
        <v>0</v>
      </c>
      <c r="Z48" s="35">
        <v>0</v>
      </c>
      <c r="AA48" s="35">
        <v>0</v>
      </c>
      <c r="AB48" s="16">
        <f t="shared" si="5"/>
        <v>0</v>
      </c>
      <c r="AC48" s="32" t="s">
        <v>82</v>
      </c>
      <c r="AD48" s="21"/>
      <c r="AE48" s="21"/>
      <c r="AF48" s="5">
        <v>0</v>
      </c>
    </row>
    <row r="49" spans="2:32" x14ac:dyDescent="0.35">
      <c r="B49" s="28" t="s">
        <v>402</v>
      </c>
      <c r="C49" s="29" t="s">
        <v>403</v>
      </c>
      <c r="D49" s="29" t="s">
        <v>404</v>
      </c>
      <c r="E49" s="29" t="s">
        <v>405</v>
      </c>
      <c r="F49" s="29" t="s">
        <v>188</v>
      </c>
      <c r="G49" s="29" t="s">
        <v>406</v>
      </c>
      <c r="H49" s="29" t="s">
        <v>343</v>
      </c>
      <c r="I49" s="30" t="s">
        <v>407</v>
      </c>
      <c r="J49" s="29" t="s">
        <v>82</v>
      </c>
      <c r="K49" s="35">
        <v>0</v>
      </c>
      <c r="L49" s="35">
        <v>0</v>
      </c>
      <c r="M49" s="38">
        <f t="shared" si="0"/>
        <v>0</v>
      </c>
      <c r="N49" s="35">
        <v>2250</v>
      </c>
      <c r="O49" s="35">
        <v>2250</v>
      </c>
      <c r="P49" s="16">
        <f t="shared" si="1"/>
        <v>-1552.4243697478992</v>
      </c>
      <c r="Q49" s="35">
        <v>0</v>
      </c>
      <c r="R49" s="35">
        <v>0</v>
      </c>
      <c r="S49" s="16">
        <f t="shared" si="2"/>
        <v>0</v>
      </c>
      <c r="T49" s="35">
        <v>0</v>
      </c>
      <c r="U49" s="35">
        <v>0</v>
      </c>
      <c r="V49" s="16">
        <f t="shared" si="3"/>
        <v>0</v>
      </c>
      <c r="W49" s="35">
        <v>0</v>
      </c>
      <c r="X49" s="35">
        <v>0</v>
      </c>
      <c r="Y49" s="16">
        <f t="shared" si="4"/>
        <v>0</v>
      </c>
      <c r="Z49" s="35">
        <v>0</v>
      </c>
      <c r="AA49" s="35">
        <v>0</v>
      </c>
      <c r="AB49" s="16">
        <f t="shared" si="5"/>
        <v>0</v>
      </c>
      <c r="AC49" s="32" t="s">
        <v>91</v>
      </c>
      <c r="AD49" s="21"/>
      <c r="AE49" s="21"/>
      <c r="AF49" s="22">
        <v>1</v>
      </c>
    </row>
    <row r="50" spans="2:32" x14ac:dyDescent="0.35">
      <c r="B50" s="28" t="s">
        <v>408</v>
      </c>
      <c r="C50" s="29" t="s">
        <v>409</v>
      </c>
      <c r="D50" s="29" t="s">
        <v>410</v>
      </c>
      <c r="E50" s="29" t="s">
        <v>411</v>
      </c>
      <c r="F50" s="29" t="s">
        <v>412</v>
      </c>
      <c r="G50" s="29" t="s">
        <v>413</v>
      </c>
      <c r="H50" s="29" t="s">
        <v>160</v>
      </c>
      <c r="I50" s="30" t="s">
        <v>414</v>
      </c>
      <c r="J50" s="29" t="s">
        <v>82</v>
      </c>
      <c r="K50" s="35">
        <v>500</v>
      </c>
      <c r="L50" s="35">
        <v>500</v>
      </c>
      <c r="M50" s="38">
        <f t="shared" si="0"/>
        <v>3198.7196261682243</v>
      </c>
      <c r="N50" s="35">
        <v>500</v>
      </c>
      <c r="O50" s="35">
        <v>500</v>
      </c>
      <c r="P50" s="16">
        <f t="shared" si="1"/>
        <v>-344.98319327731093</v>
      </c>
      <c r="Q50" s="35">
        <v>500</v>
      </c>
      <c r="R50" s="35">
        <v>500</v>
      </c>
      <c r="S50" s="16">
        <f t="shared" si="2"/>
        <v>-840.93048128342252</v>
      </c>
      <c r="T50" s="35">
        <v>500</v>
      </c>
      <c r="U50" s="35">
        <v>500</v>
      </c>
      <c r="V50" s="16">
        <f t="shared" si="3"/>
        <v>-9.761904761904761</v>
      </c>
      <c r="W50" s="35">
        <v>500</v>
      </c>
      <c r="X50" s="35">
        <v>500</v>
      </c>
      <c r="Y50" s="16">
        <f t="shared" si="4"/>
        <v>-7.8431372549019607E-2</v>
      </c>
      <c r="Z50" s="35">
        <v>500</v>
      </c>
      <c r="AA50" s="35">
        <v>500</v>
      </c>
      <c r="AB50" s="16">
        <f t="shared" si="5"/>
        <v>-29.376344086021504</v>
      </c>
      <c r="AC50" s="32" t="s">
        <v>91</v>
      </c>
      <c r="AD50" s="21"/>
      <c r="AE50" s="21"/>
      <c r="AF50" s="22">
        <v>1</v>
      </c>
    </row>
    <row r="51" spans="2:32" hidden="1" x14ac:dyDescent="0.35">
      <c r="B51" s="28" t="s">
        <v>415</v>
      </c>
      <c r="C51" s="29" t="s">
        <v>416</v>
      </c>
      <c r="D51" s="29" t="s">
        <v>417</v>
      </c>
      <c r="E51" s="29" t="s">
        <v>418</v>
      </c>
      <c r="F51" s="29" t="s">
        <v>419</v>
      </c>
      <c r="G51" s="29" t="s">
        <v>420</v>
      </c>
      <c r="H51" s="29" t="s">
        <v>421</v>
      </c>
      <c r="I51" s="30" t="s">
        <v>422</v>
      </c>
      <c r="J51" s="29" t="s">
        <v>82</v>
      </c>
      <c r="K51" s="35">
        <v>500</v>
      </c>
      <c r="L51" s="35">
        <v>500</v>
      </c>
      <c r="M51" s="16">
        <f t="shared" si="0"/>
        <v>3198.7196261682243</v>
      </c>
      <c r="N51" s="35">
        <v>500</v>
      </c>
      <c r="O51" s="35">
        <v>500</v>
      </c>
      <c r="P51" s="16">
        <f t="shared" si="1"/>
        <v>-344.98319327731093</v>
      </c>
      <c r="Q51" s="35">
        <v>500</v>
      </c>
      <c r="R51" s="35">
        <v>500</v>
      </c>
      <c r="S51" s="16">
        <f t="shared" si="2"/>
        <v>-840.93048128342252</v>
      </c>
      <c r="T51" s="35">
        <v>0</v>
      </c>
      <c r="U51" s="35">
        <v>0</v>
      </c>
      <c r="V51" s="16">
        <f t="shared" si="3"/>
        <v>0</v>
      </c>
      <c r="W51" s="35">
        <v>0</v>
      </c>
      <c r="X51" s="35">
        <v>0</v>
      </c>
      <c r="Y51" s="16">
        <f t="shared" si="4"/>
        <v>0</v>
      </c>
      <c r="Z51" s="35">
        <v>0</v>
      </c>
      <c r="AA51" s="35">
        <v>0</v>
      </c>
      <c r="AB51" s="16">
        <f t="shared" si="5"/>
        <v>0</v>
      </c>
      <c r="AC51" s="32" t="s">
        <v>82</v>
      </c>
      <c r="AD51" s="21"/>
      <c r="AE51" s="21"/>
      <c r="AF51" s="5" t="s">
        <v>83</v>
      </c>
    </row>
    <row r="52" spans="2:32" hidden="1" x14ac:dyDescent="0.35">
      <c r="B52" s="25" t="s">
        <v>423</v>
      </c>
      <c r="C52" s="26" t="s">
        <v>424</v>
      </c>
      <c r="D52" s="26" t="s">
        <v>425</v>
      </c>
      <c r="E52" s="26" t="s">
        <v>426</v>
      </c>
      <c r="F52" s="26" t="s">
        <v>427</v>
      </c>
      <c r="G52" s="26" t="s">
        <v>428</v>
      </c>
      <c r="H52" s="26" t="s">
        <v>429</v>
      </c>
      <c r="I52" s="27" t="s">
        <v>430</v>
      </c>
      <c r="J52" s="26" t="s">
        <v>82</v>
      </c>
      <c r="K52" s="34">
        <v>1000</v>
      </c>
      <c r="L52" s="37">
        <v>0</v>
      </c>
      <c r="M52" s="16">
        <f t="shared" si="0"/>
        <v>0</v>
      </c>
      <c r="N52" s="34">
        <v>0</v>
      </c>
      <c r="O52" s="34">
        <v>0</v>
      </c>
      <c r="P52" s="16">
        <f t="shared" si="1"/>
        <v>0</v>
      </c>
      <c r="Q52" s="34">
        <v>1000</v>
      </c>
      <c r="R52" s="37">
        <v>0</v>
      </c>
      <c r="S52" s="16">
        <f t="shared" si="2"/>
        <v>0</v>
      </c>
      <c r="T52" s="34">
        <v>0</v>
      </c>
      <c r="U52" s="34">
        <v>0</v>
      </c>
      <c r="V52" s="16">
        <f t="shared" si="3"/>
        <v>0</v>
      </c>
      <c r="W52" s="34">
        <v>500</v>
      </c>
      <c r="X52" s="34">
        <v>500</v>
      </c>
      <c r="Y52" s="16">
        <f t="shared" si="4"/>
        <v>-7.8431372549019607E-2</v>
      </c>
      <c r="Z52" s="34">
        <v>0</v>
      </c>
      <c r="AA52" s="34">
        <v>0</v>
      </c>
      <c r="AB52" s="16">
        <f t="shared" si="5"/>
        <v>0</v>
      </c>
      <c r="AC52" s="31" t="s">
        <v>91</v>
      </c>
      <c r="AD52" s="21"/>
      <c r="AE52" s="21"/>
      <c r="AF52" s="5" t="s">
        <v>83</v>
      </c>
    </row>
    <row r="53" spans="2:32" x14ac:dyDescent="0.35">
      <c r="B53" s="28" t="s">
        <v>431</v>
      </c>
      <c r="C53" s="29" t="s">
        <v>432</v>
      </c>
      <c r="D53" s="29" t="s">
        <v>433</v>
      </c>
      <c r="E53" s="29" t="s">
        <v>434</v>
      </c>
      <c r="F53" s="29" t="s">
        <v>313</v>
      </c>
      <c r="G53" s="29" t="s">
        <v>435</v>
      </c>
      <c r="H53" s="29" t="s">
        <v>160</v>
      </c>
      <c r="I53" s="30" t="s">
        <v>436</v>
      </c>
      <c r="J53" s="29" t="s">
        <v>82</v>
      </c>
      <c r="K53" s="35">
        <v>500</v>
      </c>
      <c r="L53" s="35">
        <v>500</v>
      </c>
      <c r="M53" s="38">
        <f t="shared" si="0"/>
        <v>3198.7196261682243</v>
      </c>
      <c r="N53" s="35">
        <v>0</v>
      </c>
      <c r="O53" s="35">
        <v>0</v>
      </c>
      <c r="P53" s="16">
        <f t="shared" si="1"/>
        <v>0</v>
      </c>
      <c r="Q53" s="35">
        <v>0</v>
      </c>
      <c r="R53" s="35">
        <v>0</v>
      </c>
      <c r="S53" s="16">
        <f t="shared" si="2"/>
        <v>0</v>
      </c>
      <c r="T53" s="35">
        <v>0</v>
      </c>
      <c r="U53" s="35">
        <v>0</v>
      </c>
      <c r="V53" s="16">
        <f t="shared" si="3"/>
        <v>0</v>
      </c>
      <c r="W53" s="35">
        <v>0</v>
      </c>
      <c r="X53" s="35">
        <v>0</v>
      </c>
      <c r="Y53" s="16">
        <f t="shared" si="4"/>
        <v>0</v>
      </c>
      <c r="Z53" s="35">
        <v>0</v>
      </c>
      <c r="AA53" s="35">
        <v>0</v>
      </c>
      <c r="AB53" s="16">
        <f t="shared" si="5"/>
        <v>0</v>
      </c>
      <c r="AC53" s="32" t="s">
        <v>91</v>
      </c>
      <c r="AF53" s="5">
        <v>1</v>
      </c>
    </row>
    <row r="54" spans="2:32" hidden="1" x14ac:dyDescent="0.35">
      <c r="B54" s="25" t="s">
        <v>437</v>
      </c>
      <c r="C54" s="26" t="s">
        <v>438</v>
      </c>
      <c r="D54" s="26" t="s">
        <v>439</v>
      </c>
      <c r="E54" s="26" t="s">
        <v>440</v>
      </c>
      <c r="F54" s="26" t="s">
        <v>441</v>
      </c>
      <c r="G54" s="26" t="s">
        <v>442</v>
      </c>
      <c r="H54" s="26" t="s">
        <v>80</v>
      </c>
      <c r="I54" s="27" t="s">
        <v>443</v>
      </c>
      <c r="J54" s="26" t="s">
        <v>82</v>
      </c>
      <c r="K54" s="34">
        <v>500</v>
      </c>
      <c r="L54" s="34">
        <v>500</v>
      </c>
      <c r="M54" s="16">
        <f t="shared" si="0"/>
        <v>3198.7196261682243</v>
      </c>
      <c r="N54" s="34">
        <v>500</v>
      </c>
      <c r="O54" s="34">
        <v>500</v>
      </c>
      <c r="P54" s="16">
        <f t="shared" si="1"/>
        <v>-344.98319327731093</v>
      </c>
      <c r="Q54" s="34">
        <v>500</v>
      </c>
      <c r="R54" s="34">
        <v>500</v>
      </c>
      <c r="S54" s="16">
        <f t="shared" si="2"/>
        <v>-840.93048128342252</v>
      </c>
      <c r="T54" s="34">
        <v>500</v>
      </c>
      <c r="U54" s="34">
        <v>500</v>
      </c>
      <c r="V54" s="16">
        <f t="shared" si="3"/>
        <v>-9.761904761904761</v>
      </c>
      <c r="W54" s="34">
        <v>500</v>
      </c>
      <c r="X54" s="34">
        <v>500</v>
      </c>
      <c r="Y54" s="16">
        <f t="shared" si="4"/>
        <v>-7.8431372549019607E-2</v>
      </c>
      <c r="Z54" s="34">
        <v>500</v>
      </c>
      <c r="AA54" s="34">
        <v>500</v>
      </c>
      <c r="AB54" s="16">
        <f t="shared" si="5"/>
        <v>-29.376344086021504</v>
      </c>
      <c r="AC54" s="31" t="s">
        <v>91</v>
      </c>
      <c r="AD54" s="21"/>
      <c r="AE54" s="21"/>
      <c r="AF54" s="5" t="s">
        <v>83</v>
      </c>
    </row>
    <row r="55" spans="2:32" hidden="1" x14ac:dyDescent="0.35">
      <c r="B55" s="28" t="s">
        <v>444</v>
      </c>
      <c r="C55" s="29" t="s">
        <v>445</v>
      </c>
      <c r="D55" s="29" t="s">
        <v>446</v>
      </c>
      <c r="E55" s="29" t="s">
        <v>447</v>
      </c>
      <c r="F55" s="29" t="s">
        <v>188</v>
      </c>
      <c r="G55" s="29" t="s">
        <v>448</v>
      </c>
      <c r="H55" s="29" t="s">
        <v>160</v>
      </c>
      <c r="I55" s="30" t="s">
        <v>449</v>
      </c>
      <c r="J55" s="29" t="s">
        <v>82</v>
      </c>
      <c r="K55" s="35">
        <v>500</v>
      </c>
      <c r="L55" s="35">
        <v>0</v>
      </c>
      <c r="M55" s="16">
        <f t="shared" si="0"/>
        <v>0</v>
      </c>
      <c r="N55" s="35">
        <v>500</v>
      </c>
      <c r="O55" s="35">
        <v>0</v>
      </c>
      <c r="P55" s="16">
        <f t="shared" si="1"/>
        <v>0</v>
      </c>
      <c r="Q55" s="35">
        <v>0</v>
      </c>
      <c r="R55" s="35">
        <v>0</v>
      </c>
      <c r="S55" s="16">
        <f t="shared" si="2"/>
        <v>0</v>
      </c>
      <c r="T55" s="35">
        <v>0</v>
      </c>
      <c r="U55" s="35">
        <v>0</v>
      </c>
      <c r="V55" s="16">
        <f t="shared" si="3"/>
        <v>0</v>
      </c>
      <c r="W55" s="35">
        <v>0</v>
      </c>
      <c r="X55" s="35">
        <v>0</v>
      </c>
      <c r="Y55" s="16">
        <f t="shared" si="4"/>
        <v>0</v>
      </c>
      <c r="Z55" s="35">
        <v>0</v>
      </c>
      <c r="AA55" s="35">
        <v>0</v>
      </c>
      <c r="AB55" s="16">
        <f t="shared" si="5"/>
        <v>0</v>
      </c>
      <c r="AC55" s="32" t="s">
        <v>82</v>
      </c>
      <c r="AD55" s="21"/>
      <c r="AE55" s="21"/>
      <c r="AF55" s="5">
        <v>0</v>
      </c>
    </row>
    <row r="56" spans="2:32" hidden="1" x14ac:dyDescent="0.35">
      <c r="B56" s="25" t="s">
        <v>450</v>
      </c>
      <c r="C56" s="26" t="s">
        <v>451</v>
      </c>
      <c r="D56" s="26" t="s">
        <v>452</v>
      </c>
      <c r="E56" s="26" t="s">
        <v>453</v>
      </c>
      <c r="F56" s="26" t="s">
        <v>454</v>
      </c>
      <c r="G56" s="26" t="s">
        <v>455</v>
      </c>
      <c r="H56" s="26" t="s">
        <v>351</v>
      </c>
      <c r="I56" s="27" t="s">
        <v>456</v>
      </c>
      <c r="J56" s="26" t="s">
        <v>91</v>
      </c>
      <c r="K56" s="34"/>
      <c r="L56" s="34"/>
      <c r="M56" s="16">
        <f t="shared" si="0"/>
        <v>0</v>
      </c>
      <c r="N56" s="34"/>
      <c r="O56" s="34"/>
      <c r="P56" s="16">
        <f t="shared" si="1"/>
        <v>0</v>
      </c>
      <c r="Q56" s="34"/>
      <c r="R56" s="34"/>
      <c r="S56" s="16">
        <f t="shared" si="2"/>
        <v>0</v>
      </c>
      <c r="T56" s="34"/>
      <c r="U56" s="34"/>
      <c r="V56" s="16">
        <f t="shared" si="3"/>
        <v>0</v>
      </c>
      <c r="W56" s="34"/>
      <c r="X56" s="34"/>
      <c r="Y56" s="16">
        <f t="shared" si="4"/>
        <v>0</v>
      </c>
      <c r="Z56" s="34"/>
      <c r="AA56" s="34"/>
      <c r="AB56" s="16">
        <f t="shared" si="5"/>
        <v>0</v>
      </c>
      <c r="AC56" s="31"/>
      <c r="AD56" s="21"/>
      <c r="AE56" s="21"/>
      <c r="AF56" s="5">
        <v>1</v>
      </c>
    </row>
    <row r="57" spans="2:32" hidden="1" x14ac:dyDescent="0.35">
      <c r="B57" s="28" t="s">
        <v>457</v>
      </c>
      <c r="C57" s="29" t="s">
        <v>458</v>
      </c>
      <c r="D57" s="29" t="s">
        <v>459</v>
      </c>
      <c r="E57" s="29" t="s">
        <v>460</v>
      </c>
      <c r="F57" s="29" t="s">
        <v>180</v>
      </c>
      <c r="G57" s="29" t="s">
        <v>461</v>
      </c>
      <c r="H57" s="29" t="s">
        <v>351</v>
      </c>
      <c r="I57" s="30" t="s">
        <v>462</v>
      </c>
      <c r="J57" s="29" t="s">
        <v>82</v>
      </c>
      <c r="K57" s="35">
        <v>1000</v>
      </c>
      <c r="L57" s="35">
        <v>1000</v>
      </c>
      <c r="M57" s="16">
        <f t="shared" si="0"/>
        <v>6397.4392523364486</v>
      </c>
      <c r="N57" s="35">
        <v>0</v>
      </c>
      <c r="O57" s="35">
        <v>0</v>
      </c>
      <c r="P57" s="16">
        <f t="shared" si="1"/>
        <v>0</v>
      </c>
      <c r="Q57" s="35">
        <v>500</v>
      </c>
      <c r="R57" s="35">
        <v>500</v>
      </c>
      <c r="S57" s="16">
        <f t="shared" si="2"/>
        <v>-840.93048128342252</v>
      </c>
      <c r="T57" s="35">
        <v>500</v>
      </c>
      <c r="U57" s="35">
        <v>500</v>
      </c>
      <c r="V57" s="16">
        <f t="shared" si="3"/>
        <v>-9.761904761904761</v>
      </c>
      <c r="W57" s="35">
        <v>500</v>
      </c>
      <c r="X57" s="35">
        <v>500</v>
      </c>
      <c r="Y57" s="16">
        <f t="shared" si="4"/>
        <v>-7.8431372549019607E-2</v>
      </c>
      <c r="Z57" s="35">
        <v>500</v>
      </c>
      <c r="AA57" s="35">
        <v>500</v>
      </c>
      <c r="AB57" s="16">
        <f t="shared" si="5"/>
        <v>-29.376344086021504</v>
      </c>
      <c r="AC57" s="32" t="s">
        <v>82</v>
      </c>
      <c r="AD57" s="21"/>
      <c r="AE57" s="21"/>
      <c r="AF57" s="5">
        <v>1</v>
      </c>
    </row>
    <row r="58" spans="2:32" hidden="1" x14ac:dyDescent="0.35">
      <c r="B58" s="28" t="s">
        <v>463</v>
      </c>
      <c r="C58" s="29" t="s">
        <v>464</v>
      </c>
      <c r="D58" s="29" t="s">
        <v>465</v>
      </c>
      <c r="E58" s="29" t="s">
        <v>466</v>
      </c>
      <c r="F58" s="29" t="s">
        <v>467</v>
      </c>
      <c r="G58" s="29" t="s">
        <v>468</v>
      </c>
      <c r="H58" s="29" t="s">
        <v>469</v>
      </c>
      <c r="I58" s="30" t="s">
        <v>470</v>
      </c>
      <c r="J58" s="29" t="s">
        <v>82</v>
      </c>
      <c r="K58" s="35">
        <v>1500</v>
      </c>
      <c r="L58" s="35">
        <v>0</v>
      </c>
      <c r="M58" s="16">
        <f t="shared" si="0"/>
        <v>0</v>
      </c>
      <c r="N58" s="35">
        <v>2250</v>
      </c>
      <c r="O58" s="35">
        <v>0</v>
      </c>
      <c r="P58" s="16">
        <f t="shared" si="1"/>
        <v>0</v>
      </c>
      <c r="Q58" s="35">
        <v>1500</v>
      </c>
      <c r="R58" s="35">
        <v>0</v>
      </c>
      <c r="S58" s="16">
        <f t="shared" si="2"/>
        <v>0</v>
      </c>
      <c r="T58" s="35">
        <v>0</v>
      </c>
      <c r="U58" s="35">
        <v>0</v>
      </c>
      <c r="V58" s="16">
        <f t="shared" si="3"/>
        <v>0</v>
      </c>
      <c r="W58" s="35">
        <v>0</v>
      </c>
      <c r="X58" s="35">
        <v>0</v>
      </c>
      <c r="Y58" s="16">
        <f t="shared" si="4"/>
        <v>0</v>
      </c>
      <c r="Z58" s="35">
        <v>0</v>
      </c>
      <c r="AA58" s="35">
        <v>0</v>
      </c>
      <c r="AB58" s="16">
        <f t="shared" si="5"/>
        <v>0</v>
      </c>
      <c r="AC58" s="32" t="s">
        <v>82</v>
      </c>
      <c r="AD58" s="21"/>
      <c r="AE58" s="21"/>
      <c r="AF58" s="5">
        <v>0</v>
      </c>
    </row>
    <row r="59" spans="2:32" x14ac:dyDescent="0.35">
      <c r="B59" s="28" t="s">
        <v>471</v>
      </c>
      <c r="C59" s="29" t="s">
        <v>472</v>
      </c>
      <c r="D59" s="29" t="s">
        <v>473</v>
      </c>
      <c r="E59" s="29" t="s">
        <v>474</v>
      </c>
      <c r="F59" s="29" t="s">
        <v>475</v>
      </c>
      <c r="G59" s="29" t="s">
        <v>476</v>
      </c>
      <c r="H59" s="29" t="s">
        <v>343</v>
      </c>
      <c r="I59" s="30" t="s">
        <v>477</v>
      </c>
      <c r="J59" s="29" t="s">
        <v>82</v>
      </c>
      <c r="K59" s="35">
        <v>2250</v>
      </c>
      <c r="L59" s="35">
        <v>2250</v>
      </c>
      <c r="M59" s="38">
        <f t="shared" si="0"/>
        <v>14394.23831775701</v>
      </c>
      <c r="N59" s="35">
        <v>2250</v>
      </c>
      <c r="O59" s="35">
        <v>2250</v>
      </c>
      <c r="P59" s="16">
        <f t="shared" si="1"/>
        <v>-1552.4243697478992</v>
      </c>
      <c r="Q59" s="35">
        <v>2250</v>
      </c>
      <c r="R59" s="35">
        <v>2250</v>
      </c>
      <c r="S59" s="16">
        <f t="shared" si="2"/>
        <v>-3784.1871657754014</v>
      </c>
      <c r="T59" s="35">
        <v>0</v>
      </c>
      <c r="U59" s="35">
        <v>0</v>
      </c>
      <c r="V59" s="16">
        <f t="shared" si="3"/>
        <v>0</v>
      </c>
      <c r="W59" s="35">
        <v>0</v>
      </c>
      <c r="X59" s="35">
        <v>0</v>
      </c>
      <c r="Y59" s="16">
        <f t="shared" si="4"/>
        <v>0</v>
      </c>
      <c r="Z59" s="35">
        <v>500</v>
      </c>
      <c r="AA59" s="35">
        <v>500</v>
      </c>
      <c r="AB59" s="16">
        <f t="shared" si="5"/>
        <v>-29.376344086021504</v>
      </c>
      <c r="AC59" s="32" t="s">
        <v>91</v>
      </c>
      <c r="AD59" s="21"/>
      <c r="AE59" s="21"/>
      <c r="AF59" s="22">
        <v>1</v>
      </c>
    </row>
    <row r="60" spans="2:32" x14ac:dyDescent="0.35">
      <c r="B60" s="25" t="s">
        <v>478</v>
      </c>
      <c r="C60" s="26" t="s">
        <v>479</v>
      </c>
      <c r="D60" s="26" t="s">
        <v>480</v>
      </c>
      <c r="E60" s="26" t="s">
        <v>481</v>
      </c>
      <c r="F60" s="26" t="s">
        <v>482</v>
      </c>
      <c r="G60" s="26" t="s">
        <v>483</v>
      </c>
      <c r="H60" s="26" t="s">
        <v>484</v>
      </c>
      <c r="I60" s="27" t="s">
        <v>485</v>
      </c>
      <c r="J60" s="26" t="s">
        <v>82</v>
      </c>
      <c r="K60" s="34">
        <v>1500</v>
      </c>
      <c r="L60" s="34">
        <v>1500</v>
      </c>
      <c r="M60" s="38">
        <f t="shared" si="0"/>
        <v>9596.1588785046733</v>
      </c>
      <c r="N60" s="34">
        <v>1500</v>
      </c>
      <c r="O60" s="34">
        <v>1500</v>
      </c>
      <c r="P60" s="16">
        <f t="shared" si="1"/>
        <v>-1034.9495798319329</v>
      </c>
      <c r="Q60" s="34">
        <v>1500</v>
      </c>
      <c r="R60" s="34">
        <v>1500</v>
      </c>
      <c r="S60" s="16">
        <f t="shared" si="2"/>
        <v>-2522.7914438502676</v>
      </c>
      <c r="T60" s="34">
        <v>0</v>
      </c>
      <c r="U60" s="34">
        <v>0</v>
      </c>
      <c r="V60" s="16">
        <f t="shared" si="3"/>
        <v>0</v>
      </c>
      <c r="W60" s="34">
        <v>0</v>
      </c>
      <c r="X60" s="34">
        <v>0</v>
      </c>
      <c r="Y60" s="16">
        <f t="shared" si="4"/>
        <v>0</v>
      </c>
      <c r="Z60" s="34">
        <v>0</v>
      </c>
      <c r="AA60" s="34">
        <v>0</v>
      </c>
      <c r="AB60" s="16">
        <f t="shared" si="5"/>
        <v>0</v>
      </c>
      <c r="AC60" s="31" t="s">
        <v>91</v>
      </c>
      <c r="AF60" s="5">
        <v>1</v>
      </c>
    </row>
    <row r="61" spans="2:32" hidden="1" x14ac:dyDescent="0.35">
      <c r="B61" s="28" t="s">
        <v>486</v>
      </c>
      <c r="C61" s="29" t="s">
        <v>487</v>
      </c>
      <c r="D61" s="29" t="s">
        <v>488</v>
      </c>
      <c r="E61" s="29" t="s">
        <v>489</v>
      </c>
      <c r="F61" s="29" t="s">
        <v>490</v>
      </c>
      <c r="G61" s="29" t="s">
        <v>491</v>
      </c>
      <c r="H61" s="29" t="s">
        <v>492</v>
      </c>
      <c r="I61" s="30" t="s">
        <v>493</v>
      </c>
      <c r="J61" s="29" t="s">
        <v>82</v>
      </c>
      <c r="K61" s="35">
        <v>1000</v>
      </c>
      <c r="L61" s="35">
        <v>1000</v>
      </c>
      <c r="M61" s="16">
        <f t="shared" si="0"/>
        <v>6397.4392523364486</v>
      </c>
      <c r="N61" s="35">
        <v>1000</v>
      </c>
      <c r="O61" s="35">
        <v>1000</v>
      </c>
      <c r="P61" s="16">
        <f t="shared" si="1"/>
        <v>-689.96638655462186</v>
      </c>
      <c r="Q61" s="35">
        <v>1000</v>
      </c>
      <c r="R61" s="35">
        <v>1000</v>
      </c>
      <c r="S61" s="16">
        <f t="shared" si="2"/>
        <v>-1681.860962566845</v>
      </c>
      <c r="T61" s="35">
        <v>500</v>
      </c>
      <c r="U61" s="35">
        <v>500</v>
      </c>
      <c r="V61" s="16">
        <f t="shared" si="3"/>
        <v>-9.761904761904761</v>
      </c>
      <c r="W61" s="35">
        <v>500</v>
      </c>
      <c r="X61" s="35">
        <v>500</v>
      </c>
      <c r="Y61" s="16">
        <f t="shared" si="4"/>
        <v>-7.8431372549019607E-2</v>
      </c>
      <c r="Z61" s="35">
        <v>0</v>
      </c>
      <c r="AA61" s="35">
        <v>0</v>
      </c>
      <c r="AB61" s="16">
        <f t="shared" si="5"/>
        <v>0</v>
      </c>
      <c r="AC61" s="32" t="s">
        <v>91</v>
      </c>
      <c r="AD61" s="21"/>
      <c r="AE61" s="21"/>
      <c r="AF61" s="22">
        <v>1</v>
      </c>
    </row>
    <row r="62" spans="2:32" x14ac:dyDescent="0.35">
      <c r="B62" s="28" t="s">
        <v>494</v>
      </c>
      <c r="C62" s="29" t="s">
        <v>495</v>
      </c>
      <c r="D62" s="29" t="s">
        <v>496</v>
      </c>
      <c r="E62" s="29" t="s">
        <v>497</v>
      </c>
      <c r="F62" s="29" t="s">
        <v>264</v>
      </c>
      <c r="G62" s="29" t="s">
        <v>498</v>
      </c>
      <c r="H62" s="29" t="s">
        <v>160</v>
      </c>
      <c r="I62" s="30" t="s">
        <v>499</v>
      </c>
      <c r="J62" s="29" t="s">
        <v>82</v>
      </c>
      <c r="K62" s="35">
        <v>500</v>
      </c>
      <c r="L62" s="35">
        <v>500</v>
      </c>
      <c r="M62" s="38">
        <f t="shared" si="0"/>
        <v>3198.7196261682243</v>
      </c>
      <c r="N62" s="35">
        <v>500</v>
      </c>
      <c r="O62" s="35">
        <v>500</v>
      </c>
      <c r="P62" s="16">
        <f t="shared" si="1"/>
        <v>-344.98319327731093</v>
      </c>
      <c r="Q62" s="35">
        <v>0</v>
      </c>
      <c r="R62" s="35">
        <v>0</v>
      </c>
      <c r="S62" s="16">
        <f t="shared" si="2"/>
        <v>0</v>
      </c>
      <c r="T62" s="35">
        <v>0</v>
      </c>
      <c r="U62" s="35">
        <v>0</v>
      </c>
      <c r="V62" s="16">
        <f t="shared" si="3"/>
        <v>0</v>
      </c>
      <c r="W62" s="35">
        <v>500</v>
      </c>
      <c r="X62" s="35">
        <v>500</v>
      </c>
      <c r="Y62" s="16">
        <f t="shared" si="4"/>
        <v>-7.8431372549019607E-2</v>
      </c>
      <c r="Z62" s="35">
        <v>500</v>
      </c>
      <c r="AA62" s="35">
        <v>500</v>
      </c>
      <c r="AB62" s="16">
        <f t="shared" si="5"/>
        <v>-29.376344086021504</v>
      </c>
      <c r="AC62" s="32" t="s">
        <v>91</v>
      </c>
      <c r="AF62" s="5">
        <v>1</v>
      </c>
    </row>
    <row r="63" spans="2:32" hidden="1" x14ac:dyDescent="0.35">
      <c r="B63" s="28" t="s">
        <v>500</v>
      </c>
      <c r="C63" s="29" t="s">
        <v>501</v>
      </c>
      <c r="D63" s="29" t="s">
        <v>502</v>
      </c>
      <c r="E63" s="29" t="s">
        <v>503</v>
      </c>
      <c r="F63" s="29" t="s">
        <v>504</v>
      </c>
      <c r="G63" s="29" t="s">
        <v>505</v>
      </c>
      <c r="H63" s="29" t="s">
        <v>80</v>
      </c>
      <c r="I63" s="30" t="s">
        <v>506</v>
      </c>
      <c r="J63" s="29" t="s">
        <v>82</v>
      </c>
      <c r="K63" s="35">
        <v>1000</v>
      </c>
      <c r="L63" s="35">
        <v>1000</v>
      </c>
      <c r="M63" s="16">
        <f t="shared" si="0"/>
        <v>6397.4392523364486</v>
      </c>
      <c r="N63" s="35">
        <v>0</v>
      </c>
      <c r="O63" s="35">
        <v>0</v>
      </c>
      <c r="P63" s="16">
        <f t="shared" si="1"/>
        <v>0</v>
      </c>
      <c r="Q63" s="35">
        <v>500</v>
      </c>
      <c r="R63" s="35">
        <v>500</v>
      </c>
      <c r="S63" s="16">
        <f t="shared" si="2"/>
        <v>-840.93048128342252</v>
      </c>
      <c r="T63" s="35">
        <v>0</v>
      </c>
      <c r="U63" s="35">
        <v>0</v>
      </c>
      <c r="V63" s="16">
        <f t="shared" si="3"/>
        <v>0</v>
      </c>
      <c r="W63" s="35">
        <v>500</v>
      </c>
      <c r="X63" s="35">
        <v>500</v>
      </c>
      <c r="Y63" s="16">
        <f t="shared" si="4"/>
        <v>-7.8431372549019607E-2</v>
      </c>
      <c r="Z63" s="35">
        <v>0</v>
      </c>
      <c r="AA63" s="35">
        <v>0</v>
      </c>
      <c r="AB63" s="16">
        <f t="shared" si="5"/>
        <v>0</v>
      </c>
      <c r="AC63" s="32" t="s">
        <v>91</v>
      </c>
      <c r="AD63" s="21"/>
      <c r="AE63" s="21"/>
      <c r="AF63" s="5" t="s">
        <v>83</v>
      </c>
    </row>
    <row r="64" spans="2:32" x14ac:dyDescent="0.35">
      <c r="B64" s="25" t="s">
        <v>507</v>
      </c>
      <c r="C64" s="26" t="s">
        <v>508</v>
      </c>
      <c r="D64" s="26" t="s">
        <v>509</v>
      </c>
      <c r="E64" s="26" t="s">
        <v>510</v>
      </c>
      <c r="F64" s="26" t="s">
        <v>511</v>
      </c>
      <c r="G64" s="26" t="s">
        <v>512</v>
      </c>
      <c r="H64" s="26" t="s">
        <v>513</v>
      </c>
      <c r="I64" s="27" t="s">
        <v>514</v>
      </c>
      <c r="J64" s="26" t="s">
        <v>82</v>
      </c>
      <c r="K64" s="34">
        <v>1500</v>
      </c>
      <c r="L64" s="34">
        <v>1500</v>
      </c>
      <c r="M64" s="38">
        <f t="shared" si="0"/>
        <v>9596.1588785046733</v>
      </c>
      <c r="N64" s="34">
        <v>1500</v>
      </c>
      <c r="O64" s="34">
        <v>1500</v>
      </c>
      <c r="P64" s="16">
        <f t="shared" si="1"/>
        <v>-1034.9495798319329</v>
      </c>
      <c r="Q64" s="34">
        <v>1500</v>
      </c>
      <c r="R64" s="34">
        <v>1500</v>
      </c>
      <c r="S64" s="16">
        <f t="shared" si="2"/>
        <v>-2522.7914438502676</v>
      </c>
      <c r="T64" s="34">
        <v>500</v>
      </c>
      <c r="U64" s="34">
        <v>500</v>
      </c>
      <c r="V64" s="16">
        <f t="shared" si="3"/>
        <v>-9.761904761904761</v>
      </c>
      <c r="W64" s="34">
        <v>500</v>
      </c>
      <c r="X64" s="34">
        <v>500</v>
      </c>
      <c r="Y64" s="16">
        <f t="shared" si="4"/>
        <v>-7.8431372549019607E-2</v>
      </c>
      <c r="Z64" s="34">
        <v>500</v>
      </c>
      <c r="AA64" s="34">
        <v>500</v>
      </c>
      <c r="AB64" s="16">
        <f t="shared" si="5"/>
        <v>-29.376344086021504</v>
      </c>
      <c r="AC64" s="31" t="s">
        <v>91</v>
      </c>
      <c r="AD64" s="21"/>
      <c r="AE64" s="21"/>
      <c r="AF64" s="22">
        <v>1</v>
      </c>
    </row>
    <row r="65" spans="2:32" x14ac:dyDescent="0.35">
      <c r="B65" s="25" t="s">
        <v>515</v>
      </c>
      <c r="C65" s="26" t="s">
        <v>516</v>
      </c>
      <c r="D65" s="26" t="s">
        <v>517</v>
      </c>
      <c r="E65" s="26" t="s">
        <v>518</v>
      </c>
      <c r="F65" s="26" t="s">
        <v>188</v>
      </c>
      <c r="G65" s="26" t="s">
        <v>519</v>
      </c>
      <c r="H65" s="26" t="s">
        <v>204</v>
      </c>
      <c r="I65" s="27" t="s">
        <v>520</v>
      </c>
      <c r="J65" s="26" t="s">
        <v>82</v>
      </c>
      <c r="K65" s="34">
        <v>500</v>
      </c>
      <c r="L65" s="34">
        <v>500</v>
      </c>
      <c r="M65" s="38">
        <f t="shared" si="0"/>
        <v>3198.7196261682243</v>
      </c>
      <c r="N65" s="34">
        <v>500</v>
      </c>
      <c r="O65" s="34">
        <v>500</v>
      </c>
      <c r="P65" s="16">
        <f t="shared" si="1"/>
        <v>-344.98319327731093</v>
      </c>
      <c r="Q65" s="34">
        <v>500</v>
      </c>
      <c r="R65" s="34">
        <v>500</v>
      </c>
      <c r="S65" s="16">
        <f t="shared" si="2"/>
        <v>-840.93048128342252</v>
      </c>
      <c r="T65" s="34">
        <v>0</v>
      </c>
      <c r="U65" s="34">
        <v>0</v>
      </c>
      <c r="V65" s="16">
        <f t="shared" si="3"/>
        <v>0</v>
      </c>
      <c r="W65" s="34">
        <v>0</v>
      </c>
      <c r="X65" s="34">
        <v>0</v>
      </c>
      <c r="Y65" s="16">
        <f t="shared" si="4"/>
        <v>0</v>
      </c>
      <c r="Z65" s="34">
        <v>0</v>
      </c>
      <c r="AA65" s="34">
        <v>0</v>
      </c>
      <c r="AB65" s="16">
        <f t="shared" si="5"/>
        <v>0</v>
      </c>
      <c r="AC65" s="31" t="s">
        <v>91</v>
      </c>
      <c r="AD65" s="21"/>
      <c r="AE65" s="21"/>
      <c r="AF65" s="22">
        <v>1</v>
      </c>
    </row>
    <row r="66" spans="2:32" x14ac:dyDescent="0.35">
      <c r="B66" s="28" t="s">
        <v>521</v>
      </c>
      <c r="C66" s="29" t="s">
        <v>522</v>
      </c>
      <c r="D66" s="29" t="s">
        <v>523</v>
      </c>
      <c r="E66" s="29" t="s">
        <v>524</v>
      </c>
      <c r="F66" s="29" t="s">
        <v>525</v>
      </c>
      <c r="G66" s="29" t="s">
        <v>526</v>
      </c>
      <c r="H66" s="29" t="s">
        <v>160</v>
      </c>
      <c r="I66" s="30" t="s">
        <v>527</v>
      </c>
      <c r="J66" s="29" t="s">
        <v>82</v>
      </c>
      <c r="K66" s="35">
        <v>500</v>
      </c>
      <c r="L66" s="35">
        <v>500</v>
      </c>
      <c r="M66" s="38">
        <f t="shared" ref="M66:M81" si="6">SUM($L$85/(SUM($L$2:$L$81)))*L66</f>
        <v>3198.7196261682243</v>
      </c>
      <c r="N66" s="35">
        <v>500</v>
      </c>
      <c r="O66" s="35">
        <v>500</v>
      </c>
      <c r="P66" s="16">
        <f t="shared" ref="P66:P81" si="7">SUM($O$85/(SUM($O$2:$O$81)))*O66</f>
        <v>-344.98319327731093</v>
      </c>
      <c r="Q66" s="35">
        <v>500</v>
      </c>
      <c r="R66" s="35">
        <v>500</v>
      </c>
      <c r="S66" s="16">
        <f t="shared" ref="S66:S81" si="8">SUM($R$85/(SUM($R$2:$R$81)))*R66</f>
        <v>-840.93048128342252</v>
      </c>
      <c r="T66" s="35">
        <v>0</v>
      </c>
      <c r="U66" s="35">
        <v>0</v>
      </c>
      <c r="V66" s="16">
        <f t="shared" ref="V66:V81" si="9">SUM($U$85/(SUM($U$2:$U$81)))*U66</f>
        <v>0</v>
      </c>
      <c r="W66" s="35">
        <v>0</v>
      </c>
      <c r="X66" s="35">
        <v>0</v>
      </c>
      <c r="Y66" s="16">
        <f t="shared" ref="Y66:Y81" si="10">SUM($X$85/(SUM($X$2:$X$81)))*X66</f>
        <v>0</v>
      </c>
      <c r="Z66" s="35">
        <v>0</v>
      </c>
      <c r="AA66" s="35">
        <v>0</v>
      </c>
      <c r="AB66" s="16">
        <f t="shared" ref="AB66:AB81" si="11">SUM($AA$85/(SUM($AA$2:$AA$81)))*AA66</f>
        <v>0</v>
      </c>
      <c r="AC66" s="32" t="s">
        <v>91</v>
      </c>
      <c r="AD66" s="21"/>
      <c r="AE66" s="21"/>
      <c r="AF66" s="22">
        <v>1</v>
      </c>
    </row>
    <row r="67" spans="2:32" hidden="1" x14ac:dyDescent="0.35">
      <c r="B67" s="28" t="s">
        <v>528</v>
      </c>
      <c r="C67" s="29" t="s">
        <v>529</v>
      </c>
      <c r="D67" s="29" t="s">
        <v>530</v>
      </c>
      <c r="E67" s="29" t="s">
        <v>531</v>
      </c>
      <c r="F67" s="29" t="s">
        <v>532</v>
      </c>
      <c r="G67" s="29" t="s">
        <v>533</v>
      </c>
      <c r="H67" s="29" t="s">
        <v>534</v>
      </c>
      <c r="I67" s="30" t="s">
        <v>535</v>
      </c>
      <c r="J67" s="29" t="s">
        <v>82</v>
      </c>
      <c r="K67" s="35">
        <v>2250</v>
      </c>
      <c r="L67" s="35">
        <v>0</v>
      </c>
      <c r="M67" s="16">
        <f t="shared" si="6"/>
        <v>0</v>
      </c>
      <c r="N67" s="35">
        <v>2250</v>
      </c>
      <c r="O67" s="35">
        <v>0</v>
      </c>
      <c r="P67" s="16">
        <f t="shared" si="7"/>
        <v>0</v>
      </c>
      <c r="Q67" s="35">
        <v>2250</v>
      </c>
      <c r="R67" s="35">
        <v>0</v>
      </c>
      <c r="S67" s="16">
        <f t="shared" si="8"/>
        <v>0</v>
      </c>
      <c r="T67" s="35">
        <v>2250</v>
      </c>
      <c r="U67" s="35">
        <v>0</v>
      </c>
      <c r="V67" s="16">
        <f t="shared" si="9"/>
        <v>0</v>
      </c>
      <c r="W67" s="35">
        <v>500</v>
      </c>
      <c r="X67" s="35">
        <v>0</v>
      </c>
      <c r="Y67" s="16">
        <f t="shared" si="10"/>
        <v>0</v>
      </c>
      <c r="Z67" s="35">
        <v>0</v>
      </c>
      <c r="AA67" s="35">
        <v>0</v>
      </c>
      <c r="AB67" s="16">
        <f t="shared" si="11"/>
        <v>0</v>
      </c>
      <c r="AC67" s="32" t="s">
        <v>82</v>
      </c>
      <c r="AD67" s="21"/>
      <c r="AE67" s="21"/>
      <c r="AF67" s="5">
        <v>0</v>
      </c>
    </row>
    <row r="68" spans="2:32" hidden="1" x14ac:dyDescent="0.35">
      <c r="B68" s="25" t="s">
        <v>536</v>
      </c>
      <c r="C68" s="26" t="s">
        <v>537</v>
      </c>
      <c r="D68" s="26" t="s">
        <v>538</v>
      </c>
      <c r="E68" s="26" t="s">
        <v>539</v>
      </c>
      <c r="F68" s="26" t="s">
        <v>540</v>
      </c>
      <c r="G68" s="26" t="s">
        <v>541</v>
      </c>
      <c r="H68" s="26" t="s">
        <v>106</v>
      </c>
      <c r="I68" s="27" t="s">
        <v>542</v>
      </c>
      <c r="J68" s="26" t="s">
        <v>82</v>
      </c>
      <c r="K68" s="34">
        <v>1000</v>
      </c>
      <c r="L68" s="34">
        <v>1000</v>
      </c>
      <c r="M68" s="16">
        <f t="shared" si="6"/>
        <v>6397.4392523364486</v>
      </c>
      <c r="N68" s="34">
        <v>1000</v>
      </c>
      <c r="O68" s="34">
        <v>1000</v>
      </c>
      <c r="P68" s="16">
        <f t="shared" si="7"/>
        <v>-689.96638655462186</v>
      </c>
      <c r="Q68" s="34">
        <v>1000</v>
      </c>
      <c r="R68" s="34">
        <v>1000</v>
      </c>
      <c r="S68" s="16">
        <f t="shared" si="8"/>
        <v>-1681.860962566845</v>
      </c>
      <c r="T68" s="34">
        <v>500</v>
      </c>
      <c r="U68" s="34">
        <v>500</v>
      </c>
      <c r="V68" s="16">
        <f t="shared" si="9"/>
        <v>-9.761904761904761</v>
      </c>
      <c r="W68" s="34">
        <v>500</v>
      </c>
      <c r="X68" s="34">
        <v>500</v>
      </c>
      <c r="Y68" s="16">
        <f t="shared" si="10"/>
        <v>-7.8431372549019607E-2</v>
      </c>
      <c r="Z68" s="34">
        <v>500</v>
      </c>
      <c r="AA68" s="34">
        <v>500</v>
      </c>
      <c r="AB68" s="16">
        <f t="shared" si="11"/>
        <v>-29.376344086021504</v>
      </c>
      <c r="AC68" s="31" t="s">
        <v>82</v>
      </c>
      <c r="AD68" s="21"/>
      <c r="AE68" s="21"/>
      <c r="AF68" s="5">
        <v>1</v>
      </c>
    </row>
    <row r="69" spans="2:32" x14ac:dyDescent="0.35">
      <c r="B69" s="25" t="s">
        <v>543</v>
      </c>
      <c r="C69" s="26" t="s">
        <v>544</v>
      </c>
      <c r="D69" s="26" t="s">
        <v>545</v>
      </c>
      <c r="E69" s="26" t="s">
        <v>546</v>
      </c>
      <c r="F69" s="26" t="s">
        <v>547</v>
      </c>
      <c r="G69" s="26" t="s">
        <v>548</v>
      </c>
      <c r="H69" s="26" t="s">
        <v>549</v>
      </c>
      <c r="I69" s="27" t="s">
        <v>550</v>
      </c>
      <c r="J69" s="26" t="s">
        <v>82</v>
      </c>
      <c r="K69" s="34">
        <v>500</v>
      </c>
      <c r="L69" s="34">
        <v>500</v>
      </c>
      <c r="M69" s="38">
        <f t="shared" si="6"/>
        <v>3198.7196261682243</v>
      </c>
      <c r="N69" s="34">
        <v>1500</v>
      </c>
      <c r="O69" s="34">
        <v>1500</v>
      </c>
      <c r="P69" s="16">
        <f t="shared" si="7"/>
        <v>-1034.9495798319329</v>
      </c>
      <c r="Q69" s="34">
        <v>500</v>
      </c>
      <c r="R69" s="34">
        <v>500</v>
      </c>
      <c r="S69" s="16">
        <f t="shared" si="8"/>
        <v>-840.93048128342252</v>
      </c>
      <c r="T69" s="34">
        <v>0</v>
      </c>
      <c r="U69" s="34">
        <v>0</v>
      </c>
      <c r="V69" s="16">
        <f t="shared" si="9"/>
        <v>0</v>
      </c>
      <c r="W69" s="34">
        <v>0</v>
      </c>
      <c r="X69" s="34">
        <v>0</v>
      </c>
      <c r="Y69" s="16">
        <f t="shared" si="10"/>
        <v>0</v>
      </c>
      <c r="Z69" s="34">
        <v>0</v>
      </c>
      <c r="AA69" s="34">
        <v>0</v>
      </c>
      <c r="AB69" s="16">
        <f t="shared" si="11"/>
        <v>0</v>
      </c>
      <c r="AC69" s="31" t="s">
        <v>91</v>
      </c>
      <c r="AD69" s="21"/>
      <c r="AE69" s="21"/>
      <c r="AF69" s="22">
        <v>1</v>
      </c>
    </row>
    <row r="70" spans="2:32" hidden="1" x14ac:dyDescent="0.35">
      <c r="B70" s="25" t="s">
        <v>551</v>
      </c>
      <c r="C70" s="26" t="s">
        <v>552</v>
      </c>
      <c r="D70" s="26" t="s">
        <v>553</v>
      </c>
      <c r="E70" s="26" t="s">
        <v>554</v>
      </c>
      <c r="F70" s="26" t="s">
        <v>555</v>
      </c>
      <c r="G70" s="26" t="s">
        <v>556</v>
      </c>
      <c r="H70" s="26" t="s">
        <v>204</v>
      </c>
      <c r="I70" s="27" t="s">
        <v>557</v>
      </c>
      <c r="J70" s="26" t="s">
        <v>82</v>
      </c>
      <c r="K70" s="34">
        <v>500</v>
      </c>
      <c r="L70" s="34">
        <v>500</v>
      </c>
      <c r="M70" s="16">
        <f t="shared" si="6"/>
        <v>3198.7196261682243</v>
      </c>
      <c r="N70" s="34">
        <v>500</v>
      </c>
      <c r="O70" s="34">
        <v>500</v>
      </c>
      <c r="P70" s="16">
        <f t="shared" si="7"/>
        <v>-344.98319327731093</v>
      </c>
      <c r="Q70" s="34">
        <v>500</v>
      </c>
      <c r="R70" s="34">
        <v>500</v>
      </c>
      <c r="S70" s="16">
        <f t="shared" si="8"/>
        <v>-840.93048128342252</v>
      </c>
      <c r="T70" s="34">
        <v>500</v>
      </c>
      <c r="U70" s="34">
        <v>500</v>
      </c>
      <c r="V70" s="16">
        <f t="shared" si="9"/>
        <v>-9.761904761904761</v>
      </c>
      <c r="W70" s="34">
        <v>500</v>
      </c>
      <c r="X70" s="34">
        <v>500</v>
      </c>
      <c r="Y70" s="16">
        <f t="shared" si="10"/>
        <v>-7.8431372549019607E-2</v>
      </c>
      <c r="Z70" s="34">
        <v>500</v>
      </c>
      <c r="AA70" s="34">
        <v>500</v>
      </c>
      <c r="AB70" s="16">
        <f t="shared" si="11"/>
        <v>-29.376344086021504</v>
      </c>
      <c r="AC70" s="31" t="s">
        <v>82</v>
      </c>
      <c r="AD70" s="21"/>
      <c r="AE70" s="21"/>
      <c r="AF70" s="5">
        <v>1</v>
      </c>
    </row>
    <row r="71" spans="2:32" hidden="1" x14ac:dyDescent="0.35">
      <c r="B71" s="25" t="s">
        <v>558</v>
      </c>
      <c r="C71" s="26" t="s">
        <v>559</v>
      </c>
      <c r="D71" s="26" t="s">
        <v>560</v>
      </c>
      <c r="E71" s="26" t="s">
        <v>561</v>
      </c>
      <c r="F71" s="26"/>
      <c r="G71" s="26" t="s">
        <v>562</v>
      </c>
      <c r="H71" s="26" t="s">
        <v>204</v>
      </c>
      <c r="I71" s="27"/>
      <c r="J71" s="26" t="s">
        <v>91</v>
      </c>
      <c r="K71" s="34"/>
      <c r="L71" s="34"/>
      <c r="M71" s="16">
        <f t="shared" si="6"/>
        <v>0</v>
      </c>
      <c r="N71" s="34"/>
      <c r="O71" s="34"/>
      <c r="P71" s="16">
        <f t="shared" si="7"/>
        <v>0</v>
      </c>
      <c r="Q71" s="34"/>
      <c r="R71" s="34"/>
      <c r="S71" s="16">
        <f t="shared" si="8"/>
        <v>0</v>
      </c>
      <c r="T71" s="34"/>
      <c r="U71" s="34"/>
      <c r="V71" s="16">
        <f t="shared" si="9"/>
        <v>0</v>
      </c>
      <c r="W71" s="34"/>
      <c r="X71" s="34"/>
      <c r="Y71" s="16">
        <f t="shared" si="10"/>
        <v>0</v>
      </c>
      <c r="Z71" s="34"/>
      <c r="AA71" s="34"/>
      <c r="AB71" s="16">
        <f t="shared" si="11"/>
        <v>0</v>
      </c>
      <c r="AC71" s="31"/>
      <c r="AF71" s="5">
        <v>1</v>
      </c>
    </row>
    <row r="72" spans="2:32" x14ac:dyDescent="0.35">
      <c r="B72" s="25" t="s">
        <v>563</v>
      </c>
      <c r="C72" s="26" t="s">
        <v>564</v>
      </c>
      <c r="D72" s="26" t="s">
        <v>565</v>
      </c>
      <c r="E72" s="26" t="s">
        <v>566</v>
      </c>
      <c r="F72" s="26" t="s">
        <v>567</v>
      </c>
      <c r="G72" s="26" t="s">
        <v>568</v>
      </c>
      <c r="H72" s="26" t="s">
        <v>569</v>
      </c>
      <c r="I72" s="27" t="s">
        <v>570</v>
      </c>
      <c r="J72" s="26" t="s">
        <v>82</v>
      </c>
      <c r="K72" s="34">
        <v>1500</v>
      </c>
      <c r="L72" s="34">
        <v>1500</v>
      </c>
      <c r="M72" s="38">
        <f t="shared" si="6"/>
        <v>9596.1588785046733</v>
      </c>
      <c r="N72" s="34">
        <v>1500</v>
      </c>
      <c r="O72" s="34">
        <v>1500</v>
      </c>
      <c r="P72" s="16">
        <f t="shared" si="7"/>
        <v>-1034.9495798319329</v>
      </c>
      <c r="Q72" s="34">
        <v>1000</v>
      </c>
      <c r="R72" s="34">
        <v>1000</v>
      </c>
      <c r="S72" s="16">
        <f t="shared" si="8"/>
        <v>-1681.860962566845</v>
      </c>
      <c r="T72" s="34">
        <v>0</v>
      </c>
      <c r="U72" s="34">
        <v>0</v>
      </c>
      <c r="V72" s="16">
        <f t="shared" si="9"/>
        <v>0</v>
      </c>
      <c r="W72" s="34">
        <v>0</v>
      </c>
      <c r="X72" s="34">
        <v>0</v>
      </c>
      <c r="Y72" s="16">
        <f t="shared" si="10"/>
        <v>0</v>
      </c>
      <c r="Z72" s="34">
        <v>0</v>
      </c>
      <c r="AA72" s="34">
        <v>0</v>
      </c>
      <c r="AB72" s="16">
        <f t="shared" si="11"/>
        <v>0</v>
      </c>
      <c r="AC72" s="31" t="s">
        <v>91</v>
      </c>
      <c r="AD72" s="21"/>
      <c r="AE72" s="21"/>
      <c r="AF72" s="22">
        <v>1</v>
      </c>
    </row>
    <row r="73" spans="2:32" x14ac:dyDescent="0.35">
      <c r="B73" s="28" t="s">
        <v>571</v>
      </c>
      <c r="C73" s="29" t="s">
        <v>572</v>
      </c>
      <c r="D73" s="29" t="s">
        <v>573</v>
      </c>
      <c r="E73" s="29" t="s">
        <v>574</v>
      </c>
      <c r="F73" s="29" t="s">
        <v>575</v>
      </c>
      <c r="G73" s="29" t="s">
        <v>576</v>
      </c>
      <c r="H73" s="29" t="s">
        <v>160</v>
      </c>
      <c r="I73" s="30" t="s">
        <v>577</v>
      </c>
      <c r="J73" s="29" t="s">
        <v>82</v>
      </c>
      <c r="K73" s="35">
        <v>500</v>
      </c>
      <c r="L73" s="35">
        <v>500</v>
      </c>
      <c r="M73" s="38">
        <f t="shared" si="6"/>
        <v>3198.7196261682243</v>
      </c>
      <c r="N73" s="35">
        <v>1000</v>
      </c>
      <c r="O73" s="35">
        <v>1000</v>
      </c>
      <c r="P73" s="16">
        <f t="shared" si="7"/>
        <v>-689.96638655462186</v>
      </c>
      <c r="Q73" s="35">
        <v>500</v>
      </c>
      <c r="R73" s="35">
        <v>500</v>
      </c>
      <c r="S73" s="16">
        <f t="shared" si="8"/>
        <v>-840.93048128342252</v>
      </c>
      <c r="T73" s="35">
        <v>1000</v>
      </c>
      <c r="U73" s="35">
        <v>1000</v>
      </c>
      <c r="V73" s="16">
        <f t="shared" si="9"/>
        <v>-19.523809523809522</v>
      </c>
      <c r="W73" s="35">
        <v>1000</v>
      </c>
      <c r="X73" s="35">
        <v>1000</v>
      </c>
      <c r="Y73" s="16">
        <f t="shared" si="10"/>
        <v>-0.15686274509803921</v>
      </c>
      <c r="Z73" s="35">
        <v>500</v>
      </c>
      <c r="AA73" s="35">
        <v>500</v>
      </c>
      <c r="AB73" s="16">
        <f t="shared" si="11"/>
        <v>-29.376344086021504</v>
      </c>
      <c r="AC73" s="32" t="s">
        <v>91</v>
      </c>
      <c r="AD73" s="21"/>
      <c r="AE73" s="21"/>
      <c r="AF73" s="22">
        <v>1</v>
      </c>
    </row>
    <row r="74" spans="2:32" hidden="1" x14ac:dyDescent="0.35">
      <c r="B74" s="28" t="s">
        <v>578</v>
      </c>
      <c r="C74" s="29" t="s">
        <v>579</v>
      </c>
      <c r="D74" s="29" t="s">
        <v>580</v>
      </c>
      <c r="E74" s="29" t="s">
        <v>581</v>
      </c>
      <c r="F74" s="29" t="s">
        <v>180</v>
      </c>
      <c r="G74" s="29" t="s">
        <v>582</v>
      </c>
      <c r="H74" s="29" t="s">
        <v>379</v>
      </c>
      <c r="I74" s="30" t="s">
        <v>583</v>
      </c>
      <c r="J74" s="29" t="s">
        <v>91</v>
      </c>
      <c r="K74" s="35"/>
      <c r="L74" s="35"/>
      <c r="M74" s="16">
        <f t="shared" si="6"/>
        <v>0</v>
      </c>
      <c r="N74" s="35"/>
      <c r="O74" s="35"/>
      <c r="P74" s="16">
        <f t="shared" si="7"/>
        <v>0</v>
      </c>
      <c r="Q74" s="35"/>
      <c r="R74" s="35"/>
      <c r="S74" s="16">
        <f t="shared" si="8"/>
        <v>0</v>
      </c>
      <c r="T74" s="35"/>
      <c r="U74" s="35"/>
      <c r="V74" s="16">
        <f t="shared" si="9"/>
        <v>0</v>
      </c>
      <c r="W74" s="35"/>
      <c r="X74" s="35"/>
      <c r="Y74" s="16">
        <f t="shared" si="10"/>
        <v>0</v>
      </c>
      <c r="Z74" s="35"/>
      <c r="AA74" s="35"/>
      <c r="AB74" s="16">
        <f t="shared" si="11"/>
        <v>0</v>
      </c>
      <c r="AC74" s="32"/>
      <c r="AD74" s="21"/>
      <c r="AE74" s="21"/>
      <c r="AF74" s="5">
        <v>1</v>
      </c>
    </row>
    <row r="75" spans="2:32" hidden="1" x14ac:dyDescent="0.35">
      <c r="B75" s="25" t="s">
        <v>584</v>
      </c>
      <c r="C75" s="26" t="s">
        <v>585</v>
      </c>
      <c r="D75" s="26" t="s">
        <v>586</v>
      </c>
      <c r="E75" s="26" t="s">
        <v>587</v>
      </c>
      <c r="F75" s="26" t="s">
        <v>264</v>
      </c>
      <c r="G75" s="26" t="s">
        <v>588</v>
      </c>
      <c r="H75" s="26" t="s">
        <v>589</v>
      </c>
      <c r="I75" s="27" t="s">
        <v>590</v>
      </c>
      <c r="J75" s="26" t="s">
        <v>82</v>
      </c>
      <c r="K75" s="34">
        <v>500</v>
      </c>
      <c r="L75" s="34">
        <v>500</v>
      </c>
      <c r="M75" s="16">
        <f t="shared" si="6"/>
        <v>3198.7196261682243</v>
      </c>
      <c r="N75" s="34">
        <v>500</v>
      </c>
      <c r="O75" s="34">
        <v>500</v>
      </c>
      <c r="P75" s="16">
        <f t="shared" si="7"/>
        <v>-344.98319327731093</v>
      </c>
      <c r="Q75" s="34">
        <v>500</v>
      </c>
      <c r="R75" s="34">
        <v>500</v>
      </c>
      <c r="S75" s="16">
        <f t="shared" si="8"/>
        <v>-840.93048128342252</v>
      </c>
      <c r="T75" s="34">
        <v>0</v>
      </c>
      <c r="U75" s="34">
        <v>0</v>
      </c>
      <c r="V75" s="16">
        <f t="shared" si="9"/>
        <v>0</v>
      </c>
      <c r="W75" s="34">
        <v>0</v>
      </c>
      <c r="X75" s="34">
        <v>0</v>
      </c>
      <c r="Y75" s="16">
        <f t="shared" si="10"/>
        <v>0</v>
      </c>
      <c r="Z75" s="34">
        <v>0</v>
      </c>
      <c r="AA75" s="34">
        <v>0</v>
      </c>
      <c r="AB75" s="16">
        <f t="shared" si="11"/>
        <v>0</v>
      </c>
      <c r="AC75" s="31" t="s">
        <v>82</v>
      </c>
      <c r="AD75" s="21"/>
      <c r="AE75" s="21"/>
      <c r="AF75" s="5" t="s">
        <v>83</v>
      </c>
    </row>
    <row r="76" spans="2:32" x14ac:dyDescent="0.35">
      <c r="B76" s="28" t="s">
        <v>591</v>
      </c>
      <c r="C76" s="29" t="s">
        <v>592</v>
      </c>
      <c r="D76" s="29" t="s">
        <v>593</v>
      </c>
      <c r="E76" s="29" t="s">
        <v>594</v>
      </c>
      <c r="F76" s="29" t="s">
        <v>595</v>
      </c>
      <c r="G76" s="29" t="s">
        <v>596</v>
      </c>
      <c r="H76" s="29" t="s">
        <v>160</v>
      </c>
      <c r="I76" s="30" t="s">
        <v>597</v>
      </c>
      <c r="J76" s="29" t="s">
        <v>82</v>
      </c>
      <c r="K76" s="35">
        <v>1000</v>
      </c>
      <c r="L76" s="35">
        <v>1000</v>
      </c>
      <c r="M76" s="38">
        <f t="shared" si="6"/>
        <v>6397.4392523364486</v>
      </c>
      <c r="N76" s="35">
        <v>1000</v>
      </c>
      <c r="O76" s="35">
        <v>1000</v>
      </c>
      <c r="P76" s="16">
        <f t="shared" si="7"/>
        <v>-689.96638655462186</v>
      </c>
      <c r="Q76" s="35">
        <v>1000</v>
      </c>
      <c r="R76" s="35">
        <v>1000</v>
      </c>
      <c r="S76" s="16">
        <f t="shared" si="8"/>
        <v>-1681.860962566845</v>
      </c>
      <c r="T76" s="35">
        <v>1000</v>
      </c>
      <c r="U76" s="35">
        <v>1000</v>
      </c>
      <c r="V76" s="16">
        <f t="shared" si="9"/>
        <v>-19.523809523809522</v>
      </c>
      <c r="W76" s="35">
        <v>500</v>
      </c>
      <c r="X76" s="35">
        <v>500</v>
      </c>
      <c r="Y76" s="16">
        <f t="shared" si="10"/>
        <v>-7.8431372549019607E-2</v>
      </c>
      <c r="Z76" s="35">
        <v>500</v>
      </c>
      <c r="AA76" s="35">
        <v>500</v>
      </c>
      <c r="AB76" s="16">
        <f t="shared" si="11"/>
        <v>-29.376344086021504</v>
      </c>
      <c r="AC76" s="32" t="s">
        <v>91</v>
      </c>
      <c r="AD76" s="21"/>
      <c r="AE76" s="21"/>
      <c r="AF76" s="22">
        <v>1</v>
      </c>
    </row>
    <row r="77" spans="2:32" hidden="1" x14ac:dyDescent="0.35">
      <c r="B77" s="25" t="s">
        <v>598</v>
      </c>
      <c r="C77" s="26" t="s">
        <v>599</v>
      </c>
      <c r="D77" s="26" t="s">
        <v>600</v>
      </c>
      <c r="E77" s="26" t="s">
        <v>601</v>
      </c>
      <c r="F77" s="26" t="s">
        <v>602</v>
      </c>
      <c r="G77" s="26" t="s">
        <v>603</v>
      </c>
      <c r="H77" s="26" t="s">
        <v>212</v>
      </c>
      <c r="I77" s="27" t="s">
        <v>604</v>
      </c>
      <c r="J77" s="26" t="s">
        <v>82</v>
      </c>
      <c r="K77" s="34">
        <v>2250</v>
      </c>
      <c r="L77" s="34">
        <v>2250</v>
      </c>
      <c r="M77" s="16">
        <f t="shared" si="6"/>
        <v>14394.23831775701</v>
      </c>
      <c r="N77" s="34">
        <v>2250</v>
      </c>
      <c r="O77" s="34">
        <v>2250</v>
      </c>
      <c r="P77" s="16">
        <f t="shared" si="7"/>
        <v>-1552.4243697478992</v>
      </c>
      <c r="Q77" s="34">
        <v>2250</v>
      </c>
      <c r="R77" s="34">
        <v>2250</v>
      </c>
      <c r="S77" s="16">
        <f t="shared" si="8"/>
        <v>-3784.1871657754014</v>
      </c>
      <c r="T77" s="34">
        <v>2250</v>
      </c>
      <c r="U77" s="34">
        <v>2250</v>
      </c>
      <c r="V77" s="16">
        <f t="shared" si="9"/>
        <v>-43.928571428571431</v>
      </c>
      <c r="W77" s="34">
        <v>2250</v>
      </c>
      <c r="X77" s="34">
        <v>2250</v>
      </c>
      <c r="Y77" s="16">
        <f t="shared" si="10"/>
        <v>-0.35294117647058826</v>
      </c>
      <c r="Z77" s="34">
        <v>2250</v>
      </c>
      <c r="AA77" s="34">
        <v>2250</v>
      </c>
      <c r="AB77" s="16">
        <f t="shared" si="11"/>
        <v>-132.19354838709677</v>
      </c>
      <c r="AC77" s="31" t="s">
        <v>82</v>
      </c>
      <c r="AD77" s="21"/>
      <c r="AE77" s="21"/>
      <c r="AF77" s="5">
        <v>1</v>
      </c>
    </row>
    <row r="78" spans="2:32" hidden="1" x14ac:dyDescent="0.35">
      <c r="B78" s="25" t="s">
        <v>605</v>
      </c>
      <c r="C78" s="26" t="s">
        <v>606</v>
      </c>
      <c r="D78" s="26" t="s">
        <v>607</v>
      </c>
      <c r="E78" s="26" t="s">
        <v>608</v>
      </c>
      <c r="F78" s="26" t="s">
        <v>609</v>
      </c>
      <c r="G78" s="26" t="s">
        <v>610</v>
      </c>
      <c r="H78" s="26" t="s">
        <v>160</v>
      </c>
      <c r="I78" s="27" t="s">
        <v>611</v>
      </c>
      <c r="J78" s="26" t="s">
        <v>82</v>
      </c>
      <c r="K78" s="34">
        <v>1000</v>
      </c>
      <c r="L78" s="34">
        <v>0</v>
      </c>
      <c r="M78" s="16">
        <f t="shared" si="6"/>
        <v>0</v>
      </c>
      <c r="N78" s="34">
        <v>1000</v>
      </c>
      <c r="O78" s="34">
        <v>0</v>
      </c>
      <c r="P78" s="16">
        <f t="shared" si="7"/>
        <v>0</v>
      </c>
      <c r="Q78" s="34">
        <v>1000</v>
      </c>
      <c r="R78" s="34">
        <v>0</v>
      </c>
      <c r="S78" s="16">
        <f t="shared" si="8"/>
        <v>0</v>
      </c>
      <c r="T78" s="34">
        <v>0</v>
      </c>
      <c r="U78" s="34">
        <v>0</v>
      </c>
      <c r="V78" s="16">
        <f t="shared" si="9"/>
        <v>0</v>
      </c>
      <c r="W78" s="34">
        <v>0</v>
      </c>
      <c r="X78" s="34">
        <v>0</v>
      </c>
      <c r="Y78" s="16">
        <f t="shared" si="10"/>
        <v>0</v>
      </c>
      <c r="Z78" s="34">
        <v>0</v>
      </c>
      <c r="AA78" s="34">
        <v>0</v>
      </c>
      <c r="AB78" s="16">
        <f t="shared" si="11"/>
        <v>0</v>
      </c>
      <c r="AC78" s="31" t="s">
        <v>82</v>
      </c>
      <c r="AD78" s="21"/>
      <c r="AE78" s="21"/>
      <c r="AF78" s="5">
        <v>0</v>
      </c>
    </row>
    <row r="79" spans="2:32" hidden="1" x14ac:dyDescent="0.35">
      <c r="B79" s="28" t="s">
        <v>612</v>
      </c>
      <c r="C79" s="29" t="s">
        <v>613</v>
      </c>
      <c r="D79" s="29" t="s">
        <v>614</v>
      </c>
      <c r="E79" s="29" t="s">
        <v>615</v>
      </c>
      <c r="F79" s="29" t="s">
        <v>391</v>
      </c>
      <c r="G79" s="29" t="s">
        <v>616</v>
      </c>
      <c r="H79" s="29" t="s">
        <v>168</v>
      </c>
      <c r="I79" s="30" t="s">
        <v>617</v>
      </c>
      <c r="J79" s="29" t="s">
        <v>82</v>
      </c>
      <c r="K79" s="35">
        <v>500</v>
      </c>
      <c r="L79" s="35">
        <v>500</v>
      </c>
      <c r="M79" s="16">
        <f t="shared" si="6"/>
        <v>3198.7196261682243</v>
      </c>
      <c r="N79" s="35">
        <v>500</v>
      </c>
      <c r="O79" s="35">
        <v>500</v>
      </c>
      <c r="P79" s="16">
        <f t="shared" si="7"/>
        <v>-344.98319327731093</v>
      </c>
      <c r="Q79" s="35">
        <v>0</v>
      </c>
      <c r="R79" s="35">
        <v>0</v>
      </c>
      <c r="S79" s="16">
        <f t="shared" si="8"/>
        <v>0</v>
      </c>
      <c r="T79" s="35">
        <v>500</v>
      </c>
      <c r="U79" s="35">
        <v>500</v>
      </c>
      <c r="V79" s="16">
        <f t="shared" si="9"/>
        <v>-9.761904761904761</v>
      </c>
      <c r="W79" s="35">
        <v>500</v>
      </c>
      <c r="X79" s="35">
        <v>500</v>
      </c>
      <c r="Y79" s="16">
        <f t="shared" si="10"/>
        <v>-7.8431372549019607E-2</v>
      </c>
      <c r="Z79" s="35">
        <v>500</v>
      </c>
      <c r="AA79" s="35">
        <v>500</v>
      </c>
      <c r="AB79" s="16">
        <f t="shared" si="11"/>
        <v>-29.376344086021504</v>
      </c>
      <c r="AC79" s="32" t="s">
        <v>82</v>
      </c>
      <c r="AD79" s="21"/>
      <c r="AE79" s="21"/>
      <c r="AF79" s="5">
        <v>1</v>
      </c>
    </row>
    <row r="80" spans="2:32" x14ac:dyDescent="0.35">
      <c r="B80" s="28" t="s">
        <v>618</v>
      </c>
      <c r="C80" s="29" t="s">
        <v>619</v>
      </c>
      <c r="D80" s="29" t="s">
        <v>620</v>
      </c>
      <c r="E80" s="29" t="s">
        <v>621</v>
      </c>
      <c r="F80" s="29" t="s">
        <v>622</v>
      </c>
      <c r="G80" s="29" t="s">
        <v>623</v>
      </c>
      <c r="H80" s="29" t="s">
        <v>160</v>
      </c>
      <c r="I80" s="30" t="s">
        <v>624</v>
      </c>
      <c r="J80" s="29" t="s">
        <v>82</v>
      </c>
      <c r="K80" s="35">
        <v>2250</v>
      </c>
      <c r="L80" s="35">
        <v>2250</v>
      </c>
      <c r="M80" s="38">
        <f t="shared" si="6"/>
        <v>14394.23831775701</v>
      </c>
      <c r="N80" s="35">
        <v>2250</v>
      </c>
      <c r="O80" s="35">
        <v>2250</v>
      </c>
      <c r="P80" s="16">
        <f t="shared" si="7"/>
        <v>-1552.4243697478992</v>
      </c>
      <c r="Q80" s="35">
        <v>2250</v>
      </c>
      <c r="R80" s="35">
        <v>2250</v>
      </c>
      <c r="S80" s="16">
        <f t="shared" si="8"/>
        <v>-3784.1871657754014</v>
      </c>
      <c r="T80" s="35">
        <v>0</v>
      </c>
      <c r="U80" s="35">
        <v>0</v>
      </c>
      <c r="V80" s="16">
        <f t="shared" si="9"/>
        <v>0</v>
      </c>
      <c r="W80" s="35">
        <v>500</v>
      </c>
      <c r="X80" s="35">
        <v>500</v>
      </c>
      <c r="Y80" s="16">
        <f t="shared" si="10"/>
        <v>-7.8431372549019607E-2</v>
      </c>
      <c r="Z80" s="35">
        <v>500</v>
      </c>
      <c r="AA80" s="35">
        <v>500</v>
      </c>
      <c r="AB80" s="16">
        <f t="shared" si="11"/>
        <v>-29.376344086021504</v>
      </c>
      <c r="AC80" s="32" t="s">
        <v>91</v>
      </c>
      <c r="AF80" s="5">
        <v>1</v>
      </c>
    </row>
    <row r="81" spans="1:32" hidden="1" x14ac:dyDescent="0.35">
      <c r="B81" s="25" t="s">
        <v>625</v>
      </c>
      <c r="C81" s="26" t="s">
        <v>626</v>
      </c>
      <c r="D81" s="26" t="s">
        <v>627</v>
      </c>
      <c r="E81" s="26" t="s">
        <v>628</v>
      </c>
      <c r="F81" s="26" t="s">
        <v>629</v>
      </c>
      <c r="G81" s="26" t="s">
        <v>630</v>
      </c>
      <c r="H81" s="26" t="s">
        <v>160</v>
      </c>
      <c r="I81" s="27" t="s">
        <v>631</v>
      </c>
      <c r="J81" s="26" t="s">
        <v>82</v>
      </c>
      <c r="K81" s="34">
        <v>2250</v>
      </c>
      <c r="L81" s="34">
        <v>2250</v>
      </c>
      <c r="M81" s="16">
        <f t="shared" si="6"/>
        <v>14394.23831775701</v>
      </c>
      <c r="N81" s="34">
        <v>2250</v>
      </c>
      <c r="O81" s="34">
        <v>2250</v>
      </c>
      <c r="P81" s="16">
        <f t="shared" si="7"/>
        <v>-1552.4243697478992</v>
      </c>
      <c r="Q81" s="34">
        <v>2250</v>
      </c>
      <c r="R81" s="34">
        <v>2250</v>
      </c>
      <c r="S81" s="16">
        <f t="shared" si="8"/>
        <v>-3784.1871657754014</v>
      </c>
      <c r="T81" s="34">
        <v>0</v>
      </c>
      <c r="U81" s="34">
        <v>0</v>
      </c>
      <c r="V81" s="16">
        <f t="shared" si="9"/>
        <v>0</v>
      </c>
      <c r="W81" s="34">
        <v>500</v>
      </c>
      <c r="X81" s="34">
        <v>500</v>
      </c>
      <c r="Y81" s="16">
        <f t="shared" si="10"/>
        <v>-7.8431372549019607E-2</v>
      </c>
      <c r="Z81" s="34">
        <v>500</v>
      </c>
      <c r="AA81" s="34">
        <v>500</v>
      </c>
      <c r="AB81" s="16">
        <f t="shared" si="11"/>
        <v>-29.376344086021504</v>
      </c>
      <c r="AC81" s="31" t="s">
        <v>82</v>
      </c>
      <c r="AD81" s="21"/>
      <c r="AE81" s="21"/>
      <c r="AF81" s="5">
        <v>1</v>
      </c>
    </row>
    <row r="82" spans="1:32" x14ac:dyDescent="0.35">
      <c r="I82" s="23"/>
      <c r="K82" s="23"/>
      <c r="L82" s="24"/>
      <c r="M82" s="16"/>
      <c r="N82" s="23"/>
      <c r="O82" s="23"/>
      <c r="P82" s="16"/>
      <c r="Q82" s="23"/>
      <c r="R82" s="23"/>
      <c r="S82" s="16"/>
      <c r="T82" s="23"/>
      <c r="U82" s="23"/>
      <c r="V82" s="16"/>
      <c r="W82" s="23"/>
      <c r="X82" s="23"/>
      <c r="Y82" s="16"/>
      <c r="Z82" s="23"/>
      <c r="AA82" s="23"/>
      <c r="AB82" s="16"/>
      <c r="AC82" s="33"/>
    </row>
    <row r="83" spans="1:32" x14ac:dyDescent="0.35">
      <c r="A83" t="s">
        <v>632</v>
      </c>
      <c r="B83" s="4"/>
      <c r="C83" s="4"/>
      <c r="D83" s="4"/>
      <c r="E83" s="4"/>
      <c r="F83" s="4"/>
      <c r="G83" s="4"/>
      <c r="H83" s="4"/>
      <c r="I83" s="4"/>
      <c r="J83" s="13" t="s">
        <v>633</v>
      </c>
      <c r="K83" s="5"/>
      <c r="L83" s="18">
        <f>SUM('Collection to Date'!E7:E44)</f>
        <v>1125525</v>
      </c>
      <c r="M83" s="16"/>
      <c r="N83" s="5"/>
      <c r="O83" s="18">
        <f>SUM('Collection to Date'!F7:F33)</f>
        <v>242229</v>
      </c>
      <c r="P83" s="16"/>
      <c r="Q83" s="5"/>
      <c r="R83" s="18">
        <f>SUM('Collection to Date'!G7:G33)</f>
        <v>11713</v>
      </c>
      <c r="S83" s="16"/>
      <c r="T83" s="5"/>
      <c r="U83" s="18">
        <f>SUM('Collection to Date'!H7:H33)</f>
        <v>2</v>
      </c>
      <c r="V83" s="16"/>
      <c r="W83" s="5"/>
      <c r="X83" s="18">
        <f>SUM('Collection to Date'!I7:I33)</f>
        <v>4</v>
      </c>
      <c r="Y83" s="16"/>
      <c r="Z83" s="5"/>
      <c r="AA83" s="18">
        <f>SUM('Collection to Date'!J7:J33)</f>
        <v>860</v>
      </c>
      <c r="AB83" s="16"/>
      <c r="AC83" s="4"/>
      <c r="AD83" s="4"/>
      <c r="AE83" s="4"/>
    </row>
    <row r="84" spans="1:32" x14ac:dyDescent="0.35">
      <c r="B84" s="4"/>
      <c r="C84" s="4"/>
      <c r="D84" s="4"/>
      <c r="E84" s="4"/>
      <c r="F84" s="4"/>
      <c r="G84" s="4"/>
      <c r="H84" s="4"/>
      <c r="I84" s="4"/>
      <c r="J84" s="13" t="s">
        <v>634</v>
      </c>
      <c r="K84" s="5"/>
      <c r="L84" s="18">
        <f>SUM('Distribution to Date'!D2:D94)</f>
        <v>783262</v>
      </c>
      <c r="M84" s="16"/>
      <c r="N84" s="5"/>
      <c r="O84" s="18">
        <f>SUM('Distribution to Date'!E2:E94)</f>
        <v>283282</v>
      </c>
      <c r="P84" s="16"/>
      <c r="Q84" s="5"/>
      <c r="R84" s="18">
        <f>SUM('Distribution to Date'!F2:F94)</f>
        <v>90340</v>
      </c>
      <c r="S84" s="16"/>
      <c r="T84" s="5"/>
      <c r="U84" s="18">
        <f>SUM('Distribution to Date'!G2:G94)</f>
        <v>412</v>
      </c>
      <c r="V84" s="16"/>
      <c r="W84" s="5"/>
      <c r="X84" s="18">
        <f>SUM('Distribution to Date'!H2:H94)</f>
        <v>8</v>
      </c>
      <c r="Y84" s="16"/>
      <c r="Z84" s="5"/>
      <c r="AA84" s="18">
        <f>SUM('Distribution to Date'!I2:I94)</f>
        <v>2226</v>
      </c>
      <c r="AB84" s="16"/>
      <c r="AC84" s="4"/>
      <c r="AD84" s="4"/>
      <c r="AE84" s="4"/>
    </row>
    <row r="85" spans="1:32" x14ac:dyDescent="0.35">
      <c r="B85" s="4"/>
      <c r="C85" s="4"/>
      <c r="D85" s="4"/>
      <c r="E85" s="4"/>
      <c r="F85" s="4"/>
      <c r="G85" s="4"/>
      <c r="H85" s="4"/>
      <c r="I85" s="4"/>
      <c r="J85" s="13" t="s">
        <v>635</v>
      </c>
      <c r="K85" s="5"/>
      <c r="L85" s="18">
        <f>SUM(L83-L84)</f>
        <v>342263</v>
      </c>
      <c r="M85" s="17">
        <f>SUM(M2:M81)</f>
        <v>342262.99999999994</v>
      </c>
      <c r="N85" s="5"/>
      <c r="O85" s="18">
        <f>SUM(O83-O84)</f>
        <v>-41053</v>
      </c>
      <c r="P85" s="17">
        <f>SUM(P2:P81)</f>
        <v>-41053</v>
      </c>
      <c r="Q85" s="5"/>
      <c r="R85" s="18">
        <f>SUM(R83-R84)</f>
        <v>-78627</v>
      </c>
      <c r="S85" s="17">
        <f>SUM(S2:S81)</f>
        <v>-78627.000000000015</v>
      </c>
      <c r="T85" s="5"/>
      <c r="U85" s="18">
        <f>SUM(U83-U84)</f>
        <v>-410</v>
      </c>
      <c r="V85" s="17">
        <f>SUM(V2:V81)</f>
        <v>-409.99999999999994</v>
      </c>
      <c r="W85" s="5"/>
      <c r="X85" s="18">
        <f>SUM(X83-X84)</f>
        <v>-4</v>
      </c>
      <c r="Y85" s="17">
        <f>SUM(Y2:Y81)</f>
        <v>-4.0000000000000018</v>
      </c>
      <c r="Z85" s="5"/>
      <c r="AA85" s="18">
        <f>SUM(AA83-AA84)</f>
        <v>-1366</v>
      </c>
      <c r="AB85" s="17">
        <f>SUM(AB2:AB81)</f>
        <v>-1366.0000000000005</v>
      </c>
      <c r="AC85" s="4"/>
      <c r="AD85" s="4"/>
      <c r="AE85" s="4"/>
    </row>
    <row r="86" spans="1:32" x14ac:dyDescent="0.35">
      <c r="B86" s="4"/>
      <c r="C86" s="4"/>
      <c r="D86" s="4"/>
      <c r="E86" s="4"/>
      <c r="F86" s="4"/>
      <c r="G86" s="4"/>
      <c r="H86" s="4"/>
      <c r="I86" s="4"/>
      <c r="J86" s="4"/>
      <c r="K86" s="5"/>
      <c r="L86" s="18"/>
      <c r="M86" s="16"/>
      <c r="N86" s="5"/>
      <c r="O86" s="18"/>
      <c r="P86" s="16"/>
      <c r="Q86" s="5"/>
      <c r="R86" s="18"/>
      <c r="S86" s="16"/>
      <c r="T86" s="5"/>
      <c r="U86" s="18"/>
      <c r="V86" s="16"/>
      <c r="W86" s="5"/>
      <c r="X86" s="18"/>
      <c r="Y86" s="16"/>
      <c r="Z86" s="5"/>
      <c r="AA86" s="18"/>
      <c r="AB86" s="16"/>
      <c r="AC86" s="4"/>
      <c r="AD86" s="4"/>
      <c r="AE86" s="4"/>
    </row>
    <row r="87" spans="1:32" x14ac:dyDescent="0.35">
      <c r="B87" s="4"/>
      <c r="C87" s="4"/>
      <c r="D87" s="4"/>
      <c r="E87" s="4"/>
      <c r="F87" s="4"/>
      <c r="G87" s="4"/>
      <c r="H87" s="4"/>
      <c r="I87" s="4"/>
      <c r="J87" s="4" t="s">
        <v>636</v>
      </c>
      <c r="K87" s="5"/>
      <c r="L87" s="18"/>
      <c r="M87" s="16">
        <f>SUM(M18,M78,M81)</f>
        <v>20791.67757009346</v>
      </c>
      <c r="N87" s="5"/>
      <c r="O87" s="18"/>
      <c r="P87" s="16">
        <f>SUM(P18,P78,P81)</f>
        <v>-2242.3907563025209</v>
      </c>
      <c r="Q87" s="5"/>
      <c r="R87" s="18"/>
      <c r="S87" s="16"/>
      <c r="T87" s="5"/>
      <c r="U87" s="18"/>
      <c r="V87" s="16"/>
      <c r="W87" s="5"/>
      <c r="X87" s="18"/>
      <c r="Y87" s="16"/>
      <c r="Z87" s="5"/>
      <c r="AA87" s="18"/>
      <c r="AB87" s="16"/>
      <c r="AC87" s="4"/>
      <c r="AD87" s="4"/>
      <c r="AE87" s="4"/>
    </row>
    <row r="88" spans="1:32" x14ac:dyDescent="0.35">
      <c r="B88" s="4"/>
      <c r="C88" s="4"/>
      <c r="D88" s="4"/>
      <c r="E88" s="4"/>
      <c r="F88" s="4"/>
      <c r="G88" s="4"/>
      <c r="H88" s="4"/>
      <c r="I88" s="4"/>
      <c r="J88" s="4" t="s">
        <v>637</v>
      </c>
      <c r="K88" s="5"/>
      <c r="L88" s="18"/>
      <c r="M88" s="16">
        <v>56632</v>
      </c>
      <c r="N88" s="5"/>
      <c r="O88" s="18"/>
      <c r="P88" s="16">
        <v>46500</v>
      </c>
      <c r="Q88" s="5"/>
      <c r="R88" s="18"/>
      <c r="S88" s="16"/>
      <c r="T88" s="5"/>
      <c r="U88" s="18"/>
      <c r="V88" s="16"/>
      <c r="W88" s="5"/>
      <c r="X88" s="18"/>
      <c r="Y88" s="16"/>
      <c r="Z88" s="5"/>
      <c r="AA88" s="18"/>
      <c r="AB88" s="16"/>
      <c r="AC88" s="4"/>
      <c r="AD88" s="4"/>
      <c r="AE88" s="4"/>
    </row>
    <row r="89" spans="1:32" x14ac:dyDescent="0.35">
      <c r="B89" s="4"/>
      <c r="C89" s="4"/>
      <c r="D89" s="4"/>
      <c r="E89" s="4"/>
      <c r="F89" s="4"/>
      <c r="G89" s="4"/>
      <c r="H89" s="4"/>
      <c r="I89" s="4"/>
      <c r="J89" s="4"/>
      <c r="K89" s="5"/>
      <c r="L89" s="18" t="s">
        <v>49</v>
      </c>
      <c r="M89" s="16">
        <f>SUM(M87:M88)</f>
        <v>77423.677570093452</v>
      </c>
      <c r="N89" s="5"/>
      <c r="O89" s="18"/>
      <c r="P89" s="16">
        <f>SUM(P87:P88)</f>
        <v>44257.60924369748</v>
      </c>
      <c r="Q89" s="5"/>
      <c r="R89" s="18"/>
      <c r="S89" s="16"/>
      <c r="T89" s="5"/>
      <c r="U89" s="18"/>
      <c r="V89" s="16"/>
      <c r="W89" s="5"/>
      <c r="X89" s="18"/>
      <c r="Y89" s="16"/>
      <c r="Z89" s="5"/>
      <c r="AA89" s="18"/>
      <c r="AB89" s="16"/>
      <c r="AC89" s="4"/>
      <c r="AD89" s="4"/>
      <c r="AE89" s="4"/>
    </row>
    <row r="90" spans="1:32" x14ac:dyDescent="0.35">
      <c r="B90" s="4"/>
      <c r="C90" s="4"/>
      <c r="D90" s="4"/>
      <c r="E90" s="4"/>
      <c r="F90" s="4"/>
      <c r="G90" s="4"/>
      <c r="H90" s="4"/>
      <c r="I90" s="4"/>
      <c r="J90" s="4"/>
      <c r="L90" s="18"/>
      <c r="M90" s="16"/>
      <c r="O90" s="18"/>
      <c r="P90" s="16"/>
      <c r="R90" s="18"/>
      <c r="S90" s="16"/>
      <c r="U90" s="18"/>
      <c r="V90" s="16"/>
      <c r="X90" s="18"/>
      <c r="Y90" s="16"/>
      <c r="AA90" s="18"/>
      <c r="AB90" s="16"/>
      <c r="AC90" s="4"/>
      <c r="AD90" s="4"/>
      <c r="AE90" s="4"/>
    </row>
    <row r="91" spans="1:32" x14ac:dyDescent="0.35">
      <c r="B91" s="4"/>
      <c r="C91" s="4"/>
      <c r="D91" s="4"/>
      <c r="E91" s="4"/>
      <c r="F91" s="4"/>
      <c r="G91" s="4"/>
      <c r="H91" s="4"/>
      <c r="I91" s="4"/>
      <c r="J91" s="4"/>
      <c r="L91" s="18"/>
      <c r="M91" s="2"/>
      <c r="O91" s="18"/>
      <c r="P91"/>
      <c r="R91" s="18"/>
      <c r="S91" s="16"/>
      <c r="U91" s="18"/>
      <c r="V91" s="16"/>
      <c r="X91" s="18"/>
      <c r="Y91" s="16"/>
      <c r="AA91" s="18"/>
      <c r="AB91" s="16"/>
      <c r="AC91" s="4"/>
      <c r="AD91" s="4"/>
      <c r="AE91" s="4"/>
    </row>
    <row r="92" spans="1:32" x14ac:dyDescent="0.35">
      <c r="B92" s="4"/>
      <c r="C92" s="4"/>
      <c r="D92" s="4"/>
      <c r="E92" s="4"/>
      <c r="F92" s="4"/>
      <c r="G92" s="4"/>
      <c r="H92" s="4"/>
      <c r="I92" s="4"/>
      <c r="J92" s="4"/>
      <c r="L92" s="18"/>
      <c r="M92" s="16"/>
      <c r="O92" s="18"/>
      <c r="P92" s="16"/>
      <c r="R92" s="18"/>
      <c r="S92" s="16"/>
      <c r="U92" s="18"/>
      <c r="V92" s="16"/>
      <c r="X92" s="18"/>
      <c r="Y92" s="16"/>
      <c r="AA92" s="18"/>
      <c r="AB92" s="16"/>
      <c r="AC92" s="4"/>
      <c r="AD92" s="4"/>
      <c r="AE92" s="4"/>
    </row>
    <row r="93" spans="1:32" x14ac:dyDescent="0.35">
      <c r="B93" s="4"/>
      <c r="C93" s="4"/>
      <c r="D93" s="4"/>
      <c r="E93" s="4"/>
      <c r="F93" s="4"/>
      <c r="G93" s="4"/>
      <c r="H93" s="4"/>
      <c r="I93" s="4"/>
      <c r="J93" s="4"/>
      <c r="L93" s="18"/>
      <c r="M93" s="16"/>
      <c r="O93" s="18"/>
      <c r="P93" s="16"/>
      <c r="R93" s="18"/>
      <c r="S93" s="16"/>
      <c r="U93" s="18"/>
      <c r="V93" s="16"/>
      <c r="X93" s="18"/>
      <c r="Y93" s="16"/>
      <c r="AA93" s="18"/>
      <c r="AB93" s="16"/>
      <c r="AC93" s="4"/>
      <c r="AD93" s="4"/>
      <c r="AE93" s="4"/>
    </row>
    <row r="94" spans="1:32" x14ac:dyDescent="0.35">
      <c r="E94" s="8"/>
      <c r="F94" s="7"/>
      <c r="G94" s="10"/>
      <c r="H94" s="9"/>
      <c r="I94" s="10"/>
    </row>
    <row r="95" spans="1:32" x14ac:dyDescent="0.35">
      <c r="E95" s="8"/>
      <c r="F95" s="7"/>
      <c r="G95" s="10"/>
      <c r="H95" s="9"/>
      <c r="I95" s="10"/>
    </row>
    <row r="96" spans="1:32" x14ac:dyDescent="0.35">
      <c r="E96" s="11"/>
      <c r="F96" s="7"/>
      <c r="G96" s="6"/>
      <c r="H96" s="7"/>
      <c r="I96" s="6"/>
    </row>
    <row r="97" spans="5:9" x14ac:dyDescent="0.35">
      <c r="E97" s="6"/>
      <c r="F97" s="7"/>
      <c r="G97" s="6"/>
      <c r="H97" s="7"/>
      <c r="I97" s="6"/>
    </row>
    <row r="98" spans="5:9" x14ac:dyDescent="0.35">
      <c r="E98" s="8"/>
      <c r="F98" s="7"/>
      <c r="G98" s="8"/>
      <c r="H98" s="9"/>
      <c r="I98" s="10"/>
    </row>
    <row r="99" spans="5:9" x14ac:dyDescent="0.35">
      <c r="E99" s="10"/>
      <c r="F99" s="7"/>
      <c r="G99" s="10"/>
      <c r="H99" s="9"/>
      <c r="I99" s="10"/>
    </row>
    <row r="100" spans="5:9" x14ac:dyDescent="0.35">
      <c r="E100" s="8"/>
      <c r="F100" s="7"/>
      <c r="G100" s="10"/>
      <c r="H100" s="9"/>
      <c r="I100" s="10"/>
    </row>
    <row r="101" spans="5:9" x14ac:dyDescent="0.35">
      <c r="E101" s="8"/>
      <c r="F101" s="7"/>
      <c r="G101" s="8"/>
      <c r="H101" s="9"/>
      <c r="I101" s="10"/>
    </row>
    <row r="102" spans="5:9" x14ac:dyDescent="0.35">
      <c r="E102" s="10"/>
      <c r="F102" s="7"/>
      <c r="G102" s="10"/>
      <c r="H102" s="9"/>
      <c r="I102" s="10"/>
    </row>
    <row r="103" spans="5:9" x14ac:dyDescent="0.35">
      <c r="E103" s="10"/>
      <c r="F103" s="7"/>
      <c r="G103" s="10"/>
      <c r="H103" s="9"/>
      <c r="I103" s="10"/>
    </row>
    <row r="104" spans="5:9" x14ac:dyDescent="0.35">
      <c r="E104" s="6"/>
      <c r="F104" s="7"/>
      <c r="G104" s="6"/>
      <c r="H104" s="7"/>
      <c r="I104" s="6"/>
    </row>
    <row r="105" spans="5:9" x14ac:dyDescent="0.35">
      <c r="E105" s="10"/>
      <c r="F105" s="7"/>
      <c r="G105" s="10"/>
      <c r="H105" s="9"/>
      <c r="I105" s="10"/>
    </row>
    <row r="106" spans="5:9" x14ac:dyDescent="0.35">
      <c r="E106" s="8"/>
      <c r="F106" s="7"/>
      <c r="G106" s="8"/>
      <c r="H106" s="9"/>
      <c r="I106" s="10"/>
    </row>
    <row r="107" spans="5:9" x14ac:dyDescent="0.35">
      <c r="E107" s="10"/>
      <c r="F107" s="7"/>
      <c r="G107" s="10"/>
      <c r="H107" s="9"/>
      <c r="I107" s="10"/>
    </row>
    <row r="108" spans="5:9" x14ac:dyDescent="0.35">
      <c r="E108" s="10"/>
      <c r="F108" s="7"/>
      <c r="G108" s="10"/>
      <c r="H108" s="9"/>
      <c r="I108" s="10"/>
    </row>
    <row r="109" spans="5:9" x14ac:dyDescent="0.35">
      <c r="E109" s="10"/>
      <c r="F109" s="7"/>
      <c r="G109" s="10"/>
      <c r="H109" s="9"/>
      <c r="I109" s="10"/>
    </row>
    <row r="110" spans="5:9" x14ac:dyDescent="0.35">
      <c r="E110" s="8"/>
      <c r="F110" s="7"/>
      <c r="G110" s="8"/>
      <c r="H110" s="9"/>
      <c r="I110" s="10"/>
    </row>
    <row r="111" spans="5:9" x14ac:dyDescent="0.35">
      <c r="E111" s="6"/>
      <c r="F111" s="7"/>
      <c r="G111" s="6"/>
      <c r="H111" s="7"/>
      <c r="I111" s="6"/>
    </row>
    <row r="112" spans="5:9" x14ac:dyDescent="0.35">
      <c r="E112" s="8"/>
      <c r="F112" s="7"/>
      <c r="G112" s="8"/>
      <c r="H112" s="9"/>
      <c r="I112" s="10"/>
    </row>
    <row r="113" spans="5:9" x14ac:dyDescent="0.35">
      <c r="E113" s="10"/>
      <c r="F113" s="7"/>
      <c r="G113" s="10"/>
      <c r="H113" s="9"/>
      <c r="I113" s="10"/>
    </row>
    <row r="114" spans="5:9" x14ac:dyDescent="0.35">
      <c r="E114" s="6"/>
      <c r="F114" s="7"/>
      <c r="G114" s="6"/>
      <c r="H114" s="7"/>
      <c r="I114" s="6"/>
    </row>
    <row r="115" spans="5:9" x14ac:dyDescent="0.35">
      <c r="E115" s="10"/>
      <c r="F115" s="7"/>
      <c r="G115" s="10"/>
      <c r="H115" s="9"/>
      <c r="I115" s="10"/>
    </row>
    <row r="116" spans="5:9" x14ac:dyDescent="0.35">
      <c r="E116" s="10"/>
      <c r="F116" s="7"/>
      <c r="G116" s="10"/>
      <c r="H116" s="9"/>
      <c r="I116" s="10"/>
    </row>
    <row r="117" spans="5:9" x14ac:dyDescent="0.35">
      <c r="E117" s="10"/>
      <c r="F117" s="7"/>
      <c r="G117" s="10"/>
      <c r="H117" s="9"/>
      <c r="I117" s="10"/>
    </row>
    <row r="118" spans="5:9" x14ac:dyDescent="0.35">
      <c r="E118" s="6"/>
      <c r="F118" s="7"/>
      <c r="G118" s="6"/>
      <c r="H118" s="7"/>
      <c r="I118" s="6"/>
    </row>
    <row r="119" spans="5:9" x14ac:dyDescent="0.35">
      <c r="E119" s="6"/>
      <c r="F119" s="7"/>
      <c r="G119" s="6"/>
      <c r="H119" s="7"/>
      <c r="I119" s="6"/>
    </row>
    <row r="120" spans="5:9" x14ac:dyDescent="0.35">
      <c r="E120" s="10"/>
      <c r="F120" s="7"/>
      <c r="G120" s="10"/>
      <c r="H120" s="9"/>
      <c r="I120" s="10"/>
    </row>
    <row r="121" spans="5:9" x14ac:dyDescent="0.35">
      <c r="E121" s="10"/>
      <c r="F121" s="7"/>
      <c r="G121" s="10"/>
      <c r="H121" s="9"/>
      <c r="I121" s="10"/>
    </row>
    <row r="122" spans="5:9" x14ac:dyDescent="0.35">
      <c r="E122" s="11"/>
      <c r="F122" s="7"/>
      <c r="G122" s="11"/>
      <c r="H122" s="7"/>
      <c r="I122" s="6"/>
    </row>
    <row r="123" spans="5:9" x14ac:dyDescent="0.35">
      <c r="E123" s="10"/>
      <c r="F123" s="7"/>
      <c r="G123" s="10"/>
      <c r="H123" s="9"/>
      <c r="I123" s="10"/>
    </row>
    <row r="124" spans="5:9" x14ac:dyDescent="0.35">
      <c r="E124" s="10"/>
      <c r="F124" s="7"/>
      <c r="G124" s="10"/>
      <c r="H124" s="9"/>
      <c r="I124" s="10"/>
    </row>
    <row r="125" spans="5:9" x14ac:dyDescent="0.35">
      <c r="E125" s="10"/>
      <c r="F125" s="7"/>
      <c r="G125" s="10"/>
      <c r="H125" s="9"/>
      <c r="I125" s="10"/>
    </row>
    <row r="126" spans="5:9" x14ac:dyDescent="0.35">
      <c r="E126" s="10"/>
      <c r="F126" s="7"/>
      <c r="G126" s="10"/>
      <c r="H126" s="9"/>
      <c r="I126" s="10"/>
    </row>
    <row r="127" spans="5:9" x14ac:dyDescent="0.35">
      <c r="E127" s="6"/>
      <c r="F127" s="7"/>
      <c r="G127" s="6"/>
      <c r="H127" s="7"/>
      <c r="I127" s="6"/>
    </row>
    <row r="128" spans="5:9" x14ac:dyDescent="0.35">
      <c r="E128" s="10"/>
      <c r="F128" s="7"/>
      <c r="G128" s="10"/>
      <c r="H128" s="9"/>
      <c r="I128" s="10"/>
    </row>
    <row r="129" spans="5:9" x14ac:dyDescent="0.35">
      <c r="E129" s="10"/>
      <c r="F129" s="7"/>
      <c r="G129" s="10"/>
      <c r="H129" s="9"/>
      <c r="I129" s="10"/>
    </row>
    <row r="130" spans="5:9" x14ac:dyDescent="0.35">
      <c r="E130" s="10"/>
      <c r="F130" s="7"/>
      <c r="G130" s="10"/>
      <c r="H130" s="9"/>
      <c r="I130" s="10"/>
    </row>
    <row r="131" spans="5:9" x14ac:dyDescent="0.35">
      <c r="E131" s="6"/>
      <c r="F131" s="7"/>
      <c r="G131" s="6"/>
      <c r="H131" s="7"/>
      <c r="I131" s="6"/>
    </row>
    <row r="132" spans="5:9" x14ac:dyDescent="0.35">
      <c r="E132" s="12"/>
      <c r="F132" s="12"/>
      <c r="G132" s="12"/>
      <c r="H132" s="12"/>
      <c r="I132" s="12"/>
    </row>
    <row r="1048574" spans="32:32" x14ac:dyDescent="0.35">
      <c r="AF1048574">
        <v>0</v>
      </c>
    </row>
  </sheetData>
  <autoFilter ref="A1:AG81" xr:uid="{98BAF492-7110-4F5D-8E60-33A3EB9A95BE}">
    <filterColumn colId="7">
      <filters>
        <filter val="Abbotsford"/>
        <filter val="Agassiz"/>
        <filter val="Chilliwack"/>
        <filter val="Chilliwack, BC"/>
        <filter val="Delta"/>
        <filter val="Maple Ridge"/>
        <filter val="Mission"/>
        <filter val="Sechelt"/>
        <filter val="Surrey"/>
        <filter val="Vancouver"/>
      </filters>
    </filterColumn>
    <filterColumn colId="28">
      <filters>
        <filter val="No"/>
      </filters>
    </filterColumn>
    <filterColumn colId="31">
      <filters>
        <filter val="1"/>
      </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I95"/>
  <sheetViews>
    <sheetView topLeftCell="A10" workbookViewId="0">
      <selection activeCell="M40" sqref="M40"/>
    </sheetView>
  </sheetViews>
  <sheetFormatPr defaultRowHeight="14.5" x14ac:dyDescent="0.35"/>
  <cols>
    <col min="2" max="2" width="10" bestFit="1" customWidth="1"/>
    <col min="3" max="9" width="9" customWidth="1"/>
    <col min="11" max="11" width="9" customWidth="1"/>
    <col min="12" max="12" width="9" style="3"/>
    <col min="13" max="13" width="9" style="14"/>
    <col min="14" max="14" width="9" customWidth="1"/>
    <col min="15" max="15" width="9" style="3"/>
    <col min="16" max="16" width="9" style="14"/>
    <col min="17" max="17" width="9" customWidth="1"/>
    <col min="18" max="18" width="9" style="3"/>
    <col min="19" max="19" width="9" style="14"/>
    <col min="20" max="20" width="9" customWidth="1"/>
    <col min="21" max="21" width="9" style="3"/>
    <col min="22" max="22" width="9" style="14"/>
    <col min="23" max="23" width="9" customWidth="1"/>
    <col min="24" max="24" width="9" style="3"/>
    <col min="25" max="25" width="9" style="14"/>
    <col min="26" max="26" width="9" customWidth="1"/>
    <col min="27" max="27" width="9" style="3"/>
    <col min="28" max="28" width="9" style="14"/>
    <col min="30" max="33" width="9" customWidth="1"/>
  </cols>
  <sheetData>
    <row r="1" spans="1:34" x14ac:dyDescent="0.35">
      <c r="A1" s="3" t="s">
        <v>0</v>
      </c>
      <c r="B1" s="1">
        <v>44014</v>
      </c>
    </row>
    <row r="2" spans="1:34" x14ac:dyDescent="0.35">
      <c r="K2" t="s">
        <v>638</v>
      </c>
      <c r="L2" s="3" t="s">
        <v>639</v>
      </c>
      <c r="N2" t="s">
        <v>638</v>
      </c>
      <c r="O2" s="3" t="s">
        <v>639</v>
      </c>
      <c r="Q2" t="s">
        <v>638</v>
      </c>
      <c r="R2" s="3" t="s">
        <v>639</v>
      </c>
      <c r="T2" t="s">
        <v>638</v>
      </c>
      <c r="U2" s="3" t="s">
        <v>639</v>
      </c>
      <c r="W2" t="s">
        <v>638</v>
      </c>
      <c r="X2" s="3" t="s">
        <v>639</v>
      </c>
      <c r="Z2" t="s">
        <v>638</v>
      </c>
      <c r="AA2" s="3" t="s">
        <v>639</v>
      </c>
    </row>
    <row r="3" spans="1:34" x14ac:dyDescent="0.35">
      <c r="A3" s="3" t="s">
        <v>54</v>
      </c>
      <c r="B3" t="s">
        <v>640</v>
      </c>
      <c r="C3" t="s">
        <v>641</v>
      </c>
      <c r="D3" t="s">
        <v>642</v>
      </c>
      <c r="E3" t="s">
        <v>643</v>
      </c>
      <c r="F3" t="s">
        <v>644</v>
      </c>
      <c r="G3" t="s">
        <v>645</v>
      </c>
      <c r="H3" t="s">
        <v>646</v>
      </c>
      <c r="I3" t="s">
        <v>647</v>
      </c>
      <c r="J3" s="3" t="s">
        <v>648</v>
      </c>
      <c r="K3" t="s">
        <v>64</v>
      </c>
      <c r="L3" s="3" t="s">
        <v>64</v>
      </c>
      <c r="M3" s="15" t="s">
        <v>65</v>
      </c>
      <c r="N3" t="s">
        <v>66</v>
      </c>
      <c r="O3" s="3" t="s">
        <v>66</v>
      </c>
      <c r="P3" s="15" t="s">
        <v>65</v>
      </c>
      <c r="Q3" t="s">
        <v>67</v>
      </c>
      <c r="R3" s="3" t="s">
        <v>67</v>
      </c>
      <c r="S3" s="15" t="s">
        <v>65</v>
      </c>
      <c r="T3" t="s">
        <v>10</v>
      </c>
      <c r="U3" s="3" t="s">
        <v>10</v>
      </c>
      <c r="V3" s="15" t="s">
        <v>65</v>
      </c>
      <c r="W3" t="s">
        <v>68</v>
      </c>
      <c r="X3" s="3" t="s">
        <v>68</v>
      </c>
      <c r="Y3" s="15" t="s">
        <v>65</v>
      </c>
      <c r="Z3" t="s">
        <v>69</v>
      </c>
      <c r="AA3" s="3" t="s">
        <v>69</v>
      </c>
      <c r="AB3" s="15" t="s">
        <v>65</v>
      </c>
      <c r="AC3" t="s">
        <v>649</v>
      </c>
      <c r="AD3" t="s">
        <v>650</v>
      </c>
      <c r="AE3" t="s">
        <v>651</v>
      </c>
      <c r="AF3" t="s">
        <v>652</v>
      </c>
      <c r="AG3" t="s">
        <v>57</v>
      </c>
      <c r="AH3" t="s">
        <v>73</v>
      </c>
    </row>
    <row r="4" spans="1:34" x14ac:dyDescent="0.35">
      <c r="B4" s="4" t="s">
        <v>653</v>
      </c>
      <c r="C4" s="4" t="s">
        <v>654</v>
      </c>
      <c r="D4" s="4" t="s">
        <v>168</v>
      </c>
      <c r="E4" s="4" t="s">
        <v>655</v>
      </c>
      <c r="F4" s="4" t="s">
        <v>262</v>
      </c>
      <c r="G4" s="4" t="s">
        <v>656</v>
      </c>
      <c r="H4" s="4" t="s">
        <v>657</v>
      </c>
      <c r="I4" s="4" t="s">
        <v>267</v>
      </c>
      <c r="J4" s="4" t="s">
        <v>658</v>
      </c>
      <c r="K4" s="5">
        <v>0</v>
      </c>
      <c r="L4" s="5">
        <v>0</v>
      </c>
      <c r="M4" s="16">
        <f t="shared" ref="M4:M45" si="0">SUM($L$48/(SUM($L$4:$L$45)))*L4</f>
        <v>0</v>
      </c>
      <c r="N4" s="5">
        <v>7</v>
      </c>
      <c r="O4" s="5">
        <v>7</v>
      </c>
      <c r="P4" s="16">
        <f t="shared" ref="P4:P45" si="1">SUM($O$48/(SUM($O$4:$O$45)))*O4</f>
        <v>-1207.4411764705883</v>
      </c>
      <c r="Q4" s="5">
        <v>5</v>
      </c>
      <c r="R4" s="5">
        <v>5</v>
      </c>
      <c r="S4" s="16">
        <f t="shared" ref="S4:S45" si="2">SUM($R$48/(SUM($R$4:$R$45)))*R4</f>
        <v>-2233.721590909091</v>
      </c>
      <c r="T4" s="5">
        <v>1</v>
      </c>
      <c r="U4" s="5">
        <v>1</v>
      </c>
      <c r="V4" s="16">
        <f t="shared" ref="V4:V45" si="3">SUM($U$48/(SUM($U$4:$U$45)))*U4</f>
        <v>-3.8679245283018866</v>
      </c>
      <c r="W4" s="5">
        <v>2</v>
      </c>
      <c r="X4" s="5">
        <v>2</v>
      </c>
      <c r="Y4" s="16">
        <f t="shared" ref="Y4:Y45" si="4">SUM($X$48/(SUM($X$4:$X$45)))*X4</f>
        <v>-6.25E-2</v>
      </c>
      <c r="Z4" s="5">
        <v>2</v>
      </c>
      <c r="AA4" s="5">
        <v>2</v>
      </c>
      <c r="AB4" s="16">
        <f t="shared" ref="AB4:AB45" si="5">SUM($AA$48/(SUM($AA$4:$AA$45)))*AA4</f>
        <v>-31.402298850574713</v>
      </c>
      <c r="AC4" s="4" t="s">
        <v>658</v>
      </c>
      <c r="AD4" s="4" t="s">
        <v>655</v>
      </c>
      <c r="AE4" s="4" t="s">
        <v>655</v>
      </c>
      <c r="AF4" s="4" t="s">
        <v>655</v>
      </c>
      <c r="AG4" s="4" t="s">
        <v>655</v>
      </c>
      <c r="AH4" s="4" t="s">
        <v>658</v>
      </c>
    </row>
    <row r="5" spans="1:34" x14ac:dyDescent="0.35">
      <c r="B5" s="4" t="s">
        <v>659</v>
      </c>
      <c r="C5" s="4" t="s">
        <v>660</v>
      </c>
      <c r="D5" s="4" t="s">
        <v>343</v>
      </c>
      <c r="E5" s="4" t="s">
        <v>655</v>
      </c>
      <c r="F5" s="4" t="s">
        <v>661</v>
      </c>
      <c r="G5" s="4" t="s">
        <v>662</v>
      </c>
      <c r="H5" s="4" t="s">
        <v>663</v>
      </c>
      <c r="I5" s="4" t="s">
        <v>664</v>
      </c>
      <c r="J5" s="4" t="s">
        <v>658</v>
      </c>
      <c r="K5" s="5">
        <v>5</v>
      </c>
      <c r="L5" s="5">
        <v>5</v>
      </c>
      <c r="M5" s="16">
        <f t="shared" si="0"/>
        <v>6956.5650406504064</v>
      </c>
      <c r="N5" s="5">
        <v>5</v>
      </c>
      <c r="O5" s="5">
        <v>5</v>
      </c>
      <c r="P5" s="16">
        <f t="shared" si="1"/>
        <v>-862.4579831932773</v>
      </c>
      <c r="Q5" s="5">
        <v>5</v>
      </c>
      <c r="R5" s="5">
        <v>5</v>
      </c>
      <c r="S5" s="16">
        <f t="shared" si="2"/>
        <v>-2233.721590909091</v>
      </c>
      <c r="T5" s="5">
        <v>3</v>
      </c>
      <c r="U5" s="5">
        <v>3</v>
      </c>
      <c r="V5" s="16">
        <f t="shared" si="3"/>
        <v>-11.60377358490566</v>
      </c>
      <c r="W5" s="5">
        <v>4</v>
      </c>
      <c r="X5" s="5">
        <v>4</v>
      </c>
      <c r="Y5" s="16">
        <f t="shared" si="4"/>
        <v>-0.125</v>
      </c>
      <c r="Z5" s="5">
        <v>0</v>
      </c>
      <c r="AA5" s="5">
        <v>0</v>
      </c>
      <c r="AB5" s="16">
        <f t="shared" si="5"/>
        <v>0</v>
      </c>
      <c r="AC5" s="4" t="s">
        <v>665</v>
      </c>
      <c r="AD5" s="4" t="s">
        <v>660</v>
      </c>
      <c r="AE5" s="4" t="s">
        <v>343</v>
      </c>
      <c r="AF5" s="4" t="s">
        <v>142</v>
      </c>
      <c r="AG5" s="4" t="s">
        <v>661</v>
      </c>
      <c r="AH5" s="4" t="s">
        <v>658</v>
      </c>
    </row>
    <row r="6" spans="1:34" x14ac:dyDescent="0.35">
      <c r="B6" s="4" t="s">
        <v>528</v>
      </c>
      <c r="C6" s="4" t="s">
        <v>666</v>
      </c>
      <c r="D6" s="4" t="s">
        <v>160</v>
      </c>
      <c r="E6" s="4" t="s">
        <v>655</v>
      </c>
      <c r="F6" s="4" t="s">
        <v>667</v>
      </c>
      <c r="G6" s="4" t="s">
        <v>531</v>
      </c>
      <c r="H6" s="4" t="s">
        <v>533</v>
      </c>
      <c r="I6" s="4" t="s">
        <v>535</v>
      </c>
      <c r="J6" s="4" t="s">
        <v>658</v>
      </c>
      <c r="K6" s="5">
        <v>10</v>
      </c>
      <c r="L6" s="5">
        <v>10</v>
      </c>
      <c r="M6" s="16">
        <f t="shared" si="0"/>
        <v>13913.130081300813</v>
      </c>
      <c r="N6" s="5">
        <v>10</v>
      </c>
      <c r="O6" s="5">
        <v>10</v>
      </c>
      <c r="P6" s="16">
        <f t="shared" si="1"/>
        <v>-1724.9159663865546</v>
      </c>
      <c r="Q6" s="5">
        <v>3</v>
      </c>
      <c r="R6" s="5">
        <v>3</v>
      </c>
      <c r="S6" s="16">
        <f t="shared" si="2"/>
        <v>-1340.2329545454545</v>
      </c>
      <c r="T6" s="5">
        <v>1</v>
      </c>
      <c r="U6" s="5">
        <v>1</v>
      </c>
      <c r="V6" s="16">
        <f t="shared" si="3"/>
        <v>-3.8679245283018866</v>
      </c>
      <c r="W6" s="5">
        <v>0</v>
      </c>
      <c r="X6" s="5">
        <v>0</v>
      </c>
      <c r="Y6" s="16">
        <f t="shared" si="4"/>
        <v>0</v>
      </c>
      <c r="Z6" s="5">
        <v>0</v>
      </c>
      <c r="AA6" s="5">
        <v>0</v>
      </c>
      <c r="AB6" s="16">
        <f t="shared" si="5"/>
        <v>0</v>
      </c>
      <c r="AC6" s="4" t="s">
        <v>658</v>
      </c>
      <c r="AD6" s="4" t="s">
        <v>655</v>
      </c>
      <c r="AE6" s="4" t="s">
        <v>655</v>
      </c>
      <c r="AF6" s="4" t="s">
        <v>655</v>
      </c>
      <c r="AG6" s="4" t="s">
        <v>655</v>
      </c>
      <c r="AH6" s="4" t="s">
        <v>658</v>
      </c>
    </row>
    <row r="7" spans="1:34" x14ac:dyDescent="0.35">
      <c r="B7" s="4" t="s">
        <v>668</v>
      </c>
      <c r="C7" s="4" t="s">
        <v>669</v>
      </c>
      <c r="D7" s="4" t="s">
        <v>160</v>
      </c>
      <c r="E7" s="4" t="s">
        <v>655</v>
      </c>
      <c r="F7" s="4" t="s">
        <v>670</v>
      </c>
      <c r="G7" s="4" t="s">
        <v>671</v>
      </c>
      <c r="H7" s="4" t="s">
        <v>672</v>
      </c>
      <c r="I7" s="4" t="s">
        <v>673</v>
      </c>
      <c r="J7" s="4" t="s">
        <v>658</v>
      </c>
      <c r="K7" s="5">
        <v>7</v>
      </c>
      <c r="L7" s="5">
        <v>7</v>
      </c>
      <c r="M7" s="16">
        <f t="shared" si="0"/>
        <v>9739.1910569105694</v>
      </c>
      <c r="N7" s="5">
        <v>7</v>
      </c>
      <c r="O7" s="5">
        <v>7</v>
      </c>
      <c r="P7" s="16">
        <f t="shared" si="1"/>
        <v>-1207.4411764705883</v>
      </c>
      <c r="Q7" s="5">
        <v>7</v>
      </c>
      <c r="R7" s="5">
        <v>7</v>
      </c>
      <c r="S7" s="16">
        <f t="shared" si="2"/>
        <v>-3127.2102272727275</v>
      </c>
      <c r="T7" s="5">
        <v>5</v>
      </c>
      <c r="U7" s="5">
        <v>5</v>
      </c>
      <c r="V7" s="16">
        <f t="shared" si="3"/>
        <v>-19.339622641509433</v>
      </c>
      <c r="W7" s="5">
        <v>3</v>
      </c>
      <c r="X7" s="5">
        <v>3</v>
      </c>
      <c r="Y7" s="16">
        <f t="shared" si="4"/>
        <v>-9.375E-2</v>
      </c>
      <c r="Z7" s="5">
        <v>6</v>
      </c>
      <c r="AA7" s="5">
        <v>6</v>
      </c>
      <c r="AB7" s="16">
        <f t="shared" si="5"/>
        <v>-94.206896551724142</v>
      </c>
      <c r="AC7" s="4" t="s">
        <v>658</v>
      </c>
      <c r="AD7" s="4" t="s">
        <v>655</v>
      </c>
      <c r="AE7" s="4" t="s">
        <v>655</v>
      </c>
      <c r="AF7" s="4" t="s">
        <v>655</v>
      </c>
      <c r="AG7" s="4" t="s">
        <v>655</v>
      </c>
      <c r="AH7" s="4" t="s">
        <v>658</v>
      </c>
    </row>
    <row r="8" spans="1:34" x14ac:dyDescent="0.35">
      <c r="B8" s="4" t="s">
        <v>674</v>
      </c>
      <c r="C8" s="4" t="s">
        <v>675</v>
      </c>
      <c r="D8" s="4" t="s">
        <v>589</v>
      </c>
      <c r="E8" s="4" t="s">
        <v>655</v>
      </c>
      <c r="F8" s="4" t="s">
        <v>676</v>
      </c>
      <c r="G8" s="4" t="s">
        <v>677</v>
      </c>
      <c r="H8" s="4" t="s">
        <v>678</v>
      </c>
      <c r="I8" s="4" t="s">
        <v>679</v>
      </c>
      <c r="J8" s="4" t="s">
        <v>658</v>
      </c>
      <c r="K8" s="5">
        <v>2</v>
      </c>
      <c r="L8" s="5">
        <v>0</v>
      </c>
      <c r="M8" s="16">
        <f t="shared" si="0"/>
        <v>0</v>
      </c>
      <c r="N8" s="5">
        <v>2</v>
      </c>
      <c r="O8" s="5">
        <v>0</v>
      </c>
      <c r="P8" s="16">
        <f t="shared" si="1"/>
        <v>0</v>
      </c>
      <c r="Q8" s="5">
        <v>2</v>
      </c>
      <c r="R8" s="5">
        <v>0</v>
      </c>
      <c r="S8" s="16">
        <f t="shared" si="2"/>
        <v>0</v>
      </c>
      <c r="T8" s="5">
        <v>2</v>
      </c>
      <c r="U8" s="5">
        <v>0</v>
      </c>
      <c r="V8" s="16">
        <f t="shared" si="3"/>
        <v>0</v>
      </c>
      <c r="W8" s="5">
        <v>1</v>
      </c>
      <c r="X8" s="5">
        <v>0</v>
      </c>
      <c r="Y8" s="16">
        <f t="shared" si="4"/>
        <v>0</v>
      </c>
      <c r="Z8" s="5">
        <v>5</v>
      </c>
      <c r="AA8" s="5">
        <v>0</v>
      </c>
      <c r="AB8" s="16">
        <f t="shared" si="5"/>
        <v>0</v>
      </c>
      <c r="AC8" s="4" t="s">
        <v>658</v>
      </c>
      <c r="AD8" s="4" t="s">
        <v>655</v>
      </c>
      <c r="AE8" s="4" t="s">
        <v>655</v>
      </c>
      <c r="AF8" s="4" t="s">
        <v>655</v>
      </c>
      <c r="AG8" s="4" t="s">
        <v>655</v>
      </c>
      <c r="AH8" s="4" t="s">
        <v>665</v>
      </c>
    </row>
    <row r="9" spans="1:34" x14ac:dyDescent="0.35">
      <c r="B9" s="4" t="s">
        <v>680</v>
      </c>
      <c r="C9" s="4" t="s">
        <v>681</v>
      </c>
      <c r="D9" s="4" t="s">
        <v>106</v>
      </c>
      <c r="E9" s="4" t="s">
        <v>655</v>
      </c>
      <c r="F9" s="4" t="s">
        <v>682</v>
      </c>
      <c r="G9" s="4" t="s">
        <v>539</v>
      </c>
      <c r="H9" s="4" t="s">
        <v>541</v>
      </c>
      <c r="I9" s="4" t="s">
        <v>542</v>
      </c>
      <c r="J9" s="4" t="s">
        <v>658</v>
      </c>
      <c r="K9" s="5">
        <v>3</v>
      </c>
      <c r="L9" s="5">
        <v>0</v>
      </c>
      <c r="M9" s="16">
        <f t="shared" si="0"/>
        <v>0</v>
      </c>
      <c r="N9" s="5">
        <v>3</v>
      </c>
      <c r="O9" s="5">
        <v>0</v>
      </c>
      <c r="P9" s="16">
        <f t="shared" si="1"/>
        <v>0</v>
      </c>
      <c r="Q9" s="5">
        <v>3</v>
      </c>
      <c r="R9" s="5">
        <v>0</v>
      </c>
      <c r="S9" s="16">
        <f t="shared" si="2"/>
        <v>0</v>
      </c>
      <c r="T9" s="5">
        <v>3</v>
      </c>
      <c r="U9" s="5">
        <v>0</v>
      </c>
      <c r="V9" s="16">
        <f t="shared" si="3"/>
        <v>0</v>
      </c>
      <c r="W9" s="5">
        <v>3</v>
      </c>
      <c r="X9" s="5">
        <v>0</v>
      </c>
      <c r="Y9" s="16">
        <f t="shared" si="4"/>
        <v>0</v>
      </c>
      <c r="Z9" s="5">
        <v>2</v>
      </c>
      <c r="AA9" s="5">
        <v>0</v>
      </c>
      <c r="AB9" s="16">
        <f t="shared" si="5"/>
        <v>0</v>
      </c>
      <c r="AC9" s="4" t="s">
        <v>658</v>
      </c>
      <c r="AD9" s="4" t="s">
        <v>655</v>
      </c>
      <c r="AE9" s="4" t="s">
        <v>655</v>
      </c>
      <c r="AF9" s="4" t="s">
        <v>655</v>
      </c>
      <c r="AG9" s="4" t="s">
        <v>655</v>
      </c>
      <c r="AH9" s="4" t="s">
        <v>665</v>
      </c>
    </row>
    <row r="10" spans="1:34" x14ac:dyDescent="0.35">
      <c r="B10" s="4" t="s">
        <v>625</v>
      </c>
      <c r="C10" s="4" t="s">
        <v>626</v>
      </c>
      <c r="D10" s="4" t="s">
        <v>160</v>
      </c>
      <c r="E10" s="4" t="s">
        <v>655</v>
      </c>
      <c r="F10" s="4" t="s">
        <v>627</v>
      </c>
      <c r="G10" s="4" t="s">
        <v>683</v>
      </c>
      <c r="H10" s="4" t="s">
        <v>684</v>
      </c>
      <c r="I10" s="4" t="s">
        <v>685</v>
      </c>
      <c r="J10" s="4" t="s">
        <v>658</v>
      </c>
      <c r="K10" s="5">
        <v>6</v>
      </c>
      <c r="L10" s="5">
        <v>6</v>
      </c>
      <c r="M10" s="16">
        <f t="shared" si="0"/>
        <v>8347.878048780487</v>
      </c>
      <c r="N10" s="5">
        <v>4</v>
      </c>
      <c r="O10" s="5">
        <v>4</v>
      </c>
      <c r="P10" s="16">
        <f t="shared" si="1"/>
        <v>-689.96638655462186</v>
      </c>
      <c r="Q10" s="5">
        <v>6</v>
      </c>
      <c r="R10" s="5">
        <v>6</v>
      </c>
      <c r="S10" s="16">
        <f t="shared" si="2"/>
        <v>-2680.465909090909</v>
      </c>
      <c r="T10" s="5">
        <v>1</v>
      </c>
      <c r="U10" s="5">
        <v>1</v>
      </c>
      <c r="V10" s="16">
        <f t="shared" si="3"/>
        <v>-3.8679245283018866</v>
      </c>
      <c r="W10" s="5">
        <v>1</v>
      </c>
      <c r="X10" s="5">
        <v>1</v>
      </c>
      <c r="Y10" s="16">
        <f t="shared" si="4"/>
        <v>-3.125E-2</v>
      </c>
      <c r="Z10" s="5">
        <v>0</v>
      </c>
      <c r="AA10" s="5">
        <v>0</v>
      </c>
      <c r="AB10" s="16">
        <f t="shared" si="5"/>
        <v>0</v>
      </c>
      <c r="AC10" s="4" t="s">
        <v>665</v>
      </c>
      <c r="AD10" s="4" t="s">
        <v>686</v>
      </c>
      <c r="AE10" s="4" t="s">
        <v>160</v>
      </c>
      <c r="AF10" s="4" t="s">
        <v>142</v>
      </c>
      <c r="AG10" s="4" t="s">
        <v>687</v>
      </c>
      <c r="AH10" s="4" t="s">
        <v>658</v>
      </c>
    </row>
    <row r="11" spans="1:34" x14ac:dyDescent="0.35">
      <c r="B11" s="4" t="s">
        <v>688</v>
      </c>
      <c r="C11" s="4" t="s">
        <v>689</v>
      </c>
      <c r="D11" s="4" t="s">
        <v>204</v>
      </c>
      <c r="E11" s="4" t="s">
        <v>655</v>
      </c>
      <c r="F11" s="4" t="s">
        <v>690</v>
      </c>
      <c r="G11" s="4" t="s">
        <v>691</v>
      </c>
      <c r="H11" s="4" t="s">
        <v>692</v>
      </c>
      <c r="I11" s="4" t="s">
        <v>693</v>
      </c>
      <c r="J11" s="4" t="s">
        <v>658</v>
      </c>
      <c r="K11" s="5">
        <v>8</v>
      </c>
      <c r="L11" s="5">
        <v>0</v>
      </c>
      <c r="M11" s="16">
        <f t="shared" si="0"/>
        <v>0</v>
      </c>
      <c r="N11" s="5">
        <v>4</v>
      </c>
      <c r="O11" s="5">
        <v>0</v>
      </c>
      <c r="P11" s="16">
        <f t="shared" si="1"/>
        <v>0</v>
      </c>
      <c r="Q11" s="5">
        <v>7</v>
      </c>
      <c r="R11" s="5">
        <v>0</v>
      </c>
      <c r="S11" s="16">
        <f t="shared" si="2"/>
        <v>0</v>
      </c>
      <c r="T11" s="5">
        <v>3</v>
      </c>
      <c r="U11" s="5">
        <v>0</v>
      </c>
      <c r="V11" s="16">
        <f t="shared" si="3"/>
        <v>0</v>
      </c>
      <c r="W11" s="5">
        <v>4</v>
      </c>
      <c r="X11" s="5">
        <v>0</v>
      </c>
      <c r="Y11" s="16">
        <f t="shared" si="4"/>
        <v>0</v>
      </c>
      <c r="Z11" s="5">
        <v>3</v>
      </c>
      <c r="AA11" s="5">
        <v>0</v>
      </c>
      <c r="AB11" s="16">
        <f t="shared" si="5"/>
        <v>0</v>
      </c>
      <c r="AC11" s="4" t="s">
        <v>658</v>
      </c>
      <c r="AD11" s="4" t="s">
        <v>655</v>
      </c>
      <c r="AE11" s="4" t="s">
        <v>655</v>
      </c>
      <c r="AF11" s="4" t="s">
        <v>655</v>
      </c>
      <c r="AG11" s="4" t="s">
        <v>655</v>
      </c>
      <c r="AH11" s="4" t="s">
        <v>665</v>
      </c>
    </row>
    <row r="12" spans="1:34" x14ac:dyDescent="0.35">
      <c r="B12" s="4" t="s">
        <v>694</v>
      </c>
      <c r="C12" s="4" t="s">
        <v>695</v>
      </c>
      <c r="D12" s="4" t="s">
        <v>569</v>
      </c>
      <c r="E12" s="4" t="s">
        <v>655</v>
      </c>
      <c r="F12" s="4" t="s">
        <v>696</v>
      </c>
      <c r="G12" s="4" t="s">
        <v>697</v>
      </c>
      <c r="H12" s="4" t="s">
        <v>468</v>
      </c>
      <c r="I12" s="4" t="s">
        <v>698</v>
      </c>
      <c r="J12" s="4" t="s">
        <v>658</v>
      </c>
      <c r="K12" s="5">
        <v>2</v>
      </c>
      <c r="L12" s="5">
        <v>2</v>
      </c>
      <c r="M12" s="16">
        <f t="shared" si="0"/>
        <v>2782.6260162601625</v>
      </c>
      <c r="N12" s="5">
        <v>10</v>
      </c>
      <c r="O12" s="5">
        <v>10</v>
      </c>
      <c r="P12" s="16">
        <f t="shared" si="1"/>
        <v>-1724.9159663865546</v>
      </c>
      <c r="Q12" s="5">
        <v>10</v>
      </c>
      <c r="R12" s="5">
        <v>10</v>
      </c>
      <c r="S12" s="16">
        <f t="shared" si="2"/>
        <v>-4467.443181818182</v>
      </c>
      <c r="T12" s="5">
        <v>0</v>
      </c>
      <c r="U12" s="5">
        <v>0</v>
      </c>
      <c r="V12" s="16">
        <f t="shared" si="3"/>
        <v>0</v>
      </c>
      <c r="W12" s="5">
        <v>4</v>
      </c>
      <c r="X12" s="5">
        <v>4</v>
      </c>
      <c r="Y12" s="16">
        <f t="shared" si="4"/>
        <v>-0.125</v>
      </c>
      <c r="Z12" s="5">
        <v>5</v>
      </c>
      <c r="AA12" s="5">
        <v>5</v>
      </c>
      <c r="AB12" s="16">
        <f t="shared" si="5"/>
        <v>-78.505747126436788</v>
      </c>
      <c r="AC12" s="4" t="s">
        <v>658</v>
      </c>
      <c r="AD12" s="4" t="s">
        <v>655</v>
      </c>
      <c r="AE12" s="4" t="s">
        <v>655</v>
      </c>
      <c r="AF12" s="4" t="s">
        <v>655</v>
      </c>
      <c r="AG12" s="4" t="s">
        <v>655</v>
      </c>
      <c r="AH12" s="4" t="s">
        <v>658</v>
      </c>
    </row>
    <row r="13" spans="1:34" x14ac:dyDescent="0.35">
      <c r="B13" s="4" t="s">
        <v>338</v>
      </c>
      <c r="C13" s="4" t="s">
        <v>699</v>
      </c>
      <c r="D13" s="4" t="s">
        <v>343</v>
      </c>
      <c r="E13" s="4" t="s">
        <v>655</v>
      </c>
      <c r="F13" s="4" t="s">
        <v>700</v>
      </c>
      <c r="G13" s="4" t="s">
        <v>341</v>
      </c>
      <c r="H13" s="4" t="s">
        <v>342</v>
      </c>
      <c r="I13" s="4" t="s">
        <v>344</v>
      </c>
      <c r="J13" s="4" t="s">
        <v>658</v>
      </c>
      <c r="K13" s="5">
        <v>10</v>
      </c>
      <c r="L13" s="5">
        <v>10</v>
      </c>
      <c r="M13" s="16">
        <f t="shared" si="0"/>
        <v>13913.130081300813</v>
      </c>
      <c r="N13" s="5">
        <v>10</v>
      </c>
      <c r="O13" s="5">
        <v>10</v>
      </c>
      <c r="P13" s="16">
        <f t="shared" si="1"/>
        <v>-1724.9159663865546</v>
      </c>
      <c r="Q13" s="5">
        <v>5</v>
      </c>
      <c r="R13" s="5">
        <v>5</v>
      </c>
      <c r="S13" s="16">
        <f t="shared" si="2"/>
        <v>-2233.721590909091</v>
      </c>
      <c r="T13" s="5">
        <v>10</v>
      </c>
      <c r="U13" s="5">
        <v>10</v>
      </c>
      <c r="V13" s="16">
        <f t="shared" si="3"/>
        <v>-38.679245283018865</v>
      </c>
      <c r="W13" s="5">
        <v>5</v>
      </c>
      <c r="X13" s="5">
        <v>5</v>
      </c>
      <c r="Y13" s="16">
        <f t="shared" si="4"/>
        <v>-0.15625</v>
      </c>
      <c r="Z13" s="5">
        <v>5</v>
      </c>
      <c r="AA13" s="5">
        <v>5</v>
      </c>
      <c r="AB13" s="16">
        <f t="shared" si="5"/>
        <v>-78.505747126436788</v>
      </c>
      <c r="AC13" s="4" t="s">
        <v>658</v>
      </c>
      <c r="AD13" s="4" t="s">
        <v>655</v>
      </c>
      <c r="AE13" s="4" t="s">
        <v>655</v>
      </c>
      <c r="AF13" s="4" t="s">
        <v>655</v>
      </c>
      <c r="AG13" s="4" t="s">
        <v>655</v>
      </c>
      <c r="AH13" s="4" t="s">
        <v>658</v>
      </c>
    </row>
    <row r="14" spans="1:34" x14ac:dyDescent="0.35">
      <c r="B14" s="4" t="s">
        <v>100</v>
      </c>
      <c r="C14" s="4" t="s">
        <v>701</v>
      </c>
      <c r="D14" s="4" t="s">
        <v>106</v>
      </c>
      <c r="E14" s="4" t="s">
        <v>655</v>
      </c>
      <c r="F14" s="4" t="s">
        <v>702</v>
      </c>
      <c r="G14" s="4" t="s">
        <v>103</v>
      </c>
      <c r="H14" s="4" t="s">
        <v>105</v>
      </c>
      <c r="I14" s="4" t="s">
        <v>107</v>
      </c>
      <c r="J14" s="4" t="s">
        <v>658</v>
      </c>
      <c r="K14" s="5">
        <v>0</v>
      </c>
      <c r="L14" s="5">
        <v>0</v>
      </c>
      <c r="M14" s="16">
        <f t="shared" si="0"/>
        <v>0</v>
      </c>
      <c r="N14" s="5">
        <v>10</v>
      </c>
      <c r="O14" s="5">
        <v>10</v>
      </c>
      <c r="P14" s="16">
        <f t="shared" si="1"/>
        <v>-1724.9159663865546</v>
      </c>
      <c r="Q14" s="5">
        <v>0</v>
      </c>
      <c r="R14" s="5">
        <v>0</v>
      </c>
      <c r="S14" s="16">
        <f t="shared" si="2"/>
        <v>0</v>
      </c>
      <c r="T14" s="5">
        <v>0</v>
      </c>
      <c r="U14" s="5">
        <v>0</v>
      </c>
      <c r="V14" s="16">
        <f t="shared" si="3"/>
        <v>0</v>
      </c>
      <c r="W14" s="5">
        <v>3</v>
      </c>
      <c r="X14" s="5">
        <v>3</v>
      </c>
      <c r="Y14" s="16">
        <f t="shared" si="4"/>
        <v>-9.375E-2</v>
      </c>
      <c r="Z14" s="5">
        <v>0</v>
      </c>
      <c r="AA14" s="5">
        <v>0</v>
      </c>
      <c r="AB14" s="16">
        <f t="shared" si="5"/>
        <v>0</v>
      </c>
      <c r="AC14" s="4" t="s">
        <v>665</v>
      </c>
      <c r="AD14" s="4" t="s">
        <v>703</v>
      </c>
      <c r="AE14" s="4" t="s">
        <v>106</v>
      </c>
      <c r="AF14" s="4" t="s">
        <v>142</v>
      </c>
      <c r="AG14" s="4" t="s">
        <v>702</v>
      </c>
      <c r="AH14" s="4" t="s">
        <v>658</v>
      </c>
    </row>
    <row r="15" spans="1:34" x14ac:dyDescent="0.35">
      <c r="B15" s="4" t="s">
        <v>704</v>
      </c>
      <c r="C15" s="4" t="s">
        <v>705</v>
      </c>
      <c r="D15" s="4" t="s">
        <v>160</v>
      </c>
      <c r="E15" s="4" t="s">
        <v>655</v>
      </c>
      <c r="F15" s="4" t="s">
        <v>687</v>
      </c>
      <c r="G15" s="4" t="s">
        <v>706</v>
      </c>
      <c r="H15" s="4" t="s">
        <v>707</v>
      </c>
      <c r="I15" s="4" t="s">
        <v>708</v>
      </c>
      <c r="J15" s="4" t="s">
        <v>658</v>
      </c>
      <c r="K15" s="5">
        <v>7</v>
      </c>
      <c r="L15" s="5">
        <v>7</v>
      </c>
      <c r="M15" s="16">
        <f t="shared" si="0"/>
        <v>9739.1910569105694</v>
      </c>
      <c r="N15" s="5">
        <v>5</v>
      </c>
      <c r="O15" s="5">
        <v>5</v>
      </c>
      <c r="P15" s="16">
        <f t="shared" si="1"/>
        <v>-862.4579831932773</v>
      </c>
      <c r="Q15" s="5">
        <v>8</v>
      </c>
      <c r="R15" s="5">
        <v>8</v>
      </c>
      <c r="S15" s="16">
        <f t="shared" si="2"/>
        <v>-3573.9545454545455</v>
      </c>
      <c r="T15" s="5">
        <v>2</v>
      </c>
      <c r="U15" s="5">
        <v>2</v>
      </c>
      <c r="V15" s="16">
        <f t="shared" si="3"/>
        <v>-7.7358490566037732</v>
      </c>
      <c r="W15" s="5">
        <v>3</v>
      </c>
      <c r="X15" s="5">
        <v>3</v>
      </c>
      <c r="Y15" s="16">
        <f t="shared" si="4"/>
        <v>-9.375E-2</v>
      </c>
      <c r="Z15" s="5">
        <v>1</v>
      </c>
      <c r="AA15" s="5">
        <v>1</v>
      </c>
      <c r="AB15" s="16">
        <f t="shared" si="5"/>
        <v>-15.701149425287356</v>
      </c>
      <c r="AC15" s="4" t="s">
        <v>658</v>
      </c>
      <c r="AD15" s="4" t="s">
        <v>655</v>
      </c>
      <c r="AE15" s="4" t="s">
        <v>655</v>
      </c>
      <c r="AF15" s="4" t="s">
        <v>655</v>
      </c>
      <c r="AG15" s="4" t="s">
        <v>655</v>
      </c>
      <c r="AH15" s="4" t="s">
        <v>658</v>
      </c>
    </row>
    <row r="16" spans="1:34" x14ac:dyDescent="0.35">
      <c r="B16" s="4" t="s">
        <v>471</v>
      </c>
      <c r="C16" s="4" t="s">
        <v>709</v>
      </c>
      <c r="D16" s="4" t="s">
        <v>343</v>
      </c>
      <c r="E16" s="4" t="s">
        <v>655</v>
      </c>
      <c r="F16" s="4" t="s">
        <v>473</v>
      </c>
      <c r="G16" s="4" t="s">
        <v>474</v>
      </c>
      <c r="H16" s="4" t="s">
        <v>476</v>
      </c>
      <c r="I16" s="4" t="s">
        <v>477</v>
      </c>
      <c r="J16" s="4" t="s">
        <v>665</v>
      </c>
      <c r="K16" s="5">
        <v>0</v>
      </c>
      <c r="L16" s="5">
        <v>0</v>
      </c>
      <c r="M16" s="16">
        <f t="shared" si="0"/>
        <v>0</v>
      </c>
      <c r="N16" s="5">
        <v>0</v>
      </c>
      <c r="O16" s="5">
        <v>0</v>
      </c>
      <c r="P16" s="16">
        <f t="shared" si="1"/>
        <v>0</v>
      </c>
      <c r="Q16" s="5">
        <v>0</v>
      </c>
      <c r="R16" s="5">
        <v>0</v>
      </c>
      <c r="S16" s="16">
        <f t="shared" si="2"/>
        <v>0</v>
      </c>
      <c r="T16" s="5">
        <v>0</v>
      </c>
      <c r="U16" s="5">
        <v>0</v>
      </c>
      <c r="V16" s="16">
        <f t="shared" si="3"/>
        <v>0</v>
      </c>
      <c r="W16" s="5">
        <v>0</v>
      </c>
      <c r="X16" s="5">
        <v>0</v>
      </c>
      <c r="Y16" s="16">
        <f t="shared" si="4"/>
        <v>0</v>
      </c>
      <c r="Z16" s="5">
        <v>0</v>
      </c>
      <c r="AA16" s="5">
        <v>0</v>
      </c>
      <c r="AB16" s="16">
        <f t="shared" si="5"/>
        <v>0</v>
      </c>
      <c r="AC16" s="4" t="s">
        <v>655</v>
      </c>
      <c r="AD16" s="4" t="s">
        <v>655</v>
      </c>
      <c r="AE16" s="4" t="s">
        <v>655</v>
      </c>
      <c r="AF16" s="4" t="s">
        <v>655</v>
      </c>
      <c r="AG16" s="4" t="s">
        <v>655</v>
      </c>
      <c r="AH16" s="4" t="s">
        <v>665</v>
      </c>
    </row>
    <row r="17" spans="2:35" x14ac:dyDescent="0.35">
      <c r="B17" s="4" t="s">
        <v>710</v>
      </c>
      <c r="C17" s="4" t="s">
        <v>711</v>
      </c>
      <c r="D17" s="4" t="s">
        <v>160</v>
      </c>
      <c r="E17" s="4" t="s">
        <v>655</v>
      </c>
      <c r="F17" s="4" t="s">
        <v>712</v>
      </c>
      <c r="G17" s="4" t="s">
        <v>713</v>
      </c>
      <c r="H17" s="4" t="s">
        <v>714</v>
      </c>
      <c r="I17" s="4" t="s">
        <v>715</v>
      </c>
      <c r="J17" s="4" t="s">
        <v>658</v>
      </c>
      <c r="K17" s="5">
        <v>5</v>
      </c>
      <c r="L17" s="5">
        <v>5</v>
      </c>
      <c r="M17" s="16">
        <f t="shared" si="0"/>
        <v>6956.5650406504064</v>
      </c>
      <c r="N17" s="5">
        <v>7</v>
      </c>
      <c r="O17" s="5">
        <v>7</v>
      </c>
      <c r="P17" s="16">
        <f t="shared" si="1"/>
        <v>-1207.4411764705883</v>
      </c>
      <c r="Q17" s="5">
        <v>4</v>
      </c>
      <c r="R17" s="5">
        <v>4</v>
      </c>
      <c r="S17" s="16">
        <f t="shared" si="2"/>
        <v>-1786.9772727272727</v>
      </c>
      <c r="T17" s="5">
        <v>5</v>
      </c>
      <c r="U17" s="5">
        <v>5</v>
      </c>
      <c r="V17" s="16">
        <f t="shared" si="3"/>
        <v>-19.339622641509433</v>
      </c>
      <c r="W17" s="5">
        <v>8</v>
      </c>
      <c r="X17" s="5">
        <v>8</v>
      </c>
      <c r="Y17" s="16">
        <f t="shared" si="4"/>
        <v>-0.25</v>
      </c>
      <c r="Z17" s="5">
        <v>8</v>
      </c>
      <c r="AA17" s="5">
        <v>8</v>
      </c>
      <c r="AB17" s="16">
        <f t="shared" si="5"/>
        <v>-125.60919540229885</v>
      </c>
      <c r="AC17" s="4" t="s">
        <v>665</v>
      </c>
      <c r="AD17" s="4" t="s">
        <v>716</v>
      </c>
      <c r="AE17" s="4" t="s">
        <v>160</v>
      </c>
      <c r="AF17" s="4" t="s">
        <v>142</v>
      </c>
      <c r="AG17" s="4" t="s">
        <v>712</v>
      </c>
      <c r="AH17" s="4" t="s">
        <v>658</v>
      </c>
    </row>
    <row r="18" spans="2:35" x14ac:dyDescent="0.35">
      <c r="B18" s="4" t="s">
        <v>154</v>
      </c>
      <c r="C18" s="4" t="s">
        <v>717</v>
      </c>
      <c r="D18" s="4" t="s">
        <v>160</v>
      </c>
      <c r="E18" s="4" t="s">
        <v>655</v>
      </c>
      <c r="F18" s="4" t="s">
        <v>718</v>
      </c>
      <c r="G18" s="4" t="s">
        <v>719</v>
      </c>
      <c r="H18" s="4" t="s">
        <v>720</v>
      </c>
      <c r="I18" s="4" t="s">
        <v>721</v>
      </c>
      <c r="J18" s="4" t="s">
        <v>658</v>
      </c>
      <c r="K18" s="5">
        <v>7</v>
      </c>
      <c r="L18" s="5">
        <v>7</v>
      </c>
      <c r="M18" s="16">
        <f t="shared" si="0"/>
        <v>9739.1910569105694</v>
      </c>
      <c r="N18" s="5">
        <v>7</v>
      </c>
      <c r="O18" s="5">
        <v>7</v>
      </c>
      <c r="P18" s="16">
        <f t="shared" si="1"/>
        <v>-1207.4411764705883</v>
      </c>
      <c r="Q18" s="5">
        <v>5</v>
      </c>
      <c r="R18" s="5">
        <v>5</v>
      </c>
      <c r="S18" s="16">
        <f t="shared" si="2"/>
        <v>-2233.721590909091</v>
      </c>
      <c r="T18" s="5">
        <v>0</v>
      </c>
      <c r="U18" s="5">
        <v>0</v>
      </c>
      <c r="V18" s="16">
        <f t="shared" si="3"/>
        <v>0</v>
      </c>
      <c r="W18" s="5">
        <v>2</v>
      </c>
      <c r="X18" s="5">
        <v>2</v>
      </c>
      <c r="Y18" s="16">
        <f t="shared" si="4"/>
        <v>-6.25E-2</v>
      </c>
      <c r="Z18" s="5">
        <v>2</v>
      </c>
      <c r="AA18" s="5">
        <v>2</v>
      </c>
      <c r="AB18" s="16">
        <f t="shared" si="5"/>
        <v>-31.402298850574713</v>
      </c>
      <c r="AC18" s="4" t="s">
        <v>658</v>
      </c>
      <c r="AD18" s="4" t="s">
        <v>655</v>
      </c>
      <c r="AE18" s="4" t="s">
        <v>655</v>
      </c>
      <c r="AF18" s="4" t="s">
        <v>655</v>
      </c>
      <c r="AG18" s="4" t="s">
        <v>655</v>
      </c>
      <c r="AH18" s="4" t="s">
        <v>658</v>
      </c>
    </row>
    <row r="19" spans="2:35" x14ac:dyDescent="0.35">
      <c r="B19" s="4" t="s">
        <v>722</v>
      </c>
      <c r="C19" s="4" t="s">
        <v>723</v>
      </c>
      <c r="D19" s="4" t="s">
        <v>160</v>
      </c>
      <c r="E19" s="4" t="s">
        <v>655</v>
      </c>
      <c r="F19" s="4" t="s">
        <v>724</v>
      </c>
      <c r="G19" s="4" t="s">
        <v>725</v>
      </c>
      <c r="H19" s="4" t="s">
        <v>726</v>
      </c>
      <c r="I19" s="4" t="s">
        <v>727</v>
      </c>
      <c r="J19" s="4" t="s">
        <v>658</v>
      </c>
      <c r="K19" s="5">
        <v>5</v>
      </c>
      <c r="L19" s="5">
        <v>5</v>
      </c>
      <c r="M19" s="16">
        <f t="shared" si="0"/>
        <v>6956.5650406504064</v>
      </c>
      <c r="N19" s="5">
        <v>7</v>
      </c>
      <c r="O19" s="5">
        <v>7</v>
      </c>
      <c r="P19" s="16">
        <f t="shared" si="1"/>
        <v>-1207.4411764705883</v>
      </c>
      <c r="Q19" s="5">
        <v>4</v>
      </c>
      <c r="R19" s="5">
        <v>4</v>
      </c>
      <c r="S19" s="16">
        <f t="shared" si="2"/>
        <v>-1786.9772727272727</v>
      </c>
      <c r="T19" s="5">
        <v>0</v>
      </c>
      <c r="U19" s="5">
        <v>0</v>
      </c>
      <c r="V19" s="16">
        <f t="shared" si="3"/>
        <v>0</v>
      </c>
      <c r="W19" s="5">
        <v>8</v>
      </c>
      <c r="X19" s="5">
        <v>8</v>
      </c>
      <c r="Y19" s="16">
        <f t="shared" si="4"/>
        <v>-0.25</v>
      </c>
      <c r="Z19" s="5">
        <v>0</v>
      </c>
      <c r="AA19" s="5">
        <v>0</v>
      </c>
      <c r="AB19" s="16">
        <f t="shared" si="5"/>
        <v>0</v>
      </c>
      <c r="AC19" s="4" t="s">
        <v>658</v>
      </c>
      <c r="AD19" s="4" t="s">
        <v>655</v>
      </c>
      <c r="AE19" s="4" t="s">
        <v>655</v>
      </c>
      <c r="AF19" s="4" t="s">
        <v>655</v>
      </c>
      <c r="AG19" s="4" t="s">
        <v>655</v>
      </c>
      <c r="AH19" s="4" t="s">
        <v>658</v>
      </c>
      <c r="AI19" s="16"/>
    </row>
    <row r="20" spans="2:35" x14ac:dyDescent="0.35">
      <c r="B20" s="4" t="s">
        <v>728</v>
      </c>
      <c r="C20" s="4" t="s">
        <v>729</v>
      </c>
      <c r="D20" s="4" t="s">
        <v>90</v>
      </c>
      <c r="E20" s="4" t="s">
        <v>655</v>
      </c>
      <c r="F20" s="4" t="s">
        <v>86</v>
      </c>
      <c r="G20" s="4" t="s">
        <v>730</v>
      </c>
      <c r="H20" s="4" t="s">
        <v>731</v>
      </c>
      <c r="I20" s="4" t="s">
        <v>732</v>
      </c>
      <c r="J20" s="4" t="s">
        <v>658</v>
      </c>
      <c r="K20" s="5">
        <v>5</v>
      </c>
      <c r="L20" s="5">
        <v>5</v>
      </c>
      <c r="M20" s="16">
        <f t="shared" si="0"/>
        <v>6956.5650406504064</v>
      </c>
      <c r="N20" s="5">
        <v>5</v>
      </c>
      <c r="O20" s="5">
        <v>5</v>
      </c>
      <c r="P20" s="16">
        <f t="shared" si="1"/>
        <v>-862.4579831932773</v>
      </c>
      <c r="Q20" s="5">
        <v>0</v>
      </c>
      <c r="R20" s="5">
        <v>0</v>
      </c>
      <c r="S20" s="16">
        <f t="shared" si="2"/>
        <v>0</v>
      </c>
      <c r="T20" s="5">
        <v>5</v>
      </c>
      <c r="U20" s="5">
        <v>5</v>
      </c>
      <c r="V20" s="16">
        <f t="shared" si="3"/>
        <v>-19.339622641509433</v>
      </c>
      <c r="W20" s="5">
        <v>2</v>
      </c>
      <c r="X20" s="5">
        <v>2</v>
      </c>
      <c r="Y20" s="16">
        <f t="shared" si="4"/>
        <v>-6.25E-2</v>
      </c>
      <c r="Z20" s="5">
        <v>2</v>
      </c>
      <c r="AA20" s="5">
        <v>2</v>
      </c>
      <c r="AB20" s="16">
        <f t="shared" si="5"/>
        <v>-31.402298850574713</v>
      </c>
      <c r="AC20" s="4" t="s">
        <v>665</v>
      </c>
      <c r="AD20" s="4" t="s">
        <v>729</v>
      </c>
      <c r="AE20" s="4" t="s">
        <v>90</v>
      </c>
      <c r="AF20" s="4" t="s">
        <v>142</v>
      </c>
      <c r="AG20" s="4" t="s">
        <v>86</v>
      </c>
      <c r="AH20" s="4" t="s">
        <v>658</v>
      </c>
    </row>
    <row r="21" spans="2:35" x14ac:dyDescent="0.35">
      <c r="B21" s="4" t="s">
        <v>246</v>
      </c>
      <c r="C21" s="4" t="s">
        <v>733</v>
      </c>
      <c r="D21" s="4" t="s">
        <v>182</v>
      </c>
      <c r="E21" s="4" t="s">
        <v>655</v>
      </c>
      <c r="F21" s="4" t="s">
        <v>734</v>
      </c>
      <c r="G21" s="4" t="s">
        <v>249</v>
      </c>
      <c r="H21" s="4" t="s">
        <v>251</v>
      </c>
      <c r="I21" s="4" t="s">
        <v>735</v>
      </c>
      <c r="J21" s="4" t="s">
        <v>658</v>
      </c>
      <c r="K21" s="5">
        <v>10</v>
      </c>
      <c r="L21" s="5">
        <v>10</v>
      </c>
      <c r="M21" s="16">
        <f t="shared" si="0"/>
        <v>13913.130081300813</v>
      </c>
      <c r="N21" s="5">
        <v>3</v>
      </c>
      <c r="O21" s="5">
        <v>3</v>
      </c>
      <c r="P21" s="16">
        <f t="shared" si="1"/>
        <v>-517.47478991596643</v>
      </c>
      <c r="Q21" s="5">
        <v>5</v>
      </c>
      <c r="R21" s="5">
        <v>5</v>
      </c>
      <c r="S21" s="16">
        <f t="shared" si="2"/>
        <v>-2233.721590909091</v>
      </c>
      <c r="T21" s="5">
        <v>4</v>
      </c>
      <c r="U21" s="5">
        <v>4</v>
      </c>
      <c r="V21" s="16">
        <f t="shared" si="3"/>
        <v>-15.471698113207546</v>
      </c>
      <c r="W21" s="5">
        <v>3</v>
      </c>
      <c r="X21" s="5">
        <v>3</v>
      </c>
      <c r="Y21" s="16">
        <f t="shared" si="4"/>
        <v>-9.375E-2</v>
      </c>
      <c r="Z21" s="5">
        <v>1</v>
      </c>
      <c r="AA21" s="5">
        <v>1</v>
      </c>
      <c r="AB21" s="16">
        <f t="shared" si="5"/>
        <v>-15.701149425287356</v>
      </c>
      <c r="AC21" s="4" t="s">
        <v>658</v>
      </c>
      <c r="AD21" s="4" t="s">
        <v>655</v>
      </c>
      <c r="AE21" s="4" t="s">
        <v>655</v>
      </c>
      <c r="AF21" s="4" t="s">
        <v>655</v>
      </c>
      <c r="AG21" s="4" t="s">
        <v>655</v>
      </c>
      <c r="AH21" s="4" t="s">
        <v>658</v>
      </c>
    </row>
    <row r="22" spans="2:35" x14ac:dyDescent="0.35">
      <c r="B22" s="4" t="s">
        <v>92</v>
      </c>
      <c r="C22" s="4" t="s">
        <v>736</v>
      </c>
      <c r="D22" s="4" t="s">
        <v>98</v>
      </c>
      <c r="E22" s="4" t="s">
        <v>655</v>
      </c>
      <c r="F22" s="4" t="s">
        <v>94</v>
      </c>
      <c r="G22" s="4" t="s">
        <v>95</v>
      </c>
      <c r="H22" s="4" t="s">
        <v>97</v>
      </c>
      <c r="I22" s="4" t="s">
        <v>737</v>
      </c>
      <c r="J22" s="4" t="s">
        <v>665</v>
      </c>
      <c r="K22" s="5">
        <v>0</v>
      </c>
      <c r="L22" s="5">
        <v>0</v>
      </c>
      <c r="M22" s="16">
        <f t="shared" si="0"/>
        <v>0</v>
      </c>
      <c r="N22" s="5">
        <v>0</v>
      </c>
      <c r="O22" s="5">
        <v>0</v>
      </c>
      <c r="P22" s="16">
        <f t="shared" si="1"/>
        <v>0</v>
      </c>
      <c r="Q22" s="5">
        <v>0</v>
      </c>
      <c r="R22" s="5">
        <v>0</v>
      </c>
      <c r="S22" s="16">
        <f t="shared" si="2"/>
        <v>0</v>
      </c>
      <c r="T22" s="5">
        <v>0</v>
      </c>
      <c r="U22" s="5">
        <v>0</v>
      </c>
      <c r="V22" s="16">
        <f t="shared" si="3"/>
        <v>0</v>
      </c>
      <c r="W22" s="5">
        <v>0</v>
      </c>
      <c r="X22" s="5">
        <v>0</v>
      </c>
      <c r="Y22" s="16">
        <f t="shared" si="4"/>
        <v>0</v>
      </c>
      <c r="Z22" s="5">
        <v>0</v>
      </c>
      <c r="AA22" s="5">
        <v>0</v>
      </c>
      <c r="AB22" s="16">
        <f t="shared" si="5"/>
        <v>0</v>
      </c>
      <c r="AC22" s="4" t="s">
        <v>655</v>
      </c>
      <c r="AD22" s="4" t="s">
        <v>655</v>
      </c>
      <c r="AE22" s="4" t="s">
        <v>655</v>
      </c>
      <c r="AF22" s="4" t="s">
        <v>655</v>
      </c>
      <c r="AG22" s="4" t="s">
        <v>655</v>
      </c>
      <c r="AH22" s="4" t="s">
        <v>665</v>
      </c>
    </row>
    <row r="23" spans="2:35" x14ac:dyDescent="0.35">
      <c r="B23" s="4" t="s">
        <v>543</v>
      </c>
      <c r="C23" s="4" t="s">
        <v>738</v>
      </c>
      <c r="D23" s="4" t="s">
        <v>19</v>
      </c>
      <c r="E23" s="4" t="s">
        <v>655</v>
      </c>
      <c r="F23" s="4" t="s">
        <v>545</v>
      </c>
      <c r="G23" s="4" t="s">
        <v>739</v>
      </c>
      <c r="H23" s="4" t="s">
        <v>548</v>
      </c>
      <c r="I23" s="4" t="s">
        <v>740</v>
      </c>
      <c r="J23" s="4" t="s">
        <v>658</v>
      </c>
      <c r="K23" s="5">
        <v>4</v>
      </c>
      <c r="L23" s="5">
        <v>4</v>
      </c>
      <c r="M23" s="16">
        <f t="shared" si="0"/>
        <v>5565.252032520325</v>
      </c>
      <c r="N23" s="5">
        <v>7</v>
      </c>
      <c r="O23" s="5">
        <v>7</v>
      </c>
      <c r="P23" s="16">
        <f t="shared" si="1"/>
        <v>-1207.4411764705883</v>
      </c>
      <c r="Q23" s="5">
        <v>4</v>
      </c>
      <c r="R23" s="5">
        <v>4</v>
      </c>
      <c r="S23" s="16">
        <f t="shared" si="2"/>
        <v>-1786.9772727272727</v>
      </c>
      <c r="T23" s="5">
        <v>4</v>
      </c>
      <c r="U23" s="5">
        <v>4</v>
      </c>
      <c r="V23" s="16">
        <f t="shared" si="3"/>
        <v>-15.471698113207546</v>
      </c>
      <c r="W23" s="5">
        <v>2</v>
      </c>
      <c r="X23" s="5">
        <v>2</v>
      </c>
      <c r="Y23" s="16">
        <f t="shared" si="4"/>
        <v>-6.25E-2</v>
      </c>
      <c r="Z23" s="5">
        <v>2</v>
      </c>
      <c r="AA23" s="5">
        <v>2</v>
      </c>
      <c r="AB23" s="16">
        <f t="shared" si="5"/>
        <v>-31.402298850574713</v>
      </c>
      <c r="AC23" s="4" t="s">
        <v>665</v>
      </c>
      <c r="AD23" s="4" t="s">
        <v>741</v>
      </c>
      <c r="AE23" s="4" t="s">
        <v>549</v>
      </c>
      <c r="AF23" s="4" t="s">
        <v>142</v>
      </c>
      <c r="AG23" s="4" t="s">
        <v>545</v>
      </c>
      <c r="AH23" s="4" t="s">
        <v>658</v>
      </c>
    </row>
    <row r="24" spans="2:35" x14ac:dyDescent="0.35">
      <c r="B24" s="4" t="s">
        <v>742</v>
      </c>
      <c r="C24" s="4" t="s">
        <v>619</v>
      </c>
      <c r="D24" s="4" t="s">
        <v>160</v>
      </c>
      <c r="E24" s="4" t="s">
        <v>655</v>
      </c>
      <c r="F24" s="4" t="s">
        <v>620</v>
      </c>
      <c r="G24" s="4" t="s">
        <v>743</v>
      </c>
      <c r="H24" s="4" t="s">
        <v>744</v>
      </c>
      <c r="I24" s="4" t="s">
        <v>745</v>
      </c>
      <c r="J24" s="4" t="s">
        <v>658</v>
      </c>
      <c r="K24" s="5">
        <v>10</v>
      </c>
      <c r="L24" s="5">
        <v>10</v>
      </c>
      <c r="M24" s="16">
        <f t="shared" si="0"/>
        <v>13913.130081300813</v>
      </c>
      <c r="N24" s="5">
        <v>10</v>
      </c>
      <c r="O24" s="5">
        <v>10</v>
      </c>
      <c r="P24" s="16">
        <f t="shared" si="1"/>
        <v>-1724.9159663865546</v>
      </c>
      <c r="Q24" s="5">
        <v>0</v>
      </c>
      <c r="R24" s="5">
        <v>0</v>
      </c>
      <c r="S24" s="16">
        <f t="shared" si="2"/>
        <v>0</v>
      </c>
      <c r="T24" s="5">
        <v>5</v>
      </c>
      <c r="U24" s="5">
        <v>5</v>
      </c>
      <c r="V24" s="16">
        <f t="shared" si="3"/>
        <v>-19.339622641509433</v>
      </c>
      <c r="W24" s="5">
        <v>10</v>
      </c>
      <c r="X24" s="5">
        <v>10</v>
      </c>
      <c r="Y24" s="16">
        <f t="shared" si="4"/>
        <v>-0.3125</v>
      </c>
      <c r="Z24" s="5">
        <v>3</v>
      </c>
      <c r="AA24" s="5">
        <v>3</v>
      </c>
      <c r="AB24" s="16">
        <f t="shared" si="5"/>
        <v>-47.103448275862071</v>
      </c>
      <c r="AC24" s="4" t="s">
        <v>658</v>
      </c>
      <c r="AD24" s="4" t="s">
        <v>655</v>
      </c>
      <c r="AE24" s="4" t="s">
        <v>655</v>
      </c>
      <c r="AF24" s="4" t="s">
        <v>655</v>
      </c>
      <c r="AG24" s="4" t="s">
        <v>655</v>
      </c>
      <c r="AH24" s="4" t="s">
        <v>658</v>
      </c>
    </row>
    <row r="25" spans="2:35" x14ac:dyDescent="0.35">
      <c r="B25" s="4" t="s">
        <v>746</v>
      </c>
      <c r="C25" s="4" t="s">
        <v>747</v>
      </c>
      <c r="D25" s="4" t="s">
        <v>168</v>
      </c>
      <c r="E25" s="4" t="s">
        <v>655</v>
      </c>
      <c r="F25" s="4" t="s">
        <v>748</v>
      </c>
      <c r="G25" s="4" t="s">
        <v>749</v>
      </c>
      <c r="H25" s="4" t="s">
        <v>750</v>
      </c>
      <c r="I25" s="4" t="s">
        <v>751</v>
      </c>
      <c r="J25" s="4" t="s">
        <v>665</v>
      </c>
      <c r="K25" s="5">
        <v>0</v>
      </c>
      <c r="L25" s="5">
        <v>0</v>
      </c>
      <c r="M25" s="16">
        <f t="shared" si="0"/>
        <v>0</v>
      </c>
      <c r="N25" s="5">
        <v>0</v>
      </c>
      <c r="O25" s="5">
        <v>0</v>
      </c>
      <c r="P25" s="16">
        <f t="shared" si="1"/>
        <v>0</v>
      </c>
      <c r="Q25" s="5">
        <v>0</v>
      </c>
      <c r="R25" s="5">
        <v>0</v>
      </c>
      <c r="S25" s="16">
        <f t="shared" si="2"/>
        <v>0</v>
      </c>
      <c r="T25" s="5">
        <v>0</v>
      </c>
      <c r="U25" s="5">
        <v>0</v>
      </c>
      <c r="V25" s="16">
        <f t="shared" si="3"/>
        <v>0</v>
      </c>
      <c r="W25" s="5">
        <v>0</v>
      </c>
      <c r="X25" s="5">
        <v>0</v>
      </c>
      <c r="Y25" s="16">
        <f t="shared" si="4"/>
        <v>0</v>
      </c>
      <c r="Z25" s="5">
        <v>0</v>
      </c>
      <c r="AA25" s="5">
        <v>0</v>
      </c>
      <c r="AB25" s="16">
        <f t="shared" si="5"/>
        <v>0</v>
      </c>
      <c r="AC25" s="4" t="s">
        <v>655</v>
      </c>
      <c r="AD25" s="4" t="s">
        <v>655</v>
      </c>
      <c r="AE25" s="4" t="s">
        <v>655</v>
      </c>
      <c r="AF25" s="4" t="s">
        <v>655</v>
      </c>
      <c r="AG25" s="4" t="s">
        <v>655</v>
      </c>
      <c r="AH25" s="4" t="s">
        <v>665</v>
      </c>
    </row>
    <row r="26" spans="2:35" x14ac:dyDescent="0.35">
      <c r="B26" s="4" t="s">
        <v>353</v>
      </c>
      <c r="C26" s="4" t="s">
        <v>752</v>
      </c>
      <c r="D26" s="4" t="s">
        <v>160</v>
      </c>
      <c r="E26" s="4" t="s">
        <v>655</v>
      </c>
      <c r="F26" s="4" t="s">
        <v>753</v>
      </c>
      <c r="G26" s="4" t="s">
        <v>356</v>
      </c>
      <c r="H26" s="4" t="s">
        <v>358</v>
      </c>
      <c r="I26" s="4" t="s">
        <v>754</v>
      </c>
      <c r="J26" s="4" t="s">
        <v>658</v>
      </c>
      <c r="K26" s="5">
        <v>7</v>
      </c>
      <c r="L26" s="5">
        <v>7</v>
      </c>
      <c r="M26" s="16">
        <f t="shared" si="0"/>
        <v>9739.1910569105694</v>
      </c>
      <c r="N26" s="5">
        <v>4</v>
      </c>
      <c r="O26" s="5">
        <v>4</v>
      </c>
      <c r="P26" s="16">
        <f t="shared" si="1"/>
        <v>-689.96638655462186</v>
      </c>
      <c r="Q26" s="5">
        <v>3</v>
      </c>
      <c r="R26" s="5">
        <v>3</v>
      </c>
      <c r="S26" s="16">
        <f t="shared" si="2"/>
        <v>-1340.2329545454545</v>
      </c>
      <c r="T26" s="5">
        <v>0</v>
      </c>
      <c r="U26" s="5">
        <v>0</v>
      </c>
      <c r="V26" s="16">
        <f t="shared" si="3"/>
        <v>0</v>
      </c>
      <c r="W26" s="5">
        <v>0</v>
      </c>
      <c r="X26" s="5">
        <v>0</v>
      </c>
      <c r="Y26" s="16">
        <f t="shared" si="4"/>
        <v>0</v>
      </c>
      <c r="Z26" s="5">
        <v>0</v>
      </c>
      <c r="AA26" s="5">
        <v>0</v>
      </c>
      <c r="AB26" s="16">
        <f t="shared" si="5"/>
        <v>0</v>
      </c>
      <c r="AC26" s="4" t="s">
        <v>658</v>
      </c>
      <c r="AD26" s="4" t="s">
        <v>655</v>
      </c>
      <c r="AE26" s="4" t="s">
        <v>655</v>
      </c>
      <c r="AF26" s="4" t="s">
        <v>655</v>
      </c>
      <c r="AG26" s="4" t="s">
        <v>655</v>
      </c>
      <c r="AH26" s="4" t="s">
        <v>658</v>
      </c>
    </row>
    <row r="27" spans="2:35" x14ac:dyDescent="0.35">
      <c r="B27" s="4" t="s">
        <v>755</v>
      </c>
      <c r="C27" s="4" t="s">
        <v>458</v>
      </c>
      <c r="D27" s="4" t="s">
        <v>351</v>
      </c>
      <c r="E27" s="4" t="s">
        <v>655</v>
      </c>
      <c r="F27" s="4" t="s">
        <v>459</v>
      </c>
      <c r="G27" s="4" t="s">
        <v>460</v>
      </c>
      <c r="H27" s="4" t="s">
        <v>461</v>
      </c>
      <c r="I27" s="4" t="s">
        <v>756</v>
      </c>
      <c r="J27" s="4" t="s">
        <v>658</v>
      </c>
      <c r="K27" s="5">
        <v>10</v>
      </c>
      <c r="L27" s="5">
        <v>10</v>
      </c>
      <c r="M27" s="16">
        <f t="shared" si="0"/>
        <v>13913.130081300813</v>
      </c>
      <c r="N27" s="5">
        <v>10</v>
      </c>
      <c r="O27" s="5">
        <v>10</v>
      </c>
      <c r="P27" s="16">
        <f t="shared" si="1"/>
        <v>-1724.9159663865546</v>
      </c>
      <c r="Q27" s="5">
        <v>5</v>
      </c>
      <c r="R27" s="5">
        <v>5</v>
      </c>
      <c r="S27" s="16">
        <f t="shared" si="2"/>
        <v>-2233.721590909091</v>
      </c>
      <c r="T27" s="5">
        <v>5</v>
      </c>
      <c r="U27" s="5">
        <v>5</v>
      </c>
      <c r="V27" s="16">
        <f t="shared" si="3"/>
        <v>-19.339622641509433</v>
      </c>
      <c r="W27" s="5">
        <v>0</v>
      </c>
      <c r="X27" s="5">
        <v>0</v>
      </c>
      <c r="Y27" s="16">
        <f t="shared" si="4"/>
        <v>0</v>
      </c>
      <c r="Z27" s="5">
        <v>2</v>
      </c>
      <c r="AA27" s="5">
        <v>2</v>
      </c>
      <c r="AB27" s="16">
        <f t="shared" si="5"/>
        <v>-31.402298850574713</v>
      </c>
      <c r="AC27" s="4" t="s">
        <v>658</v>
      </c>
      <c r="AD27" s="4" t="s">
        <v>655</v>
      </c>
      <c r="AE27" s="4" t="s">
        <v>655</v>
      </c>
      <c r="AF27" s="4" t="s">
        <v>655</v>
      </c>
      <c r="AG27" s="4" t="s">
        <v>655</v>
      </c>
      <c r="AH27" s="4" t="s">
        <v>658</v>
      </c>
    </row>
    <row r="28" spans="2:35" x14ac:dyDescent="0.35">
      <c r="B28" s="4" t="s">
        <v>578</v>
      </c>
      <c r="C28" s="4" t="s">
        <v>757</v>
      </c>
      <c r="D28" s="4" t="s">
        <v>351</v>
      </c>
      <c r="E28" s="4" t="s">
        <v>655</v>
      </c>
      <c r="F28" s="4" t="s">
        <v>758</v>
      </c>
      <c r="G28" s="4" t="s">
        <v>581</v>
      </c>
      <c r="H28" s="4" t="s">
        <v>582</v>
      </c>
      <c r="I28" s="4" t="s">
        <v>759</v>
      </c>
      <c r="J28" s="4" t="s">
        <v>658</v>
      </c>
      <c r="K28" s="5">
        <v>5</v>
      </c>
      <c r="L28" s="5">
        <v>5</v>
      </c>
      <c r="M28" s="16">
        <f t="shared" si="0"/>
        <v>6956.5650406504064</v>
      </c>
      <c r="N28" s="5">
        <v>9</v>
      </c>
      <c r="O28" s="5">
        <v>9</v>
      </c>
      <c r="P28" s="16">
        <f t="shared" si="1"/>
        <v>-1552.4243697478992</v>
      </c>
      <c r="Q28" s="5">
        <v>7</v>
      </c>
      <c r="R28" s="5">
        <v>7</v>
      </c>
      <c r="S28" s="16">
        <f t="shared" si="2"/>
        <v>-3127.2102272727275</v>
      </c>
      <c r="T28" s="5">
        <v>0</v>
      </c>
      <c r="U28" s="5">
        <v>0</v>
      </c>
      <c r="V28" s="16">
        <f t="shared" si="3"/>
        <v>0</v>
      </c>
      <c r="W28" s="5">
        <v>0</v>
      </c>
      <c r="X28" s="5">
        <v>0</v>
      </c>
      <c r="Y28" s="16">
        <f t="shared" si="4"/>
        <v>0</v>
      </c>
      <c r="Z28" s="5">
        <v>0</v>
      </c>
      <c r="AA28" s="5">
        <v>0</v>
      </c>
      <c r="AB28" s="16">
        <f t="shared" si="5"/>
        <v>0</v>
      </c>
      <c r="AC28" s="4" t="s">
        <v>658</v>
      </c>
      <c r="AD28" s="4" t="s">
        <v>655</v>
      </c>
      <c r="AE28" s="4" t="s">
        <v>655</v>
      </c>
      <c r="AF28" s="4" t="s">
        <v>655</v>
      </c>
      <c r="AG28" s="4" t="s">
        <v>655</v>
      </c>
      <c r="AH28" s="4" t="s">
        <v>658</v>
      </c>
    </row>
    <row r="29" spans="2:35" x14ac:dyDescent="0.35">
      <c r="B29" s="4" t="s">
        <v>402</v>
      </c>
      <c r="C29" s="4" t="s">
        <v>403</v>
      </c>
      <c r="D29" s="4" t="s">
        <v>343</v>
      </c>
      <c r="E29" s="4" t="s">
        <v>655</v>
      </c>
      <c r="F29" s="4" t="s">
        <v>404</v>
      </c>
      <c r="G29" s="4" t="s">
        <v>405</v>
      </c>
      <c r="H29" s="4" t="s">
        <v>406</v>
      </c>
      <c r="I29" s="4" t="s">
        <v>407</v>
      </c>
      <c r="J29" s="4" t="s">
        <v>658</v>
      </c>
      <c r="K29" s="5">
        <v>5</v>
      </c>
      <c r="L29" s="5">
        <v>5</v>
      </c>
      <c r="M29" s="16">
        <f t="shared" si="0"/>
        <v>6956.5650406504064</v>
      </c>
      <c r="N29" s="5">
        <v>10</v>
      </c>
      <c r="O29" s="5">
        <v>10</v>
      </c>
      <c r="P29" s="16">
        <f t="shared" si="1"/>
        <v>-1724.9159663865546</v>
      </c>
      <c r="Q29" s="5">
        <v>0</v>
      </c>
      <c r="R29" s="5">
        <v>0</v>
      </c>
      <c r="S29" s="16">
        <f t="shared" si="2"/>
        <v>0</v>
      </c>
      <c r="T29" s="5">
        <v>0</v>
      </c>
      <c r="U29" s="5">
        <v>0</v>
      </c>
      <c r="V29" s="16">
        <f t="shared" si="3"/>
        <v>0</v>
      </c>
      <c r="W29" s="5">
        <v>6</v>
      </c>
      <c r="X29" s="5">
        <v>6</v>
      </c>
      <c r="Y29" s="16">
        <f t="shared" si="4"/>
        <v>-0.1875</v>
      </c>
      <c r="Z29" s="5">
        <v>0</v>
      </c>
      <c r="AA29" s="5">
        <v>0</v>
      </c>
      <c r="AB29" s="16">
        <f t="shared" si="5"/>
        <v>0</v>
      </c>
      <c r="AC29" s="4" t="s">
        <v>665</v>
      </c>
      <c r="AD29" s="4" t="s">
        <v>760</v>
      </c>
      <c r="AE29" s="4" t="s">
        <v>343</v>
      </c>
      <c r="AF29" s="4" t="s">
        <v>142</v>
      </c>
      <c r="AG29" s="4" t="s">
        <v>404</v>
      </c>
      <c r="AH29" s="4" t="s">
        <v>658</v>
      </c>
    </row>
    <row r="30" spans="2:35" x14ac:dyDescent="0.35">
      <c r="B30" s="4" t="s">
        <v>761</v>
      </c>
      <c r="C30" s="4" t="s">
        <v>762</v>
      </c>
      <c r="D30" s="4" t="s">
        <v>160</v>
      </c>
      <c r="E30" s="4" t="s">
        <v>655</v>
      </c>
      <c r="F30" s="4" t="s">
        <v>763</v>
      </c>
      <c r="G30" s="4" t="s">
        <v>764</v>
      </c>
      <c r="H30" s="4" t="s">
        <v>765</v>
      </c>
      <c r="I30" s="4" t="s">
        <v>766</v>
      </c>
      <c r="J30" s="4" t="s">
        <v>658</v>
      </c>
      <c r="K30" s="5">
        <v>5</v>
      </c>
      <c r="L30" s="5">
        <v>5</v>
      </c>
      <c r="M30" s="16">
        <f t="shared" si="0"/>
        <v>6956.5650406504064</v>
      </c>
      <c r="N30" s="5">
        <v>5</v>
      </c>
      <c r="O30" s="5">
        <v>5</v>
      </c>
      <c r="P30" s="16">
        <f t="shared" si="1"/>
        <v>-862.4579831932773</v>
      </c>
      <c r="Q30" s="5">
        <v>5</v>
      </c>
      <c r="R30" s="5">
        <v>5</v>
      </c>
      <c r="S30" s="16">
        <f t="shared" si="2"/>
        <v>-2233.721590909091</v>
      </c>
      <c r="T30" s="5">
        <v>0</v>
      </c>
      <c r="U30" s="5">
        <v>0</v>
      </c>
      <c r="V30" s="16">
        <f t="shared" si="3"/>
        <v>0</v>
      </c>
      <c r="W30" s="5">
        <v>0</v>
      </c>
      <c r="X30" s="5">
        <v>0</v>
      </c>
      <c r="Y30" s="16">
        <f t="shared" si="4"/>
        <v>0</v>
      </c>
      <c r="Z30" s="5">
        <v>0</v>
      </c>
      <c r="AA30" s="5">
        <v>0</v>
      </c>
      <c r="AB30" s="16">
        <f t="shared" si="5"/>
        <v>0</v>
      </c>
      <c r="AC30" s="4" t="s">
        <v>658</v>
      </c>
      <c r="AD30" s="4" t="s">
        <v>655</v>
      </c>
      <c r="AE30" s="4" t="s">
        <v>655</v>
      </c>
      <c r="AF30" s="4" t="s">
        <v>655</v>
      </c>
      <c r="AG30" s="4" t="s">
        <v>655</v>
      </c>
      <c r="AH30" s="4" t="s">
        <v>658</v>
      </c>
    </row>
    <row r="31" spans="2:35" x14ac:dyDescent="0.35">
      <c r="B31" s="4" t="s">
        <v>767</v>
      </c>
      <c r="C31" s="4" t="s">
        <v>768</v>
      </c>
      <c r="D31" s="4" t="s">
        <v>429</v>
      </c>
      <c r="E31" s="4" t="s">
        <v>655</v>
      </c>
      <c r="F31" s="4" t="s">
        <v>769</v>
      </c>
      <c r="G31" s="4" t="s">
        <v>770</v>
      </c>
      <c r="H31" s="4" t="s">
        <v>771</v>
      </c>
      <c r="I31" s="4" t="s">
        <v>772</v>
      </c>
      <c r="J31" s="4" t="s">
        <v>665</v>
      </c>
      <c r="K31" s="5">
        <v>0</v>
      </c>
      <c r="L31" s="5">
        <v>0</v>
      </c>
      <c r="M31" s="16">
        <f t="shared" si="0"/>
        <v>0</v>
      </c>
      <c r="N31" s="5">
        <v>0</v>
      </c>
      <c r="O31" s="5">
        <v>0</v>
      </c>
      <c r="P31" s="16">
        <f t="shared" si="1"/>
        <v>0</v>
      </c>
      <c r="Q31" s="5">
        <v>0</v>
      </c>
      <c r="R31" s="5">
        <v>0</v>
      </c>
      <c r="S31" s="16">
        <f t="shared" si="2"/>
        <v>0</v>
      </c>
      <c r="T31" s="5">
        <v>0</v>
      </c>
      <c r="U31" s="5">
        <v>0</v>
      </c>
      <c r="V31" s="16">
        <f t="shared" si="3"/>
        <v>0</v>
      </c>
      <c r="W31" s="5">
        <v>0</v>
      </c>
      <c r="X31" s="5">
        <v>0</v>
      </c>
      <c r="Y31" s="16">
        <f t="shared" si="4"/>
        <v>0</v>
      </c>
      <c r="Z31" s="5">
        <v>0</v>
      </c>
      <c r="AA31" s="5">
        <v>0</v>
      </c>
      <c r="AB31" s="16">
        <f t="shared" si="5"/>
        <v>0</v>
      </c>
      <c r="AC31" s="4" t="s">
        <v>655</v>
      </c>
      <c r="AD31" s="4" t="s">
        <v>655</v>
      </c>
      <c r="AE31" s="4" t="s">
        <v>655</v>
      </c>
      <c r="AF31" s="4" t="s">
        <v>655</v>
      </c>
      <c r="AG31" s="4" t="s">
        <v>655</v>
      </c>
      <c r="AH31" s="4" t="s">
        <v>665</v>
      </c>
    </row>
    <row r="32" spans="2:35" x14ac:dyDescent="0.35">
      <c r="B32" s="4" t="s">
        <v>773</v>
      </c>
      <c r="C32" s="4" t="s">
        <v>774</v>
      </c>
      <c r="D32" s="4" t="s">
        <v>322</v>
      </c>
      <c r="E32" s="4" t="s">
        <v>655</v>
      </c>
      <c r="F32" s="4" t="s">
        <v>775</v>
      </c>
      <c r="G32" s="4" t="s">
        <v>776</v>
      </c>
      <c r="H32" s="4" t="s">
        <v>365</v>
      </c>
      <c r="I32" s="4" t="s">
        <v>777</v>
      </c>
      <c r="J32" s="4" t="s">
        <v>658</v>
      </c>
      <c r="K32" s="5">
        <v>5</v>
      </c>
      <c r="L32" s="5">
        <v>5</v>
      </c>
      <c r="M32" s="16">
        <f t="shared" si="0"/>
        <v>6956.5650406504064</v>
      </c>
      <c r="N32" s="5">
        <v>5</v>
      </c>
      <c r="O32" s="5">
        <v>5</v>
      </c>
      <c r="P32" s="16">
        <f t="shared" si="1"/>
        <v>-862.4579831932773</v>
      </c>
      <c r="Q32" s="5">
        <v>5</v>
      </c>
      <c r="R32" s="5">
        <v>5</v>
      </c>
      <c r="S32" s="16">
        <f t="shared" si="2"/>
        <v>-2233.721590909091</v>
      </c>
      <c r="T32" s="5">
        <v>5</v>
      </c>
      <c r="U32" s="5">
        <v>5</v>
      </c>
      <c r="V32" s="16">
        <f t="shared" si="3"/>
        <v>-19.339622641509433</v>
      </c>
      <c r="W32" s="5">
        <v>5</v>
      </c>
      <c r="X32" s="5">
        <v>5</v>
      </c>
      <c r="Y32" s="16">
        <f t="shared" si="4"/>
        <v>-0.15625</v>
      </c>
      <c r="Z32" s="5">
        <v>5</v>
      </c>
      <c r="AA32" s="5">
        <v>5</v>
      </c>
      <c r="AB32" s="16">
        <f t="shared" si="5"/>
        <v>-78.505747126436788</v>
      </c>
      <c r="AC32" s="4" t="s">
        <v>658</v>
      </c>
      <c r="AD32" s="4" t="s">
        <v>655</v>
      </c>
      <c r="AE32" s="4" t="s">
        <v>655</v>
      </c>
      <c r="AF32" s="4" t="s">
        <v>655</v>
      </c>
      <c r="AG32" s="4" t="s">
        <v>655</v>
      </c>
      <c r="AH32" s="4" t="s">
        <v>658</v>
      </c>
    </row>
    <row r="33" spans="1:34" x14ac:dyDescent="0.35">
      <c r="B33" s="4" t="s">
        <v>521</v>
      </c>
      <c r="C33" s="4" t="s">
        <v>778</v>
      </c>
      <c r="D33" s="4" t="s">
        <v>160</v>
      </c>
      <c r="E33" s="4" t="s">
        <v>655</v>
      </c>
      <c r="F33" s="4" t="s">
        <v>779</v>
      </c>
      <c r="G33" s="4" t="s">
        <v>780</v>
      </c>
      <c r="H33" s="4" t="s">
        <v>781</v>
      </c>
      <c r="I33" s="4" t="s">
        <v>782</v>
      </c>
      <c r="J33" s="4" t="s">
        <v>658</v>
      </c>
      <c r="K33" s="5">
        <v>10</v>
      </c>
      <c r="L33" s="5">
        <v>10</v>
      </c>
      <c r="M33" s="16">
        <f t="shared" si="0"/>
        <v>13913.130081300813</v>
      </c>
      <c r="N33" s="5">
        <v>1</v>
      </c>
      <c r="O33" s="5">
        <v>1</v>
      </c>
      <c r="P33" s="16">
        <f t="shared" si="1"/>
        <v>-172.49159663865547</v>
      </c>
      <c r="Q33" s="5">
        <v>10</v>
      </c>
      <c r="R33" s="5">
        <v>10</v>
      </c>
      <c r="S33" s="16">
        <f t="shared" si="2"/>
        <v>-4467.443181818182</v>
      </c>
      <c r="T33" s="5">
        <v>4</v>
      </c>
      <c r="U33" s="5">
        <v>4</v>
      </c>
      <c r="V33" s="16">
        <f t="shared" si="3"/>
        <v>-15.471698113207546</v>
      </c>
      <c r="W33" s="5">
        <v>2</v>
      </c>
      <c r="X33" s="5">
        <v>2</v>
      </c>
      <c r="Y33" s="16">
        <f t="shared" si="4"/>
        <v>-6.25E-2</v>
      </c>
      <c r="Z33" s="5">
        <v>0</v>
      </c>
      <c r="AA33" s="5">
        <v>0</v>
      </c>
      <c r="AB33" s="16">
        <f t="shared" si="5"/>
        <v>0</v>
      </c>
      <c r="AC33" s="4" t="s">
        <v>658</v>
      </c>
      <c r="AD33" s="4" t="s">
        <v>655</v>
      </c>
      <c r="AE33" s="4" t="s">
        <v>655</v>
      </c>
      <c r="AF33" s="4" t="s">
        <v>655</v>
      </c>
      <c r="AG33" s="4" t="s">
        <v>655</v>
      </c>
      <c r="AH33" s="4" t="s">
        <v>658</v>
      </c>
    </row>
    <row r="34" spans="1:34" x14ac:dyDescent="0.35">
      <c r="B34" s="4" t="s">
        <v>783</v>
      </c>
      <c r="C34" s="4" t="s">
        <v>784</v>
      </c>
      <c r="D34" s="4" t="s">
        <v>160</v>
      </c>
      <c r="E34" s="4" t="s">
        <v>655</v>
      </c>
      <c r="F34" s="4" t="s">
        <v>785</v>
      </c>
      <c r="G34" s="4" t="s">
        <v>786</v>
      </c>
      <c r="H34" s="4" t="s">
        <v>787</v>
      </c>
      <c r="I34" s="4" t="s">
        <v>788</v>
      </c>
      <c r="J34" s="4" t="s">
        <v>658</v>
      </c>
      <c r="K34" s="5">
        <v>6</v>
      </c>
      <c r="L34" s="5">
        <v>6</v>
      </c>
      <c r="M34" s="16">
        <f t="shared" si="0"/>
        <v>8347.878048780487</v>
      </c>
      <c r="N34" s="5">
        <v>5</v>
      </c>
      <c r="O34" s="5">
        <v>5</v>
      </c>
      <c r="P34" s="16">
        <f t="shared" si="1"/>
        <v>-862.4579831932773</v>
      </c>
      <c r="Q34" s="5">
        <v>4</v>
      </c>
      <c r="R34" s="5">
        <v>4</v>
      </c>
      <c r="S34" s="16">
        <f t="shared" si="2"/>
        <v>-1786.9772727272727</v>
      </c>
      <c r="T34" s="5">
        <v>6</v>
      </c>
      <c r="U34" s="5">
        <v>6</v>
      </c>
      <c r="V34" s="16">
        <f t="shared" si="3"/>
        <v>-23.20754716981132</v>
      </c>
      <c r="W34" s="5">
        <v>6</v>
      </c>
      <c r="X34" s="5">
        <v>6</v>
      </c>
      <c r="Y34" s="16">
        <f t="shared" si="4"/>
        <v>-0.1875</v>
      </c>
      <c r="Z34" s="5">
        <v>3</v>
      </c>
      <c r="AA34" s="5">
        <v>3</v>
      </c>
      <c r="AB34" s="16">
        <f t="shared" si="5"/>
        <v>-47.103448275862071</v>
      </c>
      <c r="AC34" s="4" t="s">
        <v>658</v>
      </c>
      <c r="AD34" s="4" t="s">
        <v>655</v>
      </c>
      <c r="AE34" s="4" t="s">
        <v>655</v>
      </c>
      <c r="AF34" s="4" t="s">
        <v>655</v>
      </c>
      <c r="AG34" s="4" t="s">
        <v>655</v>
      </c>
      <c r="AH34" s="4" t="s">
        <v>658</v>
      </c>
    </row>
    <row r="35" spans="1:34" x14ac:dyDescent="0.35">
      <c r="B35" s="4" t="s">
        <v>789</v>
      </c>
      <c r="C35" s="4" t="s">
        <v>790</v>
      </c>
      <c r="D35" s="4" t="s">
        <v>106</v>
      </c>
      <c r="E35" s="4" t="s">
        <v>655</v>
      </c>
      <c r="F35" s="4" t="s">
        <v>791</v>
      </c>
      <c r="G35" s="4" t="s">
        <v>792</v>
      </c>
      <c r="H35" s="4" t="s">
        <v>793</v>
      </c>
      <c r="I35" s="4" t="s">
        <v>224</v>
      </c>
      <c r="J35" s="4" t="s">
        <v>658</v>
      </c>
      <c r="K35" s="5">
        <v>5</v>
      </c>
      <c r="L35" s="5">
        <v>5</v>
      </c>
      <c r="M35" s="16">
        <f t="shared" si="0"/>
        <v>6956.5650406504064</v>
      </c>
      <c r="N35" s="5">
        <v>5</v>
      </c>
      <c r="O35" s="5">
        <v>5</v>
      </c>
      <c r="P35" s="16">
        <f t="shared" si="1"/>
        <v>-862.4579831932773</v>
      </c>
      <c r="Q35" s="5">
        <v>2</v>
      </c>
      <c r="R35" s="5">
        <v>2</v>
      </c>
      <c r="S35" s="16">
        <f t="shared" si="2"/>
        <v>-893.48863636363637</v>
      </c>
      <c r="T35" s="5">
        <v>3</v>
      </c>
      <c r="U35" s="5">
        <v>3</v>
      </c>
      <c r="V35" s="16">
        <f t="shared" si="3"/>
        <v>-11.60377358490566</v>
      </c>
      <c r="W35" s="5">
        <v>3</v>
      </c>
      <c r="X35" s="5">
        <v>3</v>
      </c>
      <c r="Y35" s="16">
        <f t="shared" si="4"/>
        <v>-9.375E-2</v>
      </c>
      <c r="Z35" s="5">
        <v>1</v>
      </c>
      <c r="AA35" s="5">
        <v>1</v>
      </c>
      <c r="AB35" s="16">
        <f t="shared" si="5"/>
        <v>-15.701149425287356</v>
      </c>
      <c r="AC35" s="4" t="s">
        <v>658</v>
      </c>
      <c r="AD35" s="4" t="s">
        <v>655</v>
      </c>
      <c r="AE35" s="4" t="s">
        <v>655</v>
      </c>
      <c r="AF35" s="4" t="s">
        <v>655</v>
      </c>
      <c r="AG35" s="4" t="s">
        <v>655</v>
      </c>
      <c r="AH35" s="4" t="s">
        <v>658</v>
      </c>
    </row>
    <row r="36" spans="1:34" x14ac:dyDescent="0.35">
      <c r="B36" s="4" t="s">
        <v>232</v>
      </c>
      <c r="C36" s="4" t="s">
        <v>794</v>
      </c>
      <c r="D36" s="4" t="s">
        <v>237</v>
      </c>
      <c r="E36" s="4" t="s">
        <v>655</v>
      </c>
      <c r="F36" s="4" t="s">
        <v>234</v>
      </c>
      <c r="G36" s="4" t="s">
        <v>235</v>
      </c>
      <c r="H36" s="4" t="s">
        <v>236</v>
      </c>
      <c r="I36" s="4" t="s">
        <v>795</v>
      </c>
      <c r="J36" s="4" t="s">
        <v>658</v>
      </c>
      <c r="K36" s="5">
        <v>10</v>
      </c>
      <c r="L36" s="5">
        <v>10</v>
      </c>
      <c r="M36" s="16">
        <f t="shared" si="0"/>
        <v>13913.130081300813</v>
      </c>
      <c r="N36" s="5">
        <v>10</v>
      </c>
      <c r="O36" s="5">
        <v>10</v>
      </c>
      <c r="P36" s="16">
        <f t="shared" si="1"/>
        <v>-1724.9159663865546</v>
      </c>
      <c r="Q36" s="5">
        <v>10</v>
      </c>
      <c r="R36" s="5">
        <v>10</v>
      </c>
      <c r="S36" s="16">
        <f t="shared" si="2"/>
        <v>-4467.443181818182</v>
      </c>
      <c r="T36" s="5">
        <v>0</v>
      </c>
      <c r="U36" s="5">
        <v>0</v>
      </c>
      <c r="V36" s="16">
        <f t="shared" si="3"/>
        <v>0</v>
      </c>
      <c r="W36" s="5">
        <v>0</v>
      </c>
      <c r="X36" s="5">
        <v>0</v>
      </c>
      <c r="Y36" s="16">
        <f t="shared" si="4"/>
        <v>0</v>
      </c>
      <c r="Z36" s="5">
        <v>0</v>
      </c>
      <c r="AA36" s="5">
        <v>0</v>
      </c>
      <c r="AB36" s="16">
        <f t="shared" si="5"/>
        <v>0</v>
      </c>
      <c r="AC36" s="4" t="s">
        <v>665</v>
      </c>
      <c r="AD36" s="4" t="s">
        <v>794</v>
      </c>
      <c r="AE36" s="4" t="s">
        <v>237</v>
      </c>
      <c r="AF36" s="4" t="s">
        <v>142</v>
      </c>
      <c r="AG36" s="4" t="s">
        <v>234</v>
      </c>
      <c r="AH36" s="4" t="s">
        <v>658</v>
      </c>
    </row>
    <row r="37" spans="1:34" x14ac:dyDescent="0.35">
      <c r="B37" s="4" t="s">
        <v>367</v>
      </c>
      <c r="C37" s="4" t="s">
        <v>796</v>
      </c>
      <c r="D37" s="4" t="s">
        <v>204</v>
      </c>
      <c r="E37" s="4" t="s">
        <v>655</v>
      </c>
      <c r="F37" s="4" t="s">
        <v>369</v>
      </c>
      <c r="G37" s="4" t="s">
        <v>370</v>
      </c>
      <c r="H37" s="4" t="s">
        <v>371</v>
      </c>
      <c r="I37" s="4" t="s">
        <v>372</v>
      </c>
      <c r="J37" s="4" t="s">
        <v>658</v>
      </c>
      <c r="K37" s="5">
        <v>10</v>
      </c>
      <c r="L37" s="5">
        <v>10</v>
      </c>
      <c r="M37" s="16">
        <f t="shared" si="0"/>
        <v>13913.130081300813</v>
      </c>
      <c r="N37" s="5">
        <v>5</v>
      </c>
      <c r="O37" s="5">
        <v>5</v>
      </c>
      <c r="P37" s="16">
        <f t="shared" si="1"/>
        <v>-862.4579831932773</v>
      </c>
      <c r="Q37" s="5">
        <v>7</v>
      </c>
      <c r="R37" s="5">
        <v>7</v>
      </c>
      <c r="S37" s="16">
        <f t="shared" si="2"/>
        <v>-3127.2102272727275</v>
      </c>
      <c r="T37" s="5">
        <v>0</v>
      </c>
      <c r="U37" s="5">
        <v>0</v>
      </c>
      <c r="V37" s="16">
        <f t="shared" si="3"/>
        <v>0</v>
      </c>
      <c r="W37" s="5">
        <v>0</v>
      </c>
      <c r="X37" s="5">
        <v>0</v>
      </c>
      <c r="Y37" s="16">
        <f t="shared" si="4"/>
        <v>0</v>
      </c>
      <c r="Z37" s="5">
        <v>0</v>
      </c>
      <c r="AA37" s="5">
        <v>0</v>
      </c>
      <c r="AB37" s="16">
        <f t="shared" si="5"/>
        <v>0</v>
      </c>
      <c r="AC37" s="4" t="s">
        <v>658</v>
      </c>
      <c r="AD37" s="4" t="s">
        <v>655</v>
      </c>
      <c r="AE37" s="4" t="s">
        <v>655</v>
      </c>
      <c r="AF37" s="4" t="s">
        <v>655</v>
      </c>
      <c r="AG37" s="4" t="s">
        <v>655</v>
      </c>
      <c r="AH37" s="4" t="s">
        <v>658</v>
      </c>
    </row>
    <row r="38" spans="1:34" x14ac:dyDescent="0.35">
      <c r="B38" s="4" t="s">
        <v>225</v>
      </c>
      <c r="C38" s="4" t="s">
        <v>797</v>
      </c>
      <c r="D38" s="4" t="s">
        <v>114</v>
      </c>
      <c r="E38" s="4" t="s">
        <v>655</v>
      </c>
      <c r="F38" s="4" t="s">
        <v>798</v>
      </c>
      <c r="G38" s="4" t="s">
        <v>228</v>
      </c>
      <c r="H38" s="4" t="s">
        <v>230</v>
      </c>
      <c r="I38" s="4" t="s">
        <v>799</v>
      </c>
      <c r="J38" s="4" t="s">
        <v>658</v>
      </c>
      <c r="K38" s="5">
        <v>2</v>
      </c>
      <c r="L38" s="5">
        <v>2</v>
      </c>
      <c r="M38" s="16">
        <f t="shared" si="0"/>
        <v>2782.6260162601625</v>
      </c>
      <c r="N38" s="5">
        <v>7</v>
      </c>
      <c r="O38" s="5">
        <v>7</v>
      </c>
      <c r="P38" s="16">
        <f t="shared" si="1"/>
        <v>-1207.4411764705883</v>
      </c>
      <c r="Q38" s="5">
        <v>5</v>
      </c>
      <c r="R38" s="5">
        <v>5</v>
      </c>
      <c r="S38" s="16">
        <f t="shared" si="2"/>
        <v>-2233.721590909091</v>
      </c>
      <c r="T38" s="5">
        <v>7</v>
      </c>
      <c r="U38" s="5">
        <v>7</v>
      </c>
      <c r="V38" s="16">
        <f t="shared" si="3"/>
        <v>-27.075471698113205</v>
      </c>
      <c r="W38" s="5">
        <v>8</v>
      </c>
      <c r="X38" s="5">
        <v>8</v>
      </c>
      <c r="Y38" s="16">
        <f t="shared" si="4"/>
        <v>-0.25</v>
      </c>
      <c r="Z38" s="5">
        <v>9</v>
      </c>
      <c r="AA38" s="5">
        <v>9</v>
      </c>
      <c r="AB38" s="16">
        <f t="shared" si="5"/>
        <v>-141.31034482758622</v>
      </c>
      <c r="AC38" s="4" t="s">
        <v>658</v>
      </c>
      <c r="AD38" s="4" t="s">
        <v>655</v>
      </c>
      <c r="AE38" s="4" t="s">
        <v>655</v>
      </c>
      <c r="AF38" s="4" t="s">
        <v>655</v>
      </c>
      <c r="AG38" s="4" t="s">
        <v>655</v>
      </c>
      <c r="AH38" s="4" t="s">
        <v>658</v>
      </c>
    </row>
    <row r="39" spans="1:34" x14ac:dyDescent="0.35">
      <c r="B39" s="4" t="s">
        <v>800</v>
      </c>
      <c r="C39" s="4" t="s">
        <v>801</v>
      </c>
      <c r="D39" s="4" t="s">
        <v>589</v>
      </c>
      <c r="E39" s="4" t="s">
        <v>655</v>
      </c>
      <c r="F39" s="4" t="s">
        <v>802</v>
      </c>
      <c r="G39" s="4" t="s">
        <v>803</v>
      </c>
      <c r="H39" s="4" t="s">
        <v>804</v>
      </c>
      <c r="I39" s="4" t="s">
        <v>805</v>
      </c>
      <c r="J39" s="4" t="s">
        <v>658</v>
      </c>
      <c r="K39" s="5">
        <v>6</v>
      </c>
      <c r="L39" s="5">
        <v>6</v>
      </c>
      <c r="M39" s="16">
        <f t="shared" si="0"/>
        <v>8347.878048780487</v>
      </c>
      <c r="N39" s="5">
        <v>6</v>
      </c>
      <c r="O39" s="5">
        <v>6</v>
      </c>
      <c r="P39" s="16">
        <f t="shared" si="1"/>
        <v>-1034.9495798319329</v>
      </c>
      <c r="Q39" s="5">
        <v>6</v>
      </c>
      <c r="R39" s="5">
        <v>6</v>
      </c>
      <c r="S39" s="16">
        <f t="shared" si="2"/>
        <v>-2680.465909090909</v>
      </c>
      <c r="T39" s="5">
        <v>5</v>
      </c>
      <c r="U39" s="5">
        <v>5</v>
      </c>
      <c r="V39" s="16">
        <f t="shared" si="3"/>
        <v>-19.339622641509433</v>
      </c>
      <c r="W39" s="5">
        <v>6</v>
      </c>
      <c r="X39" s="5">
        <v>6</v>
      </c>
      <c r="Y39" s="16">
        <f t="shared" si="4"/>
        <v>-0.1875</v>
      </c>
      <c r="Z39" s="5">
        <v>5</v>
      </c>
      <c r="AA39" s="5">
        <v>5</v>
      </c>
      <c r="AB39" s="16">
        <f t="shared" si="5"/>
        <v>-78.505747126436788</v>
      </c>
      <c r="AC39" s="4" t="s">
        <v>658</v>
      </c>
      <c r="AD39" s="4" t="s">
        <v>655</v>
      </c>
      <c r="AE39" s="4" t="s">
        <v>655</v>
      </c>
      <c r="AF39" s="4" t="s">
        <v>655</v>
      </c>
      <c r="AG39" s="4" t="s">
        <v>655</v>
      </c>
      <c r="AH39" s="4" t="s">
        <v>658</v>
      </c>
    </row>
    <row r="40" spans="1:34" x14ac:dyDescent="0.35">
      <c r="B40" s="4" t="s">
        <v>806</v>
      </c>
      <c r="C40" s="4" t="s">
        <v>807</v>
      </c>
      <c r="D40" s="4" t="s">
        <v>237</v>
      </c>
      <c r="E40" s="4" t="s">
        <v>655</v>
      </c>
      <c r="F40" s="4" t="s">
        <v>808</v>
      </c>
      <c r="G40" s="4" t="s">
        <v>809</v>
      </c>
      <c r="H40" s="4" t="s">
        <v>810</v>
      </c>
      <c r="I40" s="4" t="s">
        <v>811</v>
      </c>
      <c r="J40" s="4" t="s">
        <v>658</v>
      </c>
      <c r="K40" s="5">
        <v>10</v>
      </c>
      <c r="L40" s="5">
        <v>10</v>
      </c>
      <c r="M40" s="16">
        <f t="shared" si="0"/>
        <v>13913.130081300813</v>
      </c>
      <c r="N40" s="5">
        <v>9</v>
      </c>
      <c r="O40" s="5">
        <v>9</v>
      </c>
      <c r="P40" s="16">
        <f t="shared" si="1"/>
        <v>-1552.4243697478992</v>
      </c>
      <c r="Q40" s="5">
        <v>9</v>
      </c>
      <c r="R40" s="5">
        <v>9</v>
      </c>
      <c r="S40" s="16">
        <f t="shared" si="2"/>
        <v>-4020.6988636363635</v>
      </c>
      <c r="T40" s="5">
        <v>10</v>
      </c>
      <c r="U40" s="5">
        <v>10</v>
      </c>
      <c r="V40" s="16">
        <f t="shared" si="3"/>
        <v>-38.679245283018865</v>
      </c>
      <c r="W40" s="5">
        <v>10</v>
      </c>
      <c r="X40" s="5">
        <v>10</v>
      </c>
      <c r="Y40" s="16">
        <f t="shared" si="4"/>
        <v>-0.3125</v>
      </c>
      <c r="Z40" s="5">
        <v>10</v>
      </c>
      <c r="AA40" s="5">
        <v>10</v>
      </c>
      <c r="AB40" s="16">
        <f t="shared" si="5"/>
        <v>-157.01149425287358</v>
      </c>
      <c r="AC40" s="4" t="s">
        <v>658</v>
      </c>
      <c r="AD40" s="4" t="s">
        <v>655</v>
      </c>
      <c r="AE40" s="4" t="s">
        <v>655</v>
      </c>
      <c r="AF40" s="4" t="s">
        <v>655</v>
      </c>
      <c r="AG40" s="4" t="s">
        <v>655</v>
      </c>
      <c r="AH40" s="4" t="s">
        <v>658</v>
      </c>
    </row>
    <row r="41" spans="1:34" x14ac:dyDescent="0.35">
      <c r="B41" s="4" t="s">
        <v>812</v>
      </c>
      <c r="C41" s="4" t="s">
        <v>813</v>
      </c>
      <c r="D41" s="4" t="s">
        <v>351</v>
      </c>
      <c r="E41" s="4" t="s">
        <v>655</v>
      </c>
      <c r="F41" s="4" t="s">
        <v>347</v>
      </c>
      <c r="G41" s="4" t="s">
        <v>348</v>
      </c>
      <c r="H41" s="4" t="s">
        <v>350</v>
      </c>
      <c r="I41" s="4" t="s">
        <v>814</v>
      </c>
      <c r="J41" s="4" t="s">
        <v>658</v>
      </c>
      <c r="K41" s="5">
        <v>7</v>
      </c>
      <c r="L41" s="5">
        <v>7</v>
      </c>
      <c r="M41" s="16">
        <f t="shared" si="0"/>
        <v>9739.1910569105694</v>
      </c>
      <c r="N41" s="5">
        <v>7</v>
      </c>
      <c r="O41" s="5">
        <v>7</v>
      </c>
      <c r="P41" s="16">
        <f t="shared" si="1"/>
        <v>-1207.4411764705883</v>
      </c>
      <c r="Q41" s="5">
        <v>7</v>
      </c>
      <c r="R41" s="5">
        <v>7</v>
      </c>
      <c r="S41" s="16">
        <f t="shared" si="2"/>
        <v>-3127.2102272727275</v>
      </c>
      <c r="T41" s="5">
        <v>2</v>
      </c>
      <c r="U41" s="5">
        <v>2</v>
      </c>
      <c r="V41" s="16">
        <f t="shared" si="3"/>
        <v>-7.7358490566037732</v>
      </c>
      <c r="W41" s="5">
        <v>9</v>
      </c>
      <c r="X41" s="5">
        <v>9</v>
      </c>
      <c r="Y41" s="16">
        <f t="shared" si="4"/>
        <v>-0.28125</v>
      </c>
      <c r="Z41" s="5">
        <v>2</v>
      </c>
      <c r="AA41" s="5">
        <v>2</v>
      </c>
      <c r="AB41" s="16">
        <f t="shared" si="5"/>
        <v>-31.402298850574713</v>
      </c>
      <c r="AC41" s="4" t="s">
        <v>658</v>
      </c>
      <c r="AD41" s="4" t="s">
        <v>655</v>
      </c>
      <c r="AE41" s="4" t="s">
        <v>655</v>
      </c>
      <c r="AF41" s="4" t="s">
        <v>655</v>
      </c>
      <c r="AG41" s="4" t="s">
        <v>655</v>
      </c>
      <c r="AH41" s="4" t="s">
        <v>658</v>
      </c>
    </row>
    <row r="42" spans="1:34" x14ac:dyDescent="0.35">
      <c r="B42" s="4" t="s">
        <v>815</v>
      </c>
      <c r="C42" s="4" t="s">
        <v>816</v>
      </c>
      <c r="D42" s="4" t="s">
        <v>315</v>
      </c>
      <c r="E42" s="4" t="s">
        <v>655</v>
      </c>
      <c r="F42" s="4" t="s">
        <v>817</v>
      </c>
      <c r="G42" s="4" t="s">
        <v>818</v>
      </c>
      <c r="H42" s="4" t="s">
        <v>819</v>
      </c>
      <c r="I42" s="4" t="s">
        <v>820</v>
      </c>
      <c r="J42" s="4" t="s">
        <v>658</v>
      </c>
      <c r="K42" s="5">
        <v>5</v>
      </c>
      <c r="L42" s="5">
        <v>5</v>
      </c>
      <c r="M42" s="16">
        <f t="shared" si="0"/>
        <v>6956.5650406504064</v>
      </c>
      <c r="N42" s="5">
        <v>5</v>
      </c>
      <c r="O42" s="5">
        <v>5</v>
      </c>
      <c r="P42" s="16">
        <f t="shared" si="1"/>
        <v>-862.4579831932773</v>
      </c>
      <c r="Q42" s="5">
        <v>5</v>
      </c>
      <c r="R42" s="5">
        <v>5</v>
      </c>
      <c r="S42" s="16">
        <f t="shared" si="2"/>
        <v>-2233.721590909091</v>
      </c>
      <c r="T42" s="5">
        <v>0</v>
      </c>
      <c r="U42" s="5">
        <v>0</v>
      </c>
      <c r="V42" s="16">
        <f t="shared" si="3"/>
        <v>0</v>
      </c>
      <c r="W42" s="5">
        <v>0</v>
      </c>
      <c r="X42" s="5">
        <v>0</v>
      </c>
      <c r="Y42" s="16">
        <f t="shared" si="4"/>
        <v>0</v>
      </c>
      <c r="Z42" s="5">
        <v>0</v>
      </c>
      <c r="AA42" s="5">
        <v>0</v>
      </c>
      <c r="AB42" s="16">
        <f t="shared" si="5"/>
        <v>0</v>
      </c>
      <c r="AC42" s="4" t="s">
        <v>665</v>
      </c>
      <c r="AD42" s="4" t="s">
        <v>816</v>
      </c>
      <c r="AE42" s="4" t="s">
        <v>315</v>
      </c>
      <c r="AF42" s="4" t="s">
        <v>142</v>
      </c>
      <c r="AG42" s="4" t="s">
        <v>817</v>
      </c>
      <c r="AH42" s="4" t="s">
        <v>658</v>
      </c>
    </row>
    <row r="43" spans="1:34" x14ac:dyDescent="0.35">
      <c r="B43" s="4" t="s">
        <v>415</v>
      </c>
      <c r="C43" s="4" t="s">
        <v>821</v>
      </c>
      <c r="D43" s="4" t="s">
        <v>429</v>
      </c>
      <c r="E43" s="4" t="s">
        <v>655</v>
      </c>
      <c r="F43" s="4" t="s">
        <v>822</v>
      </c>
      <c r="G43" s="4" t="s">
        <v>418</v>
      </c>
      <c r="H43" s="4" t="s">
        <v>420</v>
      </c>
      <c r="I43" s="4" t="s">
        <v>823</v>
      </c>
      <c r="J43" s="4" t="s">
        <v>658</v>
      </c>
      <c r="K43" s="5">
        <v>0</v>
      </c>
      <c r="L43" s="5">
        <v>0</v>
      </c>
      <c r="M43" s="16">
        <f t="shared" si="0"/>
        <v>0</v>
      </c>
      <c r="N43" s="5">
        <v>0</v>
      </c>
      <c r="O43" s="5">
        <v>0</v>
      </c>
      <c r="P43" s="16">
        <f t="shared" si="1"/>
        <v>0</v>
      </c>
      <c r="Q43" s="5">
        <v>5</v>
      </c>
      <c r="R43" s="5">
        <v>5</v>
      </c>
      <c r="S43" s="16">
        <f t="shared" si="2"/>
        <v>-2233.721590909091</v>
      </c>
      <c r="T43" s="5">
        <v>3</v>
      </c>
      <c r="U43" s="5">
        <v>3</v>
      </c>
      <c r="V43" s="16">
        <f t="shared" si="3"/>
        <v>-11.60377358490566</v>
      </c>
      <c r="W43" s="5">
        <v>3</v>
      </c>
      <c r="X43" s="5">
        <v>3</v>
      </c>
      <c r="Y43" s="16">
        <f t="shared" si="4"/>
        <v>-9.375E-2</v>
      </c>
      <c r="Z43" s="5">
        <v>3</v>
      </c>
      <c r="AA43" s="5">
        <v>3</v>
      </c>
      <c r="AB43" s="16">
        <f t="shared" si="5"/>
        <v>-47.103448275862071</v>
      </c>
      <c r="AC43" s="4" t="s">
        <v>658</v>
      </c>
      <c r="AD43" s="4" t="s">
        <v>655</v>
      </c>
      <c r="AE43" s="4" t="s">
        <v>655</v>
      </c>
      <c r="AF43" s="4" t="s">
        <v>655</v>
      </c>
      <c r="AG43" s="4" t="s">
        <v>655</v>
      </c>
      <c r="AH43" s="4" t="s">
        <v>658</v>
      </c>
    </row>
    <row r="44" spans="1:34" x14ac:dyDescent="0.35">
      <c r="B44" s="4" t="s">
        <v>471</v>
      </c>
      <c r="C44" s="4" t="s">
        <v>709</v>
      </c>
      <c r="D44" s="4" t="s">
        <v>343</v>
      </c>
      <c r="E44" s="4" t="s">
        <v>655</v>
      </c>
      <c r="F44" s="4" t="s">
        <v>473</v>
      </c>
      <c r="G44" s="4" t="s">
        <v>474</v>
      </c>
      <c r="H44" s="4" t="s">
        <v>476</v>
      </c>
      <c r="I44" s="4" t="s">
        <v>477</v>
      </c>
      <c r="J44" s="4" t="s">
        <v>658</v>
      </c>
      <c r="K44" s="5">
        <v>10</v>
      </c>
      <c r="L44" s="5">
        <v>10</v>
      </c>
      <c r="M44" s="16">
        <f t="shared" si="0"/>
        <v>13913.130081300813</v>
      </c>
      <c r="N44" s="5">
        <v>10</v>
      </c>
      <c r="O44" s="5">
        <v>10</v>
      </c>
      <c r="P44" s="16">
        <f t="shared" si="1"/>
        <v>-1724.9159663865546</v>
      </c>
      <c r="Q44" s="5">
        <v>10</v>
      </c>
      <c r="R44" s="5">
        <v>10</v>
      </c>
      <c r="S44" s="16">
        <f t="shared" si="2"/>
        <v>-4467.443181818182</v>
      </c>
      <c r="T44" s="5">
        <v>10</v>
      </c>
      <c r="U44" s="5">
        <v>10</v>
      </c>
      <c r="V44" s="16">
        <f t="shared" si="3"/>
        <v>-38.679245283018865</v>
      </c>
      <c r="W44" s="5">
        <v>10</v>
      </c>
      <c r="X44" s="5">
        <v>10</v>
      </c>
      <c r="Y44" s="16">
        <f t="shared" si="4"/>
        <v>-0.3125</v>
      </c>
      <c r="Z44" s="5">
        <v>10</v>
      </c>
      <c r="AA44" s="5">
        <v>10</v>
      </c>
      <c r="AB44" s="16">
        <f t="shared" si="5"/>
        <v>-157.01149425287358</v>
      </c>
      <c r="AC44" s="4" t="s">
        <v>655</v>
      </c>
      <c r="AD44" s="4" t="s">
        <v>658</v>
      </c>
      <c r="AE44" s="4" t="s">
        <v>655</v>
      </c>
      <c r="AF44" s="4" t="s">
        <v>655</v>
      </c>
      <c r="AG44" s="4" t="s">
        <v>655</v>
      </c>
      <c r="AH44" s="4" t="s">
        <v>658</v>
      </c>
    </row>
    <row r="45" spans="1:34" x14ac:dyDescent="0.35">
      <c r="B45" s="4" t="s">
        <v>824</v>
      </c>
      <c r="C45" s="4"/>
      <c r="D45" s="4"/>
      <c r="E45" s="4"/>
      <c r="F45" s="4"/>
      <c r="G45" s="4"/>
      <c r="H45" s="4"/>
      <c r="I45" s="4"/>
      <c r="J45" s="4" t="s">
        <v>658</v>
      </c>
      <c r="K45" s="5">
        <v>10</v>
      </c>
      <c r="L45" s="5">
        <v>35</v>
      </c>
      <c r="M45" s="16">
        <f t="shared" si="0"/>
        <v>48695.955284552845</v>
      </c>
      <c r="N45" s="5">
        <v>10</v>
      </c>
      <c r="O45" s="5">
        <v>11</v>
      </c>
      <c r="P45" s="16">
        <f t="shared" si="1"/>
        <v>-1897.40756302521</v>
      </c>
      <c r="Q45" s="5">
        <v>0</v>
      </c>
      <c r="R45" s="5">
        <v>0</v>
      </c>
      <c r="S45" s="16">
        <f t="shared" si="2"/>
        <v>0</v>
      </c>
      <c r="T45" s="5">
        <v>0</v>
      </c>
      <c r="U45" s="5">
        <v>0</v>
      </c>
      <c r="V45" s="16">
        <f t="shared" si="3"/>
        <v>0</v>
      </c>
      <c r="W45" s="5">
        <v>0</v>
      </c>
      <c r="X45" s="5">
        <v>0</v>
      </c>
      <c r="Y45" s="16">
        <f t="shared" si="4"/>
        <v>0</v>
      </c>
      <c r="Z45" s="5">
        <v>0</v>
      </c>
      <c r="AA45" s="5">
        <v>0</v>
      </c>
      <c r="AB45" s="16">
        <f t="shared" si="5"/>
        <v>0</v>
      </c>
      <c r="AC45" s="4" t="s">
        <v>658</v>
      </c>
      <c r="AD45" s="4"/>
      <c r="AE45" s="4"/>
      <c r="AF45" s="4"/>
      <c r="AG45" s="4"/>
      <c r="AH45">
        <v>1</v>
      </c>
    </row>
    <row r="46" spans="1:34" x14ac:dyDescent="0.35">
      <c r="A46" t="s">
        <v>632</v>
      </c>
      <c r="B46" s="4"/>
      <c r="C46" s="4"/>
      <c r="D46" s="4"/>
      <c r="E46" s="4"/>
      <c r="F46" s="4"/>
      <c r="G46" s="4"/>
      <c r="H46" s="4"/>
      <c r="I46" s="4"/>
      <c r="J46" s="13" t="s">
        <v>633</v>
      </c>
      <c r="K46" s="5"/>
      <c r="L46" s="18">
        <f>SUM('Collection to Date'!E7:E44)</f>
        <v>1125525</v>
      </c>
      <c r="M46" s="16"/>
      <c r="N46" s="5"/>
      <c r="O46" s="18">
        <f>SUM('Collection to Date'!F7:F33)</f>
        <v>242229</v>
      </c>
      <c r="P46" s="16"/>
      <c r="Q46" s="5"/>
      <c r="R46" s="18">
        <f>SUM('Collection to Date'!G7:G33)</f>
        <v>11713</v>
      </c>
      <c r="S46" s="16"/>
      <c r="T46" s="5"/>
      <c r="U46" s="18">
        <f>SUM('Collection to Date'!H7:H33)</f>
        <v>2</v>
      </c>
      <c r="V46" s="16"/>
      <c r="W46" s="5"/>
      <c r="X46" s="18">
        <f>SUM('Collection to Date'!I7:I33)</f>
        <v>4</v>
      </c>
      <c r="Y46" s="16"/>
      <c r="Z46" s="5"/>
      <c r="AA46" s="18">
        <f>SUM('Collection to Date'!J7:J33)</f>
        <v>860</v>
      </c>
      <c r="AB46" s="16"/>
      <c r="AC46" s="4"/>
      <c r="AD46" s="4"/>
      <c r="AE46" s="4"/>
      <c r="AF46" s="4"/>
      <c r="AG46" s="4"/>
    </row>
    <row r="47" spans="1:34" x14ac:dyDescent="0.35">
      <c r="B47" s="4"/>
      <c r="C47" s="4"/>
      <c r="D47" s="4"/>
      <c r="E47" s="4"/>
      <c r="F47" s="4"/>
      <c r="G47" s="4"/>
      <c r="H47" s="4"/>
      <c r="I47" s="4"/>
      <c r="J47" s="13" t="s">
        <v>634</v>
      </c>
      <c r="K47" s="5"/>
      <c r="L47" s="18">
        <f>SUM('Distribution to Date'!D2:D94)</f>
        <v>783262</v>
      </c>
      <c r="M47" s="16"/>
      <c r="N47" s="5"/>
      <c r="O47" s="18">
        <f>SUM('Distribution to Date'!E2:E94)</f>
        <v>283282</v>
      </c>
      <c r="P47" s="16"/>
      <c r="Q47" s="5"/>
      <c r="R47" s="18">
        <f>SUM('Distribution to Date'!F2:F94)</f>
        <v>90340</v>
      </c>
      <c r="S47" s="16"/>
      <c r="T47" s="5"/>
      <c r="U47" s="18">
        <f>SUM('Distribution to Date'!G2:G94)</f>
        <v>412</v>
      </c>
      <c r="V47" s="16"/>
      <c r="W47" s="5"/>
      <c r="X47" s="18">
        <f>SUM('Distribution to Date'!H2:H94)</f>
        <v>8</v>
      </c>
      <c r="Y47" s="16"/>
      <c r="Z47" s="5"/>
      <c r="AA47" s="18">
        <f>SUM('Distribution to Date'!I2:I94)</f>
        <v>2226</v>
      </c>
      <c r="AB47" s="16"/>
      <c r="AC47" s="4"/>
      <c r="AD47" s="4"/>
      <c r="AE47" s="4"/>
      <c r="AF47" s="4"/>
      <c r="AG47" s="4"/>
    </row>
    <row r="48" spans="1:34" x14ac:dyDescent="0.35">
      <c r="B48" s="4"/>
      <c r="C48" s="4"/>
      <c r="D48" s="4"/>
      <c r="E48" s="4"/>
      <c r="F48" s="4"/>
      <c r="G48" s="4"/>
      <c r="H48" s="4"/>
      <c r="I48" s="4"/>
      <c r="J48" s="13" t="s">
        <v>635</v>
      </c>
      <c r="K48" s="5"/>
      <c r="L48" s="18">
        <f>SUM(L46-L47)</f>
        <v>342263</v>
      </c>
      <c r="M48" s="17">
        <f>SUM(M4:M45)</f>
        <v>342262.99999999988</v>
      </c>
      <c r="N48" s="5"/>
      <c r="O48" s="18">
        <f>SUM(O46-O47)</f>
        <v>-41053</v>
      </c>
      <c r="P48" s="17">
        <f>SUM(P4:P45)</f>
        <v>-41053</v>
      </c>
      <c r="Q48" s="5"/>
      <c r="R48" s="18">
        <f>SUM(R46-R47)</f>
        <v>-78627</v>
      </c>
      <c r="S48" s="17">
        <f>SUM(S4:S45)</f>
        <v>-78626.999999999985</v>
      </c>
      <c r="T48" s="5"/>
      <c r="U48" s="18">
        <f>SUM(U46-U47)</f>
        <v>-410</v>
      </c>
      <c r="V48" s="17">
        <f>SUM(V4:V45)</f>
        <v>-410</v>
      </c>
      <c r="W48" s="5"/>
      <c r="X48" s="18">
        <f>SUM(X46-X47)</f>
        <v>-4</v>
      </c>
      <c r="Y48" s="17">
        <f>SUM(Y4:Y45)</f>
        <v>-4</v>
      </c>
      <c r="Z48" s="5"/>
      <c r="AA48" s="18">
        <f>SUM(AA46-AA47)</f>
        <v>-1366</v>
      </c>
      <c r="AB48" s="17">
        <f>SUM(AB4:AB45)</f>
        <v>-1366</v>
      </c>
      <c r="AC48" s="4"/>
      <c r="AD48" s="4"/>
      <c r="AE48" s="4"/>
      <c r="AF48" s="4"/>
      <c r="AG48" s="4"/>
    </row>
    <row r="49" spans="2:33" x14ac:dyDescent="0.35">
      <c r="B49" s="4"/>
      <c r="C49" s="4"/>
      <c r="D49" s="4"/>
      <c r="E49" s="4"/>
      <c r="F49" s="4"/>
      <c r="G49" s="4"/>
      <c r="H49" s="4"/>
      <c r="I49" s="4"/>
      <c r="J49" s="4"/>
      <c r="K49" s="5"/>
      <c r="L49" s="18"/>
      <c r="M49" s="16"/>
      <c r="N49" s="5"/>
      <c r="O49" s="18"/>
      <c r="P49" s="16"/>
      <c r="Q49" s="5"/>
      <c r="R49" s="18"/>
      <c r="S49" s="16"/>
      <c r="T49" s="5"/>
      <c r="U49" s="18"/>
      <c r="V49" s="16"/>
      <c r="W49" s="5"/>
      <c r="X49" s="18"/>
      <c r="Y49" s="16"/>
      <c r="Z49" s="5"/>
      <c r="AA49" s="18"/>
      <c r="AB49" s="16"/>
      <c r="AC49" s="4"/>
      <c r="AD49" s="4"/>
      <c r="AE49" s="4"/>
      <c r="AF49" s="4"/>
      <c r="AG49" s="4"/>
    </row>
    <row r="50" spans="2:33" x14ac:dyDescent="0.35">
      <c r="B50" s="4"/>
      <c r="C50" s="4"/>
      <c r="D50" s="4"/>
      <c r="E50" s="4"/>
      <c r="F50" s="4"/>
      <c r="G50" s="4"/>
      <c r="H50" s="4"/>
      <c r="I50" s="4"/>
      <c r="J50" s="4" t="s">
        <v>636</v>
      </c>
      <c r="K50" s="5"/>
      <c r="L50" s="18"/>
      <c r="M50" s="16">
        <f>SUM(M20,M42,M45)</f>
        <v>62609.085365853658</v>
      </c>
      <c r="N50" s="5"/>
      <c r="O50" s="18"/>
      <c r="P50" s="16">
        <f>SUM(P20,P42,P45)</f>
        <v>-3622.3235294117649</v>
      </c>
      <c r="Q50" s="5"/>
      <c r="R50" s="18"/>
      <c r="S50" s="16"/>
      <c r="T50" s="5"/>
      <c r="U50" s="18"/>
      <c r="V50" s="16"/>
      <c r="W50" s="5"/>
      <c r="X50" s="18"/>
      <c r="Y50" s="16"/>
      <c r="Z50" s="5"/>
      <c r="AA50" s="18"/>
      <c r="AB50" s="16"/>
      <c r="AC50" s="4"/>
      <c r="AD50" s="4"/>
      <c r="AE50" s="4"/>
      <c r="AF50" s="4"/>
      <c r="AG50" s="4"/>
    </row>
    <row r="51" spans="2:33" x14ac:dyDescent="0.35">
      <c r="B51" s="4"/>
      <c r="C51" s="4"/>
      <c r="D51" s="4"/>
      <c r="E51" s="4"/>
      <c r="F51" s="4"/>
      <c r="G51" s="4"/>
      <c r="H51" s="4"/>
      <c r="I51" s="4"/>
      <c r="J51" s="4" t="s">
        <v>637</v>
      </c>
      <c r="K51" s="5"/>
      <c r="L51" s="18"/>
      <c r="M51" s="16">
        <v>56632</v>
      </c>
      <c r="N51" s="5"/>
      <c r="O51" s="18"/>
      <c r="P51" s="16">
        <v>46500</v>
      </c>
      <c r="Q51" s="5"/>
      <c r="R51" s="18"/>
      <c r="S51" s="16"/>
      <c r="T51" s="5"/>
      <c r="U51" s="18"/>
      <c r="V51" s="16"/>
      <c r="W51" s="5"/>
      <c r="X51" s="18"/>
      <c r="Y51" s="16"/>
      <c r="Z51" s="5"/>
      <c r="AA51" s="18"/>
      <c r="AB51" s="16"/>
      <c r="AC51" s="4"/>
      <c r="AD51" s="4"/>
      <c r="AE51" s="4"/>
      <c r="AF51" s="4"/>
      <c r="AG51" s="4"/>
    </row>
    <row r="52" spans="2:33" x14ac:dyDescent="0.35">
      <c r="B52" s="4"/>
      <c r="C52" s="4"/>
      <c r="D52" s="4"/>
      <c r="E52" s="4"/>
      <c r="F52" s="4"/>
      <c r="G52" s="4"/>
      <c r="H52" s="4"/>
      <c r="I52" s="4"/>
      <c r="J52" s="4"/>
      <c r="K52" s="5"/>
      <c r="L52" s="18" t="s">
        <v>49</v>
      </c>
      <c r="M52" s="16">
        <f>SUM(M50:M51)</f>
        <v>119241.08536585365</v>
      </c>
      <c r="N52" s="5"/>
      <c r="O52" s="18"/>
      <c r="P52" s="16">
        <f>SUM(P50:P51)</f>
        <v>42877.676470588238</v>
      </c>
      <c r="Q52" s="5"/>
      <c r="R52" s="18"/>
      <c r="S52" s="16"/>
      <c r="T52" s="5"/>
      <c r="U52" s="18"/>
      <c r="V52" s="16"/>
      <c r="W52" s="5"/>
      <c r="X52" s="18"/>
      <c r="Y52" s="16"/>
      <c r="Z52" s="5"/>
      <c r="AA52" s="18"/>
      <c r="AB52" s="16"/>
      <c r="AC52" s="4"/>
      <c r="AD52" s="4"/>
      <c r="AE52" s="4"/>
      <c r="AF52" s="4"/>
      <c r="AG52" s="4"/>
    </row>
    <row r="53" spans="2:33" x14ac:dyDescent="0.35">
      <c r="B53" s="4"/>
      <c r="C53" s="4"/>
      <c r="D53" s="4"/>
      <c r="E53" s="4"/>
      <c r="F53" s="4"/>
      <c r="G53" s="4"/>
      <c r="H53" s="4"/>
      <c r="I53" s="4"/>
      <c r="J53" s="4"/>
      <c r="L53" s="18"/>
      <c r="M53" s="16"/>
      <c r="O53" s="18"/>
      <c r="P53" s="16"/>
      <c r="R53" s="18"/>
      <c r="S53" s="16"/>
      <c r="U53" s="18"/>
      <c r="V53" s="16"/>
      <c r="X53" s="18"/>
      <c r="Y53" s="16"/>
      <c r="AA53" s="18"/>
      <c r="AB53" s="16"/>
      <c r="AC53" s="4"/>
      <c r="AD53" s="4"/>
      <c r="AE53" s="4"/>
      <c r="AF53" s="4"/>
      <c r="AG53" s="4"/>
    </row>
    <row r="54" spans="2:33" x14ac:dyDescent="0.35">
      <c r="B54" s="4"/>
      <c r="C54" s="4"/>
      <c r="D54" s="4"/>
      <c r="E54" s="4"/>
      <c r="F54" s="4"/>
      <c r="G54" s="4"/>
      <c r="H54" s="4"/>
      <c r="I54" s="4"/>
      <c r="J54" s="4" t="s">
        <v>825</v>
      </c>
      <c r="L54" s="18"/>
      <c r="M54" s="2">
        <v>59936</v>
      </c>
      <c r="O54" s="18"/>
      <c r="P54">
        <v>56400</v>
      </c>
      <c r="R54" s="18"/>
      <c r="S54" s="16"/>
      <c r="U54" s="18"/>
      <c r="V54" s="16"/>
      <c r="X54" s="18"/>
      <c r="Y54" s="16"/>
      <c r="AA54" s="18"/>
      <c r="AB54" s="16"/>
      <c r="AC54" s="4"/>
      <c r="AD54" s="4"/>
      <c r="AE54" s="4"/>
      <c r="AF54" s="4"/>
      <c r="AG54" s="4"/>
    </row>
    <row r="55" spans="2:33" x14ac:dyDescent="0.35">
      <c r="B55" s="4"/>
      <c r="C55" s="4"/>
      <c r="D55" s="4"/>
      <c r="E55" s="4"/>
      <c r="F55" s="4"/>
      <c r="G55" s="4"/>
      <c r="H55" s="4"/>
      <c r="I55" s="4"/>
      <c r="J55" s="4"/>
      <c r="L55" s="18" t="s">
        <v>826</v>
      </c>
      <c r="M55" s="16">
        <f>SUM(M52-M54)</f>
        <v>59305.085365853651</v>
      </c>
      <c r="O55" s="18"/>
      <c r="P55" s="16">
        <f>SUM(P52-P54)</f>
        <v>-13522.323529411762</v>
      </c>
      <c r="R55" s="18"/>
      <c r="S55" s="16"/>
      <c r="U55" s="18"/>
      <c r="V55" s="16"/>
      <c r="X55" s="18"/>
      <c r="Y55" s="16"/>
      <c r="AA55" s="18"/>
      <c r="AB55" s="16"/>
      <c r="AC55" s="4"/>
      <c r="AD55" s="4"/>
      <c r="AE55" s="4"/>
      <c r="AF55" s="4"/>
      <c r="AG55" s="4"/>
    </row>
    <row r="56" spans="2:33" x14ac:dyDescent="0.35">
      <c r="B56" s="4"/>
      <c r="C56" s="4"/>
      <c r="D56" s="4"/>
      <c r="E56" s="4"/>
      <c r="F56" s="4"/>
      <c r="G56" s="4"/>
      <c r="H56" s="4"/>
      <c r="I56" s="4"/>
      <c r="J56" s="4"/>
      <c r="L56" s="18"/>
      <c r="M56" s="16"/>
      <c r="O56" s="18"/>
      <c r="P56" s="16"/>
      <c r="R56" s="18"/>
      <c r="S56" s="16"/>
      <c r="U56" s="18"/>
      <c r="V56" s="16"/>
      <c r="X56" s="18"/>
      <c r="Y56" s="16"/>
      <c r="AA56" s="18"/>
      <c r="AB56" s="16"/>
      <c r="AC56" s="4"/>
      <c r="AD56" s="4"/>
      <c r="AE56" s="4"/>
      <c r="AF56" s="4"/>
      <c r="AG56" s="4"/>
    </row>
    <row r="57" spans="2:33" x14ac:dyDescent="0.35">
      <c r="E57" s="8">
        <v>2</v>
      </c>
      <c r="F57" s="7">
        <f t="shared" ref="F57:F94" si="6">SUM($E$95/(SUM($E$56:$E$94)))*E57</f>
        <v>1869.1588785046729</v>
      </c>
      <c r="G57" s="10"/>
      <c r="H57" s="9" t="e">
        <f>SUM(#REF!/(SUM(#REF!)))*G57</f>
        <v>#REF!</v>
      </c>
      <c r="I57" s="10"/>
    </row>
    <row r="58" spans="2:33" x14ac:dyDescent="0.35">
      <c r="E58" s="8">
        <v>2</v>
      </c>
      <c r="F58" s="7">
        <f t="shared" si="6"/>
        <v>1869.1588785046729</v>
      </c>
      <c r="G58" s="10"/>
      <c r="H58" s="9" t="e">
        <f>SUM(#REF!/(SUM(#REF!)))*G58</f>
        <v>#REF!</v>
      </c>
      <c r="I58" s="10">
        <v>2</v>
      </c>
    </row>
    <row r="59" spans="2:33" x14ac:dyDescent="0.35">
      <c r="E59" s="11">
        <v>2</v>
      </c>
      <c r="F59" s="7">
        <f t="shared" si="6"/>
        <v>1869.1588785046729</v>
      </c>
      <c r="G59" s="6"/>
      <c r="H59" s="7" t="e">
        <f>SUM(#REF!/(SUM(#REF!)))*G59</f>
        <v>#REF!</v>
      </c>
      <c r="I59" s="6">
        <v>2</v>
      </c>
    </row>
    <row r="60" spans="2:33" x14ac:dyDescent="0.35">
      <c r="E60" s="6">
        <v>5</v>
      </c>
      <c r="F60" s="7">
        <f t="shared" si="6"/>
        <v>4672.8971962616824</v>
      </c>
      <c r="G60" s="6">
        <v>5</v>
      </c>
      <c r="H60" s="7" t="e">
        <f>SUM(#REF!/(SUM(#REF!)))*G60</f>
        <v>#REF!</v>
      </c>
      <c r="I60" s="6">
        <v>5</v>
      </c>
    </row>
    <row r="61" spans="2:33" x14ac:dyDescent="0.35">
      <c r="E61" s="8">
        <v>2</v>
      </c>
      <c r="F61" s="7">
        <f t="shared" si="6"/>
        <v>1869.1588785046729</v>
      </c>
      <c r="G61" s="8">
        <v>2</v>
      </c>
      <c r="H61" s="9" t="e">
        <f>SUM(#REF!/(SUM(#REF!)))*G61</f>
        <v>#REF!</v>
      </c>
      <c r="I61" s="10"/>
    </row>
    <row r="62" spans="2:33" x14ac:dyDescent="0.35">
      <c r="E62" s="10">
        <v>5</v>
      </c>
      <c r="F62" s="7">
        <f t="shared" si="6"/>
        <v>4672.8971962616824</v>
      </c>
      <c r="G62" s="10">
        <v>5</v>
      </c>
      <c r="H62" s="9" t="e">
        <f>SUM(#REF!/(SUM(#REF!)))*G62</f>
        <v>#REF!</v>
      </c>
      <c r="I62" s="10">
        <v>5</v>
      </c>
    </row>
    <row r="63" spans="2:33" x14ac:dyDescent="0.35">
      <c r="E63" s="8">
        <v>2</v>
      </c>
      <c r="F63" s="7">
        <f t="shared" si="6"/>
        <v>1869.1588785046729</v>
      </c>
      <c r="G63" s="10"/>
      <c r="H63" s="9" t="e">
        <f>SUM(#REF!/(SUM(#REF!)))*G63</f>
        <v>#REF!</v>
      </c>
      <c r="I63" s="10">
        <v>2</v>
      </c>
    </row>
    <row r="64" spans="2:33" x14ac:dyDescent="0.35">
      <c r="E64" s="8">
        <v>2</v>
      </c>
      <c r="F64" s="7">
        <f t="shared" si="6"/>
        <v>1869.1588785046729</v>
      </c>
      <c r="G64" s="8">
        <v>2</v>
      </c>
      <c r="H64" s="9" t="e">
        <f>SUM(#REF!/(SUM(#REF!)))*G64</f>
        <v>#REF!</v>
      </c>
      <c r="I64" s="10">
        <v>2</v>
      </c>
    </row>
    <row r="65" spans="5:9" x14ac:dyDescent="0.35">
      <c r="E65" s="10">
        <v>4</v>
      </c>
      <c r="F65" s="7">
        <f t="shared" si="6"/>
        <v>3738.3177570093458</v>
      </c>
      <c r="G65" s="10">
        <v>4</v>
      </c>
      <c r="H65" s="9" t="e">
        <f>SUM(#REF!/(SUM(#REF!)))*G65</f>
        <v>#REF!</v>
      </c>
      <c r="I65" s="10">
        <v>4</v>
      </c>
    </row>
    <row r="66" spans="5:9" x14ac:dyDescent="0.35">
      <c r="E66" s="10">
        <v>3</v>
      </c>
      <c r="F66" s="7">
        <f t="shared" si="6"/>
        <v>2803.7383177570091</v>
      </c>
      <c r="G66" s="10">
        <v>3</v>
      </c>
      <c r="H66" s="9" t="e">
        <f>SUM(#REF!/(SUM(#REF!)))*G66</f>
        <v>#REF!</v>
      </c>
      <c r="I66" s="10">
        <v>3</v>
      </c>
    </row>
    <row r="67" spans="5:9" x14ac:dyDescent="0.35">
      <c r="E67" s="6">
        <v>5</v>
      </c>
      <c r="F67" s="7">
        <f t="shared" si="6"/>
        <v>4672.8971962616824</v>
      </c>
      <c r="G67" s="6">
        <v>5</v>
      </c>
      <c r="H67" s="7" t="e">
        <f>SUM(#REF!/(SUM(#REF!)))*G67</f>
        <v>#REF!</v>
      </c>
      <c r="I67" s="6">
        <v>5</v>
      </c>
    </row>
    <row r="68" spans="5:9" x14ac:dyDescent="0.35">
      <c r="E68" s="10">
        <v>4</v>
      </c>
      <c r="F68" s="7">
        <f t="shared" si="6"/>
        <v>3738.3177570093458</v>
      </c>
      <c r="G68" s="10"/>
      <c r="H68" s="9" t="e">
        <f>SUM(#REF!/(SUM(#REF!)))*G68</f>
        <v>#REF!</v>
      </c>
      <c r="I68" s="10">
        <v>4</v>
      </c>
    </row>
    <row r="69" spans="5:9" x14ac:dyDescent="0.35">
      <c r="E69" s="8">
        <v>2</v>
      </c>
      <c r="F69" s="7">
        <f t="shared" si="6"/>
        <v>1869.1588785046729</v>
      </c>
      <c r="G69" s="8">
        <v>2</v>
      </c>
      <c r="H69" s="9" t="e">
        <f>SUM(#REF!/(SUM(#REF!)))*G69</f>
        <v>#REF!</v>
      </c>
      <c r="I69" s="10">
        <v>2</v>
      </c>
    </row>
    <row r="70" spans="5:9" x14ac:dyDescent="0.35">
      <c r="E70" s="10">
        <v>3</v>
      </c>
      <c r="F70" s="7">
        <f t="shared" si="6"/>
        <v>2803.7383177570091</v>
      </c>
      <c r="G70" s="10">
        <v>3</v>
      </c>
      <c r="H70" s="9" t="e">
        <f>SUM(#REF!/(SUM(#REF!)))*G70</f>
        <v>#REF!</v>
      </c>
      <c r="I70" s="10">
        <v>3</v>
      </c>
    </row>
    <row r="71" spans="5:9" x14ac:dyDescent="0.35">
      <c r="E71" s="10">
        <v>1</v>
      </c>
      <c r="F71" s="7">
        <f t="shared" si="6"/>
        <v>934.57943925233644</v>
      </c>
      <c r="G71" s="10"/>
      <c r="H71" s="9" t="e">
        <f>SUM(#REF!/(SUM(#REF!)))*G71</f>
        <v>#REF!</v>
      </c>
      <c r="I71" s="10"/>
    </row>
    <row r="72" spans="5:9" x14ac:dyDescent="0.35">
      <c r="E72" s="10">
        <v>5</v>
      </c>
      <c r="F72" s="7">
        <f t="shared" si="6"/>
        <v>4672.8971962616824</v>
      </c>
      <c r="G72" s="10">
        <v>5</v>
      </c>
      <c r="H72" s="9" t="e">
        <f>SUM(#REF!/(SUM(#REF!)))*G72</f>
        <v>#REF!</v>
      </c>
      <c r="I72" s="10"/>
    </row>
    <row r="73" spans="5:9" x14ac:dyDescent="0.35">
      <c r="E73" s="8">
        <v>2</v>
      </c>
      <c r="F73" s="7">
        <f t="shared" si="6"/>
        <v>1869.1588785046729</v>
      </c>
      <c r="G73" s="8">
        <v>2</v>
      </c>
      <c r="H73" s="9" t="e">
        <f>SUM(#REF!/(SUM(#REF!)))*G73</f>
        <v>#REF!</v>
      </c>
      <c r="I73" s="10">
        <v>2</v>
      </c>
    </row>
    <row r="74" spans="5:9" x14ac:dyDescent="0.35">
      <c r="E74" s="6">
        <v>3</v>
      </c>
      <c r="F74" s="7">
        <f t="shared" si="6"/>
        <v>2803.7383177570091</v>
      </c>
      <c r="G74" s="6">
        <v>3</v>
      </c>
      <c r="H74" s="7" t="e">
        <f>SUM(#REF!/(SUM(#REF!)))*G74</f>
        <v>#REF!</v>
      </c>
      <c r="I74" s="6">
        <v>3</v>
      </c>
    </row>
    <row r="75" spans="5:9" x14ac:dyDescent="0.35">
      <c r="E75" s="8">
        <v>2</v>
      </c>
      <c r="F75" s="7">
        <f t="shared" si="6"/>
        <v>1869.1588785046729</v>
      </c>
      <c r="G75" s="8">
        <v>2</v>
      </c>
      <c r="H75" s="9" t="e">
        <f>SUM(#REF!/(SUM(#REF!)))*G75</f>
        <v>#REF!</v>
      </c>
      <c r="I75" s="10"/>
    </row>
    <row r="76" spans="5:9" x14ac:dyDescent="0.35">
      <c r="E76" s="10">
        <v>1</v>
      </c>
      <c r="F76" s="7">
        <f t="shared" si="6"/>
        <v>934.57943925233644</v>
      </c>
      <c r="G76" s="10">
        <v>1</v>
      </c>
      <c r="H76" s="9" t="e">
        <f>SUM(#REF!/(SUM(#REF!)))*G76</f>
        <v>#REF!</v>
      </c>
      <c r="I76" s="10">
        <v>1</v>
      </c>
    </row>
    <row r="77" spans="5:9" x14ac:dyDescent="0.35">
      <c r="E77" s="6">
        <v>1</v>
      </c>
      <c r="F77" s="7">
        <f t="shared" si="6"/>
        <v>934.57943925233644</v>
      </c>
      <c r="G77" s="6">
        <v>1</v>
      </c>
      <c r="H77" s="7" t="e">
        <f>SUM(#REF!/(SUM(#REF!)))*G77</f>
        <v>#REF!</v>
      </c>
      <c r="I77" s="6">
        <v>1</v>
      </c>
    </row>
    <row r="78" spans="5:9" x14ac:dyDescent="0.35">
      <c r="E78" s="10">
        <v>1</v>
      </c>
      <c r="F78" s="7">
        <f t="shared" si="6"/>
        <v>934.57943925233644</v>
      </c>
      <c r="G78" s="10">
        <v>1</v>
      </c>
      <c r="H78" s="9" t="e">
        <f>SUM(#REF!/(SUM(#REF!)))*G78</f>
        <v>#REF!</v>
      </c>
      <c r="I78" s="10">
        <v>1</v>
      </c>
    </row>
    <row r="79" spans="5:9" x14ac:dyDescent="0.35">
      <c r="E79" s="10">
        <v>4</v>
      </c>
      <c r="F79" s="7">
        <f t="shared" si="6"/>
        <v>3738.3177570093458</v>
      </c>
      <c r="G79" s="10">
        <v>4</v>
      </c>
      <c r="H79" s="9" t="e">
        <f>SUM(#REF!/(SUM(#REF!)))*G79</f>
        <v>#REF!</v>
      </c>
      <c r="I79" s="10">
        <v>4</v>
      </c>
    </row>
    <row r="80" spans="5:9" x14ac:dyDescent="0.35">
      <c r="E80" s="10">
        <v>1</v>
      </c>
      <c r="F80" s="7">
        <f t="shared" si="6"/>
        <v>934.57943925233644</v>
      </c>
      <c r="G80" s="10">
        <v>1</v>
      </c>
      <c r="H80" s="9" t="e">
        <f>SUM(#REF!/(SUM(#REF!)))*G80</f>
        <v>#REF!</v>
      </c>
      <c r="I80" s="10">
        <v>1</v>
      </c>
    </row>
    <row r="81" spans="5:9" x14ac:dyDescent="0.35">
      <c r="E81" s="6">
        <v>4</v>
      </c>
      <c r="F81" s="7">
        <f t="shared" si="6"/>
        <v>3738.3177570093458</v>
      </c>
      <c r="G81" s="6">
        <v>4</v>
      </c>
      <c r="H81" s="7" t="e">
        <f>SUM(#REF!/(SUM(#REF!)))*G81</f>
        <v>#REF!</v>
      </c>
      <c r="I81" s="6">
        <v>4</v>
      </c>
    </row>
    <row r="82" spans="5:9" x14ac:dyDescent="0.35">
      <c r="E82" s="6">
        <v>3</v>
      </c>
      <c r="F82" s="7">
        <f t="shared" si="6"/>
        <v>2803.7383177570091</v>
      </c>
      <c r="G82" s="6"/>
      <c r="H82" s="7" t="e">
        <f>SUM(#REF!/(SUM(#REF!)))*G82</f>
        <v>#REF!</v>
      </c>
      <c r="I82" s="6">
        <v>3</v>
      </c>
    </row>
    <row r="83" spans="5:9" x14ac:dyDescent="0.35">
      <c r="E83" s="10">
        <v>5</v>
      </c>
      <c r="F83" s="7">
        <f t="shared" si="6"/>
        <v>4672.8971962616824</v>
      </c>
      <c r="G83" s="10">
        <v>5</v>
      </c>
      <c r="H83" s="9" t="e">
        <f>SUM(#REF!/(SUM(#REF!)))*G83</f>
        <v>#REF!</v>
      </c>
      <c r="I83" s="10">
        <v>5</v>
      </c>
    </row>
    <row r="84" spans="5:9" x14ac:dyDescent="0.35">
      <c r="E84" s="10">
        <v>1</v>
      </c>
      <c r="F84" s="7">
        <f t="shared" si="6"/>
        <v>934.57943925233644</v>
      </c>
      <c r="G84" s="10">
        <v>1</v>
      </c>
      <c r="H84" s="9" t="e">
        <f>SUM(#REF!/(SUM(#REF!)))*G84</f>
        <v>#REF!</v>
      </c>
      <c r="I84" s="10">
        <v>1</v>
      </c>
    </row>
    <row r="85" spans="5:9" x14ac:dyDescent="0.35">
      <c r="E85" s="11">
        <v>2</v>
      </c>
      <c r="F85" s="7">
        <f t="shared" si="6"/>
        <v>1869.1588785046729</v>
      </c>
      <c r="G85" s="11">
        <v>2</v>
      </c>
      <c r="H85" s="7" t="e">
        <f>SUM(#REF!/(SUM(#REF!)))*G85</f>
        <v>#REF!</v>
      </c>
      <c r="I85" s="6">
        <v>2</v>
      </c>
    </row>
    <row r="86" spans="5:9" x14ac:dyDescent="0.35">
      <c r="E86" s="10">
        <v>3</v>
      </c>
      <c r="F86" s="7">
        <f t="shared" si="6"/>
        <v>2803.7383177570091</v>
      </c>
      <c r="G86" s="10">
        <v>3</v>
      </c>
      <c r="H86" s="9" t="e">
        <f>SUM(#REF!/(SUM(#REF!)))*G86</f>
        <v>#REF!</v>
      </c>
      <c r="I86" s="10">
        <v>3</v>
      </c>
    </row>
    <row r="87" spans="5:9" x14ac:dyDescent="0.35">
      <c r="E87" s="10">
        <v>1</v>
      </c>
      <c r="F87" s="7">
        <f t="shared" si="6"/>
        <v>934.57943925233644</v>
      </c>
      <c r="G87" s="10">
        <v>1</v>
      </c>
      <c r="H87" s="9" t="e">
        <f>SUM(#REF!/(SUM(#REF!)))*G87</f>
        <v>#REF!</v>
      </c>
      <c r="I87" s="10">
        <v>1</v>
      </c>
    </row>
    <row r="88" spans="5:9" x14ac:dyDescent="0.35">
      <c r="E88" s="10">
        <v>3</v>
      </c>
      <c r="F88" s="7">
        <f t="shared" si="6"/>
        <v>2803.7383177570091</v>
      </c>
      <c r="G88" s="10">
        <v>3</v>
      </c>
      <c r="H88" s="9" t="e">
        <f>SUM(#REF!/(SUM(#REF!)))*G88</f>
        <v>#REF!</v>
      </c>
      <c r="I88" s="10">
        <v>3</v>
      </c>
    </row>
    <row r="89" spans="5:9" x14ac:dyDescent="0.35">
      <c r="E89" s="10">
        <v>1</v>
      </c>
      <c r="F89" s="7">
        <f t="shared" si="6"/>
        <v>934.57943925233644</v>
      </c>
      <c r="G89" s="10">
        <v>1</v>
      </c>
      <c r="H89" s="9" t="e">
        <f>SUM(#REF!/(SUM(#REF!)))*G89</f>
        <v>#REF!</v>
      </c>
      <c r="I89" s="10">
        <v>1</v>
      </c>
    </row>
    <row r="90" spans="5:9" x14ac:dyDescent="0.35">
      <c r="E90" s="6">
        <v>4</v>
      </c>
      <c r="F90" s="7">
        <f t="shared" si="6"/>
        <v>3738.3177570093458</v>
      </c>
      <c r="G90" s="6">
        <v>4</v>
      </c>
      <c r="H90" s="7" t="e">
        <f>SUM(#REF!/(SUM(#REF!)))*G90</f>
        <v>#REF!</v>
      </c>
      <c r="I90" s="6">
        <v>4</v>
      </c>
    </row>
    <row r="91" spans="5:9" x14ac:dyDescent="0.35">
      <c r="E91" s="10">
        <v>4</v>
      </c>
      <c r="F91" s="7">
        <f t="shared" si="6"/>
        <v>3738.3177570093458</v>
      </c>
      <c r="G91" s="10">
        <v>4</v>
      </c>
      <c r="H91" s="9" t="e">
        <f>SUM(#REF!/(SUM(#REF!)))*G91</f>
        <v>#REF!</v>
      </c>
      <c r="I91" s="10">
        <v>4</v>
      </c>
    </row>
    <row r="92" spans="5:9" x14ac:dyDescent="0.35">
      <c r="E92" s="10">
        <v>3</v>
      </c>
      <c r="F92" s="7">
        <f t="shared" si="6"/>
        <v>2803.7383177570091</v>
      </c>
      <c r="G92" s="10">
        <v>3</v>
      </c>
      <c r="H92" s="9" t="e">
        <f>SUM(#REF!/(SUM(#REF!)))*G92</f>
        <v>#REF!</v>
      </c>
      <c r="I92" s="10">
        <v>3</v>
      </c>
    </row>
    <row r="93" spans="5:9" x14ac:dyDescent="0.35">
      <c r="E93" s="10">
        <v>4</v>
      </c>
      <c r="F93" s="7">
        <f t="shared" si="6"/>
        <v>3738.3177570093458</v>
      </c>
      <c r="G93" s="10">
        <v>4</v>
      </c>
      <c r="H93" s="9" t="e">
        <f>SUM(#REF!/(SUM(#REF!)))*G93</f>
        <v>#REF!</v>
      </c>
      <c r="I93" s="10">
        <v>4</v>
      </c>
    </row>
    <row r="94" spans="5:9" x14ac:dyDescent="0.35">
      <c r="E94" s="6">
        <v>5</v>
      </c>
      <c r="F94" s="7">
        <f t="shared" si="6"/>
        <v>4672.8971962616824</v>
      </c>
      <c r="G94" s="6">
        <v>5</v>
      </c>
      <c r="H94" s="7" t="e">
        <f>SUM(#REF!/(SUM(#REF!)))*G94</f>
        <v>#REF!</v>
      </c>
      <c r="I94" s="6">
        <v>5</v>
      </c>
    </row>
    <row r="95" spans="5:9" x14ac:dyDescent="0.35">
      <c r="E95" s="12">
        <v>100000</v>
      </c>
      <c r="F95" s="12">
        <f>SUM(F42:F94)</f>
        <v>100000</v>
      </c>
      <c r="G95" s="12">
        <v>150000</v>
      </c>
      <c r="H95" s="12" t="e">
        <f>SUM(H42:H94)</f>
        <v>#REF!</v>
      </c>
      <c r="I95" s="12">
        <v>50000</v>
      </c>
    </row>
  </sheetData>
  <autoFilter ref="A3:AH48" xr:uid="{00000000-0009-0000-0000-000002000000}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2">
          <controlPr defaultSize="0" autoLine="0" autoPict="0" r:id="rId5">
            <anchor moveWithCells="1">
              <from>
                <xdr:col>34</xdr:col>
                <xdr:colOff>330200</xdr:colOff>
                <xdr:row>16</xdr:row>
                <xdr:rowOff>0</xdr:rowOff>
              </from>
              <to>
                <xdr:col>37</xdr:col>
                <xdr:colOff>254000</xdr:colOff>
                <xdr:row>18</xdr:row>
                <xdr:rowOff>139700</xdr:rowOff>
              </to>
            </anchor>
          </controlPr>
        </control>
      </mc:Choice>
      <mc:Fallback>
        <control shapeId="1028" r:id="rId4" name="CommandButton2"/>
      </mc:Fallback>
    </mc:AlternateContent>
    <mc:AlternateContent xmlns:mc="http://schemas.openxmlformats.org/markup-compatibility/2006">
      <mc:Choice Requires="x14">
        <control shapeId="1027" r:id="rId6" name="CommandButton1">
          <controlPr defaultSize="0" autoLine="0" autoPict="0" r:id="rId7">
            <anchor moveWithCells="1">
              <from>
                <xdr:col>34</xdr:col>
                <xdr:colOff>406400</xdr:colOff>
                <xdr:row>9</xdr:row>
                <xdr:rowOff>0</xdr:rowOff>
              </from>
              <to>
                <xdr:col>37</xdr:col>
                <xdr:colOff>222250</xdr:colOff>
                <xdr:row>11</xdr:row>
                <xdr:rowOff>114300</xdr:rowOff>
              </to>
            </anchor>
          </controlPr>
        </control>
      </mc:Choice>
      <mc:Fallback>
        <control shapeId="1027" r:id="rId6" name="CommandButton1"/>
      </mc:Fallback>
    </mc:AlternateContent>
    <mc:AlternateContent xmlns:mc="http://schemas.openxmlformats.org/markup-compatibility/2006">
      <mc:Choice Requires="x14">
        <control shapeId="1026" r:id="rId8" name="Repopulate">
          <controlPr defaultSize="0" autoLine="0" autoPict="0" r:id="rId9">
            <anchor moveWithCells="1">
              <from>
                <xdr:col>34</xdr:col>
                <xdr:colOff>342900</xdr:colOff>
                <xdr:row>13</xdr:row>
                <xdr:rowOff>0</xdr:rowOff>
              </from>
              <to>
                <xdr:col>37</xdr:col>
                <xdr:colOff>254000</xdr:colOff>
                <xdr:row>15</xdr:row>
                <xdr:rowOff>107950</xdr:rowOff>
              </to>
            </anchor>
          </controlPr>
        </control>
      </mc:Choice>
      <mc:Fallback>
        <control shapeId="1026" r:id="rId8" name="Repopul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05"/>
  <sheetViews>
    <sheetView workbookViewId="0">
      <pane ySplit="1" topLeftCell="A2" activePane="bottomLeft" state="frozen"/>
      <selection pane="bottomLeft" activeCell="C1" sqref="C1"/>
    </sheetView>
  </sheetViews>
  <sheetFormatPr defaultRowHeight="14.5" x14ac:dyDescent="0.35"/>
  <cols>
    <col min="1" max="1" width="20.81640625" customWidth="1"/>
    <col min="2" max="2" width="49.54296875" customWidth="1"/>
    <col min="3" max="3" width="18.453125" style="119" customWidth="1"/>
  </cols>
  <sheetData>
    <row r="1" spans="1:12" s="3" customFormat="1" x14ac:dyDescent="0.35">
      <c r="A1" s="3" t="s">
        <v>827</v>
      </c>
      <c r="B1" s="3" t="s">
        <v>828</v>
      </c>
      <c r="C1" s="120" t="s">
        <v>5</v>
      </c>
      <c r="D1" s="3" t="s">
        <v>7</v>
      </c>
      <c r="E1" s="3" t="s">
        <v>8</v>
      </c>
      <c r="F1" s="3" t="s">
        <v>9</v>
      </c>
      <c r="G1" s="3" t="s">
        <v>829</v>
      </c>
      <c r="H1" s="3" t="s">
        <v>11</v>
      </c>
      <c r="I1" s="3" t="s">
        <v>12</v>
      </c>
      <c r="J1" s="3" t="s">
        <v>830</v>
      </c>
      <c r="L1" s="3" t="s">
        <v>831</v>
      </c>
    </row>
    <row r="2" spans="1:12" s="19" customFormat="1" ht="14.25" customHeight="1" x14ac:dyDescent="0.35">
      <c r="B2" s="72" t="s">
        <v>74</v>
      </c>
      <c r="C2" s="113">
        <v>316422</v>
      </c>
      <c r="D2" s="16">
        <v>3123</v>
      </c>
      <c r="E2" s="16">
        <v>2364</v>
      </c>
      <c r="F2" s="16">
        <v>160</v>
      </c>
      <c r="G2" s="16">
        <v>12</v>
      </c>
      <c r="H2" s="16"/>
      <c r="I2" s="16">
        <v>30</v>
      </c>
      <c r="J2" s="22">
        <f>SUM(D2:I2)</f>
        <v>5689</v>
      </c>
    </row>
    <row r="3" spans="1:12" s="19" customFormat="1" ht="14.25" customHeight="1" x14ac:dyDescent="0.35">
      <c r="B3" s="73" t="s">
        <v>84</v>
      </c>
      <c r="C3" s="113">
        <v>191783</v>
      </c>
      <c r="D3" s="16">
        <v>1564</v>
      </c>
      <c r="E3" s="16">
        <v>1182</v>
      </c>
      <c r="F3" s="16"/>
      <c r="G3" s="16">
        <v>3</v>
      </c>
      <c r="H3" s="16"/>
      <c r="I3" s="16"/>
      <c r="J3" s="22">
        <f t="shared" ref="J3:J47" si="0">SUM(D3:I3)</f>
        <v>2749</v>
      </c>
    </row>
    <row r="4" spans="1:12" s="19" customFormat="1" ht="14.25" customHeight="1" x14ac:dyDescent="0.35">
      <c r="B4" s="74" t="s">
        <v>92</v>
      </c>
      <c r="C4" s="113">
        <v>5930953</v>
      </c>
      <c r="D4" s="16">
        <v>1558</v>
      </c>
      <c r="E4" s="16">
        <v>2366</v>
      </c>
      <c r="F4" s="16"/>
      <c r="G4" s="16"/>
      <c r="H4" s="16"/>
      <c r="I4" s="16"/>
      <c r="J4" s="22">
        <f t="shared" si="0"/>
        <v>3924</v>
      </c>
    </row>
    <row r="5" spans="1:12" s="19" customFormat="1" ht="14.25" customHeight="1" x14ac:dyDescent="0.35">
      <c r="B5" s="73" t="s">
        <v>100</v>
      </c>
      <c r="C5" s="113">
        <v>265850</v>
      </c>
      <c r="D5" s="16"/>
      <c r="E5" s="16">
        <v>1168</v>
      </c>
      <c r="F5" s="16"/>
      <c r="G5" s="16"/>
      <c r="H5" s="16"/>
      <c r="I5" s="16"/>
      <c r="J5" s="22">
        <f t="shared" si="0"/>
        <v>1168</v>
      </c>
    </row>
    <row r="6" spans="1:12" s="19" customFormat="1" ht="14.25" customHeight="1" x14ac:dyDescent="0.35">
      <c r="B6" s="73" t="s">
        <v>154</v>
      </c>
      <c r="C6" s="113">
        <v>205419</v>
      </c>
      <c r="D6" s="16">
        <v>1556</v>
      </c>
      <c r="E6" s="16">
        <v>3536</v>
      </c>
      <c r="F6" s="16">
        <v>84</v>
      </c>
      <c r="G6" s="16"/>
      <c r="H6" s="16"/>
      <c r="I6" s="16"/>
      <c r="J6" s="22">
        <f t="shared" si="0"/>
        <v>5176</v>
      </c>
    </row>
    <row r="7" spans="1:12" s="19" customFormat="1" ht="14.25" customHeight="1" x14ac:dyDescent="0.35">
      <c r="B7" s="73" t="s">
        <v>184</v>
      </c>
      <c r="C7" s="113"/>
      <c r="D7" s="16">
        <v>3126</v>
      </c>
      <c r="E7" s="16">
        <v>2366</v>
      </c>
      <c r="F7" s="16">
        <v>174</v>
      </c>
      <c r="G7" s="16"/>
      <c r="H7" s="16"/>
      <c r="I7" s="16"/>
      <c r="J7" s="22">
        <f t="shared" si="0"/>
        <v>5666</v>
      </c>
    </row>
    <row r="8" spans="1:12" s="19" customFormat="1" ht="14.25" customHeight="1" x14ac:dyDescent="0.35">
      <c r="B8" s="73" t="s">
        <v>191</v>
      </c>
      <c r="C8" s="113">
        <v>193672</v>
      </c>
      <c r="D8" s="16">
        <v>3122</v>
      </c>
      <c r="E8" s="16">
        <v>5324</v>
      </c>
      <c r="F8" s="16">
        <v>404</v>
      </c>
      <c r="G8" s="16">
        <v>3</v>
      </c>
      <c r="H8" s="16"/>
      <c r="I8" s="16">
        <v>15</v>
      </c>
      <c r="J8" s="22">
        <f t="shared" si="0"/>
        <v>8868</v>
      </c>
    </row>
    <row r="9" spans="1:12" s="19" customFormat="1" ht="14.25" customHeight="1" x14ac:dyDescent="0.35">
      <c r="B9" s="73" t="s">
        <v>206</v>
      </c>
      <c r="C9" s="113">
        <v>150383</v>
      </c>
      <c r="D9" s="16">
        <v>7028</v>
      </c>
      <c r="E9" s="16">
        <v>5316</v>
      </c>
      <c r="F9" s="16">
        <v>92</v>
      </c>
      <c r="G9" s="16"/>
      <c r="H9" s="16"/>
      <c r="I9" s="16"/>
      <c r="J9" s="22">
        <f t="shared" si="0"/>
        <v>12436</v>
      </c>
    </row>
    <row r="10" spans="1:12" s="19" customFormat="1" ht="14.25" customHeight="1" x14ac:dyDescent="0.35">
      <c r="B10" s="74" t="s">
        <v>206</v>
      </c>
      <c r="C10" s="113">
        <v>150383</v>
      </c>
      <c r="D10" s="16">
        <v>1559</v>
      </c>
      <c r="E10" s="16">
        <v>1182</v>
      </c>
      <c r="F10" s="16">
        <v>60</v>
      </c>
      <c r="G10" s="16">
        <v>6</v>
      </c>
      <c r="H10" s="16"/>
      <c r="I10" s="16">
        <v>15</v>
      </c>
      <c r="J10" s="22">
        <f t="shared" si="0"/>
        <v>2822</v>
      </c>
    </row>
    <row r="11" spans="1:12" s="19" customFormat="1" ht="14.25" customHeight="1" x14ac:dyDescent="0.35">
      <c r="B11" s="74" t="s">
        <v>218</v>
      </c>
      <c r="C11" s="113">
        <v>7505357</v>
      </c>
      <c r="D11" s="16">
        <v>1560</v>
      </c>
      <c r="E11" s="16">
        <v>1176</v>
      </c>
      <c r="F11" s="16">
        <v>110</v>
      </c>
      <c r="G11" s="16">
        <v>6</v>
      </c>
      <c r="H11" s="16"/>
      <c r="I11" s="16">
        <v>15</v>
      </c>
      <c r="J11" s="22">
        <f t="shared" si="0"/>
        <v>2867</v>
      </c>
    </row>
    <row r="12" spans="1:12" s="19" customFormat="1" ht="14.25" customHeight="1" x14ac:dyDescent="0.35">
      <c r="B12" s="73" t="s">
        <v>225</v>
      </c>
      <c r="C12" s="113">
        <v>4317921</v>
      </c>
      <c r="D12" s="16"/>
      <c r="E12" s="16">
        <v>3552</v>
      </c>
      <c r="F12" s="16"/>
      <c r="G12" s="16">
        <v>6</v>
      </c>
      <c r="H12" s="16"/>
      <c r="I12" s="16">
        <v>15</v>
      </c>
      <c r="J12" s="22">
        <f t="shared" si="0"/>
        <v>3573</v>
      </c>
    </row>
    <row r="13" spans="1:12" s="19" customFormat="1" ht="14.25" customHeight="1" x14ac:dyDescent="0.35">
      <c r="B13" s="73" t="s">
        <v>232</v>
      </c>
      <c r="C13" s="113">
        <v>24851</v>
      </c>
      <c r="D13" s="16">
        <v>1552</v>
      </c>
      <c r="E13" s="16">
        <v>1180</v>
      </c>
      <c r="F13" s="16">
        <v>89</v>
      </c>
      <c r="G13" s="16">
        <v>3</v>
      </c>
      <c r="H13" s="16"/>
      <c r="I13" s="16">
        <v>15</v>
      </c>
      <c r="J13" s="22">
        <f t="shared" si="0"/>
        <v>2839</v>
      </c>
    </row>
    <row r="14" spans="1:12" s="19" customFormat="1" ht="14.25" customHeight="1" x14ac:dyDescent="0.35">
      <c r="B14" s="74" t="s">
        <v>246</v>
      </c>
      <c r="C14" s="113">
        <v>14647</v>
      </c>
      <c r="D14" s="16">
        <v>3110</v>
      </c>
      <c r="E14" s="16">
        <v>1168</v>
      </c>
      <c r="F14" s="16">
        <v>90</v>
      </c>
      <c r="G14" s="16">
        <v>6</v>
      </c>
      <c r="H14" s="16"/>
      <c r="I14" s="16">
        <v>15</v>
      </c>
      <c r="J14" s="22">
        <f t="shared" si="0"/>
        <v>4389</v>
      </c>
      <c r="L14" s="19">
        <v>500</v>
      </c>
    </row>
    <row r="15" spans="1:12" s="19" customFormat="1" ht="14.25" customHeight="1" x14ac:dyDescent="0.35">
      <c r="B15" s="74" t="s">
        <v>268</v>
      </c>
      <c r="C15" s="113"/>
      <c r="D15" s="16">
        <v>3120</v>
      </c>
      <c r="E15" s="16">
        <v>1174</v>
      </c>
      <c r="F15" s="16"/>
      <c r="G15" s="16">
        <v>6</v>
      </c>
      <c r="H15" s="16"/>
      <c r="I15" s="16">
        <v>15</v>
      </c>
      <c r="J15" s="22">
        <f t="shared" si="0"/>
        <v>4315</v>
      </c>
      <c r="L15" s="19">
        <v>500</v>
      </c>
    </row>
    <row r="16" spans="1:12" s="19" customFormat="1" ht="14.25" customHeight="1" x14ac:dyDescent="0.35">
      <c r="B16" s="74" t="s">
        <v>281</v>
      </c>
      <c r="C16" s="113"/>
      <c r="D16" s="16">
        <v>1552</v>
      </c>
      <c r="E16" s="16">
        <v>1176</v>
      </c>
      <c r="F16" s="16">
        <v>60</v>
      </c>
      <c r="G16" s="16">
        <v>6</v>
      </c>
      <c r="H16" s="16"/>
      <c r="I16" s="16">
        <v>15</v>
      </c>
      <c r="J16" s="22">
        <f t="shared" si="0"/>
        <v>2809</v>
      </c>
    </row>
    <row r="17" spans="2:12" s="19" customFormat="1" ht="14.25" customHeight="1" x14ac:dyDescent="0.35">
      <c r="B17" s="74" t="s">
        <v>288</v>
      </c>
      <c r="C17" s="113"/>
      <c r="D17" s="16">
        <v>1562</v>
      </c>
      <c r="E17" s="16">
        <v>1182</v>
      </c>
      <c r="F17" s="16">
        <v>82</v>
      </c>
      <c r="G17" s="16"/>
      <c r="H17" s="16"/>
      <c r="I17" s="16">
        <v>18</v>
      </c>
      <c r="J17" s="22">
        <f t="shared" si="0"/>
        <v>2844</v>
      </c>
    </row>
    <row r="18" spans="2:12" s="19" customFormat="1" ht="14.25" customHeight="1" x14ac:dyDescent="0.35">
      <c r="B18" s="74" t="s">
        <v>295</v>
      </c>
      <c r="C18" s="113"/>
      <c r="D18" s="16">
        <v>3120</v>
      </c>
      <c r="E18" s="16">
        <v>2366</v>
      </c>
      <c r="F18" s="16">
        <v>174</v>
      </c>
      <c r="G18" s="16"/>
      <c r="H18" s="16"/>
      <c r="I18" s="16">
        <v>18</v>
      </c>
      <c r="J18" s="22">
        <f t="shared" si="0"/>
        <v>5678</v>
      </c>
      <c r="L18" s="19">
        <v>500</v>
      </c>
    </row>
    <row r="19" spans="2:12" s="19" customFormat="1" ht="14.25" customHeight="1" x14ac:dyDescent="0.35">
      <c r="B19" s="74" t="s">
        <v>832</v>
      </c>
      <c r="C19" s="113"/>
      <c r="D19" s="16">
        <v>4330</v>
      </c>
      <c r="E19" s="16"/>
      <c r="F19" s="16"/>
      <c r="G19" s="16"/>
      <c r="H19" s="16"/>
      <c r="I19" s="16"/>
      <c r="J19" s="22">
        <f t="shared" si="0"/>
        <v>4330</v>
      </c>
    </row>
    <row r="20" spans="2:12" s="19" customFormat="1" ht="14.25" customHeight="1" x14ac:dyDescent="0.35">
      <c r="B20" s="74" t="s">
        <v>302</v>
      </c>
      <c r="C20" s="113">
        <v>5932595</v>
      </c>
      <c r="D20" s="16">
        <v>1560</v>
      </c>
      <c r="E20" s="16">
        <v>1182</v>
      </c>
      <c r="F20" s="16">
        <v>90</v>
      </c>
      <c r="G20" s="16">
        <v>3</v>
      </c>
      <c r="H20" s="16"/>
      <c r="I20" s="16">
        <v>18</v>
      </c>
      <c r="J20" s="22">
        <f t="shared" si="0"/>
        <v>2853</v>
      </c>
    </row>
    <row r="21" spans="2:12" s="19" customFormat="1" ht="14.25" customHeight="1" x14ac:dyDescent="0.35">
      <c r="B21" s="74" t="s">
        <v>317</v>
      </c>
      <c r="C21" s="113">
        <v>232645</v>
      </c>
      <c r="D21" s="16">
        <v>4681</v>
      </c>
      <c r="E21" s="16">
        <v>3538</v>
      </c>
      <c r="F21" s="16">
        <v>270</v>
      </c>
      <c r="G21" s="16">
        <v>3</v>
      </c>
      <c r="H21" s="16"/>
      <c r="I21" s="16">
        <v>18</v>
      </c>
      <c r="J21" s="22">
        <f t="shared" si="0"/>
        <v>8510</v>
      </c>
    </row>
    <row r="22" spans="2:12" s="19" customFormat="1" ht="14.25" customHeight="1" x14ac:dyDescent="0.35">
      <c r="B22" s="74" t="s">
        <v>338</v>
      </c>
      <c r="C22" s="113">
        <v>365346</v>
      </c>
      <c r="D22" s="16">
        <v>3120</v>
      </c>
      <c r="E22" s="16">
        <v>2352</v>
      </c>
      <c r="F22" s="16">
        <v>181</v>
      </c>
      <c r="G22" s="16">
        <v>3</v>
      </c>
      <c r="H22" s="16"/>
      <c r="I22" s="16">
        <v>18</v>
      </c>
      <c r="J22" s="22">
        <f t="shared" si="0"/>
        <v>5674</v>
      </c>
    </row>
    <row r="23" spans="2:12" s="19" customFormat="1" ht="14.25" customHeight="1" x14ac:dyDescent="0.35">
      <c r="B23" s="74" t="s">
        <v>345</v>
      </c>
      <c r="C23" s="113">
        <v>7505407</v>
      </c>
      <c r="D23" s="16">
        <v>1556</v>
      </c>
      <c r="E23" s="16">
        <v>1178</v>
      </c>
      <c r="F23" s="16">
        <v>92</v>
      </c>
      <c r="G23" s="16">
        <v>3</v>
      </c>
      <c r="H23" s="16"/>
      <c r="I23" s="16">
        <v>18</v>
      </c>
      <c r="J23" s="22">
        <f t="shared" si="0"/>
        <v>2847</v>
      </c>
    </row>
    <row r="24" spans="2:12" s="19" customFormat="1" ht="14.25" customHeight="1" x14ac:dyDescent="0.35">
      <c r="B24" s="74" t="s">
        <v>373</v>
      </c>
      <c r="C24" s="113"/>
      <c r="D24" s="16">
        <v>3113</v>
      </c>
      <c r="E24" s="16">
        <v>2366</v>
      </c>
      <c r="F24" s="16">
        <v>176</v>
      </c>
      <c r="G24" s="16">
        <v>6</v>
      </c>
      <c r="H24" s="16"/>
      <c r="I24" s="16">
        <v>36</v>
      </c>
      <c r="J24" s="22">
        <f t="shared" si="0"/>
        <v>5697</v>
      </c>
      <c r="L24" s="19">
        <v>1000</v>
      </c>
    </row>
    <row r="25" spans="2:12" s="19" customFormat="1" ht="14.25" customHeight="1" x14ac:dyDescent="0.35">
      <c r="B25" s="75" t="s">
        <v>387</v>
      </c>
      <c r="C25" s="113"/>
      <c r="D25" s="16">
        <v>1552</v>
      </c>
      <c r="E25" s="16">
        <v>1182</v>
      </c>
      <c r="F25" s="16">
        <v>88</v>
      </c>
      <c r="G25" s="16">
        <v>3</v>
      </c>
      <c r="H25" s="16"/>
      <c r="I25" s="16">
        <v>18</v>
      </c>
      <c r="J25" s="22">
        <f t="shared" si="0"/>
        <v>2843</v>
      </c>
    </row>
    <row r="26" spans="2:12" s="19" customFormat="1" ht="14.25" customHeight="1" x14ac:dyDescent="0.35">
      <c r="B26" s="75" t="s">
        <v>402</v>
      </c>
      <c r="C26" s="113">
        <v>260729</v>
      </c>
      <c r="D26" s="16"/>
      <c r="E26" s="16">
        <v>5318</v>
      </c>
      <c r="F26" s="16"/>
      <c r="G26" s="16"/>
      <c r="H26" s="16"/>
      <c r="I26" s="16"/>
      <c r="J26" s="22">
        <f t="shared" si="0"/>
        <v>5318</v>
      </c>
    </row>
    <row r="27" spans="2:12" s="19" customFormat="1" ht="14.25" customHeight="1" x14ac:dyDescent="0.35">
      <c r="B27" s="75" t="s">
        <v>408</v>
      </c>
      <c r="C27" s="113">
        <v>29744</v>
      </c>
      <c r="D27" s="16">
        <v>1556</v>
      </c>
      <c r="E27" s="16">
        <v>1188</v>
      </c>
      <c r="F27" s="16">
        <v>84</v>
      </c>
      <c r="G27" s="16">
        <v>3</v>
      </c>
      <c r="H27" s="16"/>
      <c r="I27" s="16">
        <v>18</v>
      </c>
      <c r="J27" s="22">
        <f t="shared" si="0"/>
        <v>2849</v>
      </c>
    </row>
    <row r="28" spans="2:12" s="19" customFormat="1" ht="14.25" customHeight="1" x14ac:dyDescent="0.35">
      <c r="B28" s="75" t="s">
        <v>431</v>
      </c>
      <c r="C28" s="113">
        <v>150508</v>
      </c>
      <c r="D28" s="16">
        <v>1560</v>
      </c>
      <c r="E28" s="16"/>
      <c r="F28" s="16"/>
      <c r="G28" s="16"/>
      <c r="H28" s="16"/>
      <c r="I28" s="16"/>
      <c r="J28" s="22">
        <f t="shared" si="0"/>
        <v>1560</v>
      </c>
    </row>
    <row r="29" spans="2:12" s="19" customFormat="1" ht="14.25" customHeight="1" x14ac:dyDescent="0.35">
      <c r="B29" s="76" t="s">
        <v>457</v>
      </c>
      <c r="C29" s="113">
        <v>29769</v>
      </c>
      <c r="D29" s="16">
        <v>3120</v>
      </c>
      <c r="E29" s="16"/>
      <c r="F29" s="16">
        <v>86</v>
      </c>
      <c r="G29" s="16">
        <v>3</v>
      </c>
      <c r="H29" s="16"/>
      <c r="I29" s="16">
        <v>18</v>
      </c>
      <c r="J29" s="22">
        <f t="shared" si="0"/>
        <v>3227</v>
      </c>
    </row>
    <row r="30" spans="2:12" s="19" customFormat="1" ht="14.25" customHeight="1" x14ac:dyDescent="0.35">
      <c r="B30" s="75" t="s">
        <v>471</v>
      </c>
      <c r="C30" s="113">
        <v>184598</v>
      </c>
      <c r="D30" s="16">
        <v>7018</v>
      </c>
      <c r="E30" s="16">
        <v>5306</v>
      </c>
      <c r="F30" s="16">
        <v>394</v>
      </c>
      <c r="G30" s="16"/>
      <c r="H30" s="16"/>
      <c r="I30" s="16">
        <v>18</v>
      </c>
      <c r="J30" s="22">
        <f t="shared" si="0"/>
        <v>12736</v>
      </c>
    </row>
    <row r="31" spans="2:12" s="19" customFormat="1" ht="14.25" customHeight="1" x14ac:dyDescent="0.35">
      <c r="B31" s="75" t="s">
        <v>478</v>
      </c>
      <c r="C31" s="113">
        <v>248617</v>
      </c>
      <c r="D31" s="16">
        <v>4682</v>
      </c>
      <c r="E31" s="16">
        <v>3550</v>
      </c>
      <c r="F31" s="16">
        <v>256</v>
      </c>
      <c r="G31" s="16"/>
      <c r="H31" s="16"/>
      <c r="I31" s="16"/>
      <c r="J31" s="22">
        <f t="shared" si="0"/>
        <v>8488</v>
      </c>
    </row>
    <row r="32" spans="2:12" s="19" customFormat="1" ht="14.25" customHeight="1" x14ac:dyDescent="0.35">
      <c r="B32" s="75" t="s">
        <v>494</v>
      </c>
      <c r="C32" s="113">
        <v>4310777</v>
      </c>
      <c r="D32" s="16">
        <v>1556</v>
      </c>
      <c r="E32" s="16">
        <v>1176</v>
      </c>
      <c r="F32" s="16"/>
      <c r="G32" s="16"/>
      <c r="H32" s="16"/>
      <c r="I32" s="16">
        <v>18</v>
      </c>
      <c r="J32" s="22">
        <f t="shared" si="0"/>
        <v>2750</v>
      </c>
    </row>
    <row r="33" spans="2:12" s="19" customFormat="1" ht="14.25" customHeight="1" x14ac:dyDescent="0.35">
      <c r="B33" s="75" t="s">
        <v>507</v>
      </c>
      <c r="C33" s="113"/>
      <c r="D33" s="16">
        <v>4684</v>
      </c>
      <c r="E33" s="16">
        <v>3540</v>
      </c>
      <c r="F33" s="16">
        <v>274</v>
      </c>
      <c r="G33" s="16">
        <v>3</v>
      </c>
      <c r="H33" s="16"/>
      <c r="I33" s="16">
        <v>18</v>
      </c>
      <c r="J33" s="22">
        <f t="shared" si="0"/>
        <v>8519</v>
      </c>
    </row>
    <row r="34" spans="2:12" s="19" customFormat="1" ht="14.25" customHeight="1" x14ac:dyDescent="0.35">
      <c r="B34" s="75" t="s">
        <v>515</v>
      </c>
      <c r="C34" s="113">
        <v>5033352</v>
      </c>
      <c r="D34" s="16">
        <v>1556</v>
      </c>
      <c r="E34" s="16">
        <v>1186</v>
      </c>
      <c r="F34" s="16">
        <v>94</v>
      </c>
      <c r="G34" s="16"/>
      <c r="H34" s="16"/>
      <c r="I34" s="16"/>
      <c r="J34" s="22">
        <f t="shared" si="0"/>
        <v>2836</v>
      </c>
    </row>
    <row r="35" spans="2:12" s="19" customFormat="1" ht="14.25" customHeight="1" x14ac:dyDescent="0.35">
      <c r="B35" s="75" t="s">
        <v>521</v>
      </c>
      <c r="C35" s="113">
        <v>174243</v>
      </c>
      <c r="D35" s="16">
        <v>1556</v>
      </c>
      <c r="E35" s="16">
        <v>1176</v>
      </c>
      <c r="F35" s="16">
        <v>94</v>
      </c>
      <c r="G35" s="16"/>
      <c r="H35" s="16"/>
      <c r="I35" s="16"/>
      <c r="J35" s="22">
        <f t="shared" si="0"/>
        <v>2826</v>
      </c>
    </row>
    <row r="36" spans="2:12" s="19" customFormat="1" ht="14.25" customHeight="1" x14ac:dyDescent="0.35">
      <c r="B36" s="76" t="s">
        <v>536</v>
      </c>
      <c r="C36" s="113"/>
      <c r="D36" s="16">
        <v>3111</v>
      </c>
      <c r="E36" s="16">
        <v>2351</v>
      </c>
      <c r="F36" s="16">
        <v>169</v>
      </c>
      <c r="G36" s="16">
        <v>3</v>
      </c>
      <c r="H36" s="16"/>
      <c r="I36" s="16">
        <v>18</v>
      </c>
      <c r="J36" s="22">
        <f t="shared" si="0"/>
        <v>5652</v>
      </c>
    </row>
    <row r="37" spans="2:12" s="19" customFormat="1" ht="14.25" customHeight="1" x14ac:dyDescent="0.35">
      <c r="B37" s="75" t="s">
        <v>543</v>
      </c>
      <c r="C37" s="113">
        <v>184358</v>
      </c>
      <c r="D37" s="16">
        <v>1556</v>
      </c>
      <c r="E37" s="16">
        <v>3549</v>
      </c>
      <c r="F37" s="16">
        <v>84</v>
      </c>
      <c r="G37" s="16"/>
      <c r="H37" s="16"/>
      <c r="I37" s="16"/>
      <c r="J37" s="22">
        <f t="shared" si="0"/>
        <v>5189</v>
      </c>
    </row>
    <row r="38" spans="2:12" s="19" customFormat="1" ht="14.25" customHeight="1" x14ac:dyDescent="0.35">
      <c r="B38" s="76" t="s">
        <v>551</v>
      </c>
      <c r="C38" s="113"/>
      <c r="D38" s="16">
        <v>1561</v>
      </c>
      <c r="E38" s="16">
        <v>1178</v>
      </c>
      <c r="F38" s="16">
        <v>92</v>
      </c>
      <c r="G38" s="16">
        <v>3</v>
      </c>
      <c r="H38" s="16"/>
      <c r="I38" s="16">
        <v>18</v>
      </c>
      <c r="J38" s="22">
        <f t="shared" si="0"/>
        <v>2852</v>
      </c>
    </row>
    <row r="39" spans="2:12" s="19" customFormat="1" ht="14.25" customHeight="1" x14ac:dyDescent="0.35">
      <c r="B39" s="76" t="s">
        <v>833</v>
      </c>
      <c r="C39" s="113"/>
      <c r="D39" s="16">
        <v>4680</v>
      </c>
      <c r="E39" s="16">
        <v>3550</v>
      </c>
      <c r="F39" s="16">
        <v>286</v>
      </c>
      <c r="G39" s="16">
        <v>3</v>
      </c>
      <c r="H39" s="16"/>
      <c r="I39" s="16">
        <v>18</v>
      </c>
      <c r="J39" s="22">
        <f t="shared" si="0"/>
        <v>8537</v>
      </c>
      <c r="L39" s="19">
        <v>1000</v>
      </c>
    </row>
    <row r="40" spans="2:12" s="19" customFormat="1" ht="14.25" customHeight="1" x14ac:dyDescent="0.35">
      <c r="B40" s="75" t="s">
        <v>563</v>
      </c>
      <c r="C40" s="113">
        <v>150342</v>
      </c>
      <c r="D40" s="16">
        <v>4684</v>
      </c>
      <c r="E40" s="16">
        <v>3540</v>
      </c>
      <c r="F40" s="16">
        <v>184</v>
      </c>
      <c r="G40" s="16"/>
      <c r="H40" s="16"/>
      <c r="I40" s="16"/>
      <c r="J40" s="22">
        <f t="shared" si="0"/>
        <v>8408</v>
      </c>
    </row>
    <row r="41" spans="2:12" s="19" customFormat="1" ht="14.25" customHeight="1" x14ac:dyDescent="0.35">
      <c r="B41" s="75" t="s">
        <v>571</v>
      </c>
      <c r="C41" s="113">
        <v>7539844</v>
      </c>
      <c r="D41" s="16">
        <v>1560</v>
      </c>
      <c r="E41" s="16">
        <v>2362</v>
      </c>
      <c r="F41" s="16">
        <v>80</v>
      </c>
      <c r="G41" s="16">
        <v>6</v>
      </c>
      <c r="H41" s="16"/>
      <c r="I41" s="16">
        <v>18</v>
      </c>
      <c r="J41" s="22">
        <f t="shared" si="0"/>
        <v>4026</v>
      </c>
    </row>
    <row r="42" spans="2:12" s="19" customFormat="1" ht="14.25" customHeight="1" x14ac:dyDescent="0.35">
      <c r="B42" s="75" t="s">
        <v>591</v>
      </c>
      <c r="C42" s="113">
        <v>305714</v>
      </c>
      <c r="D42" s="16">
        <v>3124</v>
      </c>
      <c r="E42" s="16">
        <v>2364</v>
      </c>
      <c r="F42" s="16">
        <v>167</v>
      </c>
      <c r="G42" s="16">
        <v>6</v>
      </c>
      <c r="H42" s="16"/>
      <c r="I42" s="16">
        <v>18</v>
      </c>
      <c r="J42" s="22">
        <f t="shared" si="0"/>
        <v>5679</v>
      </c>
    </row>
    <row r="43" spans="2:12" s="19" customFormat="1" ht="14.25" customHeight="1" x14ac:dyDescent="0.35">
      <c r="B43" s="76" t="s">
        <v>612</v>
      </c>
      <c r="C43" s="113">
        <v>247445</v>
      </c>
      <c r="D43" s="16">
        <v>1556</v>
      </c>
      <c r="E43" s="16">
        <v>1180</v>
      </c>
      <c r="F43" s="16"/>
      <c r="G43" s="16">
        <v>3</v>
      </c>
      <c r="H43" s="16"/>
      <c r="I43" s="16">
        <v>18</v>
      </c>
      <c r="J43" s="22">
        <f t="shared" si="0"/>
        <v>2757</v>
      </c>
    </row>
    <row r="44" spans="2:12" s="19" customFormat="1" ht="14.25" customHeight="1" x14ac:dyDescent="0.35">
      <c r="B44" s="75" t="s">
        <v>618</v>
      </c>
      <c r="C44" s="113">
        <v>251025</v>
      </c>
      <c r="D44" s="16">
        <v>7004</v>
      </c>
      <c r="E44" s="16">
        <v>5314</v>
      </c>
      <c r="F44" s="16">
        <v>410</v>
      </c>
      <c r="G44" s="16"/>
      <c r="H44" s="16"/>
      <c r="I44" s="16">
        <v>18</v>
      </c>
      <c r="J44" s="22">
        <f t="shared" si="0"/>
        <v>12746</v>
      </c>
    </row>
    <row r="45" spans="2:12" s="19" customFormat="1" ht="14.25" customHeight="1" x14ac:dyDescent="0.35">
      <c r="B45" s="80" t="s">
        <v>834</v>
      </c>
      <c r="C45" s="113"/>
      <c r="D45" s="16">
        <v>2042</v>
      </c>
      <c r="E45" s="16">
        <v>450</v>
      </c>
      <c r="F45" s="16">
        <v>469</v>
      </c>
      <c r="G45" s="16"/>
      <c r="H45" s="16"/>
      <c r="I45" s="16"/>
      <c r="J45" s="22">
        <f t="shared" si="0"/>
        <v>2961</v>
      </c>
    </row>
    <row r="46" spans="2:12" s="19" customFormat="1" ht="14.25" customHeight="1" x14ac:dyDescent="0.35">
      <c r="B46" s="66" t="s">
        <v>423</v>
      </c>
      <c r="C46" s="114"/>
      <c r="D46" s="16">
        <v>2042</v>
      </c>
      <c r="E46" s="16">
        <v>450</v>
      </c>
      <c r="F46" s="16">
        <v>538</v>
      </c>
      <c r="G46" s="16"/>
      <c r="H46" s="16"/>
      <c r="I46" s="16"/>
      <c r="J46" s="22">
        <f t="shared" si="0"/>
        <v>3030</v>
      </c>
      <c r="L46" s="66"/>
    </row>
    <row r="47" spans="2:12" s="19" customFormat="1" ht="14.25" customHeight="1" x14ac:dyDescent="0.35">
      <c r="B47" s="19" t="s">
        <v>31</v>
      </c>
      <c r="C47" s="115"/>
      <c r="D47" s="89">
        <v>12662</v>
      </c>
      <c r="E47" s="89">
        <v>13140</v>
      </c>
      <c r="F47" s="89">
        <v>4824</v>
      </c>
      <c r="G47" s="90">
        <v>2</v>
      </c>
      <c r="H47" s="90">
        <v>4</v>
      </c>
      <c r="I47" s="89">
        <v>12</v>
      </c>
      <c r="J47" s="22">
        <f t="shared" si="0"/>
        <v>30644</v>
      </c>
      <c r="L47"/>
    </row>
    <row r="48" spans="2:12" s="19" customFormat="1" ht="14.25" customHeight="1" x14ac:dyDescent="0.35">
      <c r="B48" s="19" t="s">
        <v>835</v>
      </c>
      <c r="C48" s="115"/>
      <c r="D48" s="99">
        <f t="shared" ref="D48:I48" si="1">SUM(D2:D47)</f>
        <v>130994</v>
      </c>
      <c r="E48" s="99">
        <f t="shared" si="1"/>
        <v>111444</v>
      </c>
      <c r="F48" s="99">
        <f t="shared" si="1"/>
        <v>11061</v>
      </c>
      <c r="G48" s="100">
        <f>SUM(G2:G47)</f>
        <v>113</v>
      </c>
      <c r="H48" s="100">
        <f t="shared" si="1"/>
        <v>4</v>
      </c>
      <c r="I48" s="99">
        <f t="shared" si="1"/>
        <v>540</v>
      </c>
      <c r="J48" s="22">
        <f>SUM(J2:J47)</f>
        <v>254156</v>
      </c>
      <c r="K48" s="22">
        <f>SUM(D48:I48)</f>
        <v>254156</v>
      </c>
      <c r="L48">
        <f>SUM(L2:L47)</f>
        <v>3500</v>
      </c>
    </row>
    <row r="49" spans="2:13" s="19" customFormat="1" ht="14.25" customHeight="1" x14ac:dyDescent="0.35">
      <c r="C49" s="115"/>
      <c r="D49" s="89"/>
      <c r="E49" s="89"/>
      <c r="F49" s="89"/>
      <c r="G49" s="90"/>
      <c r="H49" s="90"/>
      <c r="I49" s="89"/>
      <c r="J49" s="22">
        <f t="shared" ref="J49:J79" si="2">SUM(D49:I49)</f>
        <v>0</v>
      </c>
      <c r="L49"/>
    </row>
    <row r="50" spans="2:13" s="19" customFormat="1" ht="14.25" customHeight="1" x14ac:dyDescent="0.35">
      <c r="B50" s="76" t="s">
        <v>108</v>
      </c>
      <c r="C50" s="115"/>
      <c r="D50" s="89">
        <v>2151</v>
      </c>
      <c r="E50" s="89">
        <v>621</v>
      </c>
      <c r="F50" s="89">
        <v>460</v>
      </c>
      <c r="G50" s="90">
        <v>0</v>
      </c>
      <c r="H50" s="90">
        <v>0</v>
      </c>
      <c r="I50" s="89">
        <v>38</v>
      </c>
      <c r="J50" s="22">
        <f t="shared" si="2"/>
        <v>3270</v>
      </c>
      <c r="L50"/>
      <c r="M50" s="98"/>
    </row>
    <row r="51" spans="2:13" s="19" customFormat="1" ht="14.25" customHeight="1" x14ac:dyDescent="0.35">
      <c r="B51" s="91" t="s">
        <v>115</v>
      </c>
      <c r="C51" s="115"/>
      <c r="D51" s="89">
        <v>2151</v>
      </c>
      <c r="E51" s="89">
        <v>0</v>
      </c>
      <c r="F51" s="89">
        <v>0</v>
      </c>
      <c r="G51" s="90">
        <v>0</v>
      </c>
      <c r="H51" s="90">
        <v>0</v>
      </c>
      <c r="I51" s="89">
        <v>0</v>
      </c>
      <c r="J51" s="22">
        <f t="shared" si="2"/>
        <v>2151</v>
      </c>
      <c r="L51"/>
      <c r="M51" s="22"/>
    </row>
    <row r="52" spans="2:13" s="19" customFormat="1" ht="14.25" customHeight="1" x14ac:dyDescent="0.35">
      <c r="B52" s="91" t="s">
        <v>122</v>
      </c>
      <c r="C52" s="115"/>
      <c r="D52" s="89">
        <v>2151</v>
      </c>
      <c r="E52" s="89">
        <v>0</v>
      </c>
      <c r="F52" s="89">
        <v>0</v>
      </c>
      <c r="G52" s="90">
        <v>0</v>
      </c>
      <c r="H52" s="90">
        <v>0</v>
      </c>
      <c r="I52" s="89">
        <v>0</v>
      </c>
      <c r="J52" s="22">
        <f t="shared" si="2"/>
        <v>2151</v>
      </c>
      <c r="L52"/>
    </row>
    <row r="53" spans="2:13" s="19" customFormat="1" ht="14.25" customHeight="1" x14ac:dyDescent="0.35">
      <c r="B53" s="91" t="s">
        <v>124</v>
      </c>
      <c r="C53" s="115"/>
      <c r="D53" s="89">
        <v>0</v>
      </c>
      <c r="E53" s="89">
        <v>311</v>
      </c>
      <c r="F53" s="89">
        <v>0</v>
      </c>
      <c r="G53" s="90">
        <v>0</v>
      </c>
      <c r="H53" s="90">
        <v>0</v>
      </c>
      <c r="I53" s="89">
        <v>0</v>
      </c>
      <c r="J53" s="22">
        <f t="shared" si="2"/>
        <v>311</v>
      </c>
      <c r="L53"/>
    </row>
    <row r="54" spans="2:13" s="19" customFormat="1" ht="14.25" customHeight="1" x14ac:dyDescent="0.35">
      <c r="B54" s="28" t="s">
        <v>131</v>
      </c>
      <c r="C54" s="115"/>
      <c r="D54" s="89">
        <v>2151</v>
      </c>
      <c r="E54" s="89">
        <v>311</v>
      </c>
      <c r="F54" s="89">
        <v>460</v>
      </c>
      <c r="G54" s="90">
        <v>0</v>
      </c>
      <c r="H54" s="90">
        <v>0</v>
      </c>
      <c r="I54" s="89">
        <v>0</v>
      </c>
      <c r="J54" s="22">
        <f t="shared" si="2"/>
        <v>2922</v>
      </c>
      <c r="L54"/>
    </row>
    <row r="55" spans="2:13" s="19" customFormat="1" ht="14.25" customHeight="1" x14ac:dyDescent="0.35">
      <c r="B55" s="91" t="s">
        <v>135</v>
      </c>
      <c r="C55" s="115"/>
      <c r="D55" s="89">
        <v>2151</v>
      </c>
      <c r="E55" s="89">
        <v>311</v>
      </c>
      <c r="F55" s="89">
        <v>460</v>
      </c>
      <c r="G55" s="90">
        <v>3</v>
      </c>
      <c r="H55" s="90">
        <v>0</v>
      </c>
      <c r="I55" s="89">
        <v>0</v>
      </c>
      <c r="J55" s="22">
        <f t="shared" si="2"/>
        <v>2925</v>
      </c>
      <c r="L55"/>
    </row>
    <row r="56" spans="2:13" s="19" customFormat="1" ht="14.25" customHeight="1" x14ac:dyDescent="0.35">
      <c r="B56" s="76" t="s">
        <v>141</v>
      </c>
      <c r="C56" s="115"/>
      <c r="D56" s="89">
        <v>6454</v>
      </c>
      <c r="E56" s="89">
        <v>621</v>
      </c>
      <c r="F56" s="89">
        <v>919</v>
      </c>
      <c r="G56" s="90">
        <v>3</v>
      </c>
      <c r="H56" s="90">
        <v>0</v>
      </c>
      <c r="I56" s="89">
        <v>75</v>
      </c>
      <c r="J56" s="22">
        <f t="shared" si="2"/>
        <v>8072</v>
      </c>
      <c r="L56"/>
    </row>
    <row r="57" spans="2:13" s="19" customFormat="1" ht="14.25" customHeight="1" x14ac:dyDescent="0.35">
      <c r="B57" s="91" t="s">
        <v>147</v>
      </c>
      <c r="C57" s="115"/>
      <c r="D57" s="89">
        <v>9681</v>
      </c>
      <c r="E57" s="89">
        <v>1398</v>
      </c>
      <c r="F57" s="89">
        <v>919</v>
      </c>
      <c r="G57" s="90">
        <v>3</v>
      </c>
      <c r="H57" s="90">
        <v>0</v>
      </c>
      <c r="I57" s="89">
        <v>38</v>
      </c>
      <c r="J57" s="22">
        <f t="shared" si="2"/>
        <v>12039</v>
      </c>
      <c r="L57"/>
    </row>
    <row r="58" spans="2:13" s="19" customFormat="1" ht="14.25" customHeight="1" x14ac:dyDescent="0.35">
      <c r="B58" s="28" t="s">
        <v>162</v>
      </c>
      <c r="C58" s="115"/>
      <c r="D58" s="89">
        <v>2151</v>
      </c>
      <c r="E58" s="89">
        <v>621</v>
      </c>
      <c r="F58" s="89">
        <v>460</v>
      </c>
      <c r="G58" s="90">
        <v>0</v>
      </c>
      <c r="H58" s="90">
        <v>0</v>
      </c>
      <c r="I58" s="89">
        <v>38</v>
      </c>
      <c r="J58" s="22">
        <f t="shared" si="2"/>
        <v>3270</v>
      </c>
      <c r="L58"/>
    </row>
    <row r="59" spans="2:13" s="19" customFormat="1" ht="14.25" customHeight="1" x14ac:dyDescent="0.35">
      <c r="B59" s="25" t="s">
        <v>170</v>
      </c>
      <c r="C59" s="115"/>
      <c r="D59" s="89">
        <v>2151</v>
      </c>
      <c r="E59" s="89">
        <v>932</v>
      </c>
      <c r="F59" s="89">
        <v>919</v>
      </c>
      <c r="G59" s="90">
        <v>0</v>
      </c>
      <c r="H59" s="90">
        <v>0</v>
      </c>
      <c r="I59" s="89">
        <v>38</v>
      </c>
      <c r="J59" s="22">
        <f t="shared" si="2"/>
        <v>4040</v>
      </c>
      <c r="L59"/>
    </row>
    <row r="60" spans="2:13" s="19" customFormat="1" ht="14.25" customHeight="1" x14ac:dyDescent="0.35">
      <c r="B60" s="25" t="s">
        <v>176</v>
      </c>
      <c r="C60" s="115"/>
      <c r="D60" s="89">
        <v>9681</v>
      </c>
      <c r="E60" s="89">
        <v>311</v>
      </c>
      <c r="F60" s="89">
        <v>0</v>
      </c>
      <c r="G60" s="90">
        <v>0</v>
      </c>
      <c r="H60" s="90">
        <v>0</v>
      </c>
      <c r="I60" s="89">
        <v>0</v>
      </c>
      <c r="J60" s="22">
        <f t="shared" si="2"/>
        <v>9992</v>
      </c>
      <c r="L60"/>
    </row>
    <row r="61" spans="2:13" s="19" customFormat="1" ht="14.25" customHeight="1" x14ac:dyDescent="0.35">
      <c r="B61" s="25" t="s">
        <v>253</v>
      </c>
      <c r="C61" s="115"/>
      <c r="D61" s="89">
        <v>9681</v>
      </c>
      <c r="E61" s="89">
        <v>1398</v>
      </c>
      <c r="F61" s="89">
        <v>919</v>
      </c>
      <c r="G61" s="90">
        <v>0</v>
      </c>
      <c r="H61" s="90">
        <v>0</v>
      </c>
      <c r="I61" s="89">
        <v>0</v>
      </c>
      <c r="J61" s="22">
        <f t="shared" si="2"/>
        <v>11998</v>
      </c>
      <c r="L61"/>
    </row>
    <row r="62" spans="2:13" s="19" customFormat="1" ht="14.25" customHeight="1" x14ac:dyDescent="0.35">
      <c r="B62" s="28" t="s">
        <v>260</v>
      </c>
      <c r="C62" s="115"/>
      <c r="D62" s="89">
        <v>9681</v>
      </c>
      <c r="E62" s="89">
        <v>1398</v>
      </c>
      <c r="F62" s="89">
        <v>2068</v>
      </c>
      <c r="G62" s="90">
        <v>3</v>
      </c>
      <c r="H62" s="90">
        <v>0</v>
      </c>
      <c r="I62" s="89">
        <v>38</v>
      </c>
      <c r="J62" s="22">
        <f t="shared" si="2"/>
        <v>13188</v>
      </c>
      <c r="L62"/>
    </row>
    <row r="63" spans="2:13" s="19" customFormat="1" ht="14.25" customHeight="1" x14ac:dyDescent="0.35">
      <c r="B63" s="25" t="s">
        <v>309</v>
      </c>
      <c r="C63" s="115"/>
      <c r="D63" s="89">
        <v>9681</v>
      </c>
      <c r="E63" s="89">
        <v>1398</v>
      </c>
      <c r="F63" s="89">
        <v>2068</v>
      </c>
      <c r="G63" s="90">
        <v>0</v>
      </c>
      <c r="H63" s="90">
        <v>0</v>
      </c>
      <c r="I63" s="89">
        <v>0</v>
      </c>
      <c r="J63" s="22">
        <f t="shared" si="2"/>
        <v>13147</v>
      </c>
      <c r="L63"/>
    </row>
    <row r="64" spans="2:13" s="19" customFormat="1" ht="14.25" customHeight="1" x14ac:dyDescent="0.35">
      <c r="B64" s="28" t="s">
        <v>324</v>
      </c>
      <c r="C64" s="115"/>
      <c r="D64" s="89">
        <v>9681</v>
      </c>
      <c r="E64" s="89">
        <v>1398</v>
      </c>
      <c r="F64" s="89">
        <v>2068</v>
      </c>
      <c r="G64" s="90">
        <v>14</v>
      </c>
      <c r="H64" s="90">
        <v>0</v>
      </c>
      <c r="I64" s="89">
        <v>38</v>
      </c>
      <c r="J64" s="22">
        <f t="shared" si="2"/>
        <v>13199</v>
      </c>
      <c r="L64"/>
    </row>
    <row r="65" spans="2:12" s="19" customFormat="1" ht="14.25" customHeight="1" x14ac:dyDescent="0.35">
      <c r="B65" s="28" t="s">
        <v>331</v>
      </c>
      <c r="C65" s="115"/>
      <c r="D65" s="89">
        <v>4303</v>
      </c>
      <c r="E65" s="89">
        <v>311</v>
      </c>
      <c r="F65" s="89">
        <v>919</v>
      </c>
      <c r="G65" s="90">
        <v>3</v>
      </c>
      <c r="H65" s="90">
        <v>0</v>
      </c>
      <c r="I65" s="89">
        <v>0</v>
      </c>
      <c r="J65" s="22">
        <f t="shared" si="2"/>
        <v>5536</v>
      </c>
      <c r="L65"/>
    </row>
    <row r="66" spans="2:12" s="19" customFormat="1" ht="14.25" customHeight="1" x14ac:dyDescent="0.35">
      <c r="B66" s="28" t="s">
        <v>353</v>
      </c>
      <c r="C66" s="115"/>
      <c r="D66" s="89">
        <v>4303</v>
      </c>
      <c r="E66" s="89">
        <v>311</v>
      </c>
      <c r="F66" s="89">
        <v>919</v>
      </c>
      <c r="G66" s="90">
        <v>0</v>
      </c>
      <c r="H66" s="90">
        <v>0</v>
      </c>
      <c r="I66" s="89">
        <v>0</v>
      </c>
      <c r="J66" s="22">
        <f t="shared" si="2"/>
        <v>5533</v>
      </c>
      <c r="L66"/>
    </row>
    <row r="67" spans="2:12" s="19" customFormat="1" ht="14.25" customHeight="1" x14ac:dyDescent="0.35">
      <c r="B67" s="25" t="s">
        <v>360</v>
      </c>
      <c r="C67" s="115"/>
      <c r="D67" s="89">
        <v>9681</v>
      </c>
      <c r="E67" s="89">
        <v>1398</v>
      </c>
      <c r="F67" s="89">
        <v>2068</v>
      </c>
      <c r="G67" s="90">
        <v>0</v>
      </c>
      <c r="H67" s="90">
        <v>0</v>
      </c>
      <c r="I67" s="89">
        <v>0</v>
      </c>
      <c r="J67" s="22">
        <f t="shared" si="2"/>
        <v>13147</v>
      </c>
      <c r="L67"/>
    </row>
    <row r="68" spans="2:12" s="19" customFormat="1" ht="14.25" customHeight="1" x14ac:dyDescent="0.35">
      <c r="B68" s="25" t="s">
        <v>367</v>
      </c>
      <c r="C68" s="115"/>
      <c r="D68" s="89">
        <v>2151</v>
      </c>
      <c r="E68" s="89">
        <v>311</v>
      </c>
      <c r="F68" s="89">
        <v>460</v>
      </c>
      <c r="G68" s="90">
        <v>0</v>
      </c>
      <c r="H68" s="90">
        <v>0</v>
      </c>
      <c r="I68" s="89">
        <v>0</v>
      </c>
      <c r="J68" s="22">
        <f t="shared" si="2"/>
        <v>2922</v>
      </c>
      <c r="L68"/>
    </row>
    <row r="69" spans="2:12" s="19" customFormat="1" ht="14.25" customHeight="1" x14ac:dyDescent="0.35">
      <c r="B69" s="28" t="s">
        <v>381</v>
      </c>
      <c r="C69" s="115"/>
      <c r="D69" s="89">
        <v>9681</v>
      </c>
      <c r="E69" s="89">
        <v>0</v>
      </c>
      <c r="F69" s="89">
        <v>2068</v>
      </c>
      <c r="G69" s="90">
        <v>0</v>
      </c>
      <c r="H69" s="90">
        <v>0</v>
      </c>
      <c r="I69" s="89">
        <v>0</v>
      </c>
      <c r="J69" s="22">
        <f t="shared" si="2"/>
        <v>11749</v>
      </c>
      <c r="L69"/>
    </row>
    <row r="70" spans="2:12" s="19" customFormat="1" ht="14.25" customHeight="1" x14ac:dyDescent="0.35">
      <c r="B70" s="28" t="s">
        <v>394</v>
      </c>
      <c r="C70" s="115"/>
      <c r="D70" s="89">
        <v>9681</v>
      </c>
      <c r="E70" s="89">
        <v>621</v>
      </c>
      <c r="F70" s="89">
        <v>0</v>
      </c>
      <c r="G70" s="90">
        <v>0</v>
      </c>
      <c r="H70" s="90">
        <v>0</v>
      </c>
      <c r="I70" s="89">
        <v>0</v>
      </c>
      <c r="J70" s="22">
        <f t="shared" si="2"/>
        <v>10302</v>
      </c>
      <c r="L70"/>
    </row>
    <row r="71" spans="2:12" s="19" customFormat="1" ht="14.25" customHeight="1" x14ac:dyDescent="0.35">
      <c r="B71" s="91" t="s">
        <v>836</v>
      </c>
      <c r="C71" s="115"/>
      <c r="D71" s="89">
        <v>2151</v>
      </c>
      <c r="E71" s="89">
        <v>311</v>
      </c>
      <c r="F71" s="89">
        <v>0</v>
      </c>
      <c r="G71" s="90">
        <v>3</v>
      </c>
      <c r="H71" s="90">
        <v>0</v>
      </c>
      <c r="I71" s="89">
        <v>38</v>
      </c>
      <c r="J71" s="22">
        <f t="shared" si="2"/>
        <v>2503</v>
      </c>
      <c r="L71"/>
    </row>
    <row r="72" spans="2:12" s="19" customFormat="1" ht="14.25" customHeight="1" x14ac:dyDescent="0.35">
      <c r="B72" s="28" t="s">
        <v>444</v>
      </c>
      <c r="C72" s="115"/>
      <c r="D72" s="89">
        <v>2151</v>
      </c>
      <c r="E72" s="89">
        <v>311</v>
      </c>
      <c r="F72" s="89">
        <v>0</v>
      </c>
      <c r="G72" s="90">
        <v>0</v>
      </c>
      <c r="H72" s="90">
        <v>0</v>
      </c>
      <c r="I72" s="89">
        <v>0</v>
      </c>
      <c r="J72" s="22">
        <f t="shared" si="2"/>
        <v>2462</v>
      </c>
      <c r="L72"/>
    </row>
    <row r="73" spans="2:12" s="19" customFormat="1" ht="14.25" customHeight="1" x14ac:dyDescent="0.35">
      <c r="B73" s="28" t="s">
        <v>463</v>
      </c>
      <c r="C73" s="115"/>
      <c r="D73" s="89">
        <v>6454</v>
      </c>
      <c r="E73" s="89">
        <v>1398</v>
      </c>
      <c r="F73" s="89">
        <v>1379</v>
      </c>
      <c r="G73" s="90">
        <v>0</v>
      </c>
      <c r="H73" s="90">
        <v>0</v>
      </c>
      <c r="I73" s="89">
        <v>0</v>
      </c>
      <c r="J73" s="22">
        <f t="shared" si="2"/>
        <v>9231</v>
      </c>
      <c r="L73"/>
    </row>
    <row r="74" spans="2:12" s="19" customFormat="1" ht="14.25" customHeight="1" x14ac:dyDescent="0.35">
      <c r="B74" s="28" t="s">
        <v>486</v>
      </c>
      <c r="C74" s="115"/>
      <c r="D74" s="89">
        <v>4303</v>
      </c>
      <c r="E74" s="89">
        <v>621</v>
      </c>
      <c r="F74" s="89">
        <v>919</v>
      </c>
      <c r="G74" s="90">
        <v>3</v>
      </c>
      <c r="H74" s="90">
        <v>0</v>
      </c>
      <c r="I74" s="89">
        <v>0</v>
      </c>
      <c r="J74" s="22">
        <f t="shared" si="2"/>
        <v>5846</v>
      </c>
      <c r="L74"/>
    </row>
    <row r="75" spans="2:12" s="19" customFormat="1" ht="14.25" customHeight="1" x14ac:dyDescent="0.35">
      <c r="B75" s="28" t="s">
        <v>528</v>
      </c>
      <c r="C75" s="115"/>
      <c r="D75" s="89">
        <v>9681</v>
      </c>
      <c r="E75" s="89">
        <v>1398</v>
      </c>
      <c r="F75" s="89">
        <v>2068</v>
      </c>
      <c r="G75" s="90">
        <v>12</v>
      </c>
      <c r="H75" s="90">
        <v>0</v>
      </c>
      <c r="I75" s="89">
        <v>0</v>
      </c>
      <c r="J75" s="22">
        <f t="shared" si="2"/>
        <v>13159</v>
      </c>
      <c r="L75"/>
    </row>
    <row r="76" spans="2:12" s="19" customFormat="1" ht="14.25" customHeight="1" x14ac:dyDescent="0.35">
      <c r="B76" s="25" t="s">
        <v>584</v>
      </c>
      <c r="C76" s="115"/>
      <c r="D76" s="89">
        <v>2151</v>
      </c>
      <c r="E76" s="89">
        <v>311</v>
      </c>
      <c r="F76" s="89">
        <v>460</v>
      </c>
      <c r="G76" s="90">
        <v>0</v>
      </c>
      <c r="H76" s="90">
        <v>0</v>
      </c>
      <c r="I76" s="89">
        <v>0</v>
      </c>
      <c r="J76" s="22">
        <f t="shared" si="2"/>
        <v>2922</v>
      </c>
      <c r="L76"/>
    </row>
    <row r="77" spans="2:12" s="19" customFormat="1" ht="14.25" customHeight="1" x14ac:dyDescent="0.35">
      <c r="B77" s="25" t="s">
        <v>598</v>
      </c>
      <c r="C77" s="115"/>
      <c r="D77" s="89">
        <v>9681</v>
      </c>
      <c r="E77" s="89">
        <v>1398</v>
      </c>
      <c r="F77" s="89">
        <v>2068</v>
      </c>
      <c r="G77" s="90">
        <v>12</v>
      </c>
      <c r="H77" s="90">
        <v>0</v>
      </c>
      <c r="I77" s="89">
        <v>158</v>
      </c>
      <c r="J77" s="22">
        <f t="shared" si="2"/>
        <v>13317</v>
      </c>
      <c r="L77"/>
    </row>
    <row r="78" spans="2:12" s="19" customFormat="1" ht="14.25" customHeight="1" x14ac:dyDescent="0.35">
      <c r="B78" s="25" t="s">
        <v>605</v>
      </c>
      <c r="C78" s="115"/>
      <c r="D78" s="89">
        <v>4303</v>
      </c>
      <c r="E78" s="89">
        <v>621</v>
      </c>
      <c r="F78" s="89">
        <v>919</v>
      </c>
      <c r="G78" s="90">
        <v>0</v>
      </c>
      <c r="H78" s="90">
        <v>0</v>
      </c>
      <c r="I78" s="89">
        <v>0</v>
      </c>
      <c r="J78" s="22">
        <f t="shared" si="2"/>
        <v>5843</v>
      </c>
      <c r="L78"/>
    </row>
    <row r="79" spans="2:12" s="19" customFormat="1" ht="14.25" customHeight="1" x14ac:dyDescent="0.35">
      <c r="B79" s="92" t="s">
        <v>625</v>
      </c>
      <c r="C79" s="115"/>
      <c r="D79" s="89">
        <v>9681</v>
      </c>
      <c r="E79" s="89">
        <v>1398</v>
      </c>
      <c r="F79" s="89">
        <v>2068</v>
      </c>
      <c r="G79" s="90">
        <v>0</v>
      </c>
      <c r="H79" s="90">
        <v>0</v>
      </c>
      <c r="I79" s="89">
        <v>38</v>
      </c>
      <c r="J79" s="22">
        <f t="shared" si="2"/>
        <v>13185</v>
      </c>
      <c r="L79"/>
    </row>
    <row r="80" spans="2:12" s="19" customFormat="1" ht="14.25" customHeight="1" x14ac:dyDescent="0.35">
      <c r="B80" s="19" t="s">
        <v>837</v>
      </c>
      <c r="C80" s="115"/>
      <c r="D80" s="89">
        <f t="shared" ref="D80:I80" si="3">SUM(D50:D79)</f>
        <v>169953</v>
      </c>
      <c r="E80" s="89">
        <f t="shared" si="3"/>
        <v>21748</v>
      </c>
      <c r="F80" s="89">
        <f t="shared" si="3"/>
        <v>28035</v>
      </c>
      <c r="G80" s="90">
        <f>SUM(G50:G79)</f>
        <v>59</v>
      </c>
      <c r="H80" s="90">
        <f t="shared" si="3"/>
        <v>0</v>
      </c>
      <c r="I80" s="89">
        <f t="shared" si="3"/>
        <v>537</v>
      </c>
      <c r="J80" s="22">
        <f>SUM(J50:J79)</f>
        <v>220332</v>
      </c>
      <c r="K80" s="19">
        <f>SUM(D80:I80)</f>
        <v>220332</v>
      </c>
      <c r="L80"/>
    </row>
    <row r="81" spans="2:12" s="19" customFormat="1" ht="14.25" customHeight="1" x14ac:dyDescent="0.35">
      <c r="C81" s="115"/>
      <c r="D81" s="99"/>
      <c r="E81" s="99"/>
      <c r="F81" s="99"/>
      <c r="G81" s="99"/>
      <c r="H81" s="99"/>
      <c r="I81" s="99"/>
      <c r="J81" s="22"/>
      <c r="K81" s="22"/>
      <c r="L81"/>
    </row>
    <row r="82" spans="2:12" s="19" customFormat="1" ht="14.25" customHeight="1" x14ac:dyDescent="0.35">
      <c r="B82" s="67" t="s">
        <v>838</v>
      </c>
      <c r="C82" s="113"/>
      <c r="D82" s="67">
        <v>62791</v>
      </c>
      <c r="E82" s="19">
        <v>6808</v>
      </c>
      <c r="F82" s="19">
        <v>4375</v>
      </c>
      <c r="I82" s="22"/>
      <c r="J82" s="112">
        <f>SUM(D82:I82)</f>
        <v>73974</v>
      </c>
    </row>
    <row r="83" spans="2:12" s="19" customFormat="1" ht="14.25" customHeight="1" x14ac:dyDescent="0.35">
      <c r="B83" s="67" t="s">
        <v>839</v>
      </c>
      <c r="C83" s="113"/>
      <c r="D83" s="16">
        <v>9936</v>
      </c>
      <c r="I83" s="22"/>
      <c r="J83" s="22">
        <f>SUM(D83:I83)</f>
        <v>9936</v>
      </c>
    </row>
    <row r="84" spans="2:12" s="19" customFormat="1" ht="14.25" customHeight="1" x14ac:dyDescent="0.35">
      <c r="B84" s="67" t="s">
        <v>840</v>
      </c>
      <c r="C84" s="113"/>
      <c r="D84" s="16">
        <f>SUM(D82:D83)</f>
        <v>72727</v>
      </c>
      <c r="E84" s="19">
        <f>SUM(E82:E83)</f>
        <v>6808</v>
      </c>
      <c r="F84" s="19">
        <f>SUM(F82:F83)</f>
        <v>4375</v>
      </c>
      <c r="I84" s="22"/>
      <c r="J84" s="22">
        <f>SUM(D84:I84)</f>
        <v>83910</v>
      </c>
      <c r="K84" s="19">
        <v>83910</v>
      </c>
    </row>
    <row r="85" spans="2:12" s="19" customFormat="1" ht="14.25" customHeight="1" x14ac:dyDescent="0.35">
      <c r="B85" s="67"/>
      <c r="C85" s="113"/>
      <c r="D85" s="16"/>
    </row>
    <row r="86" spans="2:12" s="19" customFormat="1" ht="14.25" customHeight="1" x14ac:dyDescent="0.35">
      <c r="B86" s="67" t="s">
        <v>841</v>
      </c>
      <c r="C86" s="113"/>
      <c r="D86" s="16">
        <v>2092</v>
      </c>
      <c r="E86" s="109">
        <v>778</v>
      </c>
      <c r="F86" s="109">
        <v>450</v>
      </c>
      <c r="G86" s="109"/>
      <c r="J86" s="22">
        <f t="shared" ref="J86:J93" si="4">SUM(D86:I86)</f>
        <v>3320</v>
      </c>
    </row>
    <row r="87" spans="2:12" s="19" customFormat="1" ht="14.25" customHeight="1" x14ac:dyDescent="0.35">
      <c r="B87" s="67" t="s">
        <v>206</v>
      </c>
      <c r="C87" s="113"/>
      <c r="D87" s="16">
        <v>2784</v>
      </c>
      <c r="E87" s="109">
        <v>300</v>
      </c>
      <c r="F87" s="109"/>
      <c r="G87" s="109">
        <v>14</v>
      </c>
      <c r="I87" s="19">
        <v>36</v>
      </c>
      <c r="J87" s="22">
        <f t="shared" si="4"/>
        <v>3134</v>
      </c>
    </row>
    <row r="88" spans="2:12" s="19" customFormat="1" ht="14.25" customHeight="1" x14ac:dyDescent="0.35">
      <c r="B88" s="67" t="s">
        <v>842</v>
      </c>
      <c r="C88" s="113"/>
      <c r="D88" s="16">
        <v>1794</v>
      </c>
      <c r="E88" s="109">
        <v>300</v>
      </c>
      <c r="F88" s="109"/>
      <c r="G88" s="109"/>
      <c r="J88" s="22">
        <f t="shared" si="4"/>
        <v>2094</v>
      </c>
    </row>
    <row r="89" spans="2:12" s="19" customFormat="1" ht="14.25" customHeight="1" x14ac:dyDescent="0.35">
      <c r="B89" s="67" t="s">
        <v>843</v>
      </c>
      <c r="C89" s="113"/>
      <c r="D89" s="16">
        <v>1842</v>
      </c>
      <c r="E89" s="109">
        <v>40</v>
      </c>
      <c r="F89" s="109">
        <v>128</v>
      </c>
      <c r="G89" s="109">
        <v>8</v>
      </c>
      <c r="J89" s="22">
        <f t="shared" si="4"/>
        <v>2018</v>
      </c>
    </row>
    <row r="90" spans="2:12" s="19" customFormat="1" ht="14.25" customHeight="1" x14ac:dyDescent="0.35">
      <c r="B90" s="67" t="s">
        <v>844</v>
      </c>
      <c r="C90" s="113"/>
      <c r="D90" s="16">
        <v>2328</v>
      </c>
      <c r="E90" s="109">
        <v>220</v>
      </c>
      <c r="F90" s="109">
        <v>448</v>
      </c>
      <c r="G90" s="109">
        <v>4</v>
      </c>
      <c r="J90" s="22">
        <f t="shared" si="4"/>
        <v>3000</v>
      </c>
    </row>
    <row r="91" spans="2:12" s="19" customFormat="1" ht="14.25" customHeight="1" x14ac:dyDescent="0.35">
      <c r="B91" s="67" t="s">
        <v>845</v>
      </c>
      <c r="C91" s="113"/>
      <c r="D91" s="16">
        <v>2317</v>
      </c>
      <c r="E91" s="109">
        <v>3</v>
      </c>
      <c r="F91" s="109">
        <v>673</v>
      </c>
      <c r="G91" s="109">
        <v>8</v>
      </c>
      <c r="J91" s="22">
        <f t="shared" si="4"/>
        <v>3001</v>
      </c>
    </row>
    <row r="92" spans="2:12" s="19" customFormat="1" ht="14.25" customHeight="1" x14ac:dyDescent="0.35">
      <c r="B92" s="67" t="s">
        <v>176</v>
      </c>
      <c r="C92" s="113"/>
      <c r="D92" s="16">
        <v>4800</v>
      </c>
      <c r="E92" s="109"/>
      <c r="F92" s="109"/>
      <c r="G92" s="109"/>
      <c r="J92" s="22">
        <f t="shared" si="4"/>
        <v>4800</v>
      </c>
    </row>
    <row r="93" spans="2:12" s="19" customFormat="1" ht="14.25" customHeight="1" x14ac:dyDescent="0.35">
      <c r="B93" s="67" t="s">
        <v>846</v>
      </c>
      <c r="C93" s="113"/>
      <c r="D93" s="16">
        <f t="shared" ref="D93:I93" si="5">SUM(D86:D92)</f>
        <v>17957</v>
      </c>
      <c r="E93" s="109">
        <f t="shared" si="5"/>
        <v>1641</v>
      </c>
      <c r="F93" s="109">
        <f t="shared" si="5"/>
        <v>1699</v>
      </c>
      <c r="G93" s="109">
        <f t="shared" si="5"/>
        <v>34</v>
      </c>
      <c r="H93" s="19">
        <f t="shared" si="5"/>
        <v>0</v>
      </c>
      <c r="I93" s="19">
        <f t="shared" si="5"/>
        <v>36</v>
      </c>
      <c r="J93" s="22">
        <f t="shared" si="4"/>
        <v>21367</v>
      </c>
      <c r="K93" s="19">
        <v>21367</v>
      </c>
    </row>
    <row r="94" spans="2:12" s="19" customFormat="1" x14ac:dyDescent="0.35">
      <c r="C94" s="116"/>
    </row>
    <row r="95" spans="2:12" x14ac:dyDescent="0.35">
      <c r="B95" s="3" t="s">
        <v>847</v>
      </c>
      <c r="C95" s="117"/>
      <c r="D95" s="5">
        <f>SUM(D48+D80+D84+D93)</f>
        <v>391631</v>
      </c>
      <c r="E95" s="5">
        <f t="shared" ref="E95:I95" si="6">SUM(E48+E80+E84+E93)</f>
        <v>141641</v>
      </c>
      <c r="F95" s="5">
        <f t="shared" si="6"/>
        <v>45170</v>
      </c>
      <c r="G95" s="5">
        <f t="shared" si="6"/>
        <v>206</v>
      </c>
      <c r="H95" s="5">
        <f t="shared" si="6"/>
        <v>4</v>
      </c>
      <c r="I95" s="5">
        <f t="shared" si="6"/>
        <v>1113</v>
      </c>
      <c r="J95" s="45">
        <f>SUM(J48+J80+J84+J93)</f>
        <v>579765</v>
      </c>
      <c r="K95" s="45">
        <f>SUM(K48+K80+K84+K93)</f>
        <v>579765</v>
      </c>
      <c r="L95" s="5"/>
    </row>
    <row r="96" spans="2:12" ht="15.5" x14ac:dyDescent="0.35">
      <c r="C96" s="118"/>
      <c r="K96" s="98"/>
    </row>
    <row r="97" spans="3:11" x14ac:dyDescent="0.35">
      <c r="C97" s="118"/>
      <c r="J97" s="5"/>
      <c r="K97" s="106"/>
    </row>
    <row r="98" spans="3:11" x14ac:dyDescent="0.35">
      <c r="C98" s="118"/>
      <c r="G98" t="s">
        <v>848</v>
      </c>
      <c r="J98" s="5"/>
      <c r="K98" s="5"/>
    </row>
    <row r="99" spans="3:11" x14ac:dyDescent="0.35">
      <c r="C99" s="118"/>
    </row>
    <row r="100" spans="3:11" x14ac:dyDescent="0.35">
      <c r="C100" s="118"/>
    </row>
    <row r="101" spans="3:11" x14ac:dyDescent="0.35">
      <c r="C101" s="118"/>
    </row>
    <row r="102" spans="3:11" x14ac:dyDescent="0.35">
      <c r="C102" s="118"/>
    </row>
    <row r="103" spans="3:11" x14ac:dyDescent="0.35">
      <c r="C103" s="118"/>
    </row>
    <row r="104" spans="3:11" x14ac:dyDescent="0.35">
      <c r="C104" s="118"/>
    </row>
    <row r="105" spans="3:11" x14ac:dyDescent="0.35">
      <c r="C105" s="118"/>
    </row>
  </sheetData>
  <sortState xmlns:xlrd2="http://schemas.microsoft.com/office/spreadsheetml/2017/richdata2" ref="A2:I44">
    <sortCondition ref="B2:B44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B2FC0-F8C7-41E4-868E-6756CD1DC676}">
  <dimension ref="A1:H55"/>
  <sheetViews>
    <sheetView topLeftCell="A36" workbookViewId="0">
      <selection activeCell="H52" sqref="H52"/>
    </sheetView>
  </sheetViews>
  <sheetFormatPr defaultRowHeight="14.5" x14ac:dyDescent="0.35"/>
  <cols>
    <col min="1" max="1" width="43.453125" customWidth="1"/>
    <col min="2" max="2" width="14.1796875" customWidth="1"/>
    <col min="3" max="3" width="27.81640625" customWidth="1"/>
    <col min="4" max="4" width="17.453125" customWidth="1"/>
    <col min="6" max="6" width="13.81640625" customWidth="1"/>
    <col min="8" max="8" width="21.26953125" customWidth="1"/>
  </cols>
  <sheetData>
    <row r="1" spans="1:6" ht="15.5" x14ac:dyDescent="0.35">
      <c r="A1" s="56" t="s">
        <v>849</v>
      </c>
      <c r="B1" s="56" t="s">
        <v>850</v>
      </c>
      <c r="C1" s="56" t="s">
        <v>851</v>
      </c>
      <c r="D1" s="56" t="s">
        <v>852</v>
      </c>
      <c r="F1" s="56" t="s">
        <v>847</v>
      </c>
    </row>
    <row r="2" spans="1:6" ht="15.5" x14ac:dyDescent="0.35">
      <c r="A2" s="57" t="s">
        <v>853</v>
      </c>
      <c r="B2" s="58"/>
      <c r="C2" s="70">
        <v>4340</v>
      </c>
      <c r="D2" s="60"/>
      <c r="E2" s="61"/>
      <c r="F2" s="62">
        <f>SUM(C2:E2)</f>
        <v>4340</v>
      </c>
    </row>
    <row r="3" spans="1:6" ht="15.5" x14ac:dyDescent="0.35">
      <c r="A3" s="57" t="s">
        <v>854</v>
      </c>
      <c r="B3" s="58">
        <v>359653</v>
      </c>
      <c r="C3" s="70">
        <v>3320</v>
      </c>
      <c r="D3" s="60"/>
      <c r="E3" s="61"/>
      <c r="F3" s="62">
        <f t="shared" ref="F3:F52" si="0">SUM(C3:E3)</f>
        <v>3320</v>
      </c>
    </row>
    <row r="4" spans="1:6" ht="15.5" x14ac:dyDescent="0.35">
      <c r="A4" s="57" t="s">
        <v>855</v>
      </c>
      <c r="B4" s="58"/>
      <c r="C4" s="70">
        <v>2880</v>
      </c>
      <c r="D4" s="60"/>
      <c r="E4" s="61"/>
      <c r="F4" s="62">
        <f t="shared" si="0"/>
        <v>2880</v>
      </c>
    </row>
    <row r="5" spans="1:6" ht="15.5" x14ac:dyDescent="0.35">
      <c r="A5" s="57" t="s">
        <v>856</v>
      </c>
      <c r="B5" s="58">
        <v>6270</v>
      </c>
      <c r="C5" s="70">
        <v>2660</v>
      </c>
      <c r="D5" s="60"/>
      <c r="E5" s="61"/>
      <c r="F5" s="62">
        <f t="shared" si="0"/>
        <v>2660</v>
      </c>
    </row>
    <row r="6" spans="1:6" ht="15.5" x14ac:dyDescent="0.35">
      <c r="A6" s="57" t="s">
        <v>857</v>
      </c>
      <c r="B6" s="58">
        <v>306985</v>
      </c>
      <c r="C6" s="70">
        <v>3960</v>
      </c>
      <c r="D6" s="60"/>
      <c r="E6" s="61"/>
      <c r="F6" s="62">
        <f t="shared" si="0"/>
        <v>3960</v>
      </c>
    </row>
    <row r="7" spans="1:6" ht="15.5" x14ac:dyDescent="0.35">
      <c r="A7" s="57" t="s">
        <v>858</v>
      </c>
      <c r="B7" s="58">
        <v>1891</v>
      </c>
      <c r="C7" s="70">
        <v>2360</v>
      </c>
      <c r="D7" s="60"/>
      <c r="E7" s="61"/>
      <c r="F7" s="62">
        <f t="shared" si="0"/>
        <v>2360</v>
      </c>
    </row>
    <row r="8" spans="1:6" ht="15.5" x14ac:dyDescent="0.35">
      <c r="A8" s="57" t="s">
        <v>859</v>
      </c>
      <c r="B8" s="58"/>
      <c r="C8" s="70">
        <v>1600</v>
      </c>
      <c r="D8" s="60"/>
      <c r="E8" s="61"/>
      <c r="F8" s="62">
        <f t="shared" si="0"/>
        <v>1600</v>
      </c>
    </row>
    <row r="9" spans="1:6" ht="15.5" x14ac:dyDescent="0.35">
      <c r="A9" s="57" t="s">
        <v>860</v>
      </c>
      <c r="B9" s="58">
        <v>28506</v>
      </c>
      <c r="C9" s="70">
        <v>1600</v>
      </c>
      <c r="D9" s="60"/>
      <c r="E9" s="61"/>
      <c r="F9" s="62">
        <f t="shared" si="0"/>
        <v>1600</v>
      </c>
    </row>
    <row r="10" spans="1:6" ht="15.5" x14ac:dyDescent="0.35">
      <c r="A10" s="57" t="s">
        <v>861</v>
      </c>
      <c r="B10" s="58"/>
      <c r="C10" s="70">
        <v>880</v>
      </c>
      <c r="D10" s="62"/>
      <c r="E10" s="60"/>
      <c r="F10" s="62">
        <f t="shared" si="0"/>
        <v>880</v>
      </c>
    </row>
    <row r="11" spans="1:6" ht="15.5" x14ac:dyDescent="0.35">
      <c r="A11" s="57" t="s">
        <v>862</v>
      </c>
      <c r="B11" s="58"/>
      <c r="C11" s="60"/>
      <c r="D11" s="62">
        <v>497</v>
      </c>
      <c r="E11" s="60"/>
      <c r="F11" s="62">
        <f t="shared" si="0"/>
        <v>497</v>
      </c>
    </row>
    <row r="12" spans="1:6" ht="15.5" x14ac:dyDescent="0.35">
      <c r="A12" s="57" t="s">
        <v>863</v>
      </c>
      <c r="B12" s="58"/>
      <c r="C12" s="70">
        <v>1610</v>
      </c>
      <c r="D12" s="60"/>
      <c r="E12" s="61"/>
      <c r="F12" s="62">
        <f t="shared" si="0"/>
        <v>1610</v>
      </c>
    </row>
    <row r="13" spans="1:6" ht="15.5" x14ac:dyDescent="0.35">
      <c r="A13" s="57" t="s">
        <v>864</v>
      </c>
      <c r="B13" s="58">
        <v>2089</v>
      </c>
      <c r="C13" s="70">
        <v>460</v>
      </c>
      <c r="D13" s="60"/>
      <c r="E13" s="61"/>
      <c r="F13" s="62">
        <f t="shared" si="0"/>
        <v>460</v>
      </c>
    </row>
    <row r="14" spans="1:6" ht="15.5" x14ac:dyDescent="0.35">
      <c r="A14" s="63" t="s">
        <v>865</v>
      </c>
      <c r="B14" s="58"/>
      <c r="C14" s="70">
        <v>1260</v>
      </c>
      <c r="D14" s="60"/>
      <c r="E14" s="61"/>
      <c r="F14" s="62">
        <f t="shared" si="0"/>
        <v>1260</v>
      </c>
    </row>
    <row r="15" spans="1:6" ht="15.5" x14ac:dyDescent="0.35">
      <c r="A15" s="57" t="s">
        <v>866</v>
      </c>
      <c r="B15" s="84">
        <v>146951</v>
      </c>
      <c r="C15" s="70">
        <v>320</v>
      </c>
      <c r="D15" s="62">
        <v>10000</v>
      </c>
      <c r="E15" s="61"/>
      <c r="F15" s="62">
        <f t="shared" si="0"/>
        <v>10320</v>
      </c>
    </row>
    <row r="16" spans="1:6" ht="15.5" x14ac:dyDescent="0.35">
      <c r="A16" s="57" t="s">
        <v>867</v>
      </c>
      <c r="B16" s="58"/>
      <c r="C16" s="70">
        <v>280</v>
      </c>
      <c r="D16" s="62">
        <v>450</v>
      </c>
      <c r="E16" s="60"/>
      <c r="F16" s="62">
        <f t="shared" si="0"/>
        <v>730</v>
      </c>
    </row>
    <row r="17" spans="1:8" ht="15.5" x14ac:dyDescent="0.35">
      <c r="A17" s="57" t="s">
        <v>868</v>
      </c>
      <c r="B17" s="58">
        <v>174581</v>
      </c>
      <c r="C17" s="70">
        <v>220</v>
      </c>
      <c r="D17" s="60"/>
      <c r="E17" s="61"/>
      <c r="F17" s="62">
        <f t="shared" si="0"/>
        <v>220</v>
      </c>
    </row>
    <row r="18" spans="1:8" ht="15.5" x14ac:dyDescent="0.35">
      <c r="A18" s="57" t="s">
        <v>869</v>
      </c>
      <c r="B18" s="58"/>
      <c r="C18" s="70">
        <v>210</v>
      </c>
      <c r="D18" s="60"/>
      <c r="E18" s="61"/>
      <c r="F18" s="62">
        <f t="shared" si="0"/>
        <v>210</v>
      </c>
    </row>
    <row r="19" spans="1:8" ht="15.5" x14ac:dyDescent="0.35">
      <c r="A19" s="57" t="s">
        <v>870</v>
      </c>
      <c r="B19" s="58">
        <v>4296992</v>
      </c>
      <c r="C19" s="70">
        <v>180</v>
      </c>
      <c r="D19" s="62">
        <v>25</v>
      </c>
      <c r="E19" s="61"/>
      <c r="F19" s="62">
        <f t="shared" si="0"/>
        <v>205</v>
      </c>
      <c r="H19" s="59"/>
    </row>
    <row r="20" spans="1:8" ht="15.5" x14ac:dyDescent="0.35">
      <c r="A20" s="57" t="s">
        <v>871</v>
      </c>
      <c r="B20" s="58"/>
      <c r="C20" s="70">
        <v>170</v>
      </c>
      <c r="D20" s="62">
        <v>80</v>
      </c>
      <c r="E20" s="60"/>
      <c r="F20" s="62">
        <f t="shared" si="0"/>
        <v>250</v>
      </c>
      <c r="H20" s="59"/>
    </row>
    <row r="21" spans="1:8" ht="15.5" x14ac:dyDescent="0.35">
      <c r="A21" s="57" t="s">
        <v>872</v>
      </c>
      <c r="B21" s="58">
        <v>328286</v>
      </c>
      <c r="C21" s="70">
        <v>120</v>
      </c>
      <c r="D21" s="60"/>
      <c r="E21" s="61"/>
      <c r="F21" s="62">
        <f t="shared" si="0"/>
        <v>120</v>
      </c>
      <c r="H21" s="59"/>
    </row>
    <row r="22" spans="1:8" ht="15.5" x14ac:dyDescent="0.35">
      <c r="A22" s="57" t="s">
        <v>873</v>
      </c>
      <c r="B22" s="58"/>
      <c r="C22" s="70">
        <v>120</v>
      </c>
      <c r="D22" s="60"/>
      <c r="E22" s="61"/>
      <c r="F22" s="62">
        <f t="shared" si="0"/>
        <v>120</v>
      </c>
      <c r="H22" s="59"/>
    </row>
    <row r="23" spans="1:8" ht="15.5" x14ac:dyDescent="0.35">
      <c r="A23" s="57" t="s">
        <v>874</v>
      </c>
      <c r="B23" s="58"/>
      <c r="C23" s="70">
        <v>80</v>
      </c>
      <c r="D23" s="60"/>
      <c r="E23" s="61"/>
      <c r="F23" s="62">
        <f t="shared" si="0"/>
        <v>80</v>
      </c>
      <c r="H23" s="59"/>
    </row>
    <row r="24" spans="1:8" ht="15.5" x14ac:dyDescent="0.35">
      <c r="A24" s="57" t="s">
        <v>875</v>
      </c>
      <c r="B24" s="58"/>
      <c r="C24" s="70">
        <v>90</v>
      </c>
      <c r="D24" s="60"/>
      <c r="E24" s="61"/>
      <c r="F24" s="62">
        <f t="shared" si="0"/>
        <v>90</v>
      </c>
      <c r="H24" s="59"/>
    </row>
    <row r="25" spans="1:8" ht="15.5" x14ac:dyDescent="0.35">
      <c r="A25" s="57" t="s">
        <v>876</v>
      </c>
      <c r="B25" s="58"/>
      <c r="C25" s="70">
        <v>80</v>
      </c>
      <c r="D25" s="60"/>
      <c r="E25" s="61"/>
      <c r="F25" s="62">
        <f t="shared" si="0"/>
        <v>80</v>
      </c>
      <c r="H25" s="59"/>
    </row>
    <row r="26" spans="1:8" ht="15.5" x14ac:dyDescent="0.35">
      <c r="A26" s="57" t="s">
        <v>877</v>
      </c>
      <c r="B26" s="58">
        <v>346650</v>
      </c>
      <c r="C26" s="70">
        <v>40</v>
      </c>
      <c r="D26" s="60"/>
      <c r="E26" s="61"/>
      <c r="F26" s="62">
        <f t="shared" si="0"/>
        <v>40</v>
      </c>
      <c r="H26" s="59"/>
    </row>
    <row r="27" spans="1:8" ht="15.5" x14ac:dyDescent="0.35">
      <c r="A27" s="57" t="s">
        <v>878</v>
      </c>
      <c r="B27" s="58">
        <v>155259</v>
      </c>
      <c r="C27" s="70">
        <v>40</v>
      </c>
      <c r="D27" s="62">
        <v>100</v>
      </c>
      <c r="E27" s="61"/>
      <c r="F27" s="62">
        <f t="shared" si="0"/>
        <v>140</v>
      </c>
      <c r="H27" s="59"/>
    </row>
    <row r="28" spans="1:8" ht="15.5" x14ac:dyDescent="0.35">
      <c r="A28" s="57" t="s">
        <v>879</v>
      </c>
      <c r="B28" s="58">
        <v>6133698</v>
      </c>
      <c r="C28" s="70">
        <v>40</v>
      </c>
      <c r="D28" s="62">
        <v>5000</v>
      </c>
      <c r="E28" s="61"/>
      <c r="F28" s="62">
        <f t="shared" si="0"/>
        <v>5040</v>
      </c>
      <c r="H28" s="59"/>
    </row>
    <row r="29" spans="1:8" ht="15.5" x14ac:dyDescent="0.35">
      <c r="A29" s="57" t="s">
        <v>880</v>
      </c>
      <c r="B29" s="57"/>
      <c r="C29" s="70">
        <v>20</v>
      </c>
      <c r="D29" s="60"/>
      <c r="E29" s="61"/>
      <c r="F29" s="62">
        <f t="shared" si="0"/>
        <v>20</v>
      </c>
      <c r="H29" s="59"/>
    </row>
    <row r="30" spans="1:8" ht="15.5" x14ac:dyDescent="0.35">
      <c r="A30" s="84" t="s">
        <v>881</v>
      </c>
      <c r="B30" s="84">
        <v>346338</v>
      </c>
      <c r="C30" s="71"/>
      <c r="D30" s="85">
        <v>1500</v>
      </c>
      <c r="E30" s="61"/>
      <c r="F30" s="62">
        <f t="shared" si="0"/>
        <v>1500</v>
      </c>
      <c r="H30" s="59"/>
    </row>
    <row r="31" spans="1:8" ht="15.5" x14ac:dyDescent="0.35">
      <c r="A31" s="84" t="s">
        <v>882</v>
      </c>
      <c r="B31" s="84">
        <v>152041</v>
      </c>
      <c r="C31" s="71"/>
      <c r="D31" s="85">
        <v>500</v>
      </c>
      <c r="E31" s="61"/>
      <c r="F31" s="62">
        <f t="shared" si="0"/>
        <v>500</v>
      </c>
      <c r="H31" s="59"/>
    </row>
    <row r="32" spans="1:8" ht="15.5" x14ac:dyDescent="0.35">
      <c r="A32" s="84" t="s">
        <v>883</v>
      </c>
      <c r="B32" s="84">
        <v>311464</v>
      </c>
      <c r="C32" s="71"/>
      <c r="D32" s="85">
        <v>250</v>
      </c>
      <c r="E32" s="61"/>
      <c r="F32" s="62">
        <f t="shared" si="0"/>
        <v>250</v>
      </c>
      <c r="H32" s="59"/>
    </row>
    <row r="33" spans="1:8" ht="15.5" x14ac:dyDescent="0.35">
      <c r="A33" s="84" t="s">
        <v>884</v>
      </c>
      <c r="B33" s="84">
        <v>7242977</v>
      </c>
      <c r="C33" s="62"/>
      <c r="D33" s="85">
        <v>200</v>
      </c>
      <c r="E33" s="61"/>
      <c r="F33" s="62">
        <f t="shared" si="0"/>
        <v>200</v>
      </c>
      <c r="H33" s="59"/>
    </row>
    <row r="34" spans="1:8" ht="15.5" x14ac:dyDescent="0.35">
      <c r="A34" s="84" t="s">
        <v>885</v>
      </c>
      <c r="B34" s="84">
        <v>4296950</v>
      </c>
      <c r="C34" s="62"/>
      <c r="D34" s="85">
        <v>500</v>
      </c>
      <c r="E34" s="61"/>
      <c r="F34" s="62">
        <f t="shared" si="0"/>
        <v>500</v>
      </c>
      <c r="H34" s="59"/>
    </row>
    <row r="35" spans="1:8" ht="15.5" x14ac:dyDescent="0.35">
      <c r="A35" s="84" t="s">
        <v>886</v>
      </c>
      <c r="B35" s="84">
        <v>283796</v>
      </c>
      <c r="C35" s="62"/>
      <c r="D35" s="85">
        <v>800</v>
      </c>
      <c r="E35" s="61"/>
      <c r="F35" s="62">
        <f t="shared" si="0"/>
        <v>800</v>
      </c>
      <c r="H35" s="59"/>
    </row>
    <row r="36" spans="1:8" ht="15.5" x14ac:dyDescent="0.35">
      <c r="A36" s="86" t="s">
        <v>887</v>
      </c>
      <c r="B36" s="86">
        <v>311365</v>
      </c>
      <c r="C36" s="62"/>
      <c r="D36" s="85">
        <v>100</v>
      </c>
      <c r="E36" s="61"/>
      <c r="F36" s="62">
        <f t="shared" si="0"/>
        <v>100</v>
      </c>
      <c r="H36" s="59"/>
    </row>
    <row r="37" spans="1:8" ht="15.5" x14ac:dyDescent="0.35">
      <c r="A37" s="87" t="s">
        <v>888</v>
      </c>
      <c r="B37" s="86"/>
      <c r="C37" s="62"/>
      <c r="D37" s="62">
        <v>2000</v>
      </c>
      <c r="E37" s="61"/>
      <c r="F37" s="62">
        <f t="shared" si="0"/>
        <v>2000</v>
      </c>
      <c r="H37" s="59"/>
    </row>
    <row r="38" spans="1:8" ht="15.5" x14ac:dyDescent="0.35">
      <c r="A38" s="87" t="s">
        <v>889</v>
      </c>
      <c r="B38" s="86"/>
      <c r="C38" s="62"/>
      <c r="D38" s="62">
        <v>38.75</v>
      </c>
      <c r="E38" s="61"/>
      <c r="F38" s="62">
        <f t="shared" si="0"/>
        <v>38.75</v>
      </c>
      <c r="H38" s="59"/>
    </row>
    <row r="39" spans="1:8" ht="15.5" x14ac:dyDescent="0.35">
      <c r="A39" s="87" t="s">
        <v>890</v>
      </c>
      <c r="B39" s="86">
        <v>16113</v>
      </c>
      <c r="C39" s="62">
        <v>1530</v>
      </c>
      <c r="D39" s="61"/>
      <c r="E39" s="61"/>
      <c r="F39" s="62">
        <f t="shared" si="0"/>
        <v>1530</v>
      </c>
      <c r="H39" s="59"/>
    </row>
    <row r="40" spans="1:8" ht="15.5" x14ac:dyDescent="0.35">
      <c r="A40" s="87" t="s">
        <v>25</v>
      </c>
      <c r="B40" s="86">
        <v>22699</v>
      </c>
      <c r="C40" s="62">
        <v>1165</v>
      </c>
      <c r="D40" s="62"/>
      <c r="E40" s="61"/>
      <c r="F40" s="62">
        <f t="shared" si="0"/>
        <v>1165</v>
      </c>
      <c r="H40" s="59"/>
    </row>
    <row r="41" spans="1:8" ht="15.5" x14ac:dyDescent="0.35">
      <c r="A41" s="87" t="s">
        <v>891</v>
      </c>
      <c r="B41" s="86">
        <v>7805708</v>
      </c>
      <c r="C41" s="62"/>
      <c r="D41" s="62">
        <v>100</v>
      </c>
      <c r="E41" s="61"/>
      <c r="F41" s="62">
        <f t="shared" si="0"/>
        <v>100</v>
      </c>
      <c r="H41" s="59"/>
    </row>
    <row r="42" spans="1:8" ht="15.5" x14ac:dyDescent="0.35">
      <c r="A42" s="87" t="s">
        <v>892</v>
      </c>
      <c r="B42" s="86">
        <v>5607270</v>
      </c>
      <c r="C42" s="62"/>
      <c r="D42" s="62">
        <v>2846.55</v>
      </c>
      <c r="E42" s="61"/>
      <c r="F42" s="62">
        <f t="shared" si="0"/>
        <v>2846.55</v>
      </c>
      <c r="H42" s="59"/>
    </row>
    <row r="43" spans="1:8" ht="15.5" x14ac:dyDescent="0.35">
      <c r="A43" s="87" t="s">
        <v>893</v>
      </c>
      <c r="B43" s="86">
        <v>311373</v>
      </c>
      <c r="C43" s="62"/>
      <c r="D43" s="62">
        <v>1000</v>
      </c>
      <c r="E43" s="61"/>
      <c r="F43" s="62">
        <f t="shared" si="0"/>
        <v>1000</v>
      </c>
      <c r="H43" s="59"/>
    </row>
    <row r="44" spans="1:8" ht="15.5" x14ac:dyDescent="0.35">
      <c r="A44" s="87" t="s">
        <v>894</v>
      </c>
      <c r="B44" s="86"/>
      <c r="C44" s="62"/>
      <c r="D44" s="62">
        <v>68.5</v>
      </c>
      <c r="E44" s="61"/>
      <c r="F44" s="62">
        <f t="shared" si="0"/>
        <v>68.5</v>
      </c>
      <c r="H44" s="59"/>
    </row>
    <row r="45" spans="1:8" ht="15.5" x14ac:dyDescent="0.35">
      <c r="A45" s="87" t="s">
        <v>895</v>
      </c>
      <c r="B45" s="86"/>
      <c r="C45" s="62"/>
      <c r="D45" s="62">
        <v>150</v>
      </c>
      <c r="E45" s="61"/>
      <c r="F45" s="62">
        <f t="shared" si="0"/>
        <v>150</v>
      </c>
      <c r="H45" s="59"/>
    </row>
    <row r="46" spans="1:8" ht="15.5" x14ac:dyDescent="0.35">
      <c r="A46" s="87" t="s">
        <v>26</v>
      </c>
      <c r="B46" s="86">
        <v>40436</v>
      </c>
      <c r="C46" s="62"/>
      <c r="D46" s="62">
        <v>1000</v>
      </c>
      <c r="E46" s="61"/>
      <c r="F46" s="62">
        <f t="shared" si="0"/>
        <v>1000</v>
      </c>
      <c r="H46" s="59"/>
    </row>
    <row r="47" spans="1:8" ht="15.5" x14ac:dyDescent="0.35">
      <c r="A47" s="87" t="s">
        <v>896</v>
      </c>
      <c r="B47" s="86">
        <v>7808447</v>
      </c>
      <c r="C47" s="62"/>
      <c r="D47" s="62">
        <v>2500</v>
      </c>
      <c r="E47" s="61" t="s">
        <v>848</v>
      </c>
      <c r="F47" s="62">
        <f t="shared" si="0"/>
        <v>2500</v>
      </c>
      <c r="H47" s="69"/>
    </row>
    <row r="48" spans="1:8" ht="15.5" x14ac:dyDescent="0.35">
      <c r="A48" s="87"/>
      <c r="B48" s="86"/>
      <c r="C48" s="62"/>
      <c r="D48" s="62"/>
      <c r="E48" s="61"/>
      <c r="F48" s="62"/>
    </row>
    <row r="49" spans="1:6" ht="15.5" x14ac:dyDescent="0.35">
      <c r="A49" s="87"/>
      <c r="B49" s="86"/>
      <c r="C49" s="62"/>
      <c r="D49" s="62"/>
      <c r="E49" s="61"/>
      <c r="F49" s="62"/>
    </row>
    <row r="50" spans="1:6" ht="15.5" x14ac:dyDescent="0.35">
      <c r="A50" s="87"/>
      <c r="B50" s="86"/>
      <c r="C50" s="62"/>
      <c r="D50" s="62"/>
      <c r="E50" s="61"/>
      <c r="F50" s="62"/>
    </row>
    <row r="51" spans="1:6" ht="15.5" x14ac:dyDescent="0.35">
      <c r="A51" s="87"/>
      <c r="B51" s="86"/>
      <c r="C51" s="62"/>
      <c r="D51" s="62"/>
      <c r="E51" s="61"/>
      <c r="F51" s="62"/>
    </row>
    <row r="52" spans="1:6" ht="15.5" x14ac:dyDescent="0.35">
      <c r="A52" s="87" t="s">
        <v>897</v>
      </c>
      <c r="B52" s="86"/>
      <c r="C52" s="62">
        <v>7600</v>
      </c>
      <c r="D52" s="62"/>
      <c r="E52" s="61"/>
      <c r="F52" s="62">
        <f t="shared" si="0"/>
        <v>7600</v>
      </c>
    </row>
    <row r="53" spans="1:6" ht="15.5" x14ac:dyDescent="0.35">
      <c r="A53" s="87"/>
      <c r="B53" s="87"/>
      <c r="C53" s="62"/>
      <c r="D53" s="88"/>
      <c r="E53" s="64"/>
      <c r="F53" s="62"/>
    </row>
    <row r="54" spans="1:6" ht="15.5" x14ac:dyDescent="0.35">
      <c r="A54" s="87"/>
      <c r="B54" s="87"/>
      <c r="C54" s="62"/>
      <c r="D54" s="88"/>
      <c r="E54" s="64"/>
      <c r="F54" s="62"/>
    </row>
    <row r="55" spans="1:6" ht="15.5" x14ac:dyDescent="0.35">
      <c r="A55" s="56" t="s">
        <v>898</v>
      </c>
      <c r="B55" s="87"/>
      <c r="C55" s="65">
        <f>SUM(C2:C54)</f>
        <v>39235</v>
      </c>
      <c r="D55" s="65">
        <f>SUM(D2:D54)</f>
        <v>29705.8</v>
      </c>
      <c r="E55" s="64"/>
      <c r="F55" s="65">
        <f>SUM(C55:E55)</f>
        <v>68940.800000000003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16F660-42EB-4A85-B697-F31960A4F2D7}">
  <sheetPr codeName="Sheet8"/>
  <dimension ref="A1:K16"/>
  <sheetViews>
    <sheetView workbookViewId="0">
      <selection activeCell="I20" sqref="I20"/>
    </sheetView>
  </sheetViews>
  <sheetFormatPr defaultRowHeight="14.5" x14ac:dyDescent="0.35"/>
  <sheetData>
    <row r="1" spans="1:11" x14ac:dyDescent="0.35">
      <c r="A1" s="3" t="s">
        <v>0</v>
      </c>
      <c r="B1" s="1"/>
    </row>
    <row r="3" spans="1:11" x14ac:dyDescent="0.35">
      <c r="A3" s="3" t="s">
        <v>3</v>
      </c>
      <c r="B3" t="s">
        <v>4</v>
      </c>
      <c r="C3" t="s">
        <v>7</v>
      </c>
      <c r="D3" t="s">
        <v>8</v>
      </c>
      <c r="E3" t="s">
        <v>9</v>
      </c>
      <c r="F3" t="s">
        <v>899</v>
      </c>
      <c r="G3" t="s">
        <v>829</v>
      </c>
      <c r="H3" t="s">
        <v>11</v>
      </c>
      <c r="I3" t="s">
        <v>12</v>
      </c>
    </row>
    <row r="4" spans="1:11" x14ac:dyDescent="0.35">
      <c r="A4" s="19"/>
      <c r="B4" s="19" t="s">
        <v>900</v>
      </c>
      <c r="C4" s="36">
        <v>3645</v>
      </c>
      <c r="D4" s="36">
        <v>2929</v>
      </c>
      <c r="E4" s="36">
        <v>1636</v>
      </c>
      <c r="F4" s="36"/>
      <c r="G4" s="36"/>
      <c r="H4" s="36"/>
      <c r="I4" s="36">
        <v>6</v>
      </c>
      <c r="J4" s="19"/>
      <c r="K4" s="19"/>
    </row>
    <row r="5" spans="1:11" x14ac:dyDescent="0.35">
      <c r="A5" s="19"/>
      <c r="B5" s="19" t="s">
        <v>901</v>
      </c>
      <c r="C5" s="36">
        <v>4841</v>
      </c>
      <c r="D5" s="36">
        <v>3717</v>
      </c>
      <c r="E5" s="36">
        <v>1470</v>
      </c>
      <c r="F5" s="36"/>
      <c r="G5" s="36">
        <v>2</v>
      </c>
      <c r="H5" s="36">
        <v>4</v>
      </c>
      <c r="I5" s="36">
        <v>6</v>
      </c>
      <c r="J5" s="19"/>
      <c r="K5" s="19"/>
    </row>
    <row r="6" spans="1:11" x14ac:dyDescent="0.35">
      <c r="A6" s="19"/>
      <c r="B6" s="19" t="s">
        <v>902</v>
      </c>
      <c r="C6" s="19">
        <v>3542</v>
      </c>
      <c r="D6" s="19">
        <v>6049</v>
      </c>
      <c r="E6" s="19">
        <v>1267</v>
      </c>
      <c r="F6" s="19"/>
      <c r="G6" s="19"/>
      <c r="H6" s="19"/>
      <c r="I6" s="19"/>
      <c r="J6" s="19"/>
      <c r="K6" s="19"/>
    </row>
    <row r="7" spans="1:11" x14ac:dyDescent="0.35">
      <c r="A7" s="19"/>
      <c r="B7" s="19" t="s">
        <v>237</v>
      </c>
      <c r="C7" s="19">
        <v>634</v>
      </c>
      <c r="D7" s="19">
        <v>445</v>
      </c>
      <c r="E7" s="19">
        <v>451</v>
      </c>
      <c r="F7" s="19"/>
      <c r="G7" s="19"/>
      <c r="H7" s="19"/>
      <c r="I7" s="19"/>
      <c r="J7" s="19"/>
      <c r="K7" s="19"/>
    </row>
    <row r="8" spans="1:11" x14ac:dyDescent="0.35">
      <c r="A8" s="19"/>
      <c r="B8" s="19"/>
      <c r="C8" s="19"/>
      <c r="D8" s="19"/>
      <c r="E8" s="19"/>
      <c r="F8" s="19"/>
      <c r="G8" s="19"/>
      <c r="H8" s="19"/>
      <c r="I8" s="19"/>
      <c r="J8" s="19"/>
      <c r="K8" s="19"/>
    </row>
    <row r="9" spans="1:11" x14ac:dyDescent="0.35">
      <c r="A9" s="19"/>
      <c r="B9" s="19"/>
      <c r="C9" s="19"/>
      <c r="D9" s="19"/>
      <c r="E9" s="19"/>
      <c r="F9" s="19"/>
      <c r="G9" s="19"/>
      <c r="H9" s="19"/>
      <c r="I9" s="19"/>
      <c r="J9" s="19"/>
      <c r="K9" s="19"/>
    </row>
    <row r="10" spans="1:11" x14ac:dyDescent="0.3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19"/>
    </row>
    <row r="11" spans="1:11" x14ac:dyDescent="0.3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</row>
    <row r="12" spans="1:11" x14ac:dyDescent="0.3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</row>
    <row r="13" spans="1:11" x14ac:dyDescent="0.35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</row>
    <row r="14" spans="1:11" x14ac:dyDescent="0.35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</row>
    <row r="15" spans="1:11" x14ac:dyDescent="0.35">
      <c r="A15" s="19"/>
      <c r="B15" s="19"/>
      <c r="C15" s="20"/>
      <c r="D15" s="19"/>
      <c r="E15" s="19"/>
      <c r="F15" s="19"/>
      <c r="G15" s="19"/>
      <c r="H15" s="19"/>
      <c r="I15" s="19"/>
      <c r="J15" s="19"/>
      <c r="K15" s="19"/>
    </row>
    <row r="16" spans="1:11" x14ac:dyDescent="0.35">
      <c r="B16" s="3" t="s">
        <v>49</v>
      </c>
      <c r="C16">
        <f>SUM(C4:C15)</f>
        <v>12662</v>
      </c>
      <c r="D16">
        <f t="shared" ref="D16:H16" si="0">SUM(D4:D15)</f>
        <v>13140</v>
      </c>
      <c r="E16">
        <f t="shared" si="0"/>
        <v>4824</v>
      </c>
      <c r="F16">
        <f t="shared" si="0"/>
        <v>0</v>
      </c>
      <c r="G16">
        <f t="shared" si="0"/>
        <v>2</v>
      </c>
      <c r="H16">
        <f t="shared" si="0"/>
        <v>4</v>
      </c>
      <c r="I16">
        <f>SUM(I4:I15)</f>
        <v>12</v>
      </c>
      <c r="J16" s="3" t="s">
        <v>49</v>
      </c>
      <c r="K16">
        <f>SUM(C16:I16)</f>
        <v>30644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F22F3-D45C-40AA-9CBE-9DD410EE953C}">
  <sheetPr codeName="Sheet9"/>
  <dimension ref="A1:AE42"/>
  <sheetViews>
    <sheetView workbookViewId="0">
      <pane xSplit="12" ySplit="3" topLeftCell="M4" activePane="bottomRight" state="frozen"/>
      <selection pane="topRight" activeCell="L1" sqref="L1"/>
      <selection pane="bottomLeft" activeCell="A4" sqref="A4"/>
      <selection pane="bottomRight" activeCell="K23" sqref="K5:K23"/>
    </sheetView>
  </sheetViews>
  <sheetFormatPr defaultRowHeight="14.5" x14ac:dyDescent="0.35"/>
  <cols>
    <col min="5" max="12" width="9" customWidth="1"/>
  </cols>
  <sheetData>
    <row r="1" spans="1:31" x14ac:dyDescent="0.35">
      <c r="A1" s="3" t="s">
        <v>0</v>
      </c>
      <c r="B1" s="43">
        <v>44369</v>
      </c>
      <c r="C1" s="3"/>
      <c r="D1" s="1"/>
      <c r="N1" s="3"/>
      <c r="O1" s="14"/>
      <c r="Q1" s="3"/>
      <c r="R1" s="14"/>
      <c r="T1" s="3"/>
      <c r="U1" s="14"/>
      <c r="W1" s="3"/>
      <c r="X1" s="14"/>
      <c r="Z1" s="3"/>
      <c r="AA1" s="14"/>
      <c r="AC1" s="3"/>
      <c r="AD1" s="14"/>
    </row>
    <row r="2" spans="1:31" x14ac:dyDescent="0.35">
      <c r="M2" t="s">
        <v>638</v>
      </c>
      <c r="N2" s="3" t="s">
        <v>639</v>
      </c>
      <c r="O2" s="14"/>
      <c r="P2" t="s">
        <v>638</v>
      </c>
      <c r="Q2" s="3" t="s">
        <v>639</v>
      </c>
      <c r="R2" s="14"/>
      <c r="S2" t="s">
        <v>638</v>
      </c>
      <c r="T2" s="3" t="s">
        <v>639</v>
      </c>
      <c r="U2" s="14"/>
      <c r="V2" t="s">
        <v>638</v>
      </c>
      <c r="W2" s="3" t="s">
        <v>639</v>
      </c>
      <c r="X2" s="14"/>
      <c r="Y2" t="s">
        <v>638</v>
      </c>
      <c r="Z2" s="3" t="s">
        <v>639</v>
      </c>
      <c r="AA2" s="14"/>
      <c r="AB2" t="s">
        <v>638</v>
      </c>
      <c r="AC2" s="3" t="s">
        <v>639</v>
      </c>
      <c r="AD2" s="14"/>
    </row>
    <row r="3" spans="1:31" x14ac:dyDescent="0.35">
      <c r="A3" t="s">
        <v>903</v>
      </c>
      <c r="B3" t="s">
        <v>904</v>
      </c>
      <c r="C3" t="s">
        <v>905</v>
      </c>
      <c r="D3" t="s">
        <v>55</v>
      </c>
      <c r="E3" t="s">
        <v>56</v>
      </c>
      <c r="F3" t="s">
        <v>57</v>
      </c>
      <c r="G3" t="s">
        <v>58</v>
      </c>
      <c r="H3" t="s">
        <v>59</v>
      </c>
      <c r="I3" t="s">
        <v>60</v>
      </c>
      <c r="J3" t="s">
        <v>61</v>
      </c>
      <c r="K3" t="s">
        <v>62</v>
      </c>
      <c r="L3" t="s">
        <v>63</v>
      </c>
      <c r="M3" t="s">
        <v>64</v>
      </c>
      <c r="N3" s="3" t="s">
        <v>64</v>
      </c>
      <c r="O3" s="14" t="s">
        <v>65</v>
      </c>
      <c r="P3" t="s">
        <v>66</v>
      </c>
      <c r="Q3" s="3" t="s">
        <v>66</v>
      </c>
      <c r="R3" s="14" t="s">
        <v>65</v>
      </c>
      <c r="S3" t="s">
        <v>67</v>
      </c>
      <c r="T3" s="3" t="s">
        <v>67</v>
      </c>
      <c r="U3" s="14" t="s">
        <v>65</v>
      </c>
      <c r="V3" t="s">
        <v>10</v>
      </c>
      <c r="W3" s="3" t="s">
        <v>10</v>
      </c>
      <c r="X3" s="14" t="s">
        <v>65</v>
      </c>
      <c r="Y3" t="s">
        <v>68</v>
      </c>
      <c r="Z3" s="3" t="s">
        <v>68</v>
      </c>
      <c r="AA3" s="14" t="s">
        <v>65</v>
      </c>
      <c r="AB3" t="s">
        <v>69</v>
      </c>
      <c r="AC3" s="3" t="s">
        <v>69</v>
      </c>
      <c r="AD3" s="14" t="s">
        <v>65</v>
      </c>
      <c r="AE3" t="s">
        <v>73</v>
      </c>
    </row>
    <row r="4" spans="1:31" x14ac:dyDescent="0.35">
      <c r="A4" s="3" t="s">
        <v>906</v>
      </c>
      <c r="B4" s="3"/>
      <c r="N4" s="3"/>
      <c r="O4" s="14"/>
      <c r="Q4" s="3"/>
      <c r="R4" s="14"/>
      <c r="T4" s="3"/>
      <c r="U4" s="14"/>
      <c r="W4" s="3"/>
      <c r="X4" s="14"/>
      <c r="Z4" s="3"/>
      <c r="AA4" s="14"/>
      <c r="AC4" s="3"/>
      <c r="AD4" s="14"/>
    </row>
    <row r="5" spans="1:31" x14ac:dyDescent="0.35">
      <c r="D5" s="25" t="s">
        <v>198</v>
      </c>
      <c r="E5" s="26" t="s">
        <v>199</v>
      </c>
      <c r="F5" s="26" t="s">
        <v>200</v>
      </c>
      <c r="G5" s="26"/>
      <c r="H5" s="26"/>
      <c r="I5" s="26"/>
      <c r="J5" s="26" t="s">
        <v>204</v>
      </c>
      <c r="K5" s="27"/>
      <c r="L5" s="26" t="s">
        <v>82</v>
      </c>
      <c r="M5" s="34">
        <v>1000</v>
      </c>
      <c r="N5" s="34">
        <v>1000</v>
      </c>
      <c r="O5" s="16">
        <f>SUM($M$7/(SUM($N$5:$N$5)))*N5</f>
        <v>3542</v>
      </c>
      <c r="P5" s="34">
        <v>1000</v>
      </c>
      <c r="Q5" s="34">
        <v>1000</v>
      </c>
      <c r="R5" s="16">
        <f>SUM($P$7/(SUM($Q$5:$Q$5)))*Q5</f>
        <v>6049</v>
      </c>
      <c r="S5" s="34">
        <v>1000</v>
      </c>
      <c r="T5" s="34">
        <v>1000</v>
      </c>
      <c r="U5" s="16">
        <f>SUM($S$7/(SUM($T$5:$T$5)))*T5</f>
        <v>1267</v>
      </c>
      <c r="V5" s="34">
        <v>0</v>
      </c>
      <c r="W5" s="34">
        <v>0</v>
      </c>
      <c r="X5" s="16">
        <v>0</v>
      </c>
      <c r="Y5" s="34">
        <v>500</v>
      </c>
      <c r="Z5" s="34">
        <v>500</v>
      </c>
      <c r="AA5" s="16">
        <v>0</v>
      </c>
      <c r="AB5" s="34">
        <v>500</v>
      </c>
      <c r="AC5" s="34">
        <v>500</v>
      </c>
      <c r="AD5" s="16">
        <v>0</v>
      </c>
      <c r="AE5" s="5" t="s">
        <v>907</v>
      </c>
    </row>
    <row r="6" spans="1:31" x14ac:dyDescent="0.35">
      <c r="D6" s="25"/>
      <c r="E6" s="26"/>
      <c r="F6" s="26"/>
      <c r="G6" s="26"/>
      <c r="H6" s="26"/>
      <c r="I6" s="26"/>
      <c r="J6" s="26"/>
      <c r="K6" s="27"/>
      <c r="L6" s="26"/>
      <c r="M6" s="34"/>
      <c r="N6" s="34"/>
      <c r="O6" s="16"/>
      <c r="P6" s="34"/>
      <c r="Q6" s="34"/>
      <c r="R6" s="16"/>
      <c r="S6" s="34"/>
      <c r="T6" s="34"/>
      <c r="U6" s="16"/>
      <c r="V6" s="34"/>
      <c r="W6" s="34"/>
      <c r="X6" s="16"/>
      <c r="Y6" s="34"/>
      <c r="Z6" s="34"/>
      <c r="AA6" s="16"/>
      <c r="AB6" s="34"/>
      <c r="AC6" s="34"/>
      <c r="AD6" s="16"/>
      <c r="AE6" s="5"/>
    </row>
    <row r="7" spans="1:31" s="44" customFormat="1" x14ac:dyDescent="0.35">
      <c r="L7" s="44" t="s">
        <v>633</v>
      </c>
      <c r="M7" s="44">
        <f>T35</f>
        <v>3542</v>
      </c>
      <c r="P7" s="44">
        <f>U35</f>
        <v>6049</v>
      </c>
      <c r="S7" s="44">
        <f>V35</f>
        <v>1267</v>
      </c>
      <c r="V7" s="44">
        <f>W35</f>
        <v>0</v>
      </c>
      <c r="Y7" s="44">
        <f>X35</f>
        <v>0</v>
      </c>
      <c r="AB7" s="44">
        <f>Y35</f>
        <v>0</v>
      </c>
    </row>
    <row r="8" spans="1:31" s="44" customFormat="1" x14ac:dyDescent="0.35">
      <c r="L8" s="44" t="s">
        <v>908</v>
      </c>
      <c r="M8" s="45">
        <f>SUM(M4:M5)</f>
        <v>1000</v>
      </c>
      <c r="P8" s="45">
        <f>SUM(P5)</f>
        <v>1000</v>
      </c>
      <c r="S8" s="45">
        <f>SUM(S5)</f>
        <v>1000</v>
      </c>
      <c r="V8" s="45">
        <f>SUM(V5)</f>
        <v>0</v>
      </c>
      <c r="Y8" s="45">
        <f>SUM(Y5)</f>
        <v>500</v>
      </c>
      <c r="AB8" s="45">
        <f>SUM(AB5)</f>
        <v>500</v>
      </c>
    </row>
    <row r="9" spans="1:31" s="44" customFormat="1" x14ac:dyDescent="0.35">
      <c r="L9" s="44" t="s">
        <v>909</v>
      </c>
      <c r="M9" s="45">
        <f>SUM(M7-M8)</f>
        <v>2542</v>
      </c>
      <c r="P9" s="45">
        <f>SUM(P7-P8)</f>
        <v>5049</v>
      </c>
      <c r="S9" s="45">
        <f>SUM(S7-S8)</f>
        <v>267</v>
      </c>
      <c r="V9" s="45">
        <f>SUM(V7-V8)</f>
        <v>0</v>
      </c>
      <c r="Y9" s="45">
        <f>SUM(Y7-Y8)</f>
        <v>-500</v>
      </c>
      <c r="AB9" s="45">
        <f>SUM(AB7-AB8)</f>
        <v>-500</v>
      </c>
    </row>
    <row r="10" spans="1:31" x14ac:dyDescent="0.35">
      <c r="D10" s="25"/>
      <c r="E10" s="26"/>
      <c r="F10" s="26"/>
      <c r="G10" s="26"/>
      <c r="H10" s="26"/>
      <c r="I10" s="26"/>
      <c r="J10" s="26"/>
      <c r="K10" s="27"/>
      <c r="L10" s="26"/>
      <c r="M10" s="34"/>
      <c r="N10" s="34"/>
      <c r="O10" s="16"/>
      <c r="P10" s="34"/>
      <c r="Q10" s="34"/>
      <c r="R10" s="16"/>
      <c r="S10" s="34"/>
      <c r="T10" s="34"/>
      <c r="U10" s="16"/>
      <c r="V10" s="34"/>
      <c r="W10" s="34"/>
      <c r="X10" s="16"/>
      <c r="Y10" s="34"/>
      <c r="Z10" s="34"/>
      <c r="AA10" s="16"/>
      <c r="AB10" s="34"/>
      <c r="AC10" s="34"/>
      <c r="AD10" s="16"/>
      <c r="AE10" s="5"/>
    </row>
    <row r="11" spans="1:31" x14ac:dyDescent="0.35">
      <c r="A11" s="3" t="s">
        <v>901</v>
      </c>
      <c r="B11" s="3"/>
      <c r="D11" s="25"/>
      <c r="E11" s="26"/>
      <c r="F11" s="26"/>
      <c r="G11" s="26"/>
      <c r="H11" s="26"/>
      <c r="I11" s="26"/>
      <c r="J11" s="26"/>
      <c r="K11" s="27"/>
      <c r="L11" s="26"/>
      <c r="M11" s="34"/>
      <c r="N11" s="34"/>
      <c r="O11" s="16"/>
      <c r="P11" s="34"/>
      <c r="Q11" s="34"/>
      <c r="R11" s="16"/>
      <c r="S11" s="34"/>
      <c r="T11" s="34"/>
      <c r="U11" s="16"/>
      <c r="V11" s="34"/>
      <c r="W11" s="34"/>
      <c r="X11" s="16"/>
      <c r="Y11" s="34"/>
      <c r="Z11" s="34"/>
      <c r="AA11" s="16"/>
      <c r="AB11" s="34"/>
      <c r="AC11" s="34"/>
      <c r="AD11" s="16"/>
      <c r="AE11" s="5"/>
    </row>
    <row r="12" spans="1:31" x14ac:dyDescent="0.35">
      <c r="D12" s="28" t="s">
        <v>415</v>
      </c>
      <c r="E12" s="29" t="s">
        <v>416</v>
      </c>
      <c r="F12" s="29" t="s">
        <v>417</v>
      </c>
      <c r="G12" s="29"/>
      <c r="H12" s="29"/>
      <c r="I12" s="29"/>
      <c r="J12" s="29" t="s">
        <v>421</v>
      </c>
      <c r="K12" s="30"/>
      <c r="L12" s="29" t="s">
        <v>82</v>
      </c>
      <c r="M12" s="35">
        <v>500</v>
      </c>
      <c r="N12" s="35">
        <v>500</v>
      </c>
      <c r="O12" s="16">
        <f>SUM($M$15/(SUM($N$12:$N$13)))*N12</f>
        <v>1613.6666666666665</v>
      </c>
      <c r="P12" s="35">
        <v>500</v>
      </c>
      <c r="Q12" s="35">
        <v>500</v>
      </c>
      <c r="R12" s="16">
        <f>SUM($P$15/(SUM($Q$12:$Q$13)))*Q12</f>
        <v>2859.2307692307691</v>
      </c>
      <c r="S12" s="35">
        <v>500</v>
      </c>
      <c r="T12" s="35">
        <v>500</v>
      </c>
      <c r="U12" s="16">
        <f>SUM($S$15/(SUM($T$12:$T$13)))*T12</f>
        <v>490</v>
      </c>
      <c r="V12" s="35">
        <v>0</v>
      </c>
      <c r="W12" s="35">
        <v>0</v>
      </c>
      <c r="X12" s="16">
        <f>SUM($V$15/(SUM($W$12:$W$13)))*W12</f>
        <v>0</v>
      </c>
      <c r="Y12" s="35">
        <v>0</v>
      </c>
      <c r="Z12" s="35">
        <v>0</v>
      </c>
      <c r="AA12" s="16">
        <f>SUM($Y$15/(SUM($Z$12:$Z$13)))*Z12</f>
        <v>0</v>
      </c>
      <c r="AB12" s="35">
        <v>0</v>
      </c>
      <c r="AC12" s="35">
        <v>0</v>
      </c>
      <c r="AD12" s="16">
        <f>SUM($AB$15/(SUM($AC$12:$AC$13)))*AC12</f>
        <v>0</v>
      </c>
      <c r="AE12" s="5" t="s">
        <v>910</v>
      </c>
    </row>
    <row r="13" spans="1:31" x14ac:dyDescent="0.35">
      <c r="D13" s="25" t="s">
        <v>423</v>
      </c>
      <c r="E13" s="26" t="s">
        <v>424</v>
      </c>
      <c r="F13" s="26" t="s">
        <v>425</v>
      </c>
      <c r="G13" s="26"/>
      <c r="H13" s="26"/>
      <c r="I13" s="26"/>
      <c r="J13" s="26" t="s">
        <v>429</v>
      </c>
      <c r="K13" s="27"/>
      <c r="L13" s="26" t="s">
        <v>82</v>
      </c>
      <c r="M13" s="34">
        <v>1000</v>
      </c>
      <c r="N13" s="34">
        <v>1000</v>
      </c>
      <c r="O13" s="16">
        <f>SUM($M$15/(SUM($N$12:$N$13)))*N13</f>
        <v>3227.333333333333</v>
      </c>
      <c r="P13" s="34">
        <v>0</v>
      </c>
      <c r="Q13" s="34">
        <v>150</v>
      </c>
      <c r="R13" s="16">
        <f>SUM($P$15/(SUM($Q$12:$Q$13)))*Q13</f>
        <v>857.76923076923072</v>
      </c>
      <c r="S13" s="34">
        <v>1000</v>
      </c>
      <c r="T13" s="34">
        <v>1000</v>
      </c>
      <c r="U13" s="16">
        <f>SUM($S$15/(SUM($T$12:$T$13)))*T13</f>
        <v>980</v>
      </c>
      <c r="V13" s="34">
        <v>0</v>
      </c>
      <c r="W13" s="34">
        <v>100</v>
      </c>
      <c r="X13" s="16">
        <f>SUM($V$15/(SUM($W$12:$W$13)))*W13</f>
        <v>2</v>
      </c>
      <c r="Y13" s="34">
        <v>500</v>
      </c>
      <c r="Z13" s="34">
        <v>500</v>
      </c>
      <c r="AA13" s="16">
        <f>SUM($Y$15/(SUM($Z$12:$Z$13)))*Z13</f>
        <v>4</v>
      </c>
      <c r="AB13" s="34">
        <v>0</v>
      </c>
      <c r="AC13" s="34">
        <v>100</v>
      </c>
      <c r="AD13" s="16">
        <f>SUM($AB$15/(SUM($AC$12:$AC$13)))*AC13</f>
        <v>6</v>
      </c>
      <c r="AE13" s="5" t="s">
        <v>910</v>
      </c>
    </row>
    <row r="14" spans="1:31" x14ac:dyDescent="0.35">
      <c r="D14" s="25"/>
      <c r="E14" s="26"/>
      <c r="F14" s="26"/>
      <c r="G14" s="26"/>
      <c r="H14" s="26"/>
      <c r="I14" s="26"/>
      <c r="J14" s="26"/>
      <c r="K14" s="27"/>
      <c r="L14" s="26"/>
      <c r="M14" s="34"/>
      <c r="N14" s="34"/>
      <c r="O14" s="16"/>
      <c r="P14" s="34"/>
      <c r="Q14" s="34"/>
      <c r="R14" s="16"/>
      <c r="S14" s="34"/>
      <c r="T14" s="34"/>
      <c r="U14" s="16"/>
      <c r="V14" s="34"/>
      <c r="W14" s="34"/>
      <c r="X14" s="16"/>
      <c r="Y14" s="34"/>
      <c r="Z14" s="34"/>
      <c r="AA14" s="16"/>
      <c r="AB14" s="34"/>
      <c r="AC14" s="34"/>
      <c r="AD14" s="16"/>
      <c r="AE14" s="5"/>
    </row>
    <row r="15" spans="1:31" s="44" customFormat="1" x14ac:dyDescent="0.35">
      <c r="L15" s="44" t="s">
        <v>633</v>
      </c>
      <c r="M15" s="44">
        <f>T34</f>
        <v>4841</v>
      </c>
      <c r="P15" s="44">
        <f>U34</f>
        <v>3717</v>
      </c>
      <c r="S15" s="44">
        <f>V34</f>
        <v>1470</v>
      </c>
      <c r="V15" s="44">
        <f>W34</f>
        <v>2</v>
      </c>
      <c r="Y15" s="44">
        <f>X34</f>
        <v>4</v>
      </c>
      <c r="AB15" s="44">
        <f>Y34</f>
        <v>6</v>
      </c>
    </row>
    <row r="16" spans="1:31" s="44" customFormat="1" x14ac:dyDescent="0.35">
      <c r="L16" s="44" t="s">
        <v>908</v>
      </c>
      <c r="M16" s="45">
        <f>SUM(M12:M13)</f>
        <v>1500</v>
      </c>
      <c r="P16" s="45">
        <f>SUM(P12:P13)</f>
        <v>500</v>
      </c>
      <c r="S16" s="45">
        <f>SUM(S12:S13)</f>
        <v>1500</v>
      </c>
      <c r="V16" s="45">
        <f>SUM(V12:V13)</f>
        <v>0</v>
      </c>
      <c r="Y16" s="45">
        <f>SUM(Y12:Y13)</f>
        <v>500</v>
      </c>
      <c r="AB16" s="45">
        <f>SUM(AB12:AB13)</f>
        <v>0</v>
      </c>
    </row>
    <row r="17" spans="1:31" s="44" customFormat="1" x14ac:dyDescent="0.35">
      <c r="L17" s="44" t="s">
        <v>909</v>
      </c>
      <c r="M17" s="45">
        <f>SUM(M15-M16)</f>
        <v>3341</v>
      </c>
      <c r="P17" s="45">
        <f>SUM(P15-P16)</f>
        <v>3217</v>
      </c>
      <c r="S17" s="45">
        <f>SUM(S15-S16)</f>
        <v>-30</v>
      </c>
      <c r="V17" s="45">
        <f>SUM(V15-V16)</f>
        <v>2</v>
      </c>
      <c r="Y17" s="45">
        <f>SUM(Y15-Y16)</f>
        <v>-496</v>
      </c>
      <c r="AB17" s="45">
        <f>SUM(AB15-AB16)</f>
        <v>6</v>
      </c>
    </row>
    <row r="18" spans="1:31" x14ac:dyDescent="0.35">
      <c r="D18" s="25"/>
      <c r="E18" s="26"/>
      <c r="F18" s="26"/>
      <c r="G18" s="26"/>
      <c r="H18" s="26"/>
      <c r="I18" s="26"/>
      <c r="J18" s="26"/>
      <c r="K18" s="27"/>
      <c r="L18" s="26"/>
      <c r="M18" s="34"/>
      <c r="N18" s="34"/>
      <c r="O18" s="16"/>
      <c r="P18" s="34"/>
      <c r="Q18" s="34"/>
      <c r="R18" s="16"/>
      <c r="S18" s="34"/>
      <c r="T18" s="34"/>
      <c r="U18" s="16"/>
      <c r="V18" s="34"/>
      <c r="W18" s="34"/>
      <c r="X18" s="16"/>
      <c r="Y18" s="34"/>
      <c r="Z18" s="34"/>
      <c r="AA18" s="16"/>
      <c r="AB18" s="34"/>
      <c r="AC18" s="34"/>
      <c r="AD18" s="16"/>
      <c r="AE18" s="5"/>
    </row>
    <row r="19" spans="1:31" s="3" customFormat="1" x14ac:dyDescent="0.35">
      <c r="A19" s="3" t="s">
        <v>911</v>
      </c>
      <c r="D19" s="39"/>
      <c r="E19" s="40"/>
      <c r="F19" s="40"/>
      <c r="G19" s="40"/>
      <c r="H19" s="40"/>
      <c r="I19" s="40"/>
      <c r="J19" s="40"/>
      <c r="K19" s="41"/>
      <c r="L19" s="40"/>
      <c r="M19" s="42"/>
      <c r="N19" s="42"/>
      <c r="O19" s="17"/>
      <c r="P19" s="42"/>
      <c r="Q19" s="42"/>
      <c r="R19" s="17"/>
      <c r="S19" s="42"/>
      <c r="T19" s="42"/>
      <c r="U19" s="17"/>
      <c r="V19" s="42"/>
      <c r="W19" s="42"/>
      <c r="X19" s="17"/>
      <c r="Y19" s="42"/>
      <c r="Z19" s="42"/>
      <c r="AA19" s="17"/>
      <c r="AB19" s="42"/>
      <c r="AC19" s="42"/>
      <c r="AD19" s="17"/>
      <c r="AE19" s="18"/>
    </row>
    <row r="20" spans="1:31" x14ac:dyDescent="0.35">
      <c r="D20" s="25" t="s">
        <v>437</v>
      </c>
      <c r="E20" s="26" t="s">
        <v>438</v>
      </c>
      <c r="F20" s="26" t="s">
        <v>439</v>
      </c>
      <c r="G20" s="26"/>
      <c r="H20" s="26"/>
      <c r="I20" s="26"/>
      <c r="J20" s="26" t="s">
        <v>80</v>
      </c>
      <c r="K20" s="27"/>
      <c r="L20" s="26" t="s">
        <v>82</v>
      </c>
      <c r="M20" s="34">
        <v>500</v>
      </c>
      <c r="N20" s="34">
        <v>500</v>
      </c>
      <c r="O20" s="16">
        <f>SUM($M$25/(SUM($N$20:$N$23)))*N20</f>
        <v>1215</v>
      </c>
      <c r="P20" s="34">
        <v>500</v>
      </c>
      <c r="Q20" s="34">
        <v>500</v>
      </c>
      <c r="R20" s="16">
        <f>SUM($P$25/(SUM($Q$20:$Q$23)))*Q20</f>
        <v>2929</v>
      </c>
      <c r="S20" s="34">
        <v>500</v>
      </c>
      <c r="T20" s="34">
        <v>500</v>
      </c>
      <c r="U20" s="16">
        <f>SUM($S$25/(SUM($T$20:$T$23)))*T20</f>
        <v>818</v>
      </c>
      <c r="V20" s="34">
        <v>500</v>
      </c>
      <c r="W20" s="34">
        <v>500</v>
      </c>
      <c r="X20" s="16">
        <f>SUM($V$25/(SUM($W$20:$W$23)))*W20</f>
        <v>0</v>
      </c>
      <c r="Y20" s="34">
        <v>500</v>
      </c>
      <c r="Z20" s="34">
        <v>500</v>
      </c>
      <c r="AA20" s="16">
        <f>SUM($Y$25/(SUM($Z$20:$Z$23)))*Z20</f>
        <v>0</v>
      </c>
      <c r="AB20" s="34">
        <v>500</v>
      </c>
      <c r="AC20" s="34">
        <v>500</v>
      </c>
      <c r="AD20" s="16">
        <f>SUM($AB$25/(SUM($AC$20:$AC$23)))*AC20</f>
        <v>6</v>
      </c>
      <c r="AE20" s="5" t="s">
        <v>912</v>
      </c>
    </row>
    <row r="21" spans="1:31" x14ac:dyDescent="0.35">
      <c r="D21" s="28" t="s">
        <v>500</v>
      </c>
      <c r="E21" s="29" t="s">
        <v>501</v>
      </c>
      <c r="F21" s="29" t="s">
        <v>502</v>
      </c>
      <c r="G21" s="29"/>
      <c r="H21" s="29"/>
      <c r="I21" s="29"/>
      <c r="J21" s="29" t="s">
        <v>80</v>
      </c>
      <c r="K21" s="30"/>
      <c r="L21" s="29" t="s">
        <v>82</v>
      </c>
      <c r="M21" s="35">
        <v>1000</v>
      </c>
      <c r="N21" s="35">
        <v>1000</v>
      </c>
      <c r="O21" s="16">
        <f>SUM($M$25/(SUM($N$20:$N$23)))*N21</f>
        <v>2430</v>
      </c>
      <c r="P21" s="35">
        <v>0</v>
      </c>
      <c r="Q21" s="35">
        <v>0</v>
      </c>
      <c r="R21" s="16">
        <f>SUM($P$25/(SUM($Q$20:$Q$23)))*Q21</f>
        <v>0</v>
      </c>
      <c r="S21" s="35">
        <v>500</v>
      </c>
      <c r="T21" s="35">
        <v>500</v>
      </c>
      <c r="U21" s="16">
        <f>SUM($S$25/(SUM($T$20:$T$23)))*T21</f>
        <v>818</v>
      </c>
      <c r="V21" s="35">
        <v>0</v>
      </c>
      <c r="W21" s="35">
        <v>0</v>
      </c>
      <c r="X21" s="16">
        <f>SUM($V$25/(SUM($W$20:$W$23)))*W21</f>
        <v>0</v>
      </c>
      <c r="Y21" s="35">
        <v>500</v>
      </c>
      <c r="Z21" s="35">
        <v>500</v>
      </c>
      <c r="AA21" s="16">
        <f>SUM($Y$25/(SUM($Z$20:$Z$23)))*Z21</f>
        <v>0</v>
      </c>
      <c r="AB21" s="35">
        <v>0</v>
      </c>
      <c r="AC21" s="35">
        <v>0</v>
      </c>
      <c r="AD21" s="16">
        <f>SUM($AB$25/(SUM($AC$20:$AC$23)))*AC21</f>
        <v>0</v>
      </c>
      <c r="AE21" s="5" t="s">
        <v>912</v>
      </c>
    </row>
    <row r="22" spans="1:31" x14ac:dyDescent="0.35">
      <c r="D22" s="25" t="s">
        <v>584</v>
      </c>
      <c r="E22" s="26" t="s">
        <v>585</v>
      </c>
      <c r="F22" s="26" t="s">
        <v>586</v>
      </c>
      <c r="G22" s="26"/>
      <c r="H22" s="26"/>
      <c r="I22" s="26"/>
      <c r="J22" s="26" t="s">
        <v>589</v>
      </c>
      <c r="K22" s="27"/>
      <c r="L22" s="26" t="s">
        <v>82</v>
      </c>
      <c r="M22" s="34">
        <v>500</v>
      </c>
      <c r="N22" s="34">
        <v>0</v>
      </c>
      <c r="O22" s="16">
        <f>SUM($M$25/(SUM($N$20:$N$23)))*N22</f>
        <v>0</v>
      </c>
      <c r="P22" s="34">
        <v>500</v>
      </c>
      <c r="Q22" s="34">
        <v>0</v>
      </c>
      <c r="R22" s="16">
        <f>SUM($P$25/(SUM($Q$20:$Q$23)))*Q22</f>
        <v>0</v>
      </c>
      <c r="S22" s="34">
        <v>500</v>
      </c>
      <c r="T22" s="34">
        <v>0</v>
      </c>
      <c r="U22" s="16">
        <f>SUM($S$25/(SUM($T$20:$T$23)))*T22</f>
        <v>0</v>
      </c>
      <c r="V22" s="34">
        <v>0</v>
      </c>
      <c r="W22" s="34">
        <v>0</v>
      </c>
      <c r="X22" s="16">
        <f>SUM($V$25/(SUM($W$20:$W$23)))*W22</f>
        <v>0</v>
      </c>
      <c r="Y22" s="34">
        <v>0</v>
      </c>
      <c r="Z22" s="34">
        <v>0</v>
      </c>
      <c r="AA22" s="16">
        <f>SUM($Y$25/(SUM($Z$20:$Z$23)))*Z22</f>
        <v>0</v>
      </c>
      <c r="AB22" s="34">
        <v>0</v>
      </c>
      <c r="AC22" s="34">
        <v>0</v>
      </c>
      <c r="AD22" s="16">
        <f>SUM($AB$25/(SUM($AC$20:$AC$23)))*AC22</f>
        <v>0</v>
      </c>
      <c r="AE22" s="5" t="s">
        <v>912</v>
      </c>
    </row>
    <row r="23" spans="1:31" x14ac:dyDescent="0.35">
      <c r="D23" s="28" t="s">
        <v>74</v>
      </c>
      <c r="E23" s="29" t="s">
        <v>75</v>
      </c>
      <c r="F23" s="29" t="s">
        <v>76</v>
      </c>
      <c r="G23" s="29"/>
      <c r="H23" s="29"/>
      <c r="I23" s="29"/>
      <c r="J23" s="29" t="s">
        <v>80</v>
      </c>
      <c r="K23" s="30"/>
      <c r="L23" s="29" t="s">
        <v>82</v>
      </c>
      <c r="M23" s="35">
        <v>1000</v>
      </c>
      <c r="N23" s="35">
        <v>0</v>
      </c>
      <c r="O23" s="16">
        <f>SUM($M$25/(SUM($N$20:$N$23)))*N23</f>
        <v>0</v>
      </c>
      <c r="P23" s="35">
        <v>1000</v>
      </c>
      <c r="Q23" s="35">
        <v>0</v>
      </c>
      <c r="R23" s="16">
        <f>SUM($P$25/(SUM($Q$20:$Q$23)))*Q23</f>
        <v>0</v>
      </c>
      <c r="S23" s="35">
        <v>1000</v>
      </c>
      <c r="T23" s="35">
        <v>0</v>
      </c>
      <c r="U23" s="16">
        <f>SUM($S$25/(SUM($T$20:$T$23)))*T23</f>
        <v>0</v>
      </c>
      <c r="V23" s="35">
        <v>1000</v>
      </c>
      <c r="W23" s="35">
        <v>0</v>
      </c>
      <c r="X23" s="16">
        <f>SUM($V$25/(SUM($W$20:$W$23)))*W23</f>
        <v>0</v>
      </c>
      <c r="Y23" s="35">
        <v>1000</v>
      </c>
      <c r="Z23" s="35">
        <v>0</v>
      </c>
      <c r="AA23" s="16">
        <f>SUM($Y$25/(SUM($Z$20:$Z$23)))*Z23</f>
        <v>0</v>
      </c>
      <c r="AB23" s="35">
        <v>1000</v>
      </c>
      <c r="AC23" s="35">
        <v>0</v>
      </c>
      <c r="AD23" s="16">
        <f>SUM($AB$25/(SUM($AC$20:$AC$23)))*AC23</f>
        <v>0</v>
      </c>
      <c r="AE23" s="5" t="s">
        <v>912</v>
      </c>
    </row>
    <row r="25" spans="1:31" s="44" customFormat="1" x14ac:dyDescent="0.35">
      <c r="L25" s="44" t="s">
        <v>633</v>
      </c>
      <c r="M25" s="44">
        <f>T33</f>
        <v>3645</v>
      </c>
      <c r="P25" s="44">
        <f>U33</f>
        <v>2929</v>
      </c>
      <c r="S25" s="44">
        <f>V33</f>
        <v>1636</v>
      </c>
      <c r="V25" s="44">
        <f>W33</f>
        <v>0</v>
      </c>
      <c r="Y25" s="44">
        <f>X33</f>
        <v>0</v>
      </c>
      <c r="AB25" s="44">
        <f>Y33</f>
        <v>6</v>
      </c>
    </row>
    <row r="26" spans="1:31" s="44" customFormat="1" x14ac:dyDescent="0.35">
      <c r="L26" s="44" t="s">
        <v>908</v>
      </c>
      <c r="M26" s="45">
        <f>SUM(M20:M23)</f>
        <v>3000</v>
      </c>
      <c r="P26" s="45">
        <f>SUM(P20:P23)</f>
        <v>2000</v>
      </c>
      <c r="S26" s="45">
        <f>SUM(S20:S23)</f>
        <v>2500</v>
      </c>
      <c r="V26" s="45">
        <f>SUM(V20:V23)</f>
        <v>1500</v>
      </c>
      <c r="Y26" s="45">
        <f>SUM(Y20:Y23)</f>
        <v>2000</v>
      </c>
      <c r="AB26" s="45">
        <f>SUM(AB20:AB23)</f>
        <v>1500</v>
      </c>
    </row>
    <row r="27" spans="1:31" s="44" customFormat="1" x14ac:dyDescent="0.35">
      <c r="L27" s="44" t="s">
        <v>909</v>
      </c>
      <c r="M27" s="45">
        <f>SUM(M25-M26)</f>
        <v>645</v>
      </c>
      <c r="P27" s="45">
        <f>SUM(P25-P26)</f>
        <v>929</v>
      </c>
      <c r="S27" s="45">
        <f>SUM(S25-S26)</f>
        <v>-864</v>
      </c>
      <c r="V27" s="45">
        <f>SUM(V25-V26)</f>
        <v>-1500</v>
      </c>
      <c r="Y27" s="45">
        <f>SUM(Y25-Y26)</f>
        <v>-2000</v>
      </c>
      <c r="AB27" s="45">
        <f>SUM(AB25-AB26)</f>
        <v>-1494</v>
      </c>
    </row>
    <row r="28" spans="1:31" x14ac:dyDescent="0.35">
      <c r="T28" s="5"/>
    </row>
    <row r="32" spans="1:31" x14ac:dyDescent="0.35">
      <c r="R32" s="46" t="s">
        <v>3</v>
      </c>
      <c r="S32" s="47" t="s">
        <v>4</v>
      </c>
      <c r="T32" s="47" t="s">
        <v>7</v>
      </c>
      <c r="U32" s="47" t="s">
        <v>8</v>
      </c>
      <c r="V32" s="47" t="s">
        <v>9</v>
      </c>
      <c r="W32" s="47" t="s">
        <v>829</v>
      </c>
      <c r="X32" s="47" t="s">
        <v>11</v>
      </c>
      <c r="Y32" s="47" t="s">
        <v>12</v>
      </c>
    </row>
    <row r="33" spans="18:26" x14ac:dyDescent="0.35">
      <c r="R33" s="48"/>
      <c r="S33" s="48" t="s">
        <v>900</v>
      </c>
      <c r="T33" s="49">
        <v>3645</v>
      </c>
      <c r="U33" s="49">
        <v>2929</v>
      </c>
      <c r="V33" s="49">
        <v>1636</v>
      </c>
      <c r="W33" s="49"/>
      <c r="X33" s="49"/>
      <c r="Y33" s="49">
        <v>6</v>
      </c>
      <c r="Z33" s="19"/>
    </row>
    <row r="34" spans="18:26" x14ac:dyDescent="0.35">
      <c r="R34" s="48"/>
      <c r="S34" s="48" t="s">
        <v>901</v>
      </c>
      <c r="T34" s="49">
        <v>4841</v>
      </c>
      <c r="U34" s="49">
        <v>3717</v>
      </c>
      <c r="V34" s="49">
        <v>1470</v>
      </c>
      <c r="W34" s="49">
        <v>2</v>
      </c>
      <c r="X34" s="49">
        <v>4</v>
      </c>
      <c r="Y34" s="49">
        <v>6</v>
      </c>
      <c r="Z34" s="19"/>
    </row>
    <row r="35" spans="18:26" x14ac:dyDescent="0.35">
      <c r="R35" s="48"/>
      <c r="S35" s="48" t="s">
        <v>902</v>
      </c>
      <c r="T35" s="48">
        <v>3542</v>
      </c>
      <c r="U35" s="48">
        <v>6049</v>
      </c>
      <c r="V35" s="48">
        <v>1267</v>
      </c>
      <c r="W35" s="48"/>
      <c r="X35" s="48"/>
      <c r="Y35" s="48"/>
      <c r="Z35" s="19"/>
    </row>
    <row r="36" spans="18:26" x14ac:dyDescent="0.35">
      <c r="R36" s="48"/>
      <c r="S36" s="48" t="s">
        <v>237</v>
      </c>
      <c r="T36" s="48">
        <v>634</v>
      </c>
      <c r="U36" s="48">
        <v>445</v>
      </c>
      <c r="V36" s="48">
        <v>451</v>
      </c>
      <c r="W36" s="48"/>
      <c r="X36" s="48"/>
      <c r="Y36" s="48"/>
      <c r="Z36" s="19"/>
    </row>
    <row r="37" spans="18:26" x14ac:dyDescent="0.35">
      <c r="R37" s="19"/>
      <c r="S37" s="19"/>
      <c r="T37" s="19"/>
      <c r="U37" s="19"/>
      <c r="V37" s="19"/>
      <c r="W37" s="19"/>
      <c r="X37" s="19"/>
      <c r="Y37" s="19"/>
      <c r="Z37" s="19"/>
    </row>
    <row r="38" spans="18:26" x14ac:dyDescent="0.35">
      <c r="R38" s="19"/>
      <c r="S38" s="19"/>
      <c r="T38" s="19"/>
      <c r="U38" s="19"/>
      <c r="V38" s="19"/>
      <c r="W38" s="19"/>
      <c r="X38" s="19"/>
      <c r="Y38" s="19"/>
      <c r="Z38" s="19"/>
    </row>
    <row r="39" spans="18:26" x14ac:dyDescent="0.35">
      <c r="R39" s="19"/>
      <c r="S39" s="19"/>
      <c r="T39" s="19">
        <f t="shared" ref="T39:Y39" si="0">SUM(T33:T38)</f>
        <v>12662</v>
      </c>
      <c r="U39" s="19">
        <f t="shared" si="0"/>
        <v>13140</v>
      </c>
      <c r="V39" s="19">
        <f t="shared" si="0"/>
        <v>4824</v>
      </c>
      <c r="W39" s="19">
        <f t="shared" si="0"/>
        <v>2</v>
      </c>
      <c r="X39" s="19">
        <f t="shared" si="0"/>
        <v>4</v>
      </c>
      <c r="Y39" s="19">
        <f t="shared" si="0"/>
        <v>12</v>
      </c>
      <c r="Z39" s="19">
        <f>SUM(T39:Y39)</f>
        <v>30644</v>
      </c>
    </row>
    <row r="40" spans="18:26" x14ac:dyDescent="0.35">
      <c r="R40" s="19"/>
      <c r="S40" s="19"/>
      <c r="T40" s="19"/>
      <c r="U40" s="19"/>
      <c r="V40" s="19"/>
      <c r="W40" s="19"/>
      <c r="X40" s="19"/>
      <c r="Y40" s="19"/>
      <c r="Z40" s="19"/>
    </row>
    <row r="41" spans="18:26" x14ac:dyDescent="0.35">
      <c r="R41" s="19"/>
      <c r="S41" s="19"/>
      <c r="T41" s="19"/>
      <c r="U41" s="19"/>
      <c r="V41" s="19"/>
      <c r="W41" s="19"/>
      <c r="X41" s="19"/>
      <c r="Y41" s="19"/>
      <c r="Z41" s="19"/>
    </row>
    <row r="42" spans="18:26" x14ac:dyDescent="0.35">
      <c r="R42" s="19"/>
      <c r="S42" s="19"/>
      <c r="T42" s="19"/>
      <c r="U42" s="19"/>
      <c r="V42" s="19"/>
      <c r="W42" s="19"/>
      <c r="X42" s="19"/>
      <c r="Y42" s="19"/>
      <c r="Z42" s="1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16E51-527B-45CF-8C37-91FA2A0EB5E3}">
  <sheetPr codeName="Sheet4"/>
  <dimension ref="A1:AH1048576"/>
  <sheetViews>
    <sheetView workbookViewId="0">
      <pane xSplit="11" ySplit="3" topLeftCell="AD70" activePane="bottomRight" state="frozen"/>
      <selection pane="topRight" activeCell="L1" sqref="L1"/>
      <selection pane="bottomLeft" activeCell="A4" sqref="A4"/>
      <selection pane="bottomRight" activeCell="J4" activeCellId="1" sqref="J83 J4:J83"/>
    </sheetView>
  </sheetViews>
  <sheetFormatPr defaultRowHeight="14.5" x14ac:dyDescent="0.35"/>
  <cols>
    <col min="3" max="3" width="20.26953125" customWidth="1"/>
    <col min="4" max="12" width="9" customWidth="1"/>
    <col min="13" max="13" width="9" style="3"/>
    <col min="14" max="14" width="9" style="14"/>
    <col min="15" max="15" width="9" customWidth="1"/>
    <col min="16" max="16" width="9" style="3"/>
    <col min="17" max="17" width="9" style="14"/>
    <col min="18" max="18" width="9" customWidth="1"/>
    <col min="19" max="19" width="9" style="3"/>
    <col min="20" max="20" width="9" style="14"/>
    <col min="21" max="21" width="9" customWidth="1"/>
    <col min="22" max="22" width="9" style="3"/>
    <col min="23" max="23" width="9" style="14"/>
    <col min="24" max="24" width="9" customWidth="1"/>
    <col min="25" max="25" width="9" style="3"/>
    <col min="26" max="26" width="9" style="14"/>
    <col min="27" max="27" width="9" customWidth="1"/>
    <col min="28" max="28" width="9" style="3"/>
    <col min="29" max="29" width="9" style="14"/>
    <col min="30" max="30" width="9" customWidth="1"/>
    <col min="31" max="32" width="9" hidden="1" customWidth="1"/>
  </cols>
  <sheetData>
    <row r="1" spans="1:33" x14ac:dyDescent="0.35">
      <c r="A1" s="3" t="s">
        <v>0</v>
      </c>
      <c r="B1" s="3"/>
      <c r="C1" s="1"/>
    </row>
    <row r="2" spans="1:33" x14ac:dyDescent="0.35">
      <c r="L2" t="s">
        <v>638</v>
      </c>
      <c r="M2" s="3" t="s">
        <v>639</v>
      </c>
      <c r="O2" t="s">
        <v>638</v>
      </c>
      <c r="P2" s="3" t="s">
        <v>639</v>
      </c>
      <c r="R2" t="s">
        <v>638</v>
      </c>
      <c r="S2" s="3" t="s">
        <v>639</v>
      </c>
      <c r="U2" t="s">
        <v>638</v>
      </c>
      <c r="V2" s="3" t="s">
        <v>639</v>
      </c>
      <c r="X2" t="s">
        <v>638</v>
      </c>
      <c r="Y2" s="3" t="s">
        <v>639</v>
      </c>
      <c r="AA2" t="s">
        <v>638</v>
      </c>
      <c r="AB2" s="3" t="s">
        <v>639</v>
      </c>
    </row>
    <row r="3" spans="1:33" x14ac:dyDescent="0.35">
      <c r="A3" t="s">
        <v>904</v>
      </c>
      <c r="B3" t="s">
        <v>905</v>
      </c>
      <c r="C3" t="s">
        <v>55</v>
      </c>
      <c r="D3" t="s">
        <v>56</v>
      </c>
      <c r="E3" t="s">
        <v>57</v>
      </c>
      <c r="F3" t="s">
        <v>58</v>
      </c>
      <c r="G3" t="s">
        <v>59</v>
      </c>
      <c r="H3" t="s">
        <v>60</v>
      </c>
      <c r="I3" t="s">
        <v>61</v>
      </c>
      <c r="J3" t="s">
        <v>62</v>
      </c>
      <c r="K3" t="s">
        <v>63</v>
      </c>
      <c r="L3" t="s">
        <v>64</v>
      </c>
      <c r="M3" s="3" t="s">
        <v>64</v>
      </c>
      <c r="N3" s="14" t="s">
        <v>65</v>
      </c>
      <c r="O3" t="s">
        <v>66</v>
      </c>
      <c r="P3" s="3" t="s">
        <v>66</v>
      </c>
      <c r="Q3" s="14" t="s">
        <v>65</v>
      </c>
      <c r="R3" t="s">
        <v>67</v>
      </c>
      <c r="S3" s="3" t="s">
        <v>67</v>
      </c>
      <c r="T3" s="14" t="s">
        <v>65</v>
      </c>
      <c r="U3" t="s">
        <v>10</v>
      </c>
      <c r="V3" s="3" t="s">
        <v>10</v>
      </c>
      <c r="W3" s="14" t="s">
        <v>65</v>
      </c>
      <c r="X3" t="s">
        <v>68</v>
      </c>
      <c r="Y3" s="3" t="s">
        <v>68</v>
      </c>
      <c r="Z3" s="14" t="s">
        <v>65</v>
      </c>
      <c r="AA3" t="s">
        <v>69</v>
      </c>
      <c r="AB3" s="3" t="s">
        <v>69</v>
      </c>
      <c r="AC3" s="14" t="s">
        <v>65</v>
      </c>
      <c r="AD3" t="s">
        <v>70</v>
      </c>
      <c r="AE3" t="s">
        <v>71</v>
      </c>
      <c r="AF3" s="3" t="s">
        <v>72</v>
      </c>
      <c r="AG3" t="s">
        <v>73</v>
      </c>
    </row>
    <row r="4" spans="1:33" x14ac:dyDescent="0.35">
      <c r="C4" s="28" t="s">
        <v>74</v>
      </c>
      <c r="D4" s="29" t="s">
        <v>75</v>
      </c>
      <c r="E4" s="29" t="s">
        <v>76</v>
      </c>
      <c r="F4" s="29"/>
      <c r="G4" s="29"/>
      <c r="H4" s="29"/>
      <c r="I4" s="29" t="s">
        <v>80</v>
      </c>
      <c r="J4" s="30"/>
      <c r="K4" s="29" t="s">
        <v>82</v>
      </c>
      <c r="L4" s="35">
        <v>1000</v>
      </c>
      <c r="M4" s="35">
        <v>1000</v>
      </c>
      <c r="N4" s="16">
        <f t="shared" ref="N4:N35" si="0">SUM($M$87/(SUM($M$4:$M$83)))*M4</f>
        <v>4609.6026936026929</v>
      </c>
      <c r="O4" s="35">
        <v>1000</v>
      </c>
      <c r="P4" s="35">
        <v>1000</v>
      </c>
      <c r="Q4" s="16">
        <f t="shared" ref="Q4:Q35" si="1">SUM($P$87/(SUM($P$4:$P$83)))*P4</f>
        <v>-541.95379537953795</v>
      </c>
      <c r="R4" s="35">
        <v>1000</v>
      </c>
      <c r="S4" s="35">
        <v>1000</v>
      </c>
      <c r="T4" s="16">
        <f t="shared" ref="T4:T35" si="2">SUM($S$87/(SUM($S$4:$S$83)))*S4</f>
        <v>-1305.01244813278</v>
      </c>
      <c r="U4" s="35">
        <v>1000</v>
      </c>
      <c r="V4" s="35">
        <v>1000</v>
      </c>
      <c r="W4" s="16">
        <f t="shared" ref="W4:W35" si="3">SUM($V$87/(SUM($V$4:$V$83)))*V4</f>
        <v>-17.263157894736842</v>
      </c>
      <c r="X4" s="35">
        <v>1000</v>
      </c>
      <c r="Y4" s="35">
        <v>1000</v>
      </c>
      <c r="Z4" s="16">
        <f t="shared" ref="Z4:Z35" si="4">SUM($Y$87/(SUM($Y$4:$Y$83)))*Y4</f>
        <v>-0.15384615384615385</v>
      </c>
      <c r="AA4" s="35">
        <v>1000</v>
      </c>
      <c r="AB4" s="35">
        <v>1000</v>
      </c>
      <c r="AC4" s="16">
        <f t="shared" ref="AC4:AC35" si="5">SUM($AB$87/(SUM($AB$4:$AB$83)))*AB4</f>
        <v>-61.393258426966298</v>
      </c>
      <c r="AD4" s="32" t="s">
        <v>82</v>
      </c>
      <c r="AE4" s="21"/>
      <c r="AF4" s="21"/>
      <c r="AG4" s="5">
        <v>1</v>
      </c>
    </row>
    <row r="5" spans="1:33" x14ac:dyDescent="0.35">
      <c r="B5" t="s">
        <v>913</v>
      </c>
      <c r="C5" s="28" t="s">
        <v>84</v>
      </c>
      <c r="D5" s="29" t="s">
        <v>85</v>
      </c>
      <c r="E5" s="29" t="s">
        <v>86</v>
      </c>
      <c r="F5" s="29"/>
      <c r="G5" s="29"/>
      <c r="H5" s="29"/>
      <c r="I5" s="29" t="s">
        <v>90</v>
      </c>
      <c r="J5" s="30"/>
      <c r="K5" s="29" t="s">
        <v>82</v>
      </c>
      <c r="L5" s="35">
        <v>500</v>
      </c>
      <c r="M5" s="35">
        <v>500</v>
      </c>
      <c r="N5" s="16">
        <f t="shared" si="0"/>
        <v>2304.8013468013464</v>
      </c>
      <c r="O5" s="35">
        <v>500</v>
      </c>
      <c r="P5" s="35">
        <v>500</v>
      </c>
      <c r="Q5" s="16">
        <f t="shared" si="1"/>
        <v>-270.97689768976898</v>
      </c>
      <c r="R5" s="35">
        <v>0</v>
      </c>
      <c r="S5" s="35">
        <v>0</v>
      </c>
      <c r="T5" s="16">
        <f t="shared" si="2"/>
        <v>0</v>
      </c>
      <c r="U5" s="35">
        <v>500</v>
      </c>
      <c r="V5" s="35">
        <v>500</v>
      </c>
      <c r="W5" s="16">
        <f t="shared" si="3"/>
        <v>-8.6315789473684212</v>
      </c>
      <c r="X5" s="35">
        <v>500</v>
      </c>
      <c r="Y5" s="35">
        <v>500</v>
      </c>
      <c r="Z5" s="16">
        <f t="shared" si="4"/>
        <v>-7.6923076923076927E-2</v>
      </c>
      <c r="AA5" s="35">
        <v>0</v>
      </c>
      <c r="AB5" s="35">
        <v>0</v>
      </c>
      <c r="AC5" s="16">
        <f t="shared" si="5"/>
        <v>0</v>
      </c>
      <c r="AD5" s="32" t="s">
        <v>91</v>
      </c>
      <c r="AE5" s="21"/>
      <c r="AF5" s="21"/>
      <c r="AG5" s="22">
        <v>1</v>
      </c>
    </row>
    <row r="6" spans="1:33" x14ac:dyDescent="0.35">
      <c r="C6" s="25" t="s">
        <v>92</v>
      </c>
      <c r="D6" s="26" t="s">
        <v>93</v>
      </c>
      <c r="E6" s="26" t="s">
        <v>94</v>
      </c>
      <c r="F6" s="26"/>
      <c r="G6" s="26"/>
      <c r="H6" s="26"/>
      <c r="I6" s="26" t="s">
        <v>98</v>
      </c>
      <c r="J6" s="27"/>
      <c r="K6" s="26" t="s">
        <v>82</v>
      </c>
      <c r="L6" s="34">
        <v>500</v>
      </c>
      <c r="M6" s="34">
        <v>500</v>
      </c>
      <c r="N6" s="16">
        <f t="shared" si="0"/>
        <v>2304.8013468013464</v>
      </c>
      <c r="O6" s="34">
        <v>1000</v>
      </c>
      <c r="P6" s="34">
        <v>1000</v>
      </c>
      <c r="Q6" s="16">
        <f t="shared" si="1"/>
        <v>-541.95379537953795</v>
      </c>
      <c r="R6" s="34">
        <v>0</v>
      </c>
      <c r="S6" s="34">
        <v>0</v>
      </c>
      <c r="T6" s="16">
        <f t="shared" si="2"/>
        <v>0</v>
      </c>
      <c r="U6" s="34">
        <v>0</v>
      </c>
      <c r="V6" s="34">
        <v>0</v>
      </c>
      <c r="W6" s="16">
        <f t="shared" si="3"/>
        <v>0</v>
      </c>
      <c r="X6" s="34">
        <v>0</v>
      </c>
      <c r="Y6" s="34">
        <v>0</v>
      </c>
      <c r="Z6" s="16">
        <f t="shared" si="4"/>
        <v>0</v>
      </c>
      <c r="AA6" s="34">
        <v>0</v>
      </c>
      <c r="AB6" s="34">
        <v>0</v>
      </c>
      <c r="AC6" s="16">
        <f t="shared" si="5"/>
        <v>0</v>
      </c>
      <c r="AD6" s="31" t="s">
        <v>82</v>
      </c>
      <c r="AE6" s="21"/>
      <c r="AF6" s="21"/>
      <c r="AG6" s="22">
        <v>1</v>
      </c>
    </row>
    <row r="7" spans="1:33" x14ac:dyDescent="0.35">
      <c r="B7" t="s">
        <v>913</v>
      </c>
      <c r="C7" s="25" t="s">
        <v>100</v>
      </c>
      <c r="D7" s="26" t="s">
        <v>101</v>
      </c>
      <c r="E7" s="26" t="s">
        <v>102</v>
      </c>
      <c r="F7" s="26"/>
      <c r="G7" s="26"/>
      <c r="H7" s="26"/>
      <c r="I7" s="26" t="s">
        <v>106</v>
      </c>
      <c r="J7" s="27"/>
      <c r="K7" s="26" t="s">
        <v>82</v>
      </c>
      <c r="L7" s="34">
        <v>0</v>
      </c>
      <c r="M7" s="34">
        <v>0</v>
      </c>
      <c r="N7" s="16">
        <f t="shared" si="0"/>
        <v>0</v>
      </c>
      <c r="O7" s="34">
        <v>500</v>
      </c>
      <c r="P7" s="34">
        <v>500</v>
      </c>
      <c r="Q7" s="16">
        <f t="shared" si="1"/>
        <v>-270.97689768976898</v>
      </c>
      <c r="R7" s="34">
        <v>0</v>
      </c>
      <c r="S7" s="34">
        <v>0</v>
      </c>
      <c r="T7" s="16">
        <f t="shared" si="2"/>
        <v>0</v>
      </c>
      <c r="U7" s="34">
        <v>0</v>
      </c>
      <c r="V7" s="34">
        <v>0</v>
      </c>
      <c r="W7" s="16">
        <f t="shared" si="3"/>
        <v>0</v>
      </c>
      <c r="X7" s="34">
        <v>0</v>
      </c>
      <c r="Y7" s="34">
        <v>0</v>
      </c>
      <c r="Z7" s="16">
        <f t="shared" si="4"/>
        <v>0</v>
      </c>
      <c r="AA7" s="34">
        <v>0</v>
      </c>
      <c r="AB7" s="34">
        <v>0</v>
      </c>
      <c r="AC7" s="16">
        <f t="shared" si="5"/>
        <v>0</v>
      </c>
      <c r="AD7" s="31" t="s">
        <v>91</v>
      </c>
      <c r="AE7" s="21"/>
      <c r="AF7" s="21"/>
      <c r="AG7" s="22">
        <v>1</v>
      </c>
    </row>
    <row r="8" spans="1:33" x14ac:dyDescent="0.35">
      <c r="B8" t="s">
        <v>914</v>
      </c>
      <c r="C8" s="25" t="s">
        <v>108</v>
      </c>
      <c r="D8" s="26" t="s">
        <v>109</v>
      </c>
      <c r="E8" s="26" t="s">
        <v>110</v>
      </c>
      <c r="F8" s="26"/>
      <c r="G8" s="26"/>
      <c r="H8" s="26"/>
      <c r="I8" s="26" t="s">
        <v>114</v>
      </c>
      <c r="J8" s="27"/>
      <c r="K8" s="26" t="s">
        <v>82</v>
      </c>
      <c r="L8" s="34">
        <v>500</v>
      </c>
      <c r="M8" s="34">
        <v>500</v>
      </c>
      <c r="N8" s="16">
        <f t="shared" si="0"/>
        <v>2304.8013468013464</v>
      </c>
      <c r="O8" s="34">
        <v>1000</v>
      </c>
      <c r="P8" s="34">
        <v>1000</v>
      </c>
      <c r="Q8" s="16">
        <f t="shared" si="1"/>
        <v>-541.95379537953795</v>
      </c>
      <c r="R8" s="34">
        <v>500</v>
      </c>
      <c r="S8" s="34">
        <v>500</v>
      </c>
      <c r="T8" s="16">
        <f t="shared" si="2"/>
        <v>-652.50622406639002</v>
      </c>
      <c r="U8" s="34">
        <v>0</v>
      </c>
      <c r="V8" s="34">
        <v>0</v>
      </c>
      <c r="W8" s="16">
        <f t="shared" si="3"/>
        <v>0</v>
      </c>
      <c r="X8" s="34">
        <v>500</v>
      </c>
      <c r="Y8" s="34">
        <v>500</v>
      </c>
      <c r="Z8" s="16">
        <f t="shared" si="4"/>
        <v>-7.6923076923076927E-2</v>
      </c>
      <c r="AA8" s="34">
        <v>500</v>
      </c>
      <c r="AB8" s="34">
        <v>500</v>
      </c>
      <c r="AC8" s="16">
        <f t="shared" si="5"/>
        <v>-30.696629213483149</v>
      </c>
      <c r="AD8" s="31" t="s">
        <v>82</v>
      </c>
      <c r="AE8" s="21"/>
      <c r="AF8" s="21"/>
      <c r="AG8" s="5">
        <v>1</v>
      </c>
    </row>
    <row r="9" spans="1:33" x14ac:dyDescent="0.35">
      <c r="B9" t="s">
        <v>914</v>
      </c>
      <c r="C9" s="25" t="s">
        <v>115</v>
      </c>
      <c r="D9" s="26" t="s">
        <v>116</v>
      </c>
      <c r="E9" s="26" t="s">
        <v>117</v>
      </c>
      <c r="F9" s="26"/>
      <c r="G9" s="26"/>
      <c r="H9" s="26"/>
      <c r="I9" s="26" t="s">
        <v>120</v>
      </c>
      <c r="J9" s="27"/>
      <c r="K9" s="26" t="s">
        <v>82</v>
      </c>
      <c r="L9" s="34">
        <v>500</v>
      </c>
      <c r="M9" s="34">
        <v>500</v>
      </c>
      <c r="N9" s="16">
        <f t="shared" si="0"/>
        <v>2304.8013468013464</v>
      </c>
      <c r="O9" s="34">
        <v>0</v>
      </c>
      <c r="P9" s="34">
        <v>0</v>
      </c>
      <c r="Q9" s="16">
        <f t="shared" si="1"/>
        <v>0</v>
      </c>
      <c r="R9" s="34">
        <v>0</v>
      </c>
      <c r="S9" s="34">
        <v>0</v>
      </c>
      <c r="T9" s="16">
        <f t="shared" si="2"/>
        <v>0</v>
      </c>
      <c r="U9" s="34">
        <v>0</v>
      </c>
      <c r="V9" s="34">
        <v>0</v>
      </c>
      <c r="W9" s="16">
        <f t="shared" si="3"/>
        <v>0</v>
      </c>
      <c r="X9" s="34">
        <v>0</v>
      </c>
      <c r="Y9" s="34">
        <v>0</v>
      </c>
      <c r="Z9" s="16">
        <f t="shared" si="4"/>
        <v>0</v>
      </c>
      <c r="AA9" s="34">
        <v>0</v>
      </c>
      <c r="AB9" s="34">
        <v>0</v>
      </c>
      <c r="AC9" s="16">
        <f t="shared" si="5"/>
        <v>0</v>
      </c>
      <c r="AD9" s="31" t="s">
        <v>82</v>
      </c>
      <c r="AE9" s="21"/>
      <c r="AF9" s="21"/>
      <c r="AG9" s="5">
        <v>1</v>
      </c>
    </row>
    <row r="10" spans="1:33" x14ac:dyDescent="0.35">
      <c r="B10" t="s">
        <v>914</v>
      </c>
      <c r="C10" s="28" t="s">
        <v>122</v>
      </c>
      <c r="D10" s="29" t="s">
        <v>123</v>
      </c>
      <c r="E10" s="29" t="s">
        <v>117</v>
      </c>
      <c r="F10" s="29"/>
      <c r="G10" s="29"/>
      <c r="H10" s="29"/>
      <c r="I10" s="29" t="s">
        <v>114</v>
      </c>
      <c r="J10" s="30"/>
      <c r="K10" s="29" t="s">
        <v>82</v>
      </c>
      <c r="L10" s="35">
        <v>500</v>
      </c>
      <c r="M10" s="35">
        <v>500</v>
      </c>
      <c r="N10" s="16">
        <f t="shared" si="0"/>
        <v>2304.8013468013464</v>
      </c>
      <c r="O10" s="35">
        <v>0</v>
      </c>
      <c r="P10" s="35">
        <v>0</v>
      </c>
      <c r="Q10" s="16">
        <f t="shared" si="1"/>
        <v>0</v>
      </c>
      <c r="R10" s="35">
        <v>0</v>
      </c>
      <c r="S10" s="35">
        <v>0</v>
      </c>
      <c r="T10" s="16">
        <f t="shared" si="2"/>
        <v>0</v>
      </c>
      <c r="U10" s="35">
        <v>0</v>
      </c>
      <c r="V10" s="35">
        <v>0</v>
      </c>
      <c r="W10" s="16">
        <f t="shared" si="3"/>
        <v>0</v>
      </c>
      <c r="X10" s="35">
        <v>500</v>
      </c>
      <c r="Y10" s="35">
        <v>500</v>
      </c>
      <c r="Z10" s="16">
        <f t="shared" si="4"/>
        <v>-7.6923076923076927E-2</v>
      </c>
      <c r="AA10" s="35">
        <v>0</v>
      </c>
      <c r="AB10" s="35">
        <v>0</v>
      </c>
      <c r="AC10" s="16">
        <f t="shared" si="5"/>
        <v>0</v>
      </c>
      <c r="AD10" s="32" t="s">
        <v>82</v>
      </c>
      <c r="AE10" s="21"/>
      <c r="AF10" s="21"/>
      <c r="AG10" s="5">
        <v>1</v>
      </c>
    </row>
    <row r="11" spans="1:33" x14ac:dyDescent="0.35">
      <c r="B11" t="s">
        <v>914</v>
      </c>
      <c r="C11" s="28" t="s">
        <v>124</v>
      </c>
      <c r="D11" s="29" t="s">
        <v>125</v>
      </c>
      <c r="E11" s="29" t="s">
        <v>126</v>
      </c>
      <c r="F11" s="29"/>
      <c r="G11" s="29"/>
      <c r="H11" s="29"/>
      <c r="I11" s="29" t="s">
        <v>114</v>
      </c>
      <c r="J11" s="30"/>
      <c r="K11" s="29" t="s">
        <v>82</v>
      </c>
      <c r="L11" s="35">
        <v>0</v>
      </c>
      <c r="M11" s="35">
        <v>0</v>
      </c>
      <c r="N11" s="16">
        <f t="shared" si="0"/>
        <v>0</v>
      </c>
      <c r="O11" s="35">
        <v>500</v>
      </c>
      <c r="P11" s="35">
        <v>500</v>
      </c>
      <c r="Q11" s="16">
        <f t="shared" si="1"/>
        <v>-270.97689768976898</v>
      </c>
      <c r="R11" s="35">
        <v>0</v>
      </c>
      <c r="S11" s="35">
        <v>0</v>
      </c>
      <c r="T11" s="16">
        <f t="shared" si="2"/>
        <v>0</v>
      </c>
      <c r="U11" s="35">
        <v>0</v>
      </c>
      <c r="V11" s="35">
        <v>0</v>
      </c>
      <c r="W11" s="16">
        <f t="shared" si="3"/>
        <v>0</v>
      </c>
      <c r="X11" s="35">
        <v>0</v>
      </c>
      <c r="Y11" s="35">
        <v>0</v>
      </c>
      <c r="Z11" s="16">
        <f t="shared" si="4"/>
        <v>0</v>
      </c>
      <c r="AA11" s="35">
        <v>0</v>
      </c>
      <c r="AB11" s="35">
        <v>0</v>
      </c>
      <c r="AC11" s="16">
        <f t="shared" si="5"/>
        <v>0</v>
      </c>
      <c r="AD11" s="32" t="s">
        <v>82</v>
      </c>
      <c r="AE11" s="21"/>
      <c r="AF11" s="21"/>
      <c r="AG11" s="5">
        <v>1</v>
      </c>
    </row>
    <row r="12" spans="1:33" x14ac:dyDescent="0.35">
      <c r="B12" t="s">
        <v>914</v>
      </c>
      <c r="C12" s="28" t="s">
        <v>131</v>
      </c>
      <c r="D12" s="29" t="s">
        <v>125</v>
      </c>
      <c r="E12" s="29" t="s">
        <v>126</v>
      </c>
      <c r="F12" s="29"/>
      <c r="G12" s="29"/>
      <c r="H12" s="29"/>
      <c r="I12" s="29" t="s">
        <v>114</v>
      </c>
      <c r="J12" s="30"/>
      <c r="K12" s="29" t="s">
        <v>82</v>
      </c>
      <c r="L12" s="35">
        <v>500</v>
      </c>
      <c r="M12" s="35">
        <v>500</v>
      </c>
      <c r="N12" s="16">
        <f t="shared" si="0"/>
        <v>2304.8013468013464</v>
      </c>
      <c r="O12" s="35">
        <v>500</v>
      </c>
      <c r="P12" s="35">
        <v>500</v>
      </c>
      <c r="Q12" s="16">
        <f t="shared" si="1"/>
        <v>-270.97689768976898</v>
      </c>
      <c r="R12" s="35">
        <v>500</v>
      </c>
      <c r="S12" s="35">
        <v>500</v>
      </c>
      <c r="T12" s="16">
        <f t="shared" si="2"/>
        <v>-652.50622406639002</v>
      </c>
      <c r="U12" s="35">
        <v>0</v>
      </c>
      <c r="V12" s="35">
        <v>0</v>
      </c>
      <c r="W12" s="16">
        <f t="shared" si="3"/>
        <v>0</v>
      </c>
      <c r="X12" s="35">
        <v>0</v>
      </c>
      <c r="Y12" s="35">
        <v>0</v>
      </c>
      <c r="Z12" s="16">
        <f t="shared" si="4"/>
        <v>0</v>
      </c>
      <c r="AA12" s="35">
        <v>0</v>
      </c>
      <c r="AB12" s="35">
        <v>0</v>
      </c>
      <c r="AC12" s="16">
        <f t="shared" si="5"/>
        <v>0</v>
      </c>
      <c r="AD12" s="32" t="s">
        <v>82</v>
      </c>
      <c r="AE12" s="21"/>
      <c r="AF12" s="21"/>
      <c r="AG12" s="5">
        <v>1</v>
      </c>
    </row>
    <row r="13" spans="1:33" x14ac:dyDescent="0.35">
      <c r="B13" t="s">
        <v>914</v>
      </c>
      <c r="C13" s="25" t="s">
        <v>135</v>
      </c>
      <c r="D13" s="26" t="s">
        <v>136</v>
      </c>
      <c r="E13" s="26" t="s">
        <v>126</v>
      </c>
      <c r="F13" s="26"/>
      <c r="G13" s="26"/>
      <c r="H13" s="26"/>
      <c r="I13" s="26" t="s">
        <v>114</v>
      </c>
      <c r="J13" s="27"/>
      <c r="K13" s="26" t="s">
        <v>82</v>
      </c>
      <c r="L13" s="34">
        <v>500</v>
      </c>
      <c r="M13" s="34">
        <v>500</v>
      </c>
      <c r="N13" s="16">
        <f t="shared" si="0"/>
        <v>2304.8013468013464</v>
      </c>
      <c r="O13" s="34">
        <v>500</v>
      </c>
      <c r="P13" s="34">
        <v>500</v>
      </c>
      <c r="Q13" s="16">
        <f t="shared" si="1"/>
        <v>-270.97689768976898</v>
      </c>
      <c r="R13" s="34">
        <v>500</v>
      </c>
      <c r="S13" s="34">
        <v>500</v>
      </c>
      <c r="T13" s="16">
        <f t="shared" si="2"/>
        <v>-652.50622406639002</v>
      </c>
      <c r="U13" s="34">
        <v>500</v>
      </c>
      <c r="V13" s="34">
        <v>500</v>
      </c>
      <c r="W13" s="16">
        <f t="shared" si="3"/>
        <v>-8.6315789473684212</v>
      </c>
      <c r="X13" s="34">
        <v>0</v>
      </c>
      <c r="Y13" s="34">
        <v>0</v>
      </c>
      <c r="Z13" s="16">
        <f t="shared" si="4"/>
        <v>0</v>
      </c>
      <c r="AA13" s="34">
        <v>0</v>
      </c>
      <c r="AB13" s="34">
        <v>0</v>
      </c>
      <c r="AC13" s="16">
        <f t="shared" si="5"/>
        <v>0</v>
      </c>
      <c r="AD13" s="31" t="s">
        <v>82</v>
      </c>
      <c r="AE13" s="21"/>
      <c r="AF13" s="21"/>
      <c r="AG13" s="5">
        <v>1</v>
      </c>
    </row>
    <row r="14" spans="1:33" x14ac:dyDescent="0.35">
      <c r="B14" t="s">
        <v>914</v>
      </c>
      <c r="C14" s="25" t="s">
        <v>141</v>
      </c>
      <c r="D14" s="26" t="s">
        <v>125</v>
      </c>
      <c r="E14" s="26" t="s">
        <v>142</v>
      </c>
      <c r="F14" s="26"/>
      <c r="G14" s="26"/>
      <c r="H14" s="26"/>
      <c r="I14" s="26" t="s">
        <v>120</v>
      </c>
      <c r="J14" s="27"/>
      <c r="K14" s="26" t="s">
        <v>82</v>
      </c>
      <c r="L14" s="34">
        <v>1500</v>
      </c>
      <c r="M14" s="34">
        <v>1500</v>
      </c>
      <c r="N14" s="16">
        <f t="shared" si="0"/>
        <v>6914.4040404040397</v>
      </c>
      <c r="O14" s="34">
        <v>1000</v>
      </c>
      <c r="P14" s="34">
        <v>1000</v>
      </c>
      <c r="Q14" s="16">
        <f t="shared" si="1"/>
        <v>-541.95379537953795</v>
      </c>
      <c r="R14" s="34">
        <v>1000</v>
      </c>
      <c r="S14" s="34">
        <v>1000</v>
      </c>
      <c r="T14" s="16">
        <f t="shared" si="2"/>
        <v>-1305.01244813278</v>
      </c>
      <c r="U14" s="34">
        <v>500</v>
      </c>
      <c r="V14" s="34">
        <v>500</v>
      </c>
      <c r="W14" s="16">
        <f t="shared" si="3"/>
        <v>-8.6315789473684212</v>
      </c>
      <c r="X14" s="34">
        <v>1000</v>
      </c>
      <c r="Y14" s="34">
        <v>1000</v>
      </c>
      <c r="Z14" s="16">
        <f t="shared" si="4"/>
        <v>-0.15384615384615385</v>
      </c>
      <c r="AA14" s="34">
        <v>1000</v>
      </c>
      <c r="AB14" s="34">
        <v>1000</v>
      </c>
      <c r="AC14" s="16">
        <f t="shared" si="5"/>
        <v>-61.393258426966298</v>
      </c>
      <c r="AD14" s="31" t="s">
        <v>82</v>
      </c>
      <c r="AE14" s="21"/>
      <c r="AF14" s="21"/>
      <c r="AG14" s="5">
        <v>1</v>
      </c>
    </row>
    <row r="15" spans="1:33" x14ac:dyDescent="0.35">
      <c r="B15" t="s">
        <v>914</v>
      </c>
      <c r="C15" s="28" t="s">
        <v>147</v>
      </c>
      <c r="D15" s="29" t="s">
        <v>148</v>
      </c>
      <c r="E15" s="29" t="s">
        <v>149</v>
      </c>
      <c r="F15" s="29"/>
      <c r="G15" s="29"/>
      <c r="H15" s="29"/>
      <c r="I15" s="29" t="s">
        <v>114</v>
      </c>
      <c r="J15" s="30"/>
      <c r="K15" s="29" t="s">
        <v>82</v>
      </c>
      <c r="L15" s="35">
        <v>2250</v>
      </c>
      <c r="M15" s="35">
        <v>2250</v>
      </c>
      <c r="N15" s="16">
        <f t="shared" si="0"/>
        <v>10371.60606060606</v>
      </c>
      <c r="O15" s="35">
        <v>2250</v>
      </c>
      <c r="P15" s="35">
        <v>2250</v>
      </c>
      <c r="Q15" s="16">
        <f t="shared" si="1"/>
        <v>-1219.3960396039604</v>
      </c>
      <c r="R15" s="35">
        <v>1000</v>
      </c>
      <c r="S15" s="35">
        <v>1000</v>
      </c>
      <c r="T15" s="16">
        <f t="shared" si="2"/>
        <v>-1305.01244813278</v>
      </c>
      <c r="U15" s="35">
        <v>500</v>
      </c>
      <c r="V15" s="35">
        <v>500</v>
      </c>
      <c r="W15" s="16">
        <f t="shared" si="3"/>
        <v>-8.6315789473684212</v>
      </c>
      <c r="X15" s="35">
        <v>500</v>
      </c>
      <c r="Y15" s="35">
        <v>500</v>
      </c>
      <c r="Z15" s="16">
        <f t="shared" si="4"/>
        <v>-7.6923076923076927E-2</v>
      </c>
      <c r="AA15" s="35">
        <v>500</v>
      </c>
      <c r="AB15" s="35">
        <v>500</v>
      </c>
      <c r="AC15" s="16">
        <f t="shared" si="5"/>
        <v>-30.696629213483149</v>
      </c>
      <c r="AD15" s="32" t="s">
        <v>82</v>
      </c>
      <c r="AE15" s="21"/>
      <c r="AF15" s="21"/>
      <c r="AG15" s="5">
        <v>1</v>
      </c>
    </row>
    <row r="16" spans="1:33" x14ac:dyDescent="0.35">
      <c r="B16" t="s">
        <v>913</v>
      </c>
      <c r="C16" s="25" t="s">
        <v>154</v>
      </c>
      <c r="D16" s="26" t="s">
        <v>155</v>
      </c>
      <c r="E16" s="26" t="s">
        <v>156</v>
      </c>
      <c r="F16" s="26"/>
      <c r="G16" s="26"/>
      <c r="H16" s="26"/>
      <c r="I16" s="26" t="s">
        <v>160</v>
      </c>
      <c r="J16" s="27"/>
      <c r="K16" s="26" t="s">
        <v>82</v>
      </c>
      <c r="L16" s="34">
        <v>500</v>
      </c>
      <c r="M16" s="34">
        <v>500</v>
      </c>
      <c r="N16" s="16">
        <f t="shared" si="0"/>
        <v>2304.8013468013464</v>
      </c>
      <c r="O16" s="34">
        <v>1500</v>
      </c>
      <c r="P16" s="34">
        <v>1500</v>
      </c>
      <c r="Q16" s="16">
        <f t="shared" si="1"/>
        <v>-812.93069306930693</v>
      </c>
      <c r="R16" s="34">
        <v>500</v>
      </c>
      <c r="S16" s="34">
        <v>500</v>
      </c>
      <c r="T16" s="16">
        <f t="shared" si="2"/>
        <v>-652.50622406639002</v>
      </c>
      <c r="U16" s="34">
        <v>0</v>
      </c>
      <c r="V16" s="34">
        <v>0</v>
      </c>
      <c r="W16" s="16">
        <f t="shared" si="3"/>
        <v>0</v>
      </c>
      <c r="X16" s="34">
        <v>0</v>
      </c>
      <c r="Y16" s="34">
        <v>0</v>
      </c>
      <c r="Z16" s="16">
        <f t="shared" si="4"/>
        <v>0</v>
      </c>
      <c r="AA16" s="34">
        <v>0</v>
      </c>
      <c r="AB16" s="34">
        <v>0</v>
      </c>
      <c r="AC16" s="16">
        <f t="shared" si="5"/>
        <v>0</v>
      </c>
      <c r="AD16" s="31" t="s">
        <v>91</v>
      </c>
      <c r="AG16" s="5">
        <v>1</v>
      </c>
    </row>
    <row r="17" spans="2:34" x14ac:dyDescent="0.35">
      <c r="C17" s="28" t="s">
        <v>162</v>
      </c>
      <c r="D17" s="29" t="s">
        <v>163</v>
      </c>
      <c r="E17" s="29" t="s">
        <v>164</v>
      </c>
      <c r="F17" s="29"/>
      <c r="G17" s="29"/>
      <c r="H17" s="29"/>
      <c r="I17" s="29" t="s">
        <v>168</v>
      </c>
      <c r="J17" s="30"/>
      <c r="K17" s="29" t="s">
        <v>82</v>
      </c>
      <c r="L17" s="35">
        <v>500</v>
      </c>
      <c r="M17" s="35">
        <v>500</v>
      </c>
      <c r="N17" s="16">
        <f t="shared" si="0"/>
        <v>2304.8013468013464</v>
      </c>
      <c r="O17" s="35">
        <v>1000</v>
      </c>
      <c r="P17" s="35">
        <v>1000</v>
      </c>
      <c r="Q17" s="16">
        <f t="shared" si="1"/>
        <v>-541.95379537953795</v>
      </c>
      <c r="R17" s="35">
        <v>500</v>
      </c>
      <c r="S17" s="35">
        <v>500</v>
      </c>
      <c r="T17" s="16">
        <f t="shared" si="2"/>
        <v>-652.50622406639002</v>
      </c>
      <c r="U17" s="35">
        <v>0</v>
      </c>
      <c r="V17" s="35">
        <v>0</v>
      </c>
      <c r="W17" s="16">
        <f t="shared" si="3"/>
        <v>0</v>
      </c>
      <c r="X17" s="35">
        <v>500</v>
      </c>
      <c r="Y17" s="35">
        <v>500</v>
      </c>
      <c r="Z17" s="16">
        <f t="shared" si="4"/>
        <v>-7.6923076923076927E-2</v>
      </c>
      <c r="AA17" s="35">
        <v>500</v>
      </c>
      <c r="AB17" s="35">
        <v>500</v>
      </c>
      <c r="AC17" s="16">
        <f t="shared" si="5"/>
        <v>-30.696629213483149</v>
      </c>
      <c r="AD17" s="32" t="s">
        <v>82</v>
      </c>
      <c r="AE17" s="21"/>
      <c r="AF17" s="21"/>
      <c r="AG17" s="5">
        <v>1</v>
      </c>
    </row>
    <row r="18" spans="2:34" x14ac:dyDescent="0.35">
      <c r="C18" s="25" t="s">
        <v>170</v>
      </c>
      <c r="D18" s="26" t="s">
        <v>163</v>
      </c>
      <c r="E18" s="26" t="s">
        <v>171</v>
      </c>
      <c r="F18" s="26"/>
      <c r="G18" s="26"/>
      <c r="H18" s="26"/>
      <c r="I18" s="26" t="s">
        <v>168</v>
      </c>
      <c r="J18" s="27"/>
      <c r="K18" s="26" t="s">
        <v>82</v>
      </c>
      <c r="L18" s="34">
        <v>500</v>
      </c>
      <c r="M18" s="34">
        <v>500</v>
      </c>
      <c r="N18" s="16">
        <f t="shared" si="0"/>
        <v>2304.8013468013464</v>
      </c>
      <c r="O18" s="34">
        <v>1500</v>
      </c>
      <c r="P18" s="34">
        <v>1500</v>
      </c>
      <c r="Q18" s="16">
        <f t="shared" si="1"/>
        <v>-812.93069306930693</v>
      </c>
      <c r="R18" s="34">
        <v>1000</v>
      </c>
      <c r="S18" s="34">
        <v>1000</v>
      </c>
      <c r="T18" s="16">
        <f t="shared" si="2"/>
        <v>-1305.01244813278</v>
      </c>
      <c r="U18" s="34">
        <v>0</v>
      </c>
      <c r="V18" s="34">
        <v>0</v>
      </c>
      <c r="W18" s="16">
        <f t="shared" si="3"/>
        <v>0</v>
      </c>
      <c r="X18" s="34">
        <v>500</v>
      </c>
      <c r="Y18" s="34">
        <v>500</v>
      </c>
      <c r="Z18" s="16">
        <f t="shared" si="4"/>
        <v>-7.6923076923076927E-2</v>
      </c>
      <c r="AA18" s="34">
        <v>500</v>
      </c>
      <c r="AB18" s="34">
        <v>500</v>
      </c>
      <c r="AC18" s="16">
        <f t="shared" si="5"/>
        <v>-30.696629213483149</v>
      </c>
      <c r="AD18" s="31" t="s">
        <v>82</v>
      </c>
      <c r="AE18" s="21"/>
      <c r="AF18" s="21"/>
      <c r="AG18" s="5">
        <v>1</v>
      </c>
    </row>
    <row r="19" spans="2:34" x14ac:dyDescent="0.35">
      <c r="C19" s="25" t="s">
        <v>176</v>
      </c>
      <c r="D19" s="26" t="s">
        <v>177</v>
      </c>
      <c r="E19" s="26" t="s">
        <v>178</v>
      </c>
      <c r="F19" s="26"/>
      <c r="G19" s="26"/>
      <c r="H19" s="26"/>
      <c r="I19" s="26" t="s">
        <v>182</v>
      </c>
      <c r="J19" s="27"/>
      <c r="K19" s="26" t="s">
        <v>82</v>
      </c>
      <c r="L19" s="34">
        <v>2250</v>
      </c>
      <c r="M19" s="34">
        <v>2250</v>
      </c>
      <c r="N19" s="16">
        <f t="shared" si="0"/>
        <v>10371.60606060606</v>
      </c>
      <c r="O19" s="34">
        <v>500</v>
      </c>
      <c r="P19" s="34">
        <v>500</v>
      </c>
      <c r="Q19" s="16">
        <f t="shared" si="1"/>
        <v>-270.97689768976898</v>
      </c>
      <c r="R19" s="34">
        <v>0</v>
      </c>
      <c r="S19" s="34">
        <v>0</v>
      </c>
      <c r="T19" s="16">
        <f t="shared" si="2"/>
        <v>0</v>
      </c>
      <c r="U19" s="34">
        <v>0</v>
      </c>
      <c r="V19" s="34">
        <v>0</v>
      </c>
      <c r="W19" s="16">
        <f t="shared" si="3"/>
        <v>0</v>
      </c>
      <c r="X19" s="34">
        <v>500</v>
      </c>
      <c r="Y19" s="34">
        <v>500</v>
      </c>
      <c r="Z19" s="16">
        <f t="shared" si="4"/>
        <v>-7.6923076923076927E-2</v>
      </c>
      <c r="AA19" s="34">
        <v>0</v>
      </c>
      <c r="AB19" s="34">
        <v>0</v>
      </c>
      <c r="AC19" s="16">
        <f t="shared" si="5"/>
        <v>0</v>
      </c>
      <c r="AD19" s="31" t="s">
        <v>82</v>
      </c>
      <c r="AE19" s="21"/>
      <c r="AF19" s="21"/>
      <c r="AG19" s="5">
        <v>1</v>
      </c>
      <c r="AH19" s="16"/>
    </row>
    <row r="20" spans="2:34" x14ac:dyDescent="0.35">
      <c r="B20" t="s">
        <v>913</v>
      </c>
      <c r="C20" s="25" t="s">
        <v>184</v>
      </c>
      <c r="D20" s="26" t="s">
        <v>185</v>
      </c>
      <c r="E20" s="26" t="s">
        <v>186</v>
      </c>
      <c r="F20" s="26"/>
      <c r="G20" s="26"/>
      <c r="H20" s="26"/>
      <c r="I20" s="26" t="s">
        <v>114</v>
      </c>
      <c r="J20" s="27"/>
      <c r="K20" s="26" t="s">
        <v>82</v>
      </c>
      <c r="L20" s="34">
        <v>1000</v>
      </c>
      <c r="M20" s="34">
        <v>1000</v>
      </c>
      <c r="N20" s="16">
        <f t="shared" si="0"/>
        <v>4609.6026936026929</v>
      </c>
      <c r="O20" s="34">
        <v>1000</v>
      </c>
      <c r="P20" s="34">
        <v>1000</v>
      </c>
      <c r="Q20" s="16">
        <f t="shared" si="1"/>
        <v>-541.95379537953795</v>
      </c>
      <c r="R20" s="34">
        <v>1000</v>
      </c>
      <c r="S20" s="34">
        <v>1000</v>
      </c>
      <c r="T20" s="16">
        <f t="shared" si="2"/>
        <v>-1305.01244813278</v>
      </c>
      <c r="U20" s="34">
        <v>0</v>
      </c>
      <c r="V20" s="34">
        <v>0</v>
      </c>
      <c r="W20" s="16">
        <f t="shared" si="3"/>
        <v>0</v>
      </c>
      <c r="X20" s="34">
        <v>0</v>
      </c>
      <c r="Y20" s="34">
        <v>0</v>
      </c>
      <c r="Z20" s="16">
        <f t="shared" si="4"/>
        <v>0</v>
      </c>
      <c r="AA20" s="34">
        <v>0</v>
      </c>
      <c r="AB20" s="34">
        <v>0</v>
      </c>
      <c r="AC20" s="16">
        <f t="shared" si="5"/>
        <v>0</v>
      </c>
      <c r="AD20" s="31" t="s">
        <v>91</v>
      </c>
      <c r="AE20" s="21"/>
      <c r="AF20" s="21"/>
      <c r="AG20" s="22">
        <v>1</v>
      </c>
    </row>
    <row r="21" spans="2:34" x14ac:dyDescent="0.35">
      <c r="B21" t="s">
        <v>913</v>
      </c>
      <c r="C21" s="28" t="s">
        <v>191</v>
      </c>
      <c r="D21" s="29" t="s">
        <v>192</v>
      </c>
      <c r="E21" s="29" t="s">
        <v>193</v>
      </c>
      <c r="F21" s="29"/>
      <c r="G21" s="29"/>
      <c r="H21" s="29"/>
      <c r="I21" s="29" t="s">
        <v>106</v>
      </c>
      <c r="J21" s="30"/>
      <c r="K21" s="29" t="s">
        <v>82</v>
      </c>
      <c r="L21" s="35">
        <v>1000</v>
      </c>
      <c r="M21" s="35">
        <v>1000</v>
      </c>
      <c r="N21" s="16">
        <f t="shared" si="0"/>
        <v>4609.6026936026929</v>
      </c>
      <c r="O21" s="35">
        <v>2250</v>
      </c>
      <c r="P21" s="35">
        <v>2250</v>
      </c>
      <c r="Q21" s="16">
        <f t="shared" si="1"/>
        <v>-1219.3960396039604</v>
      </c>
      <c r="R21" s="35">
        <v>2250</v>
      </c>
      <c r="S21" s="35">
        <v>2250</v>
      </c>
      <c r="T21" s="16">
        <f t="shared" si="2"/>
        <v>-2936.2780082987551</v>
      </c>
      <c r="U21" s="35">
        <v>0</v>
      </c>
      <c r="V21" s="35">
        <v>0</v>
      </c>
      <c r="W21" s="16">
        <f t="shared" si="3"/>
        <v>0</v>
      </c>
      <c r="X21" s="35">
        <v>2250</v>
      </c>
      <c r="Y21" s="35">
        <v>2250</v>
      </c>
      <c r="Z21" s="16">
        <f t="shared" si="4"/>
        <v>-0.34615384615384615</v>
      </c>
      <c r="AA21" s="35">
        <v>500</v>
      </c>
      <c r="AB21" s="35">
        <v>500</v>
      </c>
      <c r="AC21" s="16">
        <f t="shared" si="5"/>
        <v>-30.696629213483149</v>
      </c>
      <c r="AD21" s="32" t="s">
        <v>91</v>
      </c>
      <c r="AE21" s="21"/>
      <c r="AF21" s="21"/>
      <c r="AG21" s="22">
        <v>1</v>
      </c>
    </row>
    <row r="22" spans="2:34" x14ac:dyDescent="0.35">
      <c r="C22" s="25" t="s">
        <v>198</v>
      </c>
      <c r="D22" s="26" t="s">
        <v>199</v>
      </c>
      <c r="E22" s="26" t="s">
        <v>200</v>
      </c>
      <c r="F22" s="26"/>
      <c r="G22" s="26"/>
      <c r="H22" s="26"/>
      <c r="I22" s="26" t="s">
        <v>204</v>
      </c>
      <c r="J22" s="27"/>
      <c r="K22" s="26" t="s">
        <v>82</v>
      </c>
      <c r="L22" s="34">
        <v>1000</v>
      </c>
      <c r="M22" s="34">
        <v>0</v>
      </c>
      <c r="N22" s="16">
        <f t="shared" si="0"/>
        <v>0</v>
      </c>
      <c r="O22" s="34">
        <v>1000</v>
      </c>
      <c r="P22" s="34">
        <v>0</v>
      </c>
      <c r="Q22" s="16">
        <f t="shared" si="1"/>
        <v>0</v>
      </c>
      <c r="R22" s="34">
        <v>1000</v>
      </c>
      <c r="S22" s="34">
        <v>0</v>
      </c>
      <c r="T22" s="16">
        <f t="shared" si="2"/>
        <v>0</v>
      </c>
      <c r="U22" s="34">
        <v>0</v>
      </c>
      <c r="V22" s="34">
        <v>0</v>
      </c>
      <c r="W22" s="16">
        <f t="shared" si="3"/>
        <v>0</v>
      </c>
      <c r="X22" s="34">
        <v>500</v>
      </c>
      <c r="Y22" s="34">
        <v>0</v>
      </c>
      <c r="Z22" s="16">
        <f t="shared" si="4"/>
        <v>0</v>
      </c>
      <c r="AA22" s="34">
        <v>500</v>
      </c>
      <c r="AB22" s="34">
        <v>0</v>
      </c>
      <c r="AC22" s="16">
        <f t="shared" si="5"/>
        <v>0</v>
      </c>
      <c r="AD22" s="31" t="s">
        <v>91</v>
      </c>
      <c r="AG22" s="5" t="s">
        <v>83</v>
      </c>
    </row>
    <row r="23" spans="2:34" x14ac:dyDescent="0.35">
      <c r="B23" t="s">
        <v>913</v>
      </c>
      <c r="C23" s="28" t="s">
        <v>206</v>
      </c>
      <c r="D23" s="29" t="s">
        <v>207</v>
      </c>
      <c r="E23" s="29" t="s">
        <v>208</v>
      </c>
      <c r="F23" s="29"/>
      <c r="G23" s="29"/>
      <c r="H23" s="29"/>
      <c r="I23" s="29" t="s">
        <v>212</v>
      </c>
      <c r="J23" s="30"/>
      <c r="K23" s="29" t="s">
        <v>82</v>
      </c>
      <c r="L23" s="35">
        <v>2250</v>
      </c>
      <c r="M23" s="35">
        <v>2250</v>
      </c>
      <c r="N23" s="16">
        <f t="shared" si="0"/>
        <v>10371.60606060606</v>
      </c>
      <c r="O23" s="35">
        <v>2250</v>
      </c>
      <c r="P23" s="35">
        <v>2250</v>
      </c>
      <c r="Q23" s="16">
        <f t="shared" si="1"/>
        <v>-1219.3960396039604</v>
      </c>
      <c r="R23" s="35">
        <v>500</v>
      </c>
      <c r="S23" s="35">
        <v>500</v>
      </c>
      <c r="T23" s="16">
        <f t="shared" si="2"/>
        <v>-652.50622406639002</v>
      </c>
      <c r="U23" s="35">
        <v>0</v>
      </c>
      <c r="V23" s="35">
        <v>0</v>
      </c>
      <c r="W23" s="16">
        <f t="shared" si="3"/>
        <v>0</v>
      </c>
      <c r="X23" s="35">
        <v>0</v>
      </c>
      <c r="Y23" s="35">
        <v>0</v>
      </c>
      <c r="Z23" s="16">
        <f t="shared" si="4"/>
        <v>0</v>
      </c>
      <c r="AA23" s="35">
        <v>0</v>
      </c>
      <c r="AB23" s="35">
        <v>0</v>
      </c>
      <c r="AC23" s="16">
        <f t="shared" si="5"/>
        <v>0</v>
      </c>
      <c r="AD23" s="32" t="s">
        <v>91</v>
      </c>
      <c r="AE23" s="21"/>
      <c r="AF23" s="21"/>
      <c r="AG23" s="22">
        <v>1</v>
      </c>
    </row>
    <row r="24" spans="2:34" x14ac:dyDescent="0.35">
      <c r="C24" s="28" t="s">
        <v>206</v>
      </c>
      <c r="D24" s="29" t="s">
        <v>214</v>
      </c>
      <c r="E24" s="29" t="s">
        <v>208</v>
      </c>
      <c r="F24" s="29"/>
      <c r="G24" s="29"/>
      <c r="H24" s="29"/>
      <c r="I24" s="29" t="s">
        <v>160</v>
      </c>
      <c r="J24" s="30"/>
      <c r="K24" s="29" t="s">
        <v>82</v>
      </c>
      <c r="L24" s="35">
        <v>500</v>
      </c>
      <c r="M24" s="35">
        <v>500</v>
      </c>
      <c r="N24" s="16">
        <f t="shared" si="0"/>
        <v>2304.8013468013464</v>
      </c>
      <c r="O24" s="35">
        <v>500</v>
      </c>
      <c r="P24" s="35">
        <v>500</v>
      </c>
      <c r="Q24" s="16">
        <f t="shared" si="1"/>
        <v>-270.97689768976898</v>
      </c>
      <c r="R24" s="35">
        <v>500</v>
      </c>
      <c r="S24" s="35">
        <v>500</v>
      </c>
      <c r="T24" s="16">
        <f t="shared" si="2"/>
        <v>-652.50622406639002</v>
      </c>
      <c r="U24" s="35">
        <v>500</v>
      </c>
      <c r="V24" s="35">
        <v>500</v>
      </c>
      <c r="W24" s="16">
        <f t="shared" si="3"/>
        <v>-8.6315789473684212</v>
      </c>
      <c r="X24" s="35">
        <v>0</v>
      </c>
      <c r="Y24" s="35">
        <v>0</v>
      </c>
      <c r="Z24" s="16">
        <f t="shared" si="4"/>
        <v>0</v>
      </c>
      <c r="AA24" s="35">
        <v>500</v>
      </c>
      <c r="AB24" s="35">
        <v>500</v>
      </c>
      <c r="AC24" s="16">
        <f t="shared" si="5"/>
        <v>-30.696629213483149</v>
      </c>
      <c r="AD24" s="32" t="s">
        <v>82</v>
      </c>
      <c r="AE24" s="21"/>
      <c r="AF24" s="21"/>
      <c r="AG24" s="5">
        <v>1</v>
      </c>
    </row>
    <row r="25" spans="2:34" x14ac:dyDescent="0.35">
      <c r="C25" s="25" t="s">
        <v>218</v>
      </c>
      <c r="D25" s="26" t="s">
        <v>219</v>
      </c>
      <c r="E25" s="26" t="s">
        <v>220</v>
      </c>
      <c r="F25" s="26"/>
      <c r="G25" s="26"/>
      <c r="H25" s="26"/>
      <c r="I25" s="26" t="s">
        <v>106</v>
      </c>
      <c r="J25" s="27"/>
      <c r="K25" s="26" t="s">
        <v>82</v>
      </c>
      <c r="L25" s="34">
        <v>500</v>
      </c>
      <c r="M25" s="34">
        <v>500</v>
      </c>
      <c r="N25" s="16">
        <f t="shared" si="0"/>
        <v>2304.8013468013464</v>
      </c>
      <c r="O25" s="34">
        <v>500</v>
      </c>
      <c r="P25" s="34">
        <v>500</v>
      </c>
      <c r="Q25" s="16">
        <f t="shared" si="1"/>
        <v>-270.97689768976898</v>
      </c>
      <c r="R25" s="34">
        <v>500</v>
      </c>
      <c r="S25" s="34">
        <v>500</v>
      </c>
      <c r="T25" s="16">
        <f t="shared" si="2"/>
        <v>-652.50622406639002</v>
      </c>
      <c r="U25" s="34">
        <v>500</v>
      </c>
      <c r="V25" s="34">
        <v>500</v>
      </c>
      <c r="W25" s="16">
        <f t="shared" si="3"/>
        <v>-8.6315789473684212</v>
      </c>
      <c r="X25" s="34">
        <v>1000</v>
      </c>
      <c r="Y25" s="34">
        <v>1000</v>
      </c>
      <c r="Z25" s="16">
        <f t="shared" si="4"/>
        <v>-0.15384615384615385</v>
      </c>
      <c r="AA25" s="34">
        <v>500</v>
      </c>
      <c r="AB25" s="34">
        <v>500</v>
      </c>
      <c r="AC25" s="16">
        <f t="shared" si="5"/>
        <v>-30.696629213483149</v>
      </c>
      <c r="AD25" s="31" t="s">
        <v>82</v>
      </c>
      <c r="AE25" s="21"/>
      <c r="AF25" s="21"/>
      <c r="AG25" s="5">
        <v>1</v>
      </c>
    </row>
    <row r="26" spans="2:34" x14ac:dyDescent="0.35">
      <c r="B26" t="s">
        <v>913</v>
      </c>
      <c r="C26" s="28" t="s">
        <v>225</v>
      </c>
      <c r="D26" s="29" t="s">
        <v>226</v>
      </c>
      <c r="E26" s="29" t="s">
        <v>227</v>
      </c>
      <c r="F26" s="29"/>
      <c r="G26" s="29"/>
      <c r="H26" s="29"/>
      <c r="I26" s="29" t="s">
        <v>120</v>
      </c>
      <c r="J26" s="30"/>
      <c r="K26" s="29" t="s">
        <v>82</v>
      </c>
      <c r="L26" s="35">
        <v>0</v>
      </c>
      <c r="M26" s="35">
        <v>0</v>
      </c>
      <c r="N26" s="16">
        <f t="shared" si="0"/>
        <v>0</v>
      </c>
      <c r="O26" s="35">
        <v>1500</v>
      </c>
      <c r="P26" s="35">
        <v>1500</v>
      </c>
      <c r="Q26" s="16">
        <f t="shared" si="1"/>
        <v>-812.93069306930693</v>
      </c>
      <c r="R26" s="35">
        <v>0</v>
      </c>
      <c r="S26" s="35">
        <v>0</v>
      </c>
      <c r="T26" s="16">
        <f t="shared" si="2"/>
        <v>0</v>
      </c>
      <c r="U26" s="35">
        <v>500</v>
      </c>
      <c r="V26" s="35">
        <v>500</v>
      </c>
      <c r="W26" s="16">
        <f t="shared" si="3"/>
        <v>-8.6315789473684212</v>
      </c>
      <c r="X26" s="35">
        <v>500</v>
      </c>
      <c r="Y26" s="35">
        <v>500</v>
      </c>
      <c r="Z26" s="16">
        <f t="shared" si="4"/>
        <v>-7.6923076923076927E-2</v>
      </c>
      <c r="AA26" s="35">
        <v>500</v>
      </c>
      <c r="AB26" s="35">
        <v>500</v>
      </c>
      <c r="AC26" s="16">
        <f t="shared" si="5"/>
        <v>-30.696629213483149</v>
      </c>
      <c r="AD26" s="32" t="s">
        <v>91</v>
      </c>
      <c r="AG26" s="5">
        <v>1</v>
      </c>
    </row>
    <row r="27" spans="2:34" x14ac:dyDescent="0.35">
      <c r="B27" t="s">
        <v>913</v>
      </c>
      <c r="C27" s="28" t="s">
        <v>232</v>
      </c>
      <c r="D27" s="29" t="s">
        <v>233</v>
      </c>
      <c r="E27" s="29" t="s">
        <v>234</v>
      </c>
      <c r="F27" s="29"/>
      <c r="G27" s="29"/>
      <c r="H27" s="29"/>
      <c r="I27" s="29" t="s">
        <v>237</v>
      </c>
      <c r="J27" s="30"/>
      <c r="K27" s="29" t="s">
        <v>82</v>
      </c>
      <c r="L27" s="35">
        <v>500</v>
      </c>
      <c r="M27" s="35">
        <v>500</v>
      </c>
      <c r="N27" s="16">
        <f t="shared" si="0"/>
        <v>2304.8013468013464</v>
      </c>
      <c r="O27" s="35">
        <v>500</v>
      </c>
      <c r="P27" s="35">
        <v>500</v>
      </c>
      <c r="Q27" s="16">
        <f t="shared" si="1"/>
        <v>-270.97689768976898</v>
      </c>
      <c r="R27" s="35">
        <v>500</v>
      </c>
      <c r="S27" s="35">
        <v>500</v>
      </c>
      <c r="T27" s="16">
        <f t="shared" si="2"/>
        <v>-652.50622406639002</v>
      </c>
      <c r="U27" s="35">
        <v>500</v>
      </c>
      <c r="V27" s="35">
        <v>500</v>
      </c>
      <c r="W27" s="16">
        <f t="shared" si="3"/>
        <v>-8.6315789473684212</v>
      </c>
      <c r="X27" s="35">
        <v>500</v>
      </c>
      <c r="Y27" s="35">
        <v>500</v>
      </c>
      <c r="Z27" s="16">
        <f t="shared" si="4"/>
        <v>-7.6923076923076927E-2</v>
      </c>
      <c r="AA27" s="35">
        <v>500</v>
      </c>
      <c r="AB27" s="35">
        <v>500</v>
      </c>
      <c r="AC27" s="16">
        <f t="shared" si="5"/>
        <v>-30.696629213483149</v>
      </c>
      <c r="AD27" s="32" t="s">
        <v>91</v>
      </c>
      <c r="AE27" s="21"/>
      <c r="AF27" s="21"/>
      <c r="AG27" s="22">
        <v>1</v>
      </c>
    </row>
    <row r="28" spans="2:34" x14ac:dyDescent="0.35">
      <c r="C28" s="25" t="s">
        <v>239</v>
      </c>
      <c r="D28" s="26" t="s">
        <v>240</v>
      </c>
      <c r="E28" s="26" t="s">
        <v>241</v>
      </c>
      <c r="F28" s="26"/>
      <c r="G28" s="26"/>
      <c r="H28" s="26"/>
      <c r="I28" s="26" t="s">
        <v>204</v>
      </c>
      <c r="J28" s="27"/>
      <c r="K28" s="26" t="s">
        <v>91</v>
      </c>
      <c r="L28" s="34"/>
      <c r="M28" s="34"/>
      <c r="N28" s="16">
        <f t="shared" si="0"/>
        <v>0</v>
      </c>
      <c r="O28" s="34"/>
      <c r="P28" s="34"/>
      <c r="Q28" s="16">
        <f t="shared" si="1"/>
        <v>0</v>
      </c>
      <c r="R28" s="34"/>
      <c r="S28" s="34"/>
      <c r="T28" s="16">
        <f t="shared" si="2"/>
        <v>0</v>
      </c>
      <c r="U28" s="34"/>
      <c r="V28" s="34"/>
      <c r="W28" s="16">
        <f t="shared" si="3"/>
        <v>0</v>
      </c>
      <c r="X28" s="34"/>
      <c r="Y28" s="34"/>
      <c r="Z28" s="16">
        <f t="shared" si="4"/>
        <v>0</v>
      </c>
      <c r="AA28" s="34"/>
      <c r="AB28" s="34"/>
      <c r="AC28" s="16">
        <f t="shared" si="5"/>
        <v>0</v>
      </c>
      <c r="AD28" s="31"/>
      <c r="AE28" s="21"/>
      <c r="AF28" s="21"/>
      <c r="AG28" s="5">
        <v>1</v>
      </c>
    </row>
    <row r="29" spans="2:34" x14ac:dyDescent="0.35">
      <c r="C29" s="25" t="s">
        <v>246</v>
      </c>
      <c r="D29" s="26" t="s">
        <v>247</v>
      </c>
      <c r="E29" s="26" t="s">
        <v>248</v>
      </c>
      <c r="F29" s="26"/>
      <c r="G29" s="26"/>
      <c r="H29" s="26"/>
      <c r="I29" s="26" t="s">
        <v>182</v>
      </c>
      <c r="J29" s="27"/>
      <c r="K29" s="26" t="s">
        <v>82</v>
      </c>
      <c r="L29" s="34">
        <v>1000</v>
      </c>
      <c r="M29" s="34">
        <v>1000</v>
      </c>
      <c r="N29" s="16">
        <f t="shared" si="0"/>
        <v>4609.6026936026929</v>
      </c>
      <c r="O29" s="34">
        <v>500</v>
      </c>
      <c r="P29" s="34">
        <v>500</v>
      </c>
      <c r="Q29" s="16">
        <f t="shared" si="1"/>
        <v>-270.97689768976898</v>
      </c>
      <c r="R29" s="34">
        <v>500</v>
      </c>
      <c r="S29" s="34">
        <v>500</v>
      </c>
      <c r="T29" s="16">
        <f t="shared" si="2"/>
        <v>-652.50622406639002</v>
      </c>
      <c r="U29" s="34">
        <v>500</v>
      </c>
      <c r="V29" s="34">
        <v>500</v>
      </c>
      <c r="W29" s="16">
        <f t="shared" si="3"/>
        <v>-8.6315789473684212</v>
      </c>
      <c r="X29" s="34">
        <v>500</v>
      </c>
      <c r="Y29" s="34">
        <v>500</v>
      </c>
      <c r="Z29" s="16">
        <f t="shared" si="4"/>
        <v>-7.6923076923076927E-2</v>
      </c>
      <c r="AA29" s="34">
        <v>500</v>
      </c>
      <c r="AB29" s="34">
        <v>500</v>
      </c>
      <c r="AC29" s="16">
        <f t="shared" si="5"/>
        <v>-30.696629213483149</v>
      </c>
      <c r="AD29" s="31" t="s">
        <v>82</v>
      </c>
      <c r="AE29" s="21"/>
      <c r="AF29" s="21"/>
      <c r="AG29" s="5">
        <v>1</v>
      </c>
    </row>
    <row r="30" spans="2:34" x14ac:dyDescent="0.35">
      <c r="B30" t="s">
        <v>914</v>
      </c>
      <c r="C30" s="25" t="s">
        <v>253</v>
      </c>
      <c r="D30" s="26" t="s">
        <v>254</v>
      </c>
      <c r="E30" s="26" t="s">
        <v>255</v>
      </c>
      <c r="F30" s="26"/>
      <c r="G30" s="26"/>
      <c r="H30" s="26"/>
      <c r="I30" s="26" t="s">
        <v>258</v>
      </c>
      <c r="J30" s="27"/>
      <c r="K30" s="26" t="s">
        <v>82</v>
      </c>
      <c r="L30" s="34">
        <v>2250</v>
      </c>
      <c r="M30" s="34">
        <v>2250</v>
      </c>
      <c r="N30" s="16">
        <f t="shared" si="0"/>
        <v>10371.60606060606</v>
      </c>
      <c r="O30" s="34">
        <v>2250</v>
      </c>
      <c r="P30" s="34">
        <v>2250</v>
      </c>
      <c r="Q30" s="16">
        <f t="shared" si="1"/>
        <v>-1219.3960396039604</v>
      </c>
      <c r="R30" s="34">
        <v>1000</v>
      </c>
      <c r="S30" s="34">
        <v>1000</v>
      </c>
      <c r="T30" s="16">
        <f t="shared" si="2"/>
        <v>-1305.01244813278</v>
      </c>
      <c r="U30" s="34">
        <v>0</v>
      </c>
      <c r="V30" s="34">
        <v>0</v>
      </c>
      <c r="W30" s="16">
        <f t="shared" si="3"/>
        <v>0</v>
      </c>
      <c r="X30" s="34">
        <v>0</v>
      </c>
      <c r="Y30" s="34">
        <v>0</v>
      </c>
      <c r="Z30" s="16">
        <f t="shared" si="4"/>
        <v>0</v>
      </c>
      <c r="AA30" s="34">
        <v>0</v>
      </c>
      <c r="AB30" s="34">
        <v>0</v>
      </c>
      <c r="AC30" s="16">
        <f t="shared" si="5"/>
        <v>0</v>
      </c>
      <c r="AD30" s="31" t="s">
        <v>82</v>
      </c>
      <c r="AE30" s="21"/>
      <c r="AF30" s="21"/>
      <c r="AG30" s="5">
        <v>1</v>
      </c>
    </row>
    <row r="31" spans="2:34" x14ac:dyDescent="0.35">
      <c r="C31" s="28" t="s">
        <v>260</v>
      </c>
      <c r="D31" s="29" t="s">
        <v>261</v>
      </c>
      <c r="E31" s="29" t="s">
        <v>262</v>
      </c>
      <c r="F31" s="29"/>
      <c r="G31" s="29"/>
      <c r="H31" s="29"/>
      <c r="I31" s="29" t="s">
        <v>266</v>
      </c>
      <c r="J31" s="30"/>
      <c r="K31" s="29" t="s">
        <v>82</v>
      </c>
      <c r="L31" s="35">
        <v>2250</v>
      </c>
      <c r="M31" s="35">
        <v>2250</v>
      </c>
      <c r="N31" s="16">
        <f t="shared" si="0"/>
        <v>10371.60606060606</v>
      </c>
      <c r="O31" s="35">
        <v>2250</v>
      </c>
      <c r="P31" s="35">
        <v>2250</v>
      </c>
      <c r="Q31" s="16">
        <f t="shared" si="1"/>
        <v>-1219.3960396039604</v>
      </c>
      <c r="R31" s="35">
        <v>2250</v>
      </c>
      <c r="S31" s="35">
        <v>2250</v>
      </c>
      <c r="T31" s="16">
        <f t="shared" si="2"/>
        <v>-2936.2780082987551</v>
      </c>
      <c r="U31" s="35">
        <v>500</v>
      </c>
      <c r="V31" s="35">
        <v>500</v>
      </c>
      <c r="W31" s="16">
        <f t="shared" si="3"/>
        <v>-8.6315789473684212</v>
      </c>
      <c r="X31" s="35">
        <v>500</v>
      </c>
      <c r="Y31" s="35">
        <v>500</v>
      </c>
      <c r="Z31" s="16">
        <f t="shared" si="4"/>
        <v>-7.6923076923076927E-2</v>
      </c>
      <c r="AA31" s="35">
        <v>500</v>
      </c>
      <c r="AB31" s="35">
        <v>500</v>
      </c>
      <c r="AC31" s="16">
        <f t="shared" si="5"/>
        <v>-30.696629213483149</v>
      </c>
      <c r="AD31" s="32" t="s">
        <v>82</v>
      </c>
      <c r="AG31" s="5">
        <v>1</v>
      </c>
    </row>
    <row r="32" spans="2:34" x14ac:dyDescent="0.35">
      <c r="C32" s="25" t="s">
        <v>268</v>
      </c>
      <c r="D32" s="26" t="s">
        <v>269</v>
      </c>
      <c r="E32" s="26" t="s">
        <v>270</v>
      </c>
      <c r="F32" s="26"/>
      <c r="G32" s="26"/>
      <c r="H32" s="26"/>
      <c r="I32" s="26" t="s">
        <v>212</v>
      </c>
      <c r="J32" s="27"/>
      <c r="K32" s="26" t="s">
        <v>82</v>
      </c>
      <c r="L32" s="34">
        <v>1000</v>
      </c>
      <c r="M32" s="34">
        <v>1000</v>
      </c>
      <c r="N32" s="16">
        <f t="shared" si="0"/>
        <v>4609.6026936026929</v>
      </c>
      <c r="O32" s="34">
        <v>500</v>
      </c>
      <c r="P32" s="34">
        <v>500</v>
      </c>
      <c r="Q32" s="16">
        <f t="shared" si="1"/>
        <v>-270.97689768976898</v>
      </c>
      <c r="R32" s="34">
        <v>0</v>
      </c>
      <c r="S32" s="34">
        <v>0</v>
      </c>
      <c r="T32" s="16">
        <f t="shared" si="2"/>
        <v>0</v>
      </c>
      <c r="U32" s="34">
        <v>500</v>
      </c>
      <c r="V32" s="34">
        <v>500</v>
      </c>
      <c r="W32" s="16">
        <f t="shared" si="3"/>
        <v>-8.6315789473684212</v>
      </c>
      <c r="X32" s="34">
        <v>500</v>
      </c>
      <c r="Y32" s="34">
        <v>500</v>
      </c>
      <c r="Z32" s="16">
        <f t="shared" si="4"/>
        <v>-7.6923076923076927E-2</v>
      </c>
      <c r="AA32" s="34">
        <v>500</v>
      </c>
      <c r="AB32" s="34">
        <v>500</v>
      </c>
      <c r="AC32" s="16">
        <f t="shared" si="5"/>
        <v>-30.696629213483149</v>
      </c>
      <c r="AD32" s="31" t="s">
        <v>82</v>
      </c>
      <c r="AE32" s="21"/>
      <c r="AF32" s="21"/>
      <c r="AG32" s="5">
        <v>1</v>
      </c>
    </row>
    <row r="33" spans="2:33" x14ac:dyDescent="0.35">
      <c r="C33" s="25" t="s">
        <v>274</v>
      </c>
      <c r="D33" s="26" t="s">
        <v>275</v>
      </c>
      <c r="E33" s="26" t="s">
        <v>276</v>
      </c>
      <c r="F33" s="26"/>
      <c r="G33" s="26"/>
      <c r="H33" s="26"/>
      <c r="I33" s="26" t="s">
        <v>279</v>
      </c>
      <c r="J33" s="27"/>
      <c r="K33" s="26" t="s">
        <v>82</v>
      </c>
      <c r="L33" s="34">
        <v>1500</v>
      </c>
      <c r="M33" s="34">
        <v>1500</v>
      </c>
      <c r="N33" s="16">
        <f t="shared" si="0"/>
        <v>6914.4040404040397</v>
      </c>
      <c r="O33" s="34">
        <v>1500</v>
      </c>
      <c r="P33" s="34">
        <v>1500</v>
      </c>
      <c r="Q33" s="16">
        <f t="shared" si="1"/>
        <v>-812.93069306930693</v>
      </c>
      <c r="R33" s="34">
        <v>1500</v>
      </c>
      <c r="S33" s="34">
        <v>1500</v>
      </c>
      <c r="T33" s="16">
        <f t="shared" si="2"/>
        <v>-1957.5186721991702</v>
      </c>
      <c r="U33" s="34">
        <v>500</v>
      </c>
      <c r="V33" s="34">
        <v>500</v>
      </c>
      <c r="W33" s="16">
        <f t="shared" si="3"/>
        <v>-8.6315789473684212</v>
      </c>
      <c r="X33" s="34">
        <v>500</v>
      </c>
      <c r="Y33" s="34">
        <v>500</v>
      </c>
      <c r="Z33" s="16">
        <f t="shared" si="4"/>
        <v>-7.6923076923076927E-2</v>
      </c>
      <c r="AA33" s="34">
        <v>500</v>
      </c>
      <c r="AB33" s="34">
        <v>500</v>
      </c>
      <c r="AC33" s="16">
        <f t="shared" si="5"/>
        <v>-30.696629213483149</v>
      </c>
      <c r="AD33" s="31" t="s">
        <v>82</v>
      </c>
      <c r="AE33" s="21"/>
      <c r="AF33" s="21"/>
      <c r="AG33" s="5">
        <v>1</v>
      </c>
    </row>
    <row r="34" spans="2:33" x14ac:dyDescent="0.35">
      <c r="C34" s="28" t="s">
        <v>281</v>
      </c>
      <c r="D34" s="29" t="s">
        <v>282</v>
      </c>
      <c r="E34" s="29" t="s">
        <v>283</v>
      </c>
      <c r="F34" s="29"/>
      <c r="G34" s="29"/>
      <c r="H34" s="29"/>
      <c r="I34" s="29" t="s">
        <v>114</v>
      </c>
      <c r="J34" s="30"/>
      <c r="K34" s="29" t="s">
        <v>82</v>
      </c>
      <c r="L34" s="35">
        <v>500</v>
      </c>
      <c r="M34" s="35">
        <v>500</v>
      </c>
      <c r="N34" s="16">
        <f t="shared" si="0"/>
        <v>2304.8013468013464</v>
      </c>
      <c r="O34" s="35">
        <v>500</v>
      </c>
      <c r="P34" s="35">
        <v>500</v>
      </c>
      <c r="Q34" s="16">
        <f t="shared" si="1"/>
        <v>-270.97689768976898</v>
      </c>
      <c r="R34" s="35">
        <v>500</v>
      </c>
      <c r="S34" s="35">
        <v>500</v>
      </c>
      <c r="T34" s="16">
        <f t="shared" si="2"/>
        <v>-652.50622406639002</v>
      </c>
      <c r="U34" s="35">
        <v>500</v>
      </c>
      <c r="V34" s="35">
        <v>500</v>
      </c>
      <c r="W34" s="16">
        <f t="shared" si="3"/>
        <v>-8.6315789473684212</v>
      </c>
      <c r="X34" s="35">
        <v>0</v>
      </c>
      <c r="Y34" s="35">
        <v>0</v>
      </c>
      <c r="Z34" s="16">
        <f t="shared" si="4"/>
        <v>0</v>
      </c>
      <c r="AA34" s="35">
        <v>500</v>
      </c>
      <c r="AB34" s="35">
        <v>500</v>
      </c>
      <c r="AC34" s="16">
        <f t="shared" si="5"/>
        <v>-30.696629213483149</v>
      </c>
      <c r="AD34" s="32" t="s">
        <v>82</v>
      </c>
      <c r="AE34" s="21"/>
      <c r="AF34" s="21"/>
      <c r="AG34" s="5">
        <v>1</v>
      </c>
    </row>
    <row r="35" spans="2:33" x14ac:dyDescent="0.35">
      <c r="C35" s="25" t="s">
        <v>288</v>
      </c>
      <c r="D35" s="26" t="s">
        <v>289</v>
      </c>
      <c r="E35" s="26" t="s">
        <v>290</v>
      </c>
      <c r="F35" s="26"/>
      <c r="G35" s="26"/>
      <c r="H35" s="26"/>
      <c r="I35" s="26" t="s">
        <v>204</v>
      </c>
      <c r="J35" s="27"/>
      <c r="K35" s="26" t="s">
        <v>82</v>
      </c>
      <c r="L35" s="34">
        <v>500</v>
      </c>
      <c r="M35" s="34">
        <v>500</v>
      </c>
      <c r="N35" s="16">
        <f t="shared" si="0"/>
        <v>2304.8013468013464</v>
      </c>
      <c r="O35" s="34">
        <v>500</v>
      </c>
      <c r="P35" s="34">
        <v>500</v>
      </c>
      <c r="Q35" s="16">
        <f t="shared" si="1"/>
        <v>-270.97689768976898</v>
      </c>
      <c r="R35" s="34">
        <v>500</v>
      </c>
      <c r="S35" s="34">
        <v>500</v>
      </c>
      <c r="T35" s="16">
        <f t="shared" si="2"/>
        <v>-652.50622406639002</v>
      </c>
      <c r="U35" s="34">
        <v>0</v>
      </c>
      <c r="V35" s="34">
        <v>0</v>
      </c>
      <c r="W35" s="16">
        <f t="shared" si="3"/>
        <v>0</v>
      </c>
      <c r="X35" s="34">
        <v>0</v>
      </c>
      <c r="Y35" s="34">
        <v>0</v>
      </c>
      <c r="Z35" s="16">
        <f t="shared" si="4"/>
        <v>0</v>
      </c>
      <c r="AA35" s="34">
        <v>500</v>
      </c>
      <c r="AB35" s="34">
        <v>500</v>
      </c>
      <c r="AC35" s="16">
        <f t="shared" si="5"/>
        <v>-30.696629213483149</v>
      </c>
      <c r="AD35" s="31" t="s">
        <v>82</v>
      </c>
      <c r="AE35" s="21"/>
      <c r="AF35" s="21"/>
      <c r="AG35" s="5">
        <v>1</v>
      </c>
    </row>
    <row r="36" spans="2:33" x14ac:dyDescent="0.35">
      <c r="C36" s="25" t="s">
        <v>295</v>
      </c>
      <c r="D36" s="26" t="s">
        <v>296</v>
      </c>
      <c r="E36" s="26" t="s">
        <v>297</v>
      </c>
      <c r="F36" s="26"/>
      <c r="G36" s="26"/>
      <c r="H36" s="26"/>
      <c r="I36" s="26" t="s">
        <v>160</v>
      </c>
      <c r="J36" s="27"/>
      <c r="K36" s="26" t="s">
        <v>82</v>
      </c>
      <c r="L36" s="34">
        <v>1000</v>
      </c>
      <c r="M36" s="34">
        <v>1000</v>
      </c>
      <c r="N36" s="16">
        <f t="shared" ref="N36:N67" si="6">SUM($M$87/(SUM($M$4:$M$83)))*M36</f>
        <v>4609.6026936026929</v>
      </c>
      <c r="O36" s="34">
        <v>1000</v>
      </c>
      <c r="P36" s="34">
        <v>1000</v>
      </c>
      <c r="Q36" s="16">
        <f t="shared" ref="Q36:Q67" si="7">SUM($P$87/(SUM($P$4:$P$83)))*P36</f>
        <v>-541.95379537953795</v>
      </c>
      <c r="R36" s="34">
        <v>1000</v>
      </c>
      <c r="S36" s="34">
        <v>1000</v>
      </c>
      <c r="T36" s="16">
        <f t="shared" ref="T36:T67" si="8">SUM($S$87/(SUM($S$4:$S$83)))*S36</f>
        <v>-1305.01244813278</v>
      </c>
      <c r="U36" s="34">
        <v>0</v>
      </c>
      <c r="V36" s="34">
        <v>0</v>
      </c>
      <c r="W36" s="16">
        <f t="shared" ref="W36:W67" si="9">SUM($V$87/(SUM($V$4:$V$83)))*V36</f>
        <v>0</v>
      </c>
      <c r="X36" s="34">
        <v>0</v>
      </c>
      <c r="Y36" s="34">
        <v>0</v>
      </c>
      <c r="Z36" s="16">
        <f t="shared" ref="Z36:Z67" si="10">SUM($Y$87/(SUM($Y$4:$Y$83)))*Y36</f>
        <v>0</v>
      </c>
      <c r="AA36" s="34">
        <v>500</v>
      </c>
      <c r="AB36" s="34">
        <v>500</v>
      </c>
      <c r="AC36" s="16">
        <f t="shared" ref="AC36:AC67" si="11">SUM($AB$87/(SUM($AB$4:$AB$83)))*AB36</f>
        <v>-30.696629213483149</v>
      </c>
      <c r="AD36" s="31" t="s">
        <v>82</v>
      </c>
      <c r="AE36" s="21"/>
      <c r="AF36" s="21"/>
      <c r="AG36" s="5">
        <v>1</v>
      </c>
    </row>
    <row r="37" spans="2:33" x14ac:dyDescent="0.35">
      <c r="C37" s="28" t="s">
        <v>302</v>
      </c>
      <c r="D37" s="29" t="s">
        <v>303</v>
      </c>
      <c r="E37" s="29" t="s">
        <v>304</v>
      </c>
      <c r="F37" s="29"/>
      <c r="G37" s="29"/>
      <c r="H37" s="29"/>
      <c r="I37" s="29" t="s">
        <v>160</v>
      </c>
      <c r="J37" s="30"/>
      <c r="K37" s="29" t="s">
        <v>82</v>
      </c>
      <c r="L37" s="35">
        <v>500</v>
      </c>
      <c r="M37" s="35">
        <v>500</v>
      </c>
      <c r="N37" s="16">
        <f t="shared" si="6"/>
        <v>2304.8013468013464</v>
      </c>
      <c r="O37" s="35">
        <v>500</v>
      </c>
      <c r="P37" s="35">
        <v>500</v>
      </c>
      <c r="Q37" s="16">
        <f t="shared" si="7"/>
        <v>-270.97689768976898</v>
      </c>
      <c r="R37" s="35">
        <v>500</v>
      </c>
      <c r="S37" s="35">
        <v>500</v>
      </c>
      <c r="T37" s="16">
        <f t="shared" si="8"/>
        <v>-652.50622406639002</v>
      </c>
      <c r="U37" s="35">
        <v>500</v>
      </c>
      <c r="V37" s="35">
        <v>500</v>
      </c>
      <c r="W37" s="16">
        <f t="shared" si="9"/>
        <v>-8.6315789473684212</v>
      </c>
      <c r="X37" s="35">
        <v>500</v>
      </c>
      <c r="Y37" s="35">
        <v>500</v>
      </c>
      <c r="Z37" s="16">
        <f t="shared" si="10"/>
        <v>-7.6923076923076927E-2</v>
      </c>
      <c r="AA37" s="35">
        <v>500</v>
      </c>
      <c r="AB37" s="35">
        <v>500</v>
      </c>
      <c r="AC37" s="16">
        <f t="shared" si="11"/>
        <v>-30.696629213483149</v>
      </c>
      <c r="AD37" s="32" t="s">
        <v>82</v>
      </c>
      <c r="AE37" s="21"/>
      <c r="AF37" s="21"/>
      <c r="AG37" s="5">
        <v>1</v>
      </c>
    </row>
    <row r="38" spans="2:33" x14ac:dyDescent="0.35">
      <c r="B38" t="s">
        <v>914</v>
      </c>
      <c r="C38" s="25" t="s">
        <v>309</v>
      </c>
      <c r="D38" s="26" t="s">
        <v>310</v>
      </c>
      <c r="E38" s="26" t="s">
        <v>311</v>
      </c>
      <c r="F38" s="26"/>
      <c r="G38" s="26"/>
      <c r="H38" s="26"/>
      <c r="I38" s="26" t="s">
        <v>315</v>
      </c>
      <c r="J38" s="27"/>
      <c r="K38" s="26" t="s">
        <v>82</v>
      </c>
      <c r="L38" s="34">
        <v>2250</v>
      </c>
      <c r="M38" s="34">
        <v>2250</v>
      </c>
      <c r="N38" s="16">
        <f t="shared" si="6"/>
        <v>10371.60606060606</v>
      </c>
      <c r="O38" s="34">
        <v>2250</v>
      </c>
      <c r="P38" s="34">
        <v>2250</v>
      </c>
      <c r="Q38" s="16">
        <f t="shared" si="7"/>
        <v>-1219.3960396039604</v>
      </c>
      <c r="R38" s="34">
        <v>2250</v>
      </c>
      <c r="S38" s="34">
        <v>2250</v>
      </c>
      <c r="T38" s="16">
        <f t="shared" si="8"/>
        <v>-2936.2780082987551</v>
      </c>
      <c r="U38" s="34">
        <v>0</v>
      </c>
      <c r="V38" s="34">
        <v>0</v>
      </c>
      <c r="W38" s="16">
        <f t="shared" si="9"/>
        <v>0</v>
      </c>
      <c r="X38" s="34">
        <v>0</v>
      </c>
      <c r="Y38" s="34">
        <v>0</v>
      </c>
      <c r="Z38" s="16">
        <f t="shared" si="10"/>
        <v>0</v>
      </c>
      <c r="AA38" s="34">
        <v>0</v>
      </c>
      <c r="AB38" s="34">
        <v>0</v>
      </c>
      <c r="AC38" s="16">
        <f t="shared" si="11"/>
        <v>0</v>
      </c>
      <c r="AD38" s="31" t="s">
        <v>82</v>
      </c>
      <c r="AE38" s="21"/>
      <c r="AF38" s="21"/>
      <c r="AG38" s="5">
        <v>1</v>
      </c>
    </row>
    <row r="39" spans="2:33" x14ac:dyDescent="0.35">
      <c r="C39" s="28" t="s">
        <v>317</v>
      </c>
      <c r="D39" s="29" t="s">
        <v>318</v>
      </c>
      <c r="E39" s="29" t="s">
        <v>319</v>
      </c>
      <c r="F39" s="29"/>
      <c r="G39" s="29"/>
      <c r="H39" s="29"/>
      <c r="I39" s="29" t="s">
        <v>322</v>
      </c>
      <c r="J39" s="30"/>
      <c r="K39" s="29" t="s">
        <v>82</v>
      </c>
      <c r="L39" s="35">
        <v>1500</v>
      </c>
      <c r="M39" s="35">
        <v>1500</v>
      </c>
      <c r="N39" s="16">
        <f t="shared" si="6"/>
        <v>6914.4040404040397</v>
      </c>
      <c r="O39" s="35">
        <v>1500</v>
      </c>
      <c r="P39" s="35">
        <v>1500</v>
      </c>
      <c r="Q39" s="16">
        <f t="shared" si="7"/>
        <v>-812.93069306930693</v>
      </c>
      <c r="R39" s="35">
        <v>1500</v>
      </c>
      <c r="S39" s="35">
        <v>1500</v>
      </c>
      <c r="T39" s="16">
        <f t="shared" si="8"/>
        <v>-1957.5186721991702</v>
      </c>
      <c r="U39" s="35">
        <v>500</v>
      </c>
      <c r="V39" s="35">
        <v>500</v>
      </c>
      <c r="W39" s="16">
        <f t="shared" si="9"/>
        <v>-8.6315789473684212</v>
      </c>
      <c r="X39" s="35">
        <v>500</v>
      </c>
      <c r="Y39" s="35">
        <v>500</v>
      </c>
      <c r="Z39" s="16">
        <f t="shared" si="10"/>
        <v>-7.6923076923076927E-2</v>
      </c>
      <c r="AA39" s="35">
        <v>500</v>
      </c>
      <c r="AB39" s="35">
        <v>500</v>
      </c>
      <c r="AC39" s="16">
        <f t="shared" si="11"/>
        <v>-30.696629213483149</v>
      </c>
      <c r="AD39" s="32" t="s">
        <v>82</v>
      </c>
      <c r="AE39" s="21"/>
      <c r="AF39" s="21"/>
      <c r="AG39" s="5">
        <v>1</v>
      </c>
    </row>
    <row r="40" spans="2:33" x14ac:dyDescent="0.35">
      <c r="C40" s="28" t="s">
        <v>324</v>
      </c>
      <c r="D40" s="29" t="s">
        <v>325</v>
      </c>
      <c r="E40" s="29" t="s">
        <v>326</v>
      </c>
      <c r="F40" s="29"/>
      <c r="G40" s="29"/>
      <c r="H40" s="29"/>
      <c r="I40" s="29" t="s">
        <v>160</v>
      </c>
      <c r="J40" s="30"/>
      <c r="K40" s="29" t="s">
        <v>82</v>
      </c>
      <c r="L40" s="35">
        <v>2250</v>
      </c>
      <c r="M40" s="35">
        <v>2250</v>
      </c>
      <c r="N40" s="16">
        <f t="shared" si="6"/>
        <v>10371.60606060606</v>
      </c>
      <c r="O40" s="35">
        <v>2250</v>
      </c>
      <c r="P40" s="35">
        <v>2250</v>
      </c>
      <c r="Q40" s="16">
        <f t="shared" si="7"/>
        <v>-1219.3960396039604</v>
      </c>
      <c r="R40" s="35">
        <v>2250</v>
      </c>
      <c r="S40" s="35">
        <v>2250</v>
      </c>
      <c r="T40" s="16">
        <f t="shared" si="8"/>
        <v>-2936.2780082987551</v>
      </c>
      <c r="U40" s="35">
        <v>2250</v>
      </c>
      <c r="V40" s="35">
        <v>2250</v>
      </c>
      <c r="W40" s="16">
        <f t="shared" si="9"/>
        <v>-38.84210526315789</v>
      </c>
      <c r="X40" s="35">
        <v>0</v>
      </c>
      <c r="Y40" s="35">
        <v>0</v>
      </c>
      <c r="Z40" s="16">
        <f t="shared" si="10"/>
        <v>0</v>
      </c>
      <c r="AA40" s="35">
        <v>500</v>
      </c>
      <c r="AB40" s="35">
        <v>500</v>
      </c>
      <c r="AC40" s="16">
        <f t="shared" si="11"/>
        <v>-30.696629213483149</v>
      </c>
      <c r="AD40" s="32" t="s">
        <v>82</v>
      </c>
      <c r="AE40" s="21"/>
      <c r="AF40" s="21"/>
      <c r="AG40" s="5">
        <v>1</v>
      </c>
    </row>
    <row r="41" spans="2:33" x14ac:dyDescent="0.35">
      <c r="B41" t="s">
        <v>914</v>
      </c>
      <c r="C41" s="28" t="s">
        <v>331</v>
      </c>
      <c r="D41" s="29" t="s">
        <v>332</v>
      </c>
      <c r="E41" s="29" t="s">
        <v>333</v>
      </c>
      <c r="F41" s="29"/>
      <c r="G41" s="29"/>
      <c r="H41" s="29"/>
      <c r="I41" s="29" t="s">
        <v>160</v>
      </c>
      <c r="J41" s="30"/>
      <c r="K41" s="29" t="s">
        <v>82</v>
      </c>
      <c r="L41" s="35">
        <v>1000</v>
      </c>
      <c r="M41" s="35">
        <v>1000</v>
      </c>
      <c r="N41" s="16">
        <f t="shared" si="6"/>
        <v>4609.6026936026929</v>
      </c>
      <c r="O41" s="35">
        <v>500</v>
      </c>
      <c r="P41" s="35">
        <v>500</v>
      </c>
      <c r="Q41" s="16">
        <f t="shared" si="7"/>
        <v>-270.97689768976898</v>
      </c>
      <c r="R41" s="35">
        <v>1000</v>
      </c>
      <c r="S41" s="35">
        <v>1000</v>
      </c>
      <c r="T41" s="16">
        <f t="shared" si="8"/>
        <v>-1305.01244813278</v>
      </c>
      <c r="U41" s="35">
        <v>500</v>
      </c>
      <c r="V41" s="35">
        <v>500</v>
      </c>
      <c r="W41" s="16">
        <f t="shared" si="9"/>
        <v>-8.6315789473684212</v>
      </c>
      <c r="X41" s="35">
        <v>500</v>
      </c>
      <c r="Y41" s="35">
        <v>500</v>
      </c>
      <c r="Z41" s="16">
        <f t="shared" si="10"/>
        <v>-7.6923076923076927E-2</v>
      </c>
      <c r="AA41" s="35">
        <v>0</v>
      </c>
      <c r="AB41" s="35">
        <v>0</v>
      </c>
      <c r="AC41" s="16">
        <f t="shared" si="11"/>
        <v>0</v>
      </c>
      <c r="AD41" s="32" t="s">
        <v>82</v>
      </c>
      <c r="AE41" s="21"/>
      <c r="AF41" s="21"/>
      <c r="AG41" s="5">
        <v>1</v>
      </c>
    </row>
    <row r="42" spans="2:33" x14ac:dyDescent="0.35">
      <c r="C42" s="25" t="s">
        <v>338</v>
      </c>
      <c r="D42" s="26" t="s">
        <v>339</v>
      </c>
      <c r="E42" s="26" t="s">
        <v>340</v>
      </c>
      <c r="F42" s="26"/>
      <c r="G42" s="26"/>
      <c r="H42" s="26"/>
      <c r="I42" s="26" t="s">
        <v>343</v>
      </c>
      <c r="J42" s="27"/>
      <c r="K42" s="26" t="s">
        <v>82</v>
      </c>
      <c r="L42" s="34">
        <v>1000</v>
      </c>
      <c r="M42" s="34">
        <v>1000</v>
      </c>
      <c r="N42" s="16">
        <f t="shared" si="6"/>
        <v>4609.6026936026929</v>
      </c>
      <c r="O42" s="34">
        <v>1000</v>
      </c>
      <c r="P42" s="34">
        <v>1000</v>
      </c>
      <c r="Q42" s="16">
        <f t="shared" si="7"/>
        <v>-541.95379537953795</v>
      </c>
      <c r="R42" s="34">
        <v>1000</v>
      </c>
      <c r="S42" s="34">
        <v>1000</v>
      </c>
      <c r="T42" s="16">
        <f t="shared" si="8"/>
        <v>-1305.01244813278</v>
      </c>
      <c r="U42" s="34">
        <v>500</v>
      </c>
      <c r="V42" s="34">
        <v>500</v>
      </c>
      <c r="W42" s="16">
        <f t="shared" si="9"/>
        <v>-8.6315789473684212</v>
      </c>
      <c r="X42" s="34">
        <v>500</v>
      </c>
      <c r="Y42" s="34">
        <v>500</v>
      </c>
      <c r="Z42" s="16">
        <f t="shared" si="10"/>
        <v>-7.6923076923076927E-2</v>
      </c>
      <c r="AA42" s="34">
        <v>500</v>
      </c>
      <c r="AB42" s="34">
        <v>500</v>
      </c>
      <c r="AC42" s="16">
        <f t="shared" si="11"/>
        <v>-30.696629213483149</v>
      </c>
      <c r="AD42" s="31" t="s">
        <v>82</v>
      </c>
      <c r="AG42" s="5">
        <v>1</v>
      </c>
    </row>
    <row r="43" spans="2:33" x14ac:dyDescent="0.35">
      <c r="C43" s="25" t="s">
        <v>345</v>
      </c>
      <c r="D43" s="26" t="s">
        <v>346</v>
      </c>
      <c r="E43" s="26" t="s">
        <v>347</v>
      </c>
      <c r="F43" s="26"/>
      <c r="G43" s="26"/>
      <c r="H43" s="26"/>
      <c r="I43" s="26" t="s">
        <v>351</v>
      </c>
      <c r="J43" s="27"/>
      <c r="K43" s="26" t="s">
        <v>82</v>
      </c>
      <c r="L43" s="34">
        <v>500</v>
      </c>
      <c r="M43" s="34">
        <v>500</v>
      </c>
      <c r="N43" s="16">
        <f t="shared" si="6"/>
        <v>2304.8013468013464</v>
      </c>
      <c r="O43" s="34">
        <v>500</v>
      </c>
      <c r="P43" s="34">
        <v>500</v>
      </c>
      <c r="Q43" s="16">
        <f t="shared" si="7"/>
        <v>-270.97689768976898</v>
      </c>
      <c r="R43" s="34">
        <v>500</v>
      </c>
      <c r="S43" s="34">
        <v>500</v>
      </c>
      <c r="T43" s="16">
        <f t="shared" si="8"/>
        <v>-652.50622406639002</v>
      </c>
      <c r="U43" s="34">
        <v>500</v>
      </c>
      <c r="V43" s="34">
        <v>500</v>
      </c>
      <c r="W43" s="16">
        <f t="shared" si="9"/>
        <v>-8.6315789473684212</v>
      </c>
      <c r="X43" s="34">
        <v>500</v>
      </c>
      <c r="Y43" s="34">
        <v>500</v>
      </c>
      <c r="Z43" s="16">
        <f t="shared" si="10"/>
        <v>-7.6923076923076927E-2</v>
      </c>
      <c r="AA43" s="34">
        <v>500</v>
      </c>
      <c r="AB43" s="34">
        <v>500</v>
      </c>
      <c r="AC43" s="16">
        <f t="shared" si="11"/>
        <v>-30.696629213483149</v>
      </c>
      <c r="AD43" s="31" t="s">
        <v>82</v>
      </c>
      <c r="AE43" s="21"/>
      <c r="AF43" s="21"/>
      <c r="AG43" s="5">
        <v>1</v>
      </c>
    </row>
    <row r="44" spans="2:33" x14ac:dyDescent="0.35">
      <c r="B44" t="s">
        <v>914</v>
      </c>
      <c r="C44" s="28" t="s">
        <v>353</v>
      </c>
      <c r="D44" s="29" t="s">
        <v>354</v>
      </c>
      <c r="E44" s="29" t="s">
        <v>355</v>
      </c>
      <c r="F44" s="29"/>
      <c r="G44" s="29"/>
      <c r="H44" s="29"/>
      <c r="I44" s="29" t="s">
        <v>160</v>
      </c>
      <c r="J44" s="30"/>
      <c r="K44" s="29" t="s">
        <v>82</v>
      </c>
      <c r="L44" s="35">
        <v>1000</v>
      </c>
      <c r="M44" s="35">
        <v>1000</v>
      </c>
      <c r="N44" s="16">
        <f t="shared" si="6"/>
        <v>4609.6026936026929</v>
      </c>
      <c r="O44" s="35">
        <v>500</v>
      </c>
      <c r="P44" s="35">
        <v>500</v>
      </c>
      <c r="Q44" s="16">
        <f t="shared" si="7"/>
        <v>-270.97689768976898</v>
      </c>
      <c r="R44" s="35">
        <v>1000</v>
      </c>
      <c r="S44" s="35">
        <v>1000</v>
      </c>
      <c r="T44" s="16">
        <f t="shared" si="8"/>
        <v>-1305.01244813278</v>
      </c>
      <c r="U44" s="35">
        <v>0</v>
      </c>
      <c r="V44" s="35">
        <v>0</v>
      </c>
      <c r="W44" s="16">
        <f t="shared" si="9"/>
        <v>0</v>
      </c>
      <c r="X44" s="35">
        <v>0</v>
      </c>
      <c r="Y44" s="35">
        <v>0</v>
      </c>
      <c r="Z44" s="16">
        <f t="shared" si="10"/>
        <v>0</v>
      </c>
      <c r="AA44" s="35">
        <v>0</v>
      </c>
      <c r="AB44" s="35">
        <v>0</v>
      </c>
      <c r="AC44" s="16">
        <f t="shared" si="11"/>
        <v>0</v>
      </c>
      <c r="AD44" s="32" t="s">
        <v>82</v>
      </c>
      <c r="AE44" s="21"/>
      <c r="AF44" s="21"/>
      <c r="AG44" s="5">
        <v>1</v>
      </c>
    </row>
    <row r="45" spans="2:33" x14ac:dyDescent="0.35">
      <c r="B45" t="s">
        <v>914</v>
      </c>
      <c r="C45" s="25" t="s">
        <v>360</v>
      </c>
      <c r="D45" s="26" t="s">
        <v>361</v>
      </c>
      <c r="E45" s="26" t="s">
        <v>362</v>
      </c>
      <c r="F45" s="26"/>
      <c r="G45" s="26"/>
      <c r="H45" s="26"/>
      <c r="I45" s="26" t="s">
        <v>322</v>
      </c>
      <c r="J45" s="27"/>
      <c r="K45" s="26" t="s">
        <v>82</v>
      </c>
      <c r="L45" s="34">
        <v>2250</v>
      </c>
      <c r="M45" s="34">
        <v>2250</v>
      </c>
      <c r="N45" s="16">
        <f t="shared" si="6"/>
        <v>10371.60606060606</v>
      </c>
      <c r="O45" s="34">
        <v>2250</v>
      </c>
      <c r="P45" s="34">
        <v>2250</v>
      </c>
      <c r="Q45" s="16">
        <f t="shared" si="7"/>
        <v>-1219.3960396039604</v>
      </c>
      <c r="R45" s="34">
        <v>2250</v>
      </c>
      <c r="S45" s="34">
        <v>2250</v>
      </c>
      <c r="T45" s="16">
        <f t="shared" si="8"/>
        <v>-2936.2780082987551</v>
      </c>
      <c r="U45" s="34">
        <v>0</v>
      </c>
      <c r="V45" s="34">
        <v>0</v>
      </c>
      <c r="W45" s="16">
        <f t="shared" si="9"/>
        <v>0</v>
      </c>
      <c r="X45" s="34">
        <v>0</v>
      </c>
      <c r="Y45" s="34">
        <v>0</v>
      </c>
      <c r="Z45" s="16">
        <f t="shared" si="10"/>
        <v>0</v>
      </c>
      <c r="AA45" s="34">
        <v>0</v>
      </c>
      <c r="AB45" s="34">
        <v>0</v>
      </c>
      <c r="AC45" s="16">
        <f t="shared" si="11"/>
        <v>0</v>
      </c>
      <c r="AD45" s="31" t="s">
        <v>82</v>
      </c>
      <c r="AE45" s="21"/>
      <c r="AF45" s="21"/>
      <c r="AG45" s="5">
        <v>1</v>
      </c>
    </row>
    <row r="46" spans="2:33" x14ac:dyDescent="0.35">
      <c r="B46" t="s">
        <v>914</v>
      </c>
      <c r="C46" s="25" t="s">
        <v>367</v>
      </c>
      <c r="D46" s="26" t="s">
        <v>368</v>
      </c>
      <c r="E46" s="26" t="s">
        <v>369</v>
      </c>
      <c r="F46" s="26"/>
      <c r="G46" s="26"/>
      <c r="H46" s="26"/>
      <c r="I46" s="26" t="s">
        <v>204</v>
      </c>
      <c r="J46" s="27"/>
      <c r="K46" s="26" t="s">
        <v>82</v>
      </c>
      <c r="L46" s="34">
        <v>500</v>
      </c>
      <c r="M46" s="34">
        <v>500</v>
      </c>
      <c r="N46" s="16">
        <f t="shared" si="6"/>
        <v>2304.8013468013464</v>
      </c>
      <c r="O46" s="34">
        <v>500</v>
      </c>
      <c r="P46" s="34">
        <v>500</v>
      </c>
      <c r="Q46" s="16">
        <f t="shared" si="7"/>
        <v>-270.97689768976898</v>
      </c>
      <c r="R46" s="34">
        <v>500</v>
      </c>
      <c r="S46" s="34">
        <v>500</v>
      </c>
      <c r="T46" s="16">
        <f t="shared" si="8"/>
        <v>-652.50622406639002</v>
      </c>
      <c r="U46" s="34">
        <v>0</v>
      </c>
      <c r="V46" s="34">
        <v>0</v>
      </c>
      <c r="W46" s="16">
        <f t="shared" si="9"/>
        <v>0</v>
      </c>
      <c r="X46" s="34">
        <v>0</v>
      </c>
      <c r="Y46" s="34">
        <v>0</v>
      </c>
      <c r="Z46" s="16">
        <f t="shared" si="10"/>
        <v>0</v>
      </c>
      <c r="AA46" s="34">
        <v>0</v>
      </c>
      <c r="AB46" s="34">
        <v>0</v>
      </c>
      <c r="AC46" s="16">
        <f t="shared" si="11"/>
        <v>0</v>
      </c>
      <c r="AD46" s="31" t="s">
        <v>82</v>
      </c>
      <c r="AG46" s="5">
        <v>1</v>
      </c>
    </row>
    <row r="47" spans="2:33" x14ac:dyDescent="0.35">
      <c r="C47" s="25" t="s">
        <v>373</v>
      </c>
      <c r="D47" s="26" t="s">
        <v>374</v>
      </c>
      <c r="E47" s="26" t="s">
        <v>375</v>
      </c>
      <c r="F47" s="26"/>
      <c r="G47" s="26"/>
      <c r="H47" s="26"/>
      <c r="I47" s="26" t="s">
        <v>379</v>
      </c>
      <c r="J47" s="27"/>
      <c r="K47" s="26" t="s">
        <v>82</v>
      </c>
      <c r="L47" s="34">
        <v>1000</v>
      </c>
      <c r="M47" s="34">
        <v>1000</v>
      </c>
      <c r="N47" s="16">
        <f t="shared" si="6"/>
        <v>4609.6026936026929</v>
      </c>
      <c r="O47" s="34">
        <v>1000</v>
      </c>
      <c r="P47" s="34">
        <v>1000</v>
      </c>
      <c r="Q47" s="16">
        <f t="shared" si="7"/>
        <v>-541.95379537953795</v>
      </c>
      <c r="R47" s="34">
        <v>1000</v>
      </c>
      <c r="S47" s="34">
        <v>1000</v>
      </c>
      <c r="T47" s="16">
        <f t="shared" si="8"/>
        <v>-1305.01244813278</v>
      </c>
      <c r="U47" s="34">
        <v>1000</v>
      </c>
      <c r="V47" s="34">
        <v>1000</v>
      </c>
      <c r="W47" s="16">
        <f t="shared" si="9"/>
        <v>-17.263157894736842</v>
      </c>
      <c r="X47" s="34">
        <v>1500</v>
      </c>
      <c r="Y47" s="34">
        <v>1500</v>
      </c>
      <c r="Z47" s="16">
        <f t="shared" si="10"/>
        <v>-0.23076923076923078</v>
      </c>
      <c r="AA47" s="34">
        <v>1000</v>
      </c>
      <c r="AB47" s="34">
        <v>1000</v>
      </c>
      <c r="AC47" s="16">
        <f t="shared" si="11"/>
        <v>-61.393258426966298</v>
      </c>
      <c r="AD47" s="31" t="s">
        <v>82</v>
      </c>
      <c r="AE47" s="21"/>
      <c r="AF47" s="21"/>
      <c r="AG47" s="5">
        <v>1</v>
      </c>
    </row>
    <row r="48" spans="2:33" x14ac:dyDescent="0.35">
      <c r="B48" t="s">
        <v>914</v>
      </c>
      <c r="C48" s="28" t="s">
        <v>381</v>
      </c>
      <c r="D48" s="29" t="s">
        <v>382</v>
      </c>
      <c r="E48" s="29" t="s">
        <v>383</v>
      </c>
      <c r="F48" s="29"/>
      <c r="G48" s="29"/>
      <c r="H48" s="29"/>
      <c r="I48" s="29" t="s">
        <v>160</v>
      </c>
      <c r="J48" s="30"/>
      <c r="K48" s="29" t="s">
        <v>82</v>
      </c>
      <c r="L48" s="35">
        <v>2250</v>
      </c>
      <c r="M48" s="35">
        <v>2250</v>
      </c>
      <c r="N48" s="16">
        <f t="shared" si="6"/>
        <v>10371.60606060606</v>
      </c>
      <c r="O48" s="35">
        <v>0</v>
      </c>
      <c r="P48" s="35">
        <v>0</v>
      </c>
      <c r="Q48" s="16">
        <f t="shared" si="7"/>
        <v>0</v>
      </c>
      <c r="R48" s="35">
        <v>2250</v>
      </c>
      <c r="S48" s="35">
        <v>2250</v>
      </c>
      <c r="T48" s="16">
        <f t="shared" si="8"/>
        <v>-2936.2780082987551</v>
      </c>
      <c r="U48" s="35">
        <v>0</v>
      </c>
      <c r="V48" s="35">
        <v>0</v>
      </c>
      <c r="W48" s="16">
        <f t="shared" si="9"/>
        <v>0</v>
      </c>
      <c r="X48" s="35">
        <v>0</v>
      </c>
      <c r="Y48" s="35">
        <v>0</v>
      </c>
      <c r="Z48" s="16">
        <f t="shared" si="10"/>
        <v>0</v>
      </c>
      <c r="AA48" s="35">
        <v>0</v>
      </c>
      <c r="AB48" s="35">
        <v>0</v>
      </c>
      <c r="AC48" s="16">
        <f t="shared" si="11"/>
        <v>0</v>
      </c>
      <c r="AD48" s="32" t="s">
        <v>82</v>
      </c>
      <c r="AE48" s="21"/>
      <c r="AF48" s="21"/>
      <c r="AG48" s="5">
        <v>1</v>
      </c>
    </row>
    <row r="49" spans="2:33" x14ac:dyDescent="0.35">
      <c r="B49" t="s">
        <v>913</v>
      </c>
      <c r="C49" s="28" t="s">
        <v>387</v>
      </c>
      <c r="D49" s="29" t="s">
        <v>388</v>
      </c>
      <c r="E49" s="29" t="s">
        <v>389</v>
      </c>
      <c r="F49" s="29"/>
      <c r="G49" s="29"/>
      <c r="H49" s="29"/>
      <c r="I49" s="29" t="s">
        <v>204</v>
      </c>
      <c r="J49" s="30"/>
      <c r="K49" s="29" t="s">
        <v>82</v>
      </c>
      <c r="L49" s="35">
        <v>500</v>
      </c>
      <c r="M49" s="35">
        <v>500</v>
      </c>
      <c r="N49" s="16">
        <f t="shared" si="6"/>
        <v>2304.8013468013464</v>
      </c>
      <c r="O49" s="35">
        <v>500</v>
      </c>
      <c r="P49" s="35">
        <v>500</v>
      </c>
      <c r="Q49" s="16">
        <f t="shared" si="7"/>
        <v>-270.97689768976898</v>
      </c>
      <c r="R49" s="35">
        <v>500</v>
      </c>
      <c r="S49" s="35">
        <v>500</v>
      </c>
      <c r="T49" s="16">
        <f t="shared" si="8"/>
        <v>-652.50622406639002</v>
      </c>
      <c r="U49" s="35">
        <v>500</v>
      </c>
      <c r="V49" s="35">
        <v>500</v>
      </c>
      <c r="W49" s="16">
        <f t="shared" si="9"/>
        <v>-8.6315789473684212</v>
      </c>
      <c r="X49" s="35">
        <v>500</v>
      </c>
      <c r="Y49" s="35">
        <v>500</v>
      </c>
      <c r="Z49" s="16">
        <f t="shared" si="10"/>
        <v>-7.6923076923076927E-2</v>
      </c>
      <c r="AA49" s="35">
        <v>500</v>
      </c>
      <c r="AB49" s="35">
        <v>500</v>
      </c>
      <c r="AC49" s="16">
        <f t="shared" si="11"/>
        <v>-30.696629213483149</v>
      </c>
      <c r="AD49" s="32" t="s">
        <v>91</v>
      </c>
      <c r="AE49" s="21"/>
      <c r="AF49" s="21"/>
      <c r="AG49" s="22">
        <v>1</v>
      </c>
    </row>
    <row r="50" spans="2:33" x14ac:dyDescent="0.35">
      <c r="B50" t="s">
        <v>914</v>
      </c>
      <c r="C50" s="28" t="s">
        <v>394</v>
      </c>
      <c r="D50" s="29" t="s">
        <v>395</v>
      </c>
      <c r="E50" s="29" t="s">
        <v>396</v>
      </c>
      <c r="F50" s="29"/>
      <c r="G50" s="29"/>
      <c r="H50" s="29"/>
      <c r="I50" s="29" t="s">
        <v>400</v>
      </c>
      <c r="J50" s="30"/>
      <c r="K50" s="29" t="s">
        <v>82</v>
      </c>
      <c r="L50" s="35">
        <v>2250</v>
      </c>
      <c r="M50" s="35">
        <v>2250</v>
      </c>
      <c r="N50" s="16">
        <f t="shared" si="6"/>
        <v>10371.60606060606</v>
      </c>
      <c r="O50" s="35">
        <v>1000</v>
      </c>
      <c r="P50" s="35">
        <v>1000</v>
      </c>
      <c r="Q50" s="16">
        <f t="shared" si="7"/>
        <v>-541.95379537953795</v>
      </c>
      <c r="R50" s="35">
        <v>0</v>
      </c>
      <c r="S50" s="35">
        <v>0</v>
      </c>
      <c r="T50" s="16">
        <f t="shared" si="8"/>
        <v>0</v>
      </c>
      <c r="U50" s="35">
        <v>0</v>
      </c>
      <c r="V50" s="35">
        <v>0</v>
      </c>
      <c r="W50" s="16">
        <f t="shared" si="9"/>
        <v>0</v>
      </c>
      <c r="X50" s="35">
        <v>500</v>
      </c>
      <c r="Y50" s="35">
        <v>500</v>
      </c>
      <c r="Z50" s="16">
        <f t="shared" si="10"/>
        <v>-7.6923076923076927E-2</v>
      </c>
      <c r="AA50" s="35">
        <v>0</v>
      </c>
      <c r="AB50" s="35">
        <v>0</v>
      </c>
      <c r="AC50" s="16">
        <f t="shared" si="11"/>
        <v>0</v>
      </c>
      <c r="AD50" s="32" t="s">
        <v>82</v>
      </c>
      <c r="AE50" s="21"/>
      <c r="AF50" s="21"/>
      <c r="AG50" s="5">
        <v>1</v>
      </c>
    </row>
    <row r="51" spans="2:33" x14ac:dyDescent="0.35">
      <c r="B51" t="s">
        <v>913</v>
      </c>
      <c r="C51" s="28" t="s">
        <v>402</v>
      </c>
      <c r="D51" s="29" t="s">
        <v>403</v>
      </c>
      <c r="E51" s="29" t="s">
        <v>404</v>
      </c>
      <c r="F51" s="29"/>
      <c r="G51" s="29"/>
      <c r="H51" s="29"/>
      <c r="I51" s="29" t="s">
        <v>343</v>
      </c>
      <c r="J51" s="30"/>
      <c r="K51" s="29" t="s">
        <v>82</v>
      </c>
      <c r="L51" s="35">
        <v>0</v>
      </c>
      <c r="M51" s="35">
        <v>0</v>
      </c>
      <c r="N51" s="16">
        <f t="shared" si="6"/>
        <v>0</v>
      </c>
      <c r="O51" s="35">
        <v>2250</v>
      </c>
      <c r="P51" s="35">
        <v>2250</v>
      </c>
      <c r="Q51" s="16">
        <f t="shared" si="7"/>
        <v>-1219.3960396039604</v>
      </c>
      <c r="R51" s="35">
        <v>0</v>
      </c>
      <c r="S51" s="35">
        <v>0</v>
      </c>
      <c r="T51" s="16">
        <f t="shared" si="8"/>
        <v>0</v>
      </c>
      <c r="U51" s="35">
        <v>0</v>
      </c>
      <c r="V51" s="35">
        <v>0</v>
      </c>
      <c r="W51" s="16">
        <f t="shared" si="9"/>
        <v>0</v>
      </c>
      <c r="X51" s="35">
        <v>0</v>
      </c>
      <c r="Y51" s="35">
        <v>0</v>
      </c>
      <c r="Z51" s="16">
        <f t="shared" si="10"/>
        <v>0</v>
      </c>
      <c r="AA51" s="35">
        <v>0</v>
      </c>
      <c r="AB51" s="35">
        <v>0</v>
      </c>
      <c r="AC51" s="16">
        <f t="shared" si="11"/>
        <v>0</v>
      </c>
      <c r="AD51" s="32" t="s">
        <v>91</v>
      </c>
      <c r="AE51" s="21"/>
      <c r="AF51" s="21"/>
      <c r="AG51" s="22">
        <v>1</v>
      </c>
    </row>
    <row r="52" spans="2:33" x14ac:dyDescent="0.35">
      <c r="B52" t="s">
        <v>913</v>
      </c>
      <c r="C52" s="28" t="s">
        <v>408</v>
      </c>
      <c r="D52" s="29" t="s">
        <v>409</v>
      </c>
      <c r="E52" s="29" t="s">
        <v>410</v>
      </c>
      <c r="F52" s="29"/>
      <c r="G52" s="29"/>
      <c r="H52" s="29"/>
      <c r="I52" s="29" t="s">
        <v>160</v>
      </c>
      <c r="J52" s="30"/>
      <c r="K52" s="29" t="s">
        <v>82</v>
      </c>
      <c r="L52" s="35">
        <v>500</v>
      </c>
      <c r="M52" s="35">
        <v>500</v>
      </c>
      <c r="N52" s="16">
        <f t="shared" si="6"/>
        <v>2304.8013468013464</v>
      </c>
      <c r="O52" s="35">
        <v>500</v>
      </c>
      <c r="P52" s="35">
        <v>500</v>
      </c>
      <c r="Q52" s="16">
        <f t="shared" si="7"/>
        <v>-270.97689768976898</v>
      </c>
      <c r="R52" s="35">
        <v>500</v>
      </c>
      <c r="S52" s="35">
        <v>500</v>
      </c>
      <c r="T52" s="16">
        <f t="shared" si="8"/>
        <v>-652.50622406639002</v>
      </c>
      <c r="U52" s="35">
        <v>500</v>
      </c>
      <c r="V52" s="35">
        <v>500</v>
      </c>
      <c r="W52" s="16">
        <f t="shared" si="9"/>
        <v>-8.6315789473684212</v>
      </c>
      <c r="X52" s="35">
        <v>500</v>
      </c>
      <c r="Y52" s="35">
        <v>500</v>
      </c>
      <c r="Z52" s="16">
        <f t="shared" si="10"/>
        <v>-7.6923076923076927E-2</v>
      </c>
      <c r="AA52" s="35">
        <v>500</v>
      </c>
      <c r="AB52" s="35">
        <v>500</v>
      </c>
      <c r="AC52" s="16">
        <f t="shared" si="11"/>
        <v>-30.696629213483149</v>
      </c>
      <c r="AD52" s="32" t="s">
        <v>91</v>
      </c>
      <c r="AE52" s="21"/>
      <c r="AF52" s="21"/>
      <c r="AG52" s="22">
        <v>1</v>
      </c>
    </row>
    <row r="53" spans="2:33" x14ac:dyDescent="0.35">
      <c r="C53" s="28" t="s">
        <v>415</v>
      </c>
      <c r="D53" s="29" t="s">
        <v>416</v>
      </c>
      <c r="E53" s="29" t="s">
        <v>417</v>
      </c>
      <c r="F53" s="29"/>
      <c r="G53" s="29"/>
      <c r="H53" s="29"/>
      <c r="I53" s="29" t="s">
        <v>421</v>
      </c>
      <c r="J53" s="30"/>
      <c r="K53" s="29" t="s">
        <v>82</v>
      </c>
      <c r="L53" s="35">
        <v>500</v>
      </c>
      <c r="M53" s="35">
        <v>0</v>
      </c>
      <c r="N53" s="16">
        <f t="shared" si="6"/>
        <v>0</v>
      </c>
      <c r="O53" s="35">
        <v>500</v>
      </c>
      <c r="P53" s="35">
        <v>0</v>
      </c>
      <c r="Q53" s="16">
        <f t="shared" si="7"/>
        <v>0</v>
      </c>
      <c r="R53" s="35">
        <v>500</v>
      </c>
      <c r="S53" s="35">
        <v>0</v>
      </c>
      <c r="T53" s="16">
        <f t="shared" si="8"/>
        <v>0</v>
      </c>
      <c r="U53" s="35">
        <v>0</v>
      </c>
      <c r="V53" s="35">
        <v>0</v>
      </c>
      <c r="W53" s="16">
        <f t="shared" si="9"/>
        <v>0</v>
      </c>
      <c r="X53" s="35">
        <v>0</v>
      </c>
      <c r="Y53" s="35">
        <v>0</v>
      </c>
      <c r="Z53" s="16">
        <f t="shared" si="10"/>
        <v>0</v>
      </c>
      <c r="AA53" s="35">
        <v>0</v>
      </c>
      <c r="AB53" s="35">
        <v>0</v>
      </c>
      <c r="AC53" s="16">
        <f t="shared" si="11"/>
        <v>0</v>
      </c>
      <c r="AD53" s="32" t="s">
        <v>82</v>
      </c>
      <c r="AE53" s="21"/>
      <c r="AF53" s="21"/>
      <c r="AG53" s="5" t="s">
        <v>83</v>
      </c>
    </row>
    <row r="54" spans="2:33" x14ac:dyDescent="0.35">
      <c r="C54" s="25" t="s">
        <v>423</v>
      </c>
      <c r="D54" s="26" t="s">
        <v>424</v>
      </c>
      <c r="E54" s="26" t="s">
        <v>425</v>
      </c>
      <c r="F54" s="26"/>
      <c r="G54" s="26"/>
      <c r="H54" s="26"/>
      <c r="I54" s="26" t="s">
        <v>429</v>
      </c>
      <c r="J54" s="27"/>
      <c r="K54" s="26" t="s">
        <v>82</v>
      </c>
      <c r="L54" s="34">
        <v>1000</v>
      </c>
      <c r="M54" s="34">
        <v>0</v>
      </c>
      <c r="N54" s="16">
        <f t="shared" si="6"/>
        <v>0</v>
      </c>
      <c r="O54" s="34">
        <v>0</v>
      </c>
      <c r="P54" s="34">
        <v>0</v>
      </c>
      <c r="Q54" s="16">
        <f t="shared" si="7"/>
        <v>0</v>
      </c>
      <c r="R54" s="34">
        <v>1000</v>
      </c>
      <c r="S54" s="34">
        <v>0</v>
      </c>
      <c r="T54" s="16">
        <f t="shared" si="8"/>
        <v>0</v>
      </c>
      <c r="U54" s="34">
        <v>0</v>
      </c>
      <c r="V54" s="34">
        <v>0</v>
      </c>
      <c r="W54" s="16">
        <f t="shared" si="9"/>
        <v>0</v>
      </c>
      <c r="X54" s="34">
        <v>500</v>
      </c>
      <c r="Y54" s="34">
        <v>0</v>
      </c>
      <c r="Z54" s="16">
        <f t="shared" si="10"/>
        <v>0</v>
      </c>
      <c r="AA54" s="34">
        <v>0</v>
      </c>
      <c r="AB54" s="34">
        <v>0</v>
      </c>
      <c r="AC54" s="16">
        <f t="shared" si="11"/>
        <v>0</v>
      </c>
      <c r="AD54" s="31" t="s">
        <v>91</v>
      </c>
      <c r="AE54" s="21"/>
      <c r="AF54" s="21"/>
      <c r="AG54" s="5" t="s">
        <v>83</v>
      </c>
    </row>
    <row r="55" spans="2:33" x14ac:dyDescent="0.35">
      <c r="B55" t="s">
        <v>913</v>
      </c>
      <c r="C55" s="28" t="s">
        <v>431</v>
      </c>
      <c r="D55" s="29" t="s">
        <v>432</v>
      </c>
      <c r="E55" s="29" t="s">
        <v>433</v>
      </c>
      <c r="F55" s="29"/>
      <c r="G55" s="29"/>
      <c r="H55" s="29"/>
      <c r="I55" s="29" t="s">
        <v>160</v>
      </c>
      <c r="J55" s="30"/>
      <c r="K55" s="29" t="s">
        <v>82</v>
      </c>
      <c r="L55" s="35">
        <v>500</v>
      </c>
      <c r="M55" s="35">
        <v>500</v>
      </c>
      <c r="N55" s="16">
        <f t="shared" si="6"/>
        <v>2304.8013468013464</v>
      </c>
      <c r="O55" s="35">
        <v>0</v>
      </c>
      <c r="P55" s="35">
        <v>0</v>
      </c>
      <c r="Q55" s="16">
        <f t="shared" si="7"/>
        <v>0</v>
      </c>
      <c r="R55" s="35">
        <v>0</v>
      </c>
      <c r="S55" s="35">
        <v>0</v>
      </c>
      <c r="T55" s="16">
        <f t="shared" si="8"/>
        <v>0</v>
      </c>
      <c r="U55" s="35">
        <v>0</v>
      </c>
      <c r="V55" s="35">
        <v>0</v>
      </c>
      <c r="W55" s="16">
        <f t="shared" si="9"/>
        <v>0</v>
      </c>
      <c r="X55" s="35">
        <v>0</v>
      </c>
      <c r="Y55" s="35">
        <v>0</v>
      </c>
      <c r="Z55" s="16">
        <f t="shared" si="10"/>
        <v>0</v>
      </c>
      <c r="AA55" s="35">
        <v>0</v>
      </c>
      <c r="AB55" s="35">
        <v>0</v>
      </c>
      <c r="AC55" s="16">
        <f t="shared" si="11"/>
        <v>0</v>
      </c>
      <c r="AD55" s="32" t="s">
        <v>91</v>
      </c>
      <c r="AG55" s="5">
        <v>1</v>
      </c>
    </row>
    <row r="56" spans="2:33" x14ac:dyDescent="0.35">
      <c r="C56" s="25" t="s">
        <v>437</v>
      </c>
      <c r="D56" s="26" t="s">
        <v>438</v>
      </c>
      <c r="E56" s="26" t="s">
        <v>439</v>
      </c>
      <c r="F56" s="26"/>
      <c r="G56" s="26"/>
      <c r="H56" s="26"/>
      <c r="I56" s="26" t="s">
        <v>80</v>
      </c>
      <c r="J56" s="27"/>
      <c r="K56" s="26" t="s">
        <v>82</v>
      </c>
      <c r="L56" s="34">
        <v>500</v>
      </c>
      <c r="M56" s="34">
        <v>0</v>
      </c>
      <c r="N56" s="16">
        <f t="shared" si="6"/>
        <v>0</v>
      </c>
      <c r="O56" s="34">
        <v>500</v>
      </c>
      <c r="P56" s="34">
        <v>0</v>
      </c>
      <c r="Q56" s="16">
        <f t="shared" si="7"/>
        <v>0</v>
      </c>
      <c r="R56" s="34">
        <v>500</v>
      </c>
      <c r="S56" s="34">
        <v>0</v>
      </c>
      <c r="T56" s="16">
        <f t="shared" si="8"/>
        <v>0</v>
      </c>
      <c r="U56" s="34">
        <v>500</v>
      </c>
      <c r="V56" s="34">
        <v>0</v>
      </c>
      <c r="W56" s="16">
        <f t="shared" si="9"/>
        <v>0</v>
      </c>
      <c r="X56" s="34">
        <v>500</v>
      </c>
      <c r="Y56" s="34">
        <v>0</v>
      </c>
      <c r="Z56" s="16">
        <f t="shared" si="10"/>
        <v>0</v>
      </c>
      <c r="AA56" s="34">
        <v>500</v>
      </c>
      <c r="AB56" s="34">
        <v>0</v>
      </c>
      <c r="AC56" s="16">
        <f t="shared" si="11"/>
        <v>0</v>
      </c>
      <c r="AD56" s="31" t="s">
        <v>91</v>
      </c>
      <c r="AE56" s="21"/>
      <c r="AF56" s="21"/>
      <c r="AG56" s="5" t="s">
        <v>83</v>
      </c>
    </row>
    <row r="57" spans="2:33" x14ac:dyDescent="0.35">
      <c r="B57" t="s">
        <v>914</v>
      </c>
      <c r="C57" s="28" t="s">
        <v>444</v>
      </c>
      <c r="D57" s="29" t="s">
        <v>445</v>
      </c>
      <c r="E57" s="29" t="s">
        <v>446</v>
      </c>
      <c r="F57" s="29"/>
      <c r="G57" s="29"/>
      <c r="H57" s="29"/>
      <c r="I57" s="29" t="s">
        <v>160</v>
      </c>
      <c r="J57" s="30"/>
      <c r="K57" s="29" t="s">
        <v>82</v>
      </c>
      <c r="L57" s="35">
        <v>500</v>
      </c>
      <c r="M57" s="35">
        <v>500</v>
      </c>
      <c r="N57" s="16">
        <f t="shared" si="6"/>
        <v>2304.8013468013464</v>
      </c>
      <c r="O57" s="35">
        <v>500</v>
      </c>
      <c r="P57" s="35">
        <v>500</v>
      </c>
      <c r="Q57" s="16">
        <f t="shared" si="7"/>
        <v>-270.97689768976898</v>
      </c>
      <c r="R57" s="35">
        <v>0</v>
      </c>
      <c r="S57" s="35">
        <v>0</v>
      </c>
      <c r="T57" s="16">
        <f t="shared" si="8"/>
        <v>0</v>
      </c>
      <c r="U57" s="35">
        <v>0</v>
      </c>
      <c r="V57" s="35">
        <v>0</v>
      </c>
      <c r="W57" s="16">
        <f t="shared" si="9"/>
        <v>0</v>
      </c>
      <c r="X57" s="35">
        <v>0</v>
      </c>
      <c r="Y57" s="35">
        <v>0</v>
      </c>
      <c r="Z57" s="16">
        <f t="shared" si="10"/>
        <v>0</v>
      </c>
      <c r="AA57" s="35">
        <v>0</v>
      </c>
      <c r="AB57" s="35">
        <v>0</v>
      </c>
      <c r="AC57" s="16">
        <f t="shared" si="11"/>
        <v>0</v>
      </c>
      <c r="AD57" s="32" t="s">
        <v>82</v>
      </c>
      <c r="AE57" s="21"/>
      <c r="AF57" s="21"/>
      <c r="AG57" s="5">
        <v>1</v>
      </c>
    </row>
    <row r="58" spans="2:33" x14ac:dyDescent="0.35">
      <c r="C58" s="25" t="s">
        <v>450</v>
      </c>
      <c r="D58" s="26" t="s">
        <v>451</v>
      </c>
      <c r="E58" s="26" t="s">
        <v>452</v>
      </c>
      <c r="F58" s="26"/>
      <c r="G58" s="26"/>
      <c r="H58" s="26"/>
      <c r="I58" s="26" t="s">
        <v>351</v>
      </c>
      <c r="J58" s="27"/>
      <c r="K58" s="26" t="s">
        <v>91</v>
      </c>
      <c r="L58" s="34"/>
      <c r="M58" s="34"/>
      <c r="N58" s="16">
        <f t="shared" si="6"/>
        <v>0</v>
      </c>
      <c r="O58" s="34"/>
      <c r="P58" s="34"/>
      <c r="Q58" s="16">
        <f t="shared" si="7"/>
        <v>0</v>
      </c>
      <c r="R58" s="34"/>
      <c r="S58" s="34"/>
      <c r="T58" s="16">
        <f t="shared" si="8"/>
        <v>0</v>
      </c>
      <c r="U58" s="34"/>
      <c r="V58" s="34"/>
      <c r="W58" s="16">
        <f t="shared" si="9"/>
        <v>0</v>
      </c>
      <c r="X58" s="34"/>
      <c r="Y58" s="34"/>
      <c r="Z58" s="16">
        <f t="shared" si="10"/>
        <v>0</v>
      </c>
      <c r="AA58" s="34"/>
      <c r="AB58" s="34"/>
      <c r="AC58" s="16">
        <f t="shared" si="11"/>
        <v>0</v>
      </c>
      <c r="AD58" s="31"/>
      <c r="AE58" s="21"/>
      <c r="AF58" s="21"/>
      <c r="AG58" s="5">
        <v>1</v>
      </c>
    </row>
    <row r="59" spans="2:33" x14ac:dyDescent="0.35">
      <c r="C59" s="28" t="s">
        <v>457</v>
      </c>
      <c r="D59" s="29" t="s">
        <v>458</v>
      </c>
      <c r="E59" s="29" t="s">
        <v>459</v>
      </c>
      <c r="F59" s="29"/>
      <c r="G59" s="29"/>
      <c r="H59" s="29"/>
      <c r="I59" s="29" t="s">
        <v>351</v>
      </c>
      <c r="J59" s="30"/>
      <c r="K59" s="29" t="s">
        <v>82</v>
      </c>
      <c r="L59" s="35">
        <v>1000</v>
      </c>
      <c r="M59" s="35">
        <v>1000</v>
      </c>
      <c r="N59" s="16">
        <f t="shared" si="6"/>
        <v>4609.6026936026929</v>
      </c>
      <c r="O59" s="35">
        <v>0</v>
      </c>
      <c r="P59" s="35">
        <v>0</v>
      </c>
      <c r="Q59" s="16">
        <f t="shared" si="7"/>
        <v>0</v>
      </c>
      <c r="R59" s="35">
        <v>500</v>
      </c>
      <c r="S59" s="35">
        <v>500</v>
      </c>
      <c r="T59" s="16">
        <f t="shared" si="8"/>
        <v>-652.50622406639002</v>
      </c>
      <c r="U59" s="35">
        <v>500</v>
      </c>
      <c r="V59" s="35">
        <v>500</v>
      </c>
      <c r="W59" s="16">
        <f t="shared" si="9"/>
        <v>-8.6315789473684212</v>
      </c>
      <c r="X59" s="35">
        <v>500</v>
      </c>
      <c r="Y59" s="35">
        <v>500</v>
      </c>
      <c r="Z59" s="16">
        <f t="shared" si="10"/>
        <v>-7.6923076923076927E-2</v>
      </c>
      <c r="AA59" s="35">
        <v>500</v>
      </c>
      <c r="AB59" s="35">
        <v>500</v>
      </c>
      <c r="AC59" s="16">
        <f t="shared" si="11"/>
        <v>-30.696629213483149</v>
      </c>
      <c r="AD59" s="32" t="s">
        <v>82</v>
      </c>
      <c r="AE59" s="21"/>
      <c r="AF59" s="21"/>
      <c r="AG59" s="5">
        <v>1</v>
      </c>
    </row>
    <row r="60" spans="2:33" x14ac:dyDescent="0.35">
      <c r="B60" t="s">
        <v>914</v>
      </c>
      <c r="C60" s="28" t="s">
        <v>463</v>
      </c>
      <c r="D60" s="29" t="s">
        <v>464</v>
      </c>
      <c r="E60" s="29" t="s">
        <v>465</v>
      </c>
      <c r="F60" s="29"/>
      <c r="G60" s="29"/>
      <c r="H60" s="29"/>
      <c r="I60" s="29" t="s">
        <v>469</v>
      </c>
      <c r="J60" s="30"/>
      <c r="K60" s="29" t="s">
        <v>82</v>
      </c>
      <c r="L60" s="35">
        <v>1500</v>
      </c>
      <c r="M60" s="35">
        <v>1500</v>
      </c>
      <c r="N60" s="16">
        <f t="shared" si="6"/>
        <v>6914.4040404040397</v>
      </c>
      <c r="O60" s="35">
        <v>2250</v>
      </c>
      <c r="P60" s="35">
        <v>2250</v>
      </c>
      <c r="Q60" s="16">
        <f t="shared" si="7"/>
        <v>-1219.3960396039604</v>
      </c>
      <c r="R60" s="35">
        <v>1500</v>
      </c>
      <c r="S60" s="35">
        <v>1500</v>
      </c>
      <c r="T60" s="16">
        <f t="shared" si="8"/>
        <v>-1957.5186721991702</v>
      </c>
      <c r="U60" s="35">
        <v>0</v>
      </c>
      <c r="V60" s="35">
        <v>0</v>
      </c>
      <c r="W60" s="16">
        <f t="shared" si="9"/>
        <v>0</v>
      </c>
      <c r="X60" s="35">
        <v>0</v>
      </c>
      <c r="Y60" s="35">
        <v>0</v>
      </c>
      <c r="Z60" s="16">
        <f t="shared" si="10"/>
        <v>0</v>
      </c>
      <c r="AA60" s="35">
        <v>0</v>
      </c>
      <c r="AB60" s="35">
        <v>0</v>
      </c>
      <c r="AC60" s="16">
        <f t="shared" si="11"/>
        <v>0</v>
      </c>
      <c r="AD60" s="32" t="s">
        <v>82</v>
      </c>
      <c r="AE60" s="21"/>
      <c r="AF60" s="21"/>
      <c r="AG60" s="5">
        <v>1</v>
      </c>
    </row>
    <row r="61" spans="2:33" x14ac:dyDescent="0.35">
      <c r="B61" t="s">
        <v>913</v>
      </c>
      <c r="C61" s="28" t="s">
        <v>471</v>
      </c>
      <c r="D61" s="29" t="s">
        <v>472</v>
      </c>
      <c r="E61" s="29" t="s">
        <v>473</v>
      </c>
      <c r="F61" s="29"/>
      <c r="G61" s="29"/>
      <c r="H61" s="29"/>
      <c r="I61" s="29" t="s">
        <v>343</v>
      </c>
      <c r="J61" s="30"/>
      <c r="K61" s="29" t="s">
        <v>82</v>
      </c>
      <c r="L61" s="35">
        <v>2250</v>
      </c>
      <c r="M61" s="35">
        <v>2250</v>
      </c>
      <c r="N61" s="16">
        <f t="shared" si="6"/>
        <v>10371.60606060606</v>
      </c>
      <c r="O61" s="35">
        <v>2250</v>
      </c>
      <c r="P61" s="35">
        <v>2250</v>
      </c>
      <c r="Q61" s="16">
        <f t="shared" si="7"/>
        <v>-1219.3960396039604</v>
      </c>
      <c r="R61" s="35">
        <v>2250</v>
      </c>
      <c r="S61" s="35">
        <v>2250</v>
      </c>
      <c r="T61" s="16">
        <f t="shared" si="8"/>
        <v>-2936.2780082987551</v>
      </c>
      <c r="U61" s="35">
        <v>0</v>
      </c>
      <c r="V61" s="35">
        <v>0</v>
      </c>
      <c r="W61" s="16">
        <f t="shared" si="9"/>
        <v>0</v>
      </c>
      <c r="X61" s="35">
        <v>0</v>
      </c>
      <c r="Y61" s="35">
        <v>0</v>
      </c>
      <c r="Z61" s="16">
        <f t="shared" si="10"/>
        <v>0</v>
      </c>
      <c r="AA61" s="35">
        <v>500</v>
      </c>
      <c r="AB61" s="35">
        <v>500</v>
      </c>
      <c r="AC61" s="16">
        <f t="shared" si="11"/>
        <v>-30.696629213483149</v>
      </c>
      <c r="AD61" s="32" t="s">
        <v>91</v>
      </c>
      <c r="AE61" s="21"/>
      <c r="AF61" s="21"/>
      <c r="AG61" s="22">
        <v>1</v>
      </c>
    </row>
    <row r="62" spans="2:33" x14ac:dyDescent="0.35">
      <c r="B62" t="s">
        <v>913</v>
      </c>
      <c r="C62" s="25" t="s">
        <v>478</v>
      </c>
      <c r="D62" s="26" t="s">
        <v>479</v>
      </c>
      <c r="E62" s="26" t="s">
        <v>480</v>
      </c>
      <c r="F62" s="26"/>
      <c r="G62" s="26"/>
      <c r="H62" s="26"/>
      <c r="I62" s="26" t="s">
        <v>484</v>
      </c>
      <c r="J62" s="27"/>
      <c r="K62" s="26" t="s">
        <v>82</v>
      </c>
      <c r="L62" s="34">
        <v>1500</v>
      </c>
      <c r="M62" s="34">
        <v>1500</v>
      </c>
      <c r="N62" s="16">
        <f t="shared" si="6"/>
        <v>6914.4040404040397</v>
      </c>
      <c r="O62" s="34">
        <v>1500</v>
      </c>
      <c r="P62" s="34">
        <v>1500</v>
      </c>
      <c r="Q62" s="16">
        <f t="shared" si="7"/>
        <v>-812.93069306930693</v>
      </c>
      <c r="R62" s="34">
        <v>1500</v>
      </c>
      <c r="S62" s="34">
        <v>1500</v>
      </c>
      <c r="T62" s="16">
        <f t="shared" si="8"/>
        <v>-1957.5186721991702</v>
      </c>
      <c r="U62" s="34">
        <v>0</v>
      </c>
      <c r="V62" s="34">
        <v>0</v>
      </c>
      <c r="W62" s="16">
        <f t="shared" si="9"/>
        <v>0</v>
      </c>
      <c r="X62" s="34">
        <v>0</v>
      </c>
      <c r="Y62" s="34">
        <v>0</v>
      </c>
      <c r="Z62" s="16">
        <f t="shared" si="10"/>
        <v>0</v>
      </c>
      <c r="AA62" s="34">
        <v>0</v>
      </c>
      <c r="AB62" s="34">
        <v>0</v>
      </c>
      <c r="AC62" s="16">
        <f t="shared" si="11"/>
        <v>0</v>
      </c>
      <c r="AD62" s="31" t="s">
        <v>91</v>
      </c>
      <c r="AG62" s="5">
        <v>1</v>
      </c>
    </row>
    <row r="63" spans="2:33" x14ac:dyDescent="0.35">
      <c r="B63" t="s">
        <v>914</v>
      </c>
      <c r="C63" s="28" t="s">
        <v>486</v>
      </c>
      <c r="D63" s="29" t="s">
        <v>487</v>
      </c>
      <c r="E63" s="29" t="s">
        <v>488</v>
      </c>
      <c r="F63" s="29"/>
      <c r="G63" s="29"/>
      <c r="H63" s="29"/>
      <c r="I63" s="29" t="s">
        <v>492</v>
      </c>
      <c r="J63" s="30"/>
      <c r="K63" s="29" t="s">
        <v>82</v>
      </c>
      <c r="L63" s="35">
        <v>1000</v>
      </c>
      <c r="M63" s="35">
        <v>1000</v>
      </c>
      <c r="N63" s="16">
        <f t="shared" si="6"/>
        <v>4609.6026936026929</v>
      </c>
      <c r="O63" s="35">
        <v>1000</v>
      </c>
      <c r="P63" s="35">
        <v>1000</v>
      </c>
      <c r="Q63" s="16">
        <f t="shared" si="7"/>
        <v>-541.95379537953795</v>
      </c>
      <c r="R63" s="35">
        <v>1000</v>
      </c>
      <c r="S63" s="35">
        <v>1000</v>
      </c>
      <c r="T63" s="16">
        <f t="shared" si="8"/>
        <v>-1305.01244813278</v>
      </c>
      <c r="U63" s="35">
        <v>500</v>
      </c>
      <c r="V63" s="35">
        <v>500</v>
      </c>
      <c r="W63" s="16">
        <f t="shared" si="9"/>
        <v>-8.6315789473684212</v>
      </c>
      <c r="X63" s="35">
        <v>500</v>
      </c>
      <c r="Y63" s="35">
        <v>500</v>
      </c>
      <c r="Z63" s="16">
        <f t="shared" si="10"/>
        <v>-7.6923076923076927E-2</v>
      </c>
      <c r="AA63" s="35">
        <v>0</v>
      </c>
      <c r="AB63" s="35">
        <v>0</v>
      </c>
      <c r="AC63" s="16">
        <f t="shared" si="11"/>
        <v>0</v>
      </c>
      <c r="AD63" s="32" t="s">
        <v>91</v>
      </c>
      <c r="AE63" s="21"/>
      <c r="AF63" s="21"/>
      <c r="AG63" s="22">
        <v>1</v>
      </c>
    </row>
    <row r="64" spans="2:33" x14ac:dyDescent="0.35">
      <c r="B64" t="s">
        <v>913</v>
      </c>
      <c r="C64" s="28" t="s">
        <v>494</v>
      </c>
      <c r="D64" s="29" t="s">
        <v>495</v>
      </c>
      <c r="E64" s="29" t="s">
        <v>496</v>
      </c>
      <c r="F64" s="29"/>
      <c r="G64" s="29"/>
      <c r="H64" s="29"/>
      <c r="I64" s="29" t="s">
        <v>160</v>
      </c>
      <c r="J64" s="30"/>
      <c r="K64" s="29" t="s">
        <v>82</v>
      </c>
      <c r="L64" s="35">
        <v>500</v>
      </c>
      <c r="M64" s="35">
        <v>500</v>
      </c>
      <c r="N64" s="16">
        <f t="shared" si="6"/>
        <v>2304.8013468013464</v>
      </c>
      <c r="O64" s="35">
        <v>500</v>
      </c>
      <c r="P64" s="35">
        <v>500</v>
      </c>
      <c r="Q64" s="16">
        <f t="shared" si="7"/>
        <v>-270.97689768976898</v>
      </c>
      <c r="R64" s="35">
        <v>0</v>
      </c>
      <c r="S64" s="35">
        <v>0</v>
      </c>
      <c r="T64" s="16">
        <f t="shared" si="8"/>
        <v>0</v>
      </c>
      <c r="U64" s="35">
        <v>0</v>
      </c>
      <c r="V64" s="35">
        <v>0</v>
      </c>
      <c r="W64" s="16">
        <f t="shared" si="9"/>
        <v>0</v>
      </c>
      <c r="X64" s="35">
        <v>500</v>
      </c>
      <c r="Y64" s="35">
        <v>500</v>
      </c>
      <c r="Z64" s="16">
        <f t="shared" si="10"/>
        <v>-7.6923076923076927E-2</v>
      </c>
      <c r="AA64" s="35">
        <v>500</v>
      </c>
      <c r="AB64" s="35">
        <v>500</v>
      </c>
      <c r="AC64" s="16">
        <f t="shared" si="11"/>
        <v>-30.696629213483149</v>
      </c>
      <c r="AD64" s="32" t="s">
        <v>91</v>
      </c>
      <c r="AG64" s="5">
        <v>1</v>
      </c>
    </row>
    <row r="65" spans="2:33" x14ac:dyDescent="0.35">
      <c r="C65" s="28" t="s">
        <v>500</v>
      </c>
      <c r="D65" s="29" t="s">
        <v>501</v>
      </c>
      <c r="E65" s="29" t="s">
        <v>502</v>
      </c>
      <c r="F65" s="29"/>
      <c r="G65" s="29"/>
      <c r="H65" s="29"/>
      <c r="I65" s="29" t="s">
        <v>80</v>
      </c>
      <c r="J65" s="30"/>
      <c r="K65" s="29" t="s">
        <v>82</v>
      </c>
      <c r="L65" s="35">
        <v>1000</v>
      </c>
      <c r="M65" s="35">
        <v>0</v>
      </c>
      <c r="N65" s="16">
        <f t="shared" si="6"/>
        <v>0</v>
      </c>
      <c r="O65" s="35">
        <v>0</v>
      </c>
      <c r="P65" s="35">
        <v>0</v>
      </c>
      <c r="Q65" s="16">
        <f t="shared" si="7"/>
        <v>0</v>
      </c>
      <c r="R65" s="35">
        <v>500</v>
      </c>
      <c r="S65" s="35">
        <v>0</v>
      </c>
      <c r="T65" s="16">
        <f t="shared" si="8"/>
        <v>0</v>
      </c>
      <c r="U65" s="35">
        <v>0</v>
      </c>
      <c r="V65" s="35">
        <v>0</v>
      </c>
      <c r="W65" s="16">
        <f t="shared" si="9"/>
        <v>0</v>
      </c>
      <c r="X65" s="35">
        <v>500</v>
      </c>
      <c r="Y65" s="35">
        <v>0</v>
      </c>
      <c r="Z65" s="16">
        <f t="shared" si="10"/>
        <v>0</v>
      </c>
      <c r="AA65" s="35">
        <v>0</v>
      </c>
      <c r="AB65" s="35">
        <v>0</v>
      </c>
      <c r="AC65" s="16">
        <f t="shared" si="11"/>
        <v>0</v>
      </c>
      <c r="AD65" s="32" t="s">
        <v>91</v>
      </c>
      <c r="AE65" s="21"/>
      <c r="AF65" s="21"/>
      <c r="AG65" s="5" t="s">
        <v>83</v>
      </c>
    </row>
    <row r="66" spans="2:33" x14ac:dyDescent="0.35">
      <c r="B66" t="s">
        <v>913</v>
      </c>
      <c r="C66" s="25" t="s">
        <v>507</v>
      </c>
      <c r="D66" s="26" t="s">
        <v>508</v>
      </c>
      <c r="E66" s="26" t="s">
        <v>509</v>
      </c>
      <c r="F66" s="26"/>
      <c r="G66" s="26"/>
      <c r="H66" s="26"/>
      <c r="I66" s="26" t="s">
        <v>513</v>
      </c>
      <c r="J66" s="27"/>
      <c r="K66" s="26" t="s">
        <v>82</v>
      </c>
      <c r="L66" s="34">
        <v>1500</v>
      </c>
      <c r="M66" s="34">
        <v>1500</v>
      </c>
      <c r="N66" s="16">
        <f t="shared" si="6"/>
        <v>6914.4040404040397</v>
      </c>
      <c r="O66" s="34">
        <v>1500</v>
      </c>
      <c r="P66" s="34">
        <v>1500</v>
      </c>
      <c r="Q66" s="16">
        <f t="shared" si="7"/>
        <v>-812.93069306930693</v>
      </c>
      <c r="R66" s="34">
        <v>1500</v>
      </c>
      <c r="S66" s="34">
        <v>1500</v>
      </c>
      <c r="T66" s="16">
        <f t="shared" si="8"/>
        <v>-1957.5186721991702</v>
      </c>
      <c r="U66" s="34">
        <v>500</v>
      </c>
      <c r="V66" s="34">
        <v>500</v>
      </c>
      <c r="W66" s="16">
        <f t="shared" si="9"/>
        <v>-8.6315789473684212</v>
      </c>
      <c r="X66" s="34">
        <v>500</v>
      </c>
      <c r="Y66" s="34">
        <v>500</v>
      </c>
      <c r="Z66" s="16">
        <f t="shared" si="10"/>
        <v>-7.6923076923076927E-2</v>
      </c>
      <c r="AA66" s="34">
        <v>500</v>
      </c>
      <c r="AB66" s="34">
        <v>500</v>
      </c>
      <c r="AC66" s="16">
        <f t="shared" si="11"/>
        <v>-30.696629213483149</v>
      </c>
      <c r="AD66" s="31" t="s">
        <v>91</v>
      </c>
      <c r="AE66" s="21"/>
      <c r="AF66" s="21"/>
      <c r="AG66" s="22">
        <v>1</v>
      </c>
    </row>
    <row r="67" spans="2:33" x14ac:dyDescent="0.35">
      <c r="B67" t="s">
        <v>913</v>
      </c>
      <c r="C67" s="25" t="s">
        <v>515</v>
      </c>
      <c r="D67" s="26" t="s">
        <v>516</v>
      </c>
      <c r="E67" s="26" t="s">
        <v>517</v>
      </c>
      <c r="F67" s="26"/>
      <c r="G67" s="26"/>
      <c r="H67" s="26"/>
      <c r="I67" s="26" t="s">
        <v>204</v>
      </c>
      <c r="J67" s="27"/>
      <c r="K67" s="26" t="s">
        <v>82</v>
      </c>
      <c r="L67" s="34">
        <v>500</v>
      </c>
      <c r="M67" s="34">
        <v>500</v>
      </c>
      <c r="N67" s="16">
        <f t="shared" si="6"/>
        <v>2304.8013468013464</v>
      </c>
      <c r="O67" s="34">
        <v>500</v>
      </c>
      <c r="P67" s="34">
        <v>500</v>
      </c>
      <c r="Q67" s="16">
        <f t="shared" si="7"/>
        <v>-270.97689768976898</v>
      </c>
      <c r="R67" s="34">
        <v>500</v>
      </c>
      <c r="S67" s="34">
        <v>500</v>
      </c>
      <c r="T67" s="16">
        <f t="shared" si="8"/>
        <v>-652.50622406639002</v>
      </c>
      <c r="U67" s="34">
        <v>0</v>
      </c>
      <c r="V67" s="34">
        <v>0</v>
      </c>
      <c r="W67" s="16">
        <f t="shared" si="9"/>
        <v>0</v>
      </c>
      <c r="X67" s="34">
        <v>0</v>
      </c>
      <c r="Y67" s="34">
        <v>0</v>
      </c>
      <c r="Z67" s="16">
        <f t="shared" si="10"/>
        <v>0</v>
      </c>
      <c r="AA67" s="34">
        <v>0</v>
      </c>
      <c r="AB67" s="34">
        <v>0</v>
      </c>
      <c r="AC67" s="16">
        <f t="shared" si="11"/>
        <v>0</v>
      </c>
      <c r="AD67" s="31" t="s">
        <v>91</v>
      </c>
      <c r="AE67" s="21"/>
      <c r="AF67" s="21"/>
      <c r="AG67" s="22">
        <v>1</v>
      </c>
    </row>
    <row r="68" spans="2:33" x14ac:dyDescent="0.35">
      <c r="B68" t="s">
        <v>913</v>
      </c>
      <c r="C68" s="28" t="s">
        <v>521</v>
      </c>
      <c r="D68" s="29" t="s">
        <v>522</v>
      </c>
      <c r="E68" s="29" t="s">
        <v>523</v>
      </c>
      <c r="F68" s="29"/>
      <c r="G68" s="29"/>
      <c r="H68" s="29"/>
      <c r="I68" s="29" t="s">
        <v>160</v>
      </c>
      <c r="J68" s="30"/>
      <c r="K68" s="29" t="s">
        <v>82</v>
      </c>
      <c r="L68" s="35">
        <v>500</v>
      </c>
      <c r="M68" s="35">
        <v>500</v>
      </c>
      <c r="N68" s="16">
        <f t="shared" ref="N68:N83" si="12">SUM($M$87/(SUM($M$4:$M$83)))*M68</f>
        <v>2304.8013468013464</v>
      </c>
      <c r="O68" s="35">
        <v>500</v>
      </c>
      <c r="P68" s="35">
        <v>500</v>
      </c>
      <c r="Q68" s="16">
        <f t="shared" ref="Q68:Q83" si="13">SUM($P$87/(SUM($P$4:$P$83)))*P68</f>
        <v>-270.97689768976898</v>
      </c>
      <c r="R68" s="35">
        <v>500</v>
      </c>
      <c r="S68" s="35">
        <v>500</v>
      </c>
      <c r="T68" s="16">
        <f t="shared" ref="T68:T83" si="14">SUM($S$87/(SUM($S$4:$S$83)))*S68</f>
        <v>-652.50622406639002</v>
      </c>
      <c r="U68" s="35">
        <v>0</v>
      </c>
      <c r="V68" s="35">
        <v>0</v>
      </c>
      <c r="W68" s="16">
        <f t="shared" ref="W68:W83" si="15">SUM($V$87/(SUM($V$4:$V$83)))*V68</f>
        <v>0</v>
      </c>
      <c r="X68" s="35">
        <v>0</v>
      </c>
      <c r="Y68" s="35">
        <v>0</v>
      </c>
      <c r="Z68" s="16">
        <f t="shared" ref="Z68:Z83" si="16">SUM($Y$87/(SUM($Y$4:$Y$83)))*Y68</f>
        <v>0</v>
      </c>
      <c r="AA68" s="35">
        <v>0</v>
      </c>
      <c r="AB68" s="35">
        <v>0</v>
      </c>
      <c r="AC68" s="16">
        <f t="shared" ref="AC68:AC83" si="17">SUM($AB$87/(SUM($AB$4:$AB$83)))*AB68</f>
        <v>0</v>
      </c>
      <c r="AD68" s="32" t="s">
        <v>91</v>
      </c>
      <c r="AE68" s="21"/>
      <c r="AF68" s="21"/>
      <c r="AG68" s="22">
        <v>1</v>
      </c>
    </row>
    <row r="69" spans="2:33" x14ac:dyDescent="0.35">
      <c r="B69" t="s">
        <v>914</v>
      </c>
      <c r="C69" s="28" t="s">
        <v>528</v>
      </c>
      <c r="D69" s="29" t="s">
        <v>529</v>
      </c>
      <c r="E69" s="29" t="s">
        <v>530</v>
      </c>
      <c r="F69" s="29"/>
      <c r="G69" s="29"/>
      <c r="H69" s="29"/>
      <c r="I69" s="29" t="s">
        <v>534</v>
      </c>
      <c r="J69" s="30"/>
      <c r="K69" s="29" t="s">
        <v>82</v>
      </c>
      <c r="L69" s="35">
        <v>2250</v>
      </c>
      <c r="M69" s="35">
        <v>2250</v>
      </c>
      <c r="N69" s="16">
        <f t="shared" si="12"/>
        <v>10371.60606060606</v>
      </c>
      <c r="O69" s="35">
        <v>2250</v>
      </c>
      <c r="P69" s="35">
        <v>2250</v>
      </c>
      <c r="Q69" s="16">
        <f t="shared" si="13"/>
        <v>-1219.3960396039604</v>
      </c>
      <c r="R69" s="35">
        <v>2250</v>
      </c>
      <c r="S69" s="35">
        <v>2250</v>
      </c>
      <c r="T69" s="16">
        <f t="shared" si="14"/>
        <v>-2936.2780082987551</v>
      </c>
      <c r="U69" s="35">
        <v>2250</v>
      </c>
      <c r="V69" s="35">
        <v>2250</v>
      </c>
      <c r="W69" s="16">
        <f t="shared" si="15"/>
        <v>-38.84210526315789</v>
      </c>
      <c r="X69" s="35">
        <v>500</v>
      </c>
      <c r="Y69" s="35">
        <v>500</v>
      </c>
      <c r="Z69" s="16">
        <f t="shared" si="16"/>
        <v>-7.6923076923076927E-2</v>
      </c>
      <c r="AA69" s="35">
        <v>0</v>
      </c>
      <c r="AB69" s="35">
        <v>0</v>
      </c>
      <c r="AC69" s="16">
        <f t="shared" si="17"/>
        <v>0</v>
      </c>
      <c r="AD69" s="32" t="s">
        <v>82</v>
      </c>
      <c r="AE69" s="21"/>
      <c r="AF69" s="21"/>
      <c r="AG69" s="5">
        <v>1</v>
      </c>
    </row>
    <row r="70" spans="2:33" x14ac:dyDescent="0.35">
      <c r="C70" s="25" t="s">
        <v>536</v>
      </c>
      <c r="D70" s="26" t="s">
        <v>537</v>
      </c>
      <c r="E70" s="26" t="s">
        <v>538</v>
      </c>
      <c r="F70" s="26"/>
      <c r="G70" s="26"/>
      <c r="H70" s="26"/>
      <c r="I70" s="26" t="s">
        <v>106</v>
      </c>
      <c r="J70" s="27"/>
      <c r="K70" s="26" t="s">
        <v>82</v>
      </c>
      <c r="L70" s="34">
        <v>1000</v>
      </c>
      <c r="M70" s="34">
        <v>1000</v>
      </c>
      <c r="N70" s="16">
        <f t="shared" si="12"/>
        <v>4609.6026936026929</v>
      </c>
      <c r="O70" s="34">
        <v>1000</v>
      </c>
      <c r="P70" s="34">
        <v>1000</v>
      </c>
      <c r="Q70" s="16">
        <f t="shared" si="13"/>
        <v>-541.95379537953795</v>
      </c>
      <c r="R70" s="34">
        <v>1000</v>
      </c>
      <c r="S70" s="34">
        <v>1000</v>
      </c>
      <c r="T70" s="16">
        <f t="shared" si="14"/>
        <v>-1305.01244813278</v>
      </c>
      <c r="U70" s="34">
        <v>500</v>
      </c>
      <c r="V70" s="34">
        <v>500</v>
      </c>
      <c r="W70" s="16">
        <f t="shared" si="15"/>
        <v>-8.6315789473684212</v>
      </c>
      <c r="X70" s="34">
        <v>500</v>
      </c>
      <c r="Y70" s="34">
        <v>500</v>
      </c>
      <c r="Z70" s="16">
        <f t="shared" si="16"/>
        <v>-7.6923076923076927E-2</v>
      </c>
      <c r="AA70" s="34">
        <v>500</v>
      </c>
      <c r="AB70" s="34">
        <v>500</v>
      </c>
      <c r="AC70" s="16">
        <f t="shared" si="17"/>
        <v>-30.696629213483149</v>
      </c>
      <c r="AD70" s="31" t="s">
        <v>82</v>
      </c>
      <c r="AE70" s="21"/>
      <c r="AF70" s="21"/>
      <c r="AG70" s="5">
        <v>1</v>
      </c>
    </row>
    <row r="71" spans="2:33" x14ac:dyDescent="0.35">
      <c r="B71" t="s">
        <v>913</v>
      </c>
      <c r="C71" s="25" t="s">
        <v>543</v>
      </c>
      <c r="D71" s="26" t="s">
        <v>544</v>
      </c>
      <c r="E71" s="26" t="s">
        <v>545</v>
      </c>
      <c r="F71" s="26"/>
      <c r="G71" s="26"/>
      <c r="H71" s="26"/>
      <c r="I71" s="26" t="s">
        <v>549</v>
      </c>
      <c r="J71" s="27"/>
      <c r="K71" s="26" t="s">
        <v>82</v>
      </c>
      <c r="L71" s="34">
        <v>500</v>
      </c>
      <c r="M71" s="34">
        <v>500</v>
      </c>
      <c r="N71" s="16">
        <f t="shared" si="12"/>
        <v>2304.8013468013464</v>
      </c>
      <c r="O71" s="34">
        <v>1500</v>
      </c>
      <c r="P71" s="34">
        <v>1500</v>
      </c>
      <c r="Q71" s="16">
        <f t="shared" si="13"/>
        <v>-812.93069306930693</v>
      </c>
      <c r="R71" s="34">
        <v>500</v>
      </c>
      <c r="S71" s="34">
        <v>500</v>
      </c>
      <c r="T71" s="16">
        <f t="shared" si="14"/>
        <v>-652.50622406639002</v>
      </c>
      <c r="U71" s="34">
        <v>0</v>
      </c>
      <c r="V71" s="34">
        <v>0</v>
      </c>
      <c r="W71" s="16">
        <f t="shared" si="15"/>
        <v>0</v>
      </c>
      <c r="X71" s="34">
        <v>0</v>
      </c>
      <c r="Y71" s="34">
        <v>0</v>
      </c>
      <c r="Z71" s="16">
        <f t="shared" si="16"/>
        <v>0</v>
      </c>
      <c r="AA71" s="34">
        <v>0</v>
      </c>
      <c r="AB71" s="34">
        <v>0</v>
      </c>
      <c r="AC71" s="16">
        <f t="shared" si="17"/>
        <v>0</v>
      </c>
      <c r="AD71" s="31" t="s">
        <v>91</v>
      </c>
      <c r="AE71" s="21"/>
      <c r="AF71" s="21"/>
      <c r="AG71" s="22">
        <v>1</v>
      </c>
    </row>
    <row r="72" spans="2:33" x14ac:dyDescent="0.35">
      <c r="C72" s="25" t="s">
        <v>551</v>
      </c>
      <c r="D72" s="26" t="s">
        <v>552</v>
      </c>
      <c r="E72" s="26" t="s">
        <v>553</v>
      </c>
      <c r="F72" s="26"/>
      <c r="G72" s="26"/>
      <c r="H72" s="26"/>
      <c r="I72" s="26" t="s">
        <v>204</v>
      </c>
      <c r="J72" s="27"/>
      <c r="K72" s="26" t="s">
        <v>82</v>
      </c>
      <c r="L72" s="34">
        <v>500</v>
      </c>
      <c r="M72" s="34">
        <v>500</v>
      </c>
      <c r="N72" s="16">
        <f t="shared" si="12"/>
        <v>2304.8013468013464</v>
      </c>
      <c r="O72" s="34">
        <v>500</v>
      </c>
      <c r="P72" s="34">
        <v>500</v>
      </c>
      <c r="Q72" s="16">
        <f t="shared" si="13"/>
        <v>-270.97689768976898</v>
      </c>
      <c r="R72" s="34">
        <v>500</v>
      </c>
      <c r="S72" s="34">
        <v>500</v>
      </c>
      <c r="T72" s="16">
        <f t="shared" si="14"/>
        <v>-652.50622406639002</v>
      </c>
      <c r="U72" s="34">
        <v>500</v>
      </c>
      <c r="V72" s="34">
        <v>500</v>
      </c>
      <c r="W72" s="16">
        <f t="shared" si="15"/>
        <v>-8.6315789473684212</v>
      </c>
      <c r="X72" s="34">
        <v>500</v>
      </c>
      <c r="Y72" s="34">
        <v>500</v>
      </c>
      <c r="Z72" s="16">
        <f t="shared" si="16"/>
        <v>-7.6923076923076927E-2</v>
      </c>
      <c r="AA72" s="34">
        <v>500</v>
      </c>
      <c r="AB72" s="34">
        <v>500</v>
      </c>
      <c r="AC72" s="16">
        <f t="shared" si="17"/>
        <v>-30.696629213483149</v>
      </c>
      <c r="AD72" s="31" t="s">
        <v>82</v>
      </c>
      <c r="AE72" s="21"/>
      <c r="AF72" s="21"/>
      <c r="AG72" s="5">
        <v>1</v>
      </c>
    </row>
    <row r="73" spans="2:33" x14ac:dyDescent="0.35">
      <c r="C73" s="25" t="s">
        <v>558</v>
      </c>
      <c r="D73" s="26" t="s">
        <v>559</v>
      </c>
      <c r="E73" s="26" t="s">
        <v>560</v>
      </c>
      <c r="F73" s="26"/>
      <c r="G73" s="26"/>
      <c r="H73" s="26"/>
      <c r="I73" s="26" t="s">
        <v>204</v>
      </c>
      <c r="J73" s="27"/>
      <c r="K73" s="26" t="s">
        <v>91</v>
      </c>
      <c r="L73" s="34"/>
      <c r="M73" s="34"/>
      <c r="N73" s="16">
        <f t="shared" si="12"/>
        <v>0</v>
      </c>
      <c r="O73" s="34"/>
      <c r="P73" s="34"/>
      <c r="Q73" s="16">
        <f t="shared" si="13"/>
        <v>0</v>
      </c>
      <c r="R73" s="34"/>
      <c r="S73" s="34"/>
      <c r="T73" s="16">
        <f t="shared" si="14"/>
        <v>0</v>
      </c>
      <c r="U73" s="34"/>
      <c r="V73" s="34"/>
      <c r="W73" s="16">
        <f t="shared" si="15"/>
        <v>0</v>
      </c>
      <c r="X73" s="34"/>
      <c r="Y73" s="34"/>
      <c r="Z73" s="16">
        <f t="shared" si="16"/>
        <v>0</v>
      </c>
      <c r="AA73" s="34"/>
      <c r="AB73" s="34"/>
      <c r="AC73" s="16">
        <f t="shared" si="17"/>
        <v>0</v>
      </c>
      <c r="AD73" s="31"/>
      <c r="AG73" s="5">
        <v>1</v>
      </c>
    </row>
    <row r="74" spans="2:33" x14ac:dyDescent="0.35">
      <c r="B74" t="s">
        <v>913</v>
      </c>
      <c r="C74" s="25" t="s">
        <v>563</v>
      </c>
      <c r="D74" s="26" t="s">
        <v>564</v>
      </c>
      <c r="E74" s="26" t="s">
        <v>565</v>
      </c>
      <c r="F74" s="26"/>
      <c r="G74" s="26"/>
      <c r="H74" s="26"/>
      <c r="I74" s="26" t="s">
        <v>569</v>
      </c>
      <c r="J74" s="27"/>
      <c r="K74" s="26" t="s">
        <v>82</v>
      </c>
      <c r="L74" s="34">
        <v>1500</v>
      </c>
      <c r="M74" s="34">
        <v>1500</v>
      </c>
      <c r="N74" s="16">
        <f t="shared" si="12"/>
        <v>6914.4040404040397</v>
      </c>
      <c r="O74" s="34">
        <v>1500</v>
      </c>
      <c r="P74" s="34">
        <v>1500</v>
      </c>
      <c r="Q74" s="16">
        <f t="shared" si="13"/>
        <v>-812.93069306930693</v>
      </c>
      <c r="R74" s="34">
        <v>1000</v>
      </c>
      <c r="S74" s="34">
        <v>1000</v>
      </c>
      <c r="T74" s="16">
        <f t="shared" si="14"/>
        <v>-1305.01244813278</v>
      </c>
      <c r="U74" s="34">
        <v>0</v>
      </c>
      <c r="V74" s="34">
        <v>0</v>
      </c>
      <c r="W74" s="16">
        <f t="shared" si="15"/>
        <v>0</v>
      </c>
      <c r="X74" s="34">
        <v>0</v>
      </c>
      <c r="Y74" s="34">
        <v>0</v>
      </c>
      <c r="Z74" s="16">
        <f t="shared" si="16"/>
        <v>0</v>
      </c>
      <c r="AA74" s="34">
        <v>0</v>
      </c>
      <c r="AB74" s="34">
        <v>0</v>
      </c>
      <c r="AC74" s="16">
        <f t="shared" si="17"/>
        <v>0</v>
      </c>
      <c r="AD74" s="31" t="s">
        <v>91</v>
      </c>
      <c r="AE74" s="21"/>
      <c r="AF74" s="21"/>
      <c r="AG74" s="22">
        <v>1</v>
      </c>
    </row>
    <row r="75" spans="2:33" x14ac:dyDescent="0.35">
      <c r="B75" t="s">
        <v>913</v>
      </c>
      <c r="C75" s="28" t="s">
        <v>571</v>
      </c>
      <c r="D75" s="29" t="s">
        <v>572</v>
      </c>
      <c r="E75" s="29" t="s">
        <v>573</v>
      </c>
      <c r="F75" s="29"/>
      <c r="G75" s="29"/>
      <c r="H75" s="29"/>
      <c r="I75" s="29" t="s">
        <v>160</v>
      </c>
      <c r="J75" s="30"/>
      <c r="K75" s="29" t="s">
        <v>82</v>
      </c>
      <c r="L75" s="35">
        <v>500</v>
      </c>
      <c r="M75" s="35">
        <v>500</v>
      </c>
      <c r="N75" s="16">
        <f t="shared" si="12"/>
        <v>2304.8013468013464</v>
      </c>
      <c r="O75" s="35">
        <v>1000</v>
      </c>
      <c r="P75" s="35">
        <v>1000</v>
      </c>
      <c r="Q75" s="16">
        <f t="shared" si="13"/>
        <v>-541.95379537953795</v>
      </c>
      <c r="R75" s="35">
        <v>500</v>
      </c>
      <c r="S75" s="35">
        <v>500</v>
      </c>
      <c r="T75" s="16">
        <f t="shared" si="14"/>
        <v>-652.50622406639002</v>
      </c>
      <c r="U75" s="35">
        <v>1000</v>
      </c>
      <c r="V75" s="35">
        <v>1000</v>
      </c>
      <c r="W75" s="16">
        <f t="shared" si="15"/>
        <v>-17.263157894736842</v>
      </c>
      <c r="X75" s="35">
        <v>1000</v>
      </c>
      <c r="Y75" s="35">
        <v>1000</v>
      </c>
      <c r="Z75" s="16">
        <f t="shared" si="16"/>
        <v>-0.15384615384615385</v>
      </c>
      <c r="AA75" s="35">
        <v>500</v>
      </c>
      <c r="AB75" s="35">
        <v>500</v>
      </c>
      <c r="AC75" s="16">
        <f t="shared" si="17"/>
        <v>-30.696629213483149</v>
      </c>
      <c r="AD75" s="32" t="s">
        <v>91</v>
      </c>
      <c r="AE75" s="21"/>
      <c r="AF75" s="21"/>
      <c r="AG75" s="22">
        <v>1</v>
      </c>
    </row>
    <row r="76" spans="2:33" x14ac:dyDescent="0.35">
      <c r="C76" s="28" t="s">
        <v>578</v>
      </c>
      <c r="D76" s="29" t="s">
        <v>579</v>
      </c>
      <c r="E76" s="29" t="s">
        <v>580</v>
      </c>
      <c r="F76" s="29"/>
      <c r="G76" s="29"/>
      <c r="H76" s="29"/>
      <c r="I76" s="29" t="s">
        <v>379</v>
      </c>
      <c r="J76" s="30"/>
      <c r="K76" s="29" t="s">
        <v>91</v>
      </c>
      <c r="L76" s="35"/>
      <c r="M76" s="35"/>
      <c r="N76" s="16">
        <f t="shared" si="12"/>
        <v>0</v>
      </c>
      <c r="O76" s="35"/>
      <c r="P76" s="35"/>
      <c r="Q76" s="16">
        <f t="shared" si="13"/>
        <v>0</v>
      </c>
      <c r="R76" s="35"/>
      <c r="S76" s="35"/>
      <c r="T76" s="16">
        <f t="shared" si="14"/>
        <v>0</v>
      </c>
      <c r="U76" s="35"/>
      <c r="V76" s="35"/>
      <c r="W76" s="16">
        <f t="shared" si="15"/>
        <v>0</v>
      </c>
      <c r="X76" s="35"/>
      <c r="Y76" s="35"/>
      <c r="Z76" s="16">
        <f t="shared" si="16"/>
        <v>0</v>
      </c>
      <c r="AA76" s="35"/>
      <c r="AB76" s="35"/>
      <c r="AC76" s="16">
        <f t="shared" si="17"/>
        <v>0</v>
      </c>
      <c r="AD76" s="32"/>
      <c r="AE76" s="21"/>
      <c r="AF76" s="21"/>
      <c r="AG76" s="5">
        <v>1</v>
      </c>
    </row>
    <row r="77" spans="2:33" x14ac:dyDescent="0.35">
      <c r="B77" t="s">
        <v>914</v>
      </c>
      <c r="C77" s="25" t="s">
        <v>584</v>
      </c>
      <c r="D77" s="26" t="s">
        <v>585</v>
      </c>
      <c r="E77" s="26" t="s">
        <v>586</v>
      </c>
      <c r="F77" s="26"/>
      <c r="G77" s="26"/>
      <c r="H77" s="26"/>
      <c r="I77" s="26" t="s">
        <v>589</v>
      </c>
      <c r="J77" s="27"/>
      <c r="K77" s="26" t="s">
        <v>82</v>
      </c>
      <c r="L77" s="34">
        <v>500</v>
      </c>
      <c r="M77" s="34">
        <v>500</v>
      </c>
      <c r="N77" s="16">
        <f t="shared" si="12"/>
        <v>2304.8013468013464</v>
      </c>
      <c r="O77" s="34">
        <v>500</v>
      </c>
      <c r="P77" s="34">
        <v>500</v>
      </c>
      <c r="Q77" s="16">
        <f t="shared" si="13"/>
        <v>-270.97689768976898</v>
      </c>
      <c r="R77" s="34">
        <v>500</v>
      </c>
      <c r="S77" s="34">
        <v>500</v>
      </c>
      <c r="T77" s="16">
        <f t="shared" si="14"/>
        <v>-652.50622406639002</v>
      </c>
      <c r="U77" s="34">
        <v>0</v>
      </c>
      <c r="V77" s="34">
        <v>0</v>
      </c>
      <c r="W77" s="16">
        <f t="shared" si="15"/>
        <v>0</v>
      </c>
      <c r="X77" s="34">
        <v>0</v>
      </c>
      <c r="Y77" s="34">
        <v>0</v>
      </c>
      <c r="Z77" s="16">
        <f t="shared" si="16"/>
        <v>0</v>
      </c>
      <c r="AA77" s="34">
        <v>0</v>
      </c>
      <c r="AB77" s="34">
        <v>0</v>
      </c>
      <c r="AC77" s="16">
        <f t="shared" si="17"/>
        <v>0</v>
      </c>
      <c r="AD77" s="31" t="s">
        <v>82</v>
      </c>
      <c r="AE77" s="21"/>
      <c r="AF77" s="21"/>
      <c r="AG77" s="5">
        <v>1</v>
      </c>
    </row>
    <row r="78" spans="2:33" x14ac:dyDescent="0.35">
      <c r="B78" t="s">
        <v>913</v>
      </c>
      <c r="C78" s="28" t="s">
        <v>591</v>
      </c>
      <c r="D78" s="29" t="s">
        <v>592</v>
      </c>
      <c r="E78" s="29" t="s">
        <v>593</v>
      </c>
      <c r="F78" s="29"/>
      <c r="G78" s="29"/>
      <c r="H78" s="29"/>
      <c r="I78" s="29" t="s">
        <v>160</v>
      </c>
      <c r="J78" s="30"/>
      <c r="K78" s="29" t="s">
        <v>82</v>
      </c>
      <c r="L78" s="35">
        <v>1000</v>
      </c>
      <c r="M78" s="35">
        <v>1000</v>
      </c>
      <c r="N78" s="16">
        <f t="shared" si="12"/>
        <v>4609.6026936026929</v>
      </c>
      <c r="O78" s="35">
        <v>1000</v>
      </c>
      <c r="P78" s="35">
        <v>1000</v>
      </c>
      <c r="Q78" s="16">
        <f t="shared" si="13"/>
        <v>-541.95379537953795</v>
      </c>
      <c r="R78" s="35">
        <v>1000</v>
      </c>
      <c r="S78" s="35">
        <v>1000</v>
      </c>
      <c r="T78" s="16">
        <f t="shared" si="14"/>
        <v>-1305.01244813278</v>
      </c>
      <c r="U78" s="35">
        <v>1000</v>
      </c>
      <c r="V78" s="35">
        <v>1000</v>
      </c>
      <c r="W78" s="16">
        <f t="shared" si="15"/>
        <v>-17.263157894736842</v>
      </c>
      <c r="X78" s="35">
        <v>500</v>
      </c>
      <c r="Y78" s="35">
        <v>500</v>
      </c>
      <c r="Z78" s="16">
        <f t="shared" si="16"/>
        <v>-7.6923076923076927E-2</v>
      </c>
      <c r="AA78" s="35">
        <v>500</v>
      </c>
      <c r="AB78" s="35">
        <v>500</v>
      </c>
      <c r="AC78" s="16">
        <f t="shared" si="17"/>
        <v>-30.696629213483149</v>
      </c>
      <c r="AD78" s="32" t="s">
        <v>91</v>
      </c>
      <c r="AE78" s="21"/>
      <c r="AF78" s="21"/>
      <c r="AG78" s="22">
        <v>1</v>
      </c>
    </row>
    <row r="79" spans="2:33" x14ac:dyDescent="0.35">
      <c r="C79" s="25" t="s">
        <v>598</v>
      </c>
      <c r="D79" s="26" t="s">
        <v>599</v>
      </c>
      <c r="E79" s="26" t="s">
        <v>600</v>
      </c>
      <c r="F79" s="26"/>
      <c r="G79" s="26"/>
      <c r="H79" s="26"/>
      <c r="I79" s="26" t="s">
        <v>212</v>
      </c>
      <c r="J79" s="27"/>
      <c r="K79" s="26" t="s">
        <v>82</v>
      </c>
      <c r="L79" s="34">
        <v>2250</v>
      </c>
      <c r="M79" s="34">
        <v>2250</v>
      </c>
      <c r="N79" s="16">
        <f t="shared" si="12"/>
        <v>10371.60606060606</v>
      </c>
      <c r="O79" s="34">
        <v>2250</v>
      </c>
      <c r="P79" s="34">
        <v>2250</v>
      </c>
      <c r="Q79" s="16">
        <f t="shared" si="13"/>
        <v>-1219.3960396039604</v>
      </c>
      <c r="R79" s="34">
        <v>2250</v>
      </c>
      <c r="S79" s="34">
        <v>2250</v>
      </c>
      <c r="T79" s="16">
        <f t="shared" si="14"/>
        <v>-2936.2780082987551</v>
      </c>
      <c r="U79" s="34">
        <v>2250</v>
      </c>
      <c r="V79" s="34">
        <v>2250</v>
      </c>
      <c r="W79" s="16">
        <f t="shared" si="15"/>
        <v>-38.84210526315789</v>
      </c>
      <c r="X79" s="34">
        <v>2250</v>
      </c>
      <c r="Y79" s="34">
        <v>2250</v>
      </c>
      <c r="Z79" s="16">
        <f t="shared" si="16"/>
        <v>-0.34615384615384615</v>
      </c>
      <c r="AA79" s="34">
        <v>2250</v>
      </c>
      <c r="AB79" s="34">
        <v>2250</v>
      </c>
      <c r="AC79" s="16">
        <f t="shared" si="17"/>
        <v>-138.13483146067415</v>
      </c>
      <c r="AD79" s="31" t="s">
        <v>82</v>
      </c>
      <c r="AE79" s="21"/>
      <c r="AF79" s="21"/>
      <c r="AG79" s="5">
        <v>1</v>
      </c>
    </row>
    <row r="80" spans="2:33" x14ac:dyDescent="0.35">
      <c r="B80" t="s">
        <v>914</v>
      </c>
      <c r="C80" s="25" t="s">
        <v>605</v>
      </c>
      <c r="D80" s="26" t="s">
        <v>606</v>
      </c>
      <c r="E80" s="26" t="s">
        <v>607</v>
      </c>
      <c r="F80" s="26"/>
      <c r="G80" s="26"/>
      <c r="H80" s="26"/>
      <c r="I80" s="26" t="s">
        <v>160</v>
      </c>
      <c r="J80" s="27"/>
      <c r="K80" s="26" t="s">
        <v>82</v>
      </c>
      <c r="L80" s="34">
        <v>1000</v>
      </c>
      <c r="M80" s="34">
        <v>1000</v>
      </c>
      <c r="N80" s="16">
        <f t="shared" si="12"/>
        <v>4609.6026936026929</v>
      </c>
      <c r="O80" s="34">
        <v>1000</v>
      </c>
      <c r="P80" s="34">
        <v>1000</v>
      </c>
      <c r="Q80" s="16">
        <f t="shared" si="13"/>
        <v>-541.95379537953795</v>
      </c>
      <c r="R80" s="34">
        <v>1000</v>
      </c>
      <c r="S80" s="34">
        <v>1000</v>
      </c>
      <c r="T80" s="16">
        <f t="shared" si="14"/>
        <v>-1305.01244813278</v>
      </c>
      <c r="U80" s="34">
        <v>0</v>
      </c>
      <c r="V80" s="34">
        <v>0</v>
      </c>
      <c r="W80" s="16">
        <f t="shared" si="15"/>
        <v>0</v>
      </c>
      <c r="X80" s="34">
        <v>0</v>
      </c>
      <c r="Y80" s="34">
        <v>0</v>
      </c>
      <c r="Z80" s="16">
        <f t="shared" si="16"/>
        <v>0</v>
      </c>
      <c r="AA80" s="34">
        <v>0</v>
      </c>
      <c r="AB80" s="34">
        <v>0</v>
      </c>
      <c r="AC80" s="16">
        <f t="shared" si="17"/>
        <v>0</v>
      </c>
      <c r="AD80" s="31" t="s">
        <v>82</v>
      </c>
      <c r="AE80" s="21"/>
      <c r="AF80" s="21"/>
      <c r="AG80" s="5">
        <v>1</v>
      </c>
    </row>
    <row r="81" spans="1:33" x14ac:dyDescent="0.35">
      <c r="C81" s="28" t="s">
        <v>612</v>
      </c>
      <c r="D81" s="29" t="s">
        <v>613</v>
      </c>
      <c r="E81" s="29" t="s">
        <v>614</v>
      </c>
      <c r="F81" s="29"/>
      <c r="G81" s="29"/>
      <c r="H81" s="29"/>
      <c r="I81" s="29" t="s">
        <v>168</v>
      </c>
      <c r="J81" s="30"/>
      <c r="K81" s="29" t="s">
        <v>82</v>
      </c>
      <c r="L81" s="35">
        <v>500</v>
      </c>
      <c r="M81" s="35">
        <v>500</v>
      </c>
      <c r="N81" s="16">
        <f t="shared" si="12"/>
        <v>2304.8013468013464</v>
      </c>
      <c r="O81" s="35">
        <v>500</v>
      </c>
      <c r="P81" s="35">
        <v>500</v>
      </c>
      <c r="Q81" s="16">
        <f t="shared" si="13"/>
        <v>-270.97689768976898</v>
      </c>
      <c r="R81" s="35">
        <v>0</v>
      </c>
      <c r="S81" s="35">
        <v>0</v>
      </c>
      <c r="T81" s="16">
        <f t="shared" si="14"/>
        <v>0</v>
      </c>
      <c r="U81" s="35">
        <v>500</v>
      </c>
      <c r="V81" s="35">
        <v>500</v>
      </c>
      <c r="W81" s="16">
        <f t="shared" si="15"/>
        <v>-8.6315789473684212</v>
      </c>
      <c r="X81" s="35">
        <v>500</v>
      </c>
      <c r="Y81" s="35">
        <v>500</v>
      </c>
      <c r="Z81" s="16">
        <f t="shared" si="16"/>
        <v>-7.6923076923076927E-2</v>
      </c>
      <c r="AA81" s="35">
        <v>500</v>
      </c>
      <c r="AB81" s="35">
        <v>500</v>
      </c>
      <c r="AC81" s="16">
        <f t="shared" si="17"/>
        <v>-30.696629213483149</v>
      </c>
      <c r="AD81" s="32" t="s">
        <v>82</v>
      </c>
      <c r="AE81" s="21"/>
      <c r="AF81" s="21"/>
      <c r="AG81" s="5">
        <v>1</v>
      </c>
    </row>
    <row r="82" spans="1:33" x14ac:dyDescent="0.35">
      <c r="B82" t="s">
        <v>913</v>
      </c>
      <c r="C82" s="28" t="s">
        <v>618</v>
      </c>
      <c r="D82" s="29" t="s">
        <v>619</v>
      </c>
      <c r="E82" s="29" t="s">
        <v>620</v>
      </c>
      <c r="F82" s="29"/>
      <c r="G82" s="29"/>
      <c r="H82" s="29"/>
      <c r="I82" s="29" t="s">
        <v>160</v>
      </c>
      <c r="J82" s="30"/>
      <c r="K82" s="29" t="s">
        <v>82</v>
      </c>
      <c r="L82" s="35">
        <v>2250</v>
      </c>
      <c r="M82" s="35">
        <v>2250</v>
      </c>
      <c r="N82" s="16">
        <f t="shared" si="12"/>
        <v>10371.60606060606</v>
      </c>
      <c r="O82" s="35">
        <v>2250</v>
      </c>
      <c r="P82" s="35">
        <v>2250</v>
      </c>
      <c r="Q82" s="16">
        <f t="shared" si="13"/>
        <v>-1219.3960396039604</v>
      </c>
      <c r="R82" s="35">
        <v>2250</v>
      </c>
      <c r="S82" s="35">
        <v>2250</v>
      </c>
      <c r="T82" s="16">
        <f t="shared" si="14"/>
        <v>-2936.2780082987551</v>
      </c>
      <c r="U82" s="35">
        <v>0</v>
      </c>
      <c r="V82" s="35">
        <v>0</v>
      </c>
      <c r="W82" s="16">
        <f t="shared" si="15"/>
        <v>0</v>
      </c>
      <c r="X82" s="35">
        <v>500</v>
      </c>
      <c r="Y82" s="35">
        <v>500</v>
      </c>
      <c r="Z82" s="16">
        <f t="shared" si="16"/>
        <v>-7.6923076923076927E-2</v>
      </c>
      <c r="AA82" s="35">
        <v>500</v>
      </c>
      <c r="AB82" s="35">
        <v>500</v>
      </c>
      <c r="AC82" s="16">
        <f t="shared" si="17"/>
        <v>-30.696629213483149</v>
      </c>
      <c r="AD82" s="32" t="s">
        <v>91</v>
      </c>
      <c r="AG82" s="5">
        <v>1</v>
      </c>
    </row>
    <row r="83" spans="1:33" x14ac:dyDescent="0.35">
      <c r="C83" s="25" t="s">
        <v>625</v>
      </c>
      <c r="D83" s="26" t="s">
        <v>626</v>
      </c>
      <c r="E83" s="26" t="s">
        <v>627</v>
      </c>
      <c r="F83" s="26"/>
      <c r="G83" s="26"/>
      <c r="H83" s="26"/>
      <c r="I83" s="26" t="s">
        <v>160</v>
      </c>
      <c r="J83" s="27"/>
      <c r="K83" s="26" t="s">
        <v>82</v>
      </c>
      <c r="L83" s="34">
        <v>2250</v>
      </c>
      <c r="M83" s="34">
        <v>2250</v>
      </c>
      <c r="N83" s="16">
        <f t="shared" si="12"/>
        <v>10371.60606060606</v>
      </c>
      <c r="O83" s="34">
        <v>2250</v>
      </c>
      <c r="P83" s="34">
        <v>2250</v>
      </c>
      <c r="Q83" s="16">
        <f t="shared" si="13"/>
        <v>-1219.3960396039604</v>
      </c>
      <c r="R83" s="34">
        <v>2250</v>
      </c>
      <c r="S83" s="34">
        <v>2250</v>
      </c>
      <c r="T83" s="16">
        <f t="shared" si="14"/>
        <v>-2936.2780082987551</v>
      </c>
      <c r="U83" s="34">
        <v>0</v>
      </c>
      <c r="V83" s="34">
        <v>0</v>
      </c>
      <c r="W83" s="16">
        <f t="shared" si="15"/>
        <v>0</v>
      </c>
      <c r="X83" s="34">
        <v>500</v>
      </c>
      <c r="Y83" s="34">
        <v>500</v>
      </c>
      <c r="Z83" s="16">
        <f t="shared" si="16"/>
        <v>-7.6923076923076927E-2</v>
      </c>
      <c r="AA83" s="34">
        <v>500</v>
      </c>
      <c r="AB83" s="34">
        <v>500</v>
      </c>
      <c r="AC83" s="16">
        <f t="shared" si="17"/>
        <v>-30.696629213483149</v>
      </c>
      <c r="AD83" s="31" t="s">
        <v>82</v>
      </c>
      <c r="AE83" s="21"/>
      <c r="AF83" s="21"/>
      <c r="AG83" s="5">
        <v>1</v>
      </c>
    </row>
    <row r="84" spans="1:33" x14ac:dyDescent="0.35">
      <c r="J84" s="23"/>
      <c r="L84" s="23"/>
      <c r="M84" s="24"/>
      <c r="N84" s="16"/>
      <c r="O84" s="23"/>
      <c r="P84" s="23"/>
      <c r="Q84" s="16"/>
      <c r="R84" s="23"/>
      <c r="S84" s="23"/>
      <c r="T84" s="16"/>
      <c r="U84" s="23"/>
      <c r="V84" s="23"/>
      <c r="W84" s="16"/>
      <c r="X84" s="23"/>
      <c r="Y84" s="23"/>
      <c r="Z84" s="16"/>
      <c r="AA84" s="23"/>
      <c r="AB84" s="23"/>
      <c r="AC84" s="16"/>
      <c r="AD84" s="33"/>
    </row>
    <row r="85" spans="1:33" x14ac:dyDescent="0.35">
      <c r="A85" t="s">
        <v>632</v>
      </c>
      <c r="C85" s="4"/>
      <c r="D85" s="4"/>
      <c r="E85" s="4"/>
      <c r="F85" s="4"/>
      <c r="G85" s="4"/>
      <c r="H85" s="4"/>
      <c r="I85" s="4"/>
      <c r="J85" s="4"/>
      <c r="K85" s="13" t="s">
        <v>633</v>
      </c>
      <c r="L85" s="5"/>
      <c r="M85" s="18">
        <f>SUM('Collection to Date'!E7:E44)</f>
        <v>1125525</v>
      </c>
      <c r="N85" s="16"/>
      <c r="O85" s="5"/>
      <c r="P85" s="18">
        <f>SUM('Collection to Date'!F7:F33)</f>
        <v>242229</v>
      </c>
      <c r="Q85" s="16"/>
      <c r="R85" s="5"/>
      <c r="S85" s="18">
        <f>SUM('Collection to Date'!G7:G33)</f>
        <v>11713</v>
      </c>
      <c r="T85" s="16"/>
      <c r="U85" s="5"/>
      <c r="V85" s="18">
        <f>SUM('Collection to Date'!H7:H33)</f>
        <v>2</v>
      </c>
      <c r="W85" s="16"/>
      <c r="X85" s="5"/>
      <c r="Y85" s="18">
        <f>SUM('Collection to Date'!I7:I33)</f>
        <v>4</v>
      </c>
      <c r="Z85" s="16"/>
      <c r="AA85" s="5"/>
      <c r="AB85" s="18">
        <f>SUM('Collection to Date'!J7:J33)</f>
        <v>860</v>
      </c>
      <c r="AC85" s="16"/>
      <c r="AD85" s="4"/>
      <c r="AE85" s="4"/>
      <c r="AF85" s="4"/>
    </row>
    <row r="86" spans="1:33" x14ac:dyDescent="0.35">
      <c r="C86" s="4"/>
      <c r="D86" s="4"/>
      <c r="E86" s="4"/>
      <c r="F86" s="4"/>
      <c r="G86" s="4"/>
      <c r="H86" s="4"/>
      <c r="I86" s="4"/>
      <c r="J86" s="4"/>
      <c r="K86" s="13" t="s">
        <v>634</v>
      </c>
      <c r="L86" s="5"/>
      <c r="M86" s="18">
        <f>SUM('Distribution to Date'!D2:D94)</f>
        <v>783262</v>
      </c>
      <c r="N86" s="16"/>
      <c r="O86" s="5"/>
      <c r="P86" s="18">
        <f>SUM('Distribution to Date'!E2:E94)</f>
        <v>283282</v>
      </c>
      <c r="Q86" s="16"/>
      <c r="R86" s="5"/>
      <c r="S86" s="18">
        <f>SUM('Distribution to Date'!F2:F94)</f>
        <v>90340</v>
      </c>
      <c r="T86" s="16"/>
      <c r="U86" s="5"/>
      <c r="V86" s="18">
        <f>SUM('Distribution to Date'!G2:G94)</f>
        <v>412</v>
      </c>
      <c r="W86" s="16"/>
      <c r="X86" s="5"/>
      <c r="Y86" s="18">
        <f>SUM('Distribution to Date'!H2:H94)</f>
        <v>8</v>
      </c>
      <c r="Z86" s="16"/>
      <c r="AA86" s="5"/>
      <c r="AB86" s="18">
        <f>SUM('Distribution to Date'!I2:I94)</f>
        <v>2226</v>
      </c>
      <c r="AC86" s="16"/>
      <c r="AD86" s="4"/>
      <c r="AE86" s="4"/>
      <c r="AF86" s="4"/>
    </row>
    <row r="87" spans="1:33" x14ac:dyDescent="0.35">
      <c r="C87" s="4"/>
      <c r="D87" s="4"/>
      <c r="E87" s="4"/>
      <c r="F87" s="4"/>
      <c r="G87" s="4"/>
      <c r="H87" s="4"/>
      <c r="I87" s="4"/>
      <c r="J87" s="4"/>
      <c r="K87" s="13" t="s">
        <v>635</v>
      </c>
      <c r="L87" s="5"/>
      <c r="M87" s="18">
        <f>SUM(M85-M86)</f>
        <v>342263</v>
      </c>
      <c r="N87" s="17">
        <f>SUM(N4:N83)</f>
        <v>342262.99999999988</v>
      </c>
      <c r="O87" s="5"/>
      <c r="P87" s="18">
        <f>SUM(P85-P86)</f>
        <v>-41053</v>
      </c>
      <c r="Q87" s="17">
        <f>SUM(Q4:Q83)</f>
        <v>-41052.999999999993</v>
      </c>
      <c r="R87" s="5"/>
      <c r="S87" s="18">
        <f>SUM(S85-S86)</f>
        <v>-78627</v>
      </c>
      <c r="T87" s="17">
        <f>SUM(T4:T83)</f>
        <v>-78626.999999999985</v>
      </c>
      <c r="U87" s="5"/>
      <c r="V87" s="18">
        <f>SUM(V85-V86)</f>
        <v>-410</v>
      </c>
      <c r="W87" s="17">
        <f>SUM(W4:W83)</f>
        <v>-410</v>
      </c>
      <c r="X87" s="5"/>
      <c r="Y87" s="18">
        <f>SUM(Y85-Y86)</f>
        <v>-4</v>
      </c>
      <c r="Z87" s="17">
        <f>SUM(Z4:Z83)</f>
        <v>-4.0000000000000018</v>
      </c>
      <c r="AA87" s="5"/>
      <c r="AB87" s="18">
        <f>SUM(AB85-AB86)</f>
        <v>-1366</v>
      </c>
      <c r="AC87" s="17">
        <f>SUM(AC4:AC83)</f>
        <v>-1366.0000000000002</v>
      </c>
      <c r="AD87" s="4"/>
      <c r="AE87" s="4"/>
      <c r="AF87" s="4"/>
    </row>
    <row r="88" spans="1:33" x14ac:dyDescent="0.35">
      <c r="C88" s="4"/>
      <c r="D88" s="4"/>
      <c r="E88" s="4"/>
      <c r="F88" s="4"/>
      <c r="G88" s="4"/>
      <c r="H88" s="4"/>
      <c r="I88" s="4"/>
      <c r="J88" s="4"/>
      <c r="K88" s="4"/>
      <c r="L88" s="5"/>
      <c r="M88" s="18"/>
      <c r="N88" s="16"/>
      <c r="O88" s="5"/>
      <c r="P88" s="18"/>
      <c r="Q88" s="16"/>
      <c r="R88" s="5"/>
      <c r="S88" s="18"/>
      <c r="T88" s="16"/>
      <c r="U88" s="5"/>
      <c r="V88" s="18"/>
      <c r="W88" s="16"/>
      <c r="X88" s="5"/>
      <c r="Y88" s="18"/>
      <c r="Z88" s="16"/>
      <c r="AA88" s="5"/>
      <c r="AB88" s="18"/>
      <c r="AC88" s="16"/>
      <c r="AD88" s="4"/>
      <c r="AE88" s="4"/>
      <c r="AF88" s="4"/>
    </row>
    <row r="89" spans="1:33" x14ac:dyDescent="0.35">
      <c r="C89" s="4"/>
      <c r="D89" s="4"/>
      <c r="E89" s="4"/>
      <c r="F89" s="4"/>
      <c r="G89" s="4"/>
      <c r="H89" s="4"/>
      <c r="I89" s="4"/>
      <c r="J89" s="4"/>
      <c r="K89" s="4" t="s">
        <v>636</v>
      </c>
      <c r="L89" s="5"/>
      <c r="M89" s="18"/>
      <c r="N89" s="16">
        <f>SUM(N20,N80,N83)</f>
        <v>19590.811447811444</v>
      </c>
      <c r="O89" s="5"/>
      <c r="P89" s="18"/>
      <c r="Q89" s="16">
        <f>SUM(Q20,Q80,Q83)</f>
        <v>-2303.3036303630361</v>
      </c>
      <c r="R89" s="5"/>
      <c r="S89" s="18"/>
      <c r="T89" s="16"/>
      <c r="U89" s="5"/>
      <c r="V89" s="18"/>
      <c r="W89" s="16"/>
      <c r="X89" s="5"/>
      <c r="Y89" s="18"/>
      <c r="Z89" s="16"/>
      <c r="AA89" s="5"/>
      <c r="AB89" s="18"/>
      <c r="AC89" s="16"/>
      <c r="AD89" s="4"/>
      <c r="AE89" s="4"/>
      <c r="AF89" s="4"/>
    </row>
    <row r="90" spans="1:33" x14ac:dyDescent="0.35">
      <c r="C90" s="4"/>
      <c r="D90" s="4"/>
      <c r="E90" s="4"/>
      <c r="F90" s="4"/>
      <c r="G90" s="4"/>
      <c r="H90" s="4"/>
      <c r="I90" s="4"/>
      <c r="J90" s="4"/>
      <c r="K90" s="4" t="s">
        <v>637</v>
      </c>
      <c r="L90" s="5"/>
      <c r="M90" s="18"/>
      <c r="N90" s="16">
        <v>56632</v>
      </c>
      <c r="O90" s="5"/>
      <c r="P90" s="18"/>
      <c r="Q90" s="16">
        <v>46500</v>
      </c>
      <c r="R90" s="5"/>
      <c r="S90" s="18"/>
      <c r="T90" s="16"/>
      <c r="U90" s="5"/>
      <c r="V90" s="18"/>
      <c r="W90" s="16"/>
      <c r="X90" s="5"/>
      <c r="Y90" s="18"/>
      <c r="Z90" s="16"/>
      <c r="AA90" s="5"/>
      <c r="AB90" s="18"/>
      <c r="AC90" s="16"/>
      <c r="AD90" s="4"/>
      <c r="AE90" s="4"/>
      <c r="AF90" s="4"/>
    </row>
    <row r="91" spans="1:33" x14ac:dyDescent="0.35">
      <c r="C91" s="4"/>
      <c r="D91" s="4"/>
      <c r="E91" s="4"/>
      <c r="F91" s="4"/>
      <c r="G91" s="4"/>
      <c r="H91" s="4"/>
      <c r="I91" s="4"/>
      <c r="J91" s="4"/>
      <c r="K91" s="4"/>
      <c r="L91" s="5"/>
      <c r="M91" s="18" t="s">
        <v>49</v>
      </c>
      <c r="N91" s="16">
        <f>SUM(N89:N90)</f>
        <v>76222.811447811444</v>
      </c>
      <c r="O91" s="5"/>
      <c r="P91" s="18"/>
      <c r="Q91" s="16">
        <f>SUM(Q89:Q90)</f>
        <v>44196.696369636964</v>
      </c>
      <c r="R91" s="5"/>
      <c r="S91" s="18"/>
      <c r="T91" s="16"/>
      <c r="U91" s="5"/>
      <c r="V91" s="18"/>
      <c r="W91" s="16"/>
      <c r="X91" s="5"/>
      <c r="Y91" s="18"/>
      <c r="Z91" s="16"/>
      <c r="AA91" s="5"/>
      <c r="AB91" s="18"/>
      <c r="AC91" s="16"/>
      <c r="AD91" s="4"/>
      <c r="AE91" s="4"/>
      <c r="AF91" s="4"/>
    </row>
    <row r="92" spans="1:33" x14ac:dyDescent="0.35">
      <c r="C92" s="4"/>
      <c r="D92" s="4"/>
      <c r="E92" s="4"/>
      <c r="F92" s="4"/>
      <c r="G92" s="4"/>
      <c r="H92" s="4"/>
      <c r="I92" s="4"/>
      <c r="J92" s="4"/>
      <c r="K92" s="4"/>
      <c r="M92" s="18"/>
      <c r="N92" s="16"/>
      <c r="P92" s="18"/>
      <c r="Q92" s="16"/>
      <c r="S92" s="18"/>
      <c r="T92" s="16"/>
      <c r="V92" s="18"/>
      <c r="W92" s="16"/>
      <c r="Y92" s="18"/>
      <c r="Z92" s="16"/>
      <c r="AB92" s="18"/>
      <c r="AC92" s="16"/>
      <c r="AD92" s="4"/>
      <c r="AE92" s="4"/>
      <c r="AF92" s="4"/>
    </row>
    <row r="93" spans="1:33" x14ac:dyDescent="0.35">
      <c r="C93" s="4"/>
      <c r="D93" s="4"/>
      <c r="E93" s="4"/>
      <c r="F93" s="4"/>
      <c r="G93" s="4"/>
      <c r="H93" s="4"/>
      <c r="I93" s="4"/>
      <c r="J93" s="4"/>
      <c r="K93" s="4"/>
      <c r="M93" s="18"/>
      <c r="N93" s="2"/>
      <c r="P93" s="18"/>
      <c r="Q93"/>
      <c r="S93" s="18"/>
      <c r="T93" s="16"/>
      <c r="V93" s="18"/>
      <c r="W93" s="16"/>
      <c r="Y93" s="18"/>
      <c r="Z93" s="16"/>
      <c r="AB93" s="18"/>
      <c r="AC93" s="16"/>
      <c r="AD93" s="4"/>
      <c r="AE93" s="4"/>
      <c r="AF93" s="4"/>
    </row>
    <row r="94" spans="1:33" x14ac:dyDescent="0.35">
      <c r="C94" s="4"/>
      <c r="D94" s="4"/>
      <c r="E94" s="4"/>
      <c r="F94" s="4"/>
      <c r="G94" s="4"/>
      <c r="H94" s="4"/>
      <c r="I94" s="4"/>
      <c r="J94" s="4"/>
      <c r="K94" s="4"/>
      <c r="M94" s="18"/>
      <c r="N94" s="16"/>
      <c r="P94" s="18"/>
      <c r="Q94" s="16"/>
      <c r="S94" s="18"/>
      <c r="T94" s="16"/>
      <c r="V94" s="18"/>
      <c r="W94" s="16"/>
      <c r="Y94" s="18"/>
      <c r="Z94" s="16"/>
      <c r="AB94" s="18"/>
      <c r="AC94" s="16"/>
      <c r="AD94" s="4"/>
      <c r="AE94" s="4"/>
      <c r="AF94" s="4"/>
    </row>
    <row r="95" spans="1:33" x14ac:dyDescent="0.35">
      <c r="C95" s="4"/>
      <c r="D95" s="4"/>
      <c r="E95" s="4"/>
      <c r="F95" s="4"/>
      <c r="G95" s="4"/>
      <c r="H95" s="4"/>
      <c r="I95" s="4"/>
      <c r="J95" s="4"/>
      <c r="K95" s="4"/>
      <c r="M95" s="18"/>
      <c r="N95" s="16"/>
      <c r="P95" s="18"/>
      <c r="Q95" s="16"/>
      <c r="S95" s="18"/>
      <c r="T95" s="16"/>
      <c r="V95" s="18"/>
      <c r="W95" s="16"/>
      <c r="Y95" s="18"/>
      <c r="Z95" s="16"/>
      <c r="AB95" s="18"/>
      <c r="AC95" s="16"/>
      <c r="AD95" s="4"/>
      <c r="AE95" s="4"/>
      <c r="AF95" s="4"/>
    </row>
    <row r="96" spans="1:33" x14ac:dyDescent="0.35">
      <c r="F96" s="8"/>
      <c r="G96" s="7"/>
      <c r="H96" s="10"/>
      <c r="I96" s="9"/>
      <c r="J96" s="10"/>
    </row>
    <row r="97" spans="6:10" x14ac:dyDescent="0.35">
      <c r="F97" s="8"/>
      <c r="G97" s="7"/>
      <c r="H97" s="10"/>
      <c r="I97" s="9"/>
      <c r="J97" s="10"/>
    </row>
    <row r="98" spans="6:10" x14ac:dyDescent="0.35">
      <c r="F98" s="11"/>
      <c r="G98" s="7"/>
      <c r="H98" s="6"/>
      <c r="I98" s="7"/>
      <c r="J98" s="6"/>
    </row>
    <row r="99" spans="6:10" x14ac:dyDescent="0.35">
      <c r="F99" s="6"/>
      <c r="G99" s="7"/>
      <c r="H99" s="6"/>
      <c r="I99" s="7"/>
      <c r="J99" s="6"/>
    </row>
    <row r="100" spans="6:10" x14ac:dyDescent="0.35">
      <c r="F100" s="8"/>
      <c r="G100" s="7"/>
      <c r="H100" s="8"/>
      <c r="I100" s="9"/>
      <c r="J100" s="10"/>
    </row>
    <row r="101" spans="6:10" x14ac:dyDescent="0.35">
      <c r="F101" s="10"/>
      <c r="G101" s="7"/>
      <c r="H101" s="10"/>
      <c r="I101" s="9"/>
      <c r="J101" s="10"/>
    </row>
    <row r="102" spans="6:10" x14ac:dyDescent="0.35">
      <c r="F102" s="8"/>
      <c r="G102" s="7"/>
      <c r="H102" s="10"/>
      <c r="I102" s="9"/>
      <c r="J102" s="10"/>
    </row>
    <row r="103" spans="6:10" x14ac:dyDescent="0.35">
      <c r="F103" s="8"/>
      <c r="G103" s="7"/>
      <c r="H103" s="8"/>
      <c r="I103" s="9"/>
      <c r="J103" s="10"/>
    </row>
    <row r="104" spans="6:10" x14ac:dyDescent="0.35">
      <c r="F104" s="10"/>
      <c r="G104" s="7"/>
      <c r="H104" s="10"/>
      <c r="I104" s="9"/>
      <c r="J104" s="10"/>
    </row>
    <row r="105" spans="6:10" x14ac:dyDescent="0.35">
      <c r="F105" s="10"/>
      <c r="G105" s="7"/>
      <c r="H105" s="10"/>
      <c r="I105" s="9"/>
      <c r="J105" s="10"/>
    </row>
    <row r="106" spans="6:10" x14ac:dyDescent="0.35">
      <c r="F106" s="6"/>
      <c r="G106" s="7"/>
      <c r="H106" s="6"/>
      <c r="I106" s="7"/>
      <c r="J106" s="6"/>
    </row>
    <row r="107" spans="6:10" x14ac:dyDescent="0.35">
      <c r="F107" s="10"/>
      <c r="G107" s="7"/>
      <c r="H107" s="10"/>
      <c r="I107" s="9"/>
      <c r="J107" s="10"/>
    </row>
    <row r="108" spans="6:10" x14ac:dyDescent="0.35">
      <c r="F108" s="8"/>
      <c r="G108" s="7"/>
      <c r="H108" s="8"/>
      <c r="I108" s="9"/>
      <c r="J108" s="10"/>
    </row>
    <row r="109" spans="6:10" x14ac:dyDescent="0.35">
      <c r="F109" s="10"/>
      <c r="G109" s="7"/>
      <c r="H109" s="10"/>
      <c r="I109" s="9"/>
      <c r="J109" s="10"/>
    </row>
    <row r="110" spans="6:10" x14ac:dyDescent="0.35">
      <c r="F110" s="10"/>
      <c r="G110" s="7"/>
      <c r="H110" s="10"/>
      <c r="I110" s="9"/>
      <c r="J110" s="10"/>
    </row>
    <row r="111" spans="6:10" x14ac:dyDescent="0.35">
      <c r="F111" s="10"/>
      <c r="G111" s="7"/>
      <c r="H111" s="10"/>
      <c r="I111" s="9"/>
      <c r="J111" s="10"/>
    </row>
    <row r="112" spans="6:10" x14ac:dyDescent="0.35">
      <c r="F112" s="8"/>
      <c r="G112" s="7"/>
      <c r="H112" s="8"/>
      <c r="I112" s="9"/>
      <c r="J112" s="10"/>
    </row>
    <row r="113" spans="6:10" x14ac:dyDescent="0.35">
      <c r="F113" s="6"/>
      <c r="G113" s="7"/>
      <c r="H113" s="6"/>
      <c r="I113" s="7"/>
      <c r="J113" s="6"/>
    </row>
    <row r="114" spans="6:10" x14ac:dyDescent="0.35">
      <c r="F114" s="8"/>
      <c r="G114" s="7"/>
      <c r="H114" s="8"/>
      <c r="I114" s="9"/>
      <c r="J114" s="10"/>
    </row>
    <row r="115" spans="6:10" x14ac:dyDescent="0.35">
      <c r="F115" s="10"/>
      <c r="G115" s="7"/>
      <c r="H115" s="10"/>
      <c r="I115" s="9"/>
      <c r="J115" s="10"/>
    </row>
    <row r="116" spans="6:10" x14ac:dyDescent="0.35">
      <c r="F116" s="6"/>
      <c r="G116" s="7"/>
      <c r="H116" s="6"/>
      <c r="I116" s="7"/>
      <c r="J116" s="6"/>
    </row>
    <row r="117" spans="6:10" x14ac:dyDescent="0.35">
      <c r="F117" s="10"/>
      <c r="G117" s="7"/>
      <c r="H117" s="10"/>
      <c r="I117" s="9"/>
      <c r="J117" s="10"/>
    </row>
    <row r="118" spans="6:10" x14ac:dyDescent="0.35">
      <c r="F118" s="10"/>
      <c r="G118" s="7"/>
      <c r="H118" s="10"/>
      <c r="I118" s="9"/>
      <c r="J118" s="10"/>
    </row>
    <row r="119" spans="6:10" x14ac:dyDescent="0.35">
      <c r="F119" s="10"/>
      <c r="G119" s="7"/>
      <c r="H119" s="10"/>
      <c r="I119" s="9"/>
      <c r="J119" s="10"/>
    </row>
    <row r="120" spans="6:10" x14ac:dyDescent="0.35">
      <c r="F120" s="6"/>
      <c r="G120" s="7"/>
      <c r="H120" s="6"/>
      <c r="I120" s="7"/>
      <c r="J120" s="6"/>
    </row>
    <row r="121" spans="6:10" x14ac:dyDescent="0.35">
      <c r="F121" s="6"/>
      <c r="G121" s="7"/>
      <c r="H121" s="6"/>
      <c r="I121" s="7"/>
      <c r="J121" s="6"/>
    </row>
    <row r="122" spans="6:10" x14ac:dyDescent="0.35">
      <c r="F122" s="10"/>
      <c r="G122" s="7"/>
      <c r="H122" s="10"/>
      <c r="I122" s="9"/>
      <c r="J122" s="10"/>
    </row>
    <row r="123" spans="6:10" x14ac:dyDescent="0.35">
      <c r="F123" s="10"/>
      <c r="G123" s="7"/>
      <c r="H123" s="10"/>
      <c r="I123" s="9"/>
      <c r="J123" s="10"/>
    </row>
    <row r="124" spans="6:10" x14ac:dyDescent="0.35">
      <c r="F124" s="11"/>
      <c r="G124" s="7"/>
      <c r="H124" s="11"/>
      <c r="I124" s="7"/>
      <c r="J124" s="6"/>
    </row>
    <row r="125" spans="6:10" x14ac:dyDescent="0.35">
      <c r="F125" s="10"/>
      <c r="G125" s="7"/>
      <c r="H125" s="10"/>
      <c r="I125" s="9"/>
      <c r="J125" s="10"/>
    </row>
    <row r="126" spans="6:10" x14ac:dyDescent="0.35">
      <c r="F126" s="10"/>
      <c r="G126" s="7"/>
      <c r="H126" s="10"/>
      <c r="I126" s="9"/>
      <c r="J126" s="10"/>
    </row>
    <row r="127" spans="6:10" x14ac:dyDescent="0.35">
      <c r="F127" s="10"/>
      <c r="G127" s="7"/>
      <c r="H127" s="10"/>
      <c r="I127" s="9"/>
      <c r="J127" s="10"/>
    </row>
    <row r="128" spans="6:10" x14ac:dyDescent="0.35">
      <c r="F128" s="10"/>
      <c r="G128" s="7"/>
      <c r="H128" s="10"/>
      <c r="I128" s="9"/>
      <c r="J128" s="10"/>
    </row>
    <row r="129" spans="6:10" x14ac:dyDescent="0.35">
      <c r="F129" s="6"/>
      <c r="G129" s="7"/>
      <c r="H129" s="6"/>
      <c r="I129" s="7"/>
      <c r="J129" s="6"/>
    </row>
    <row r="130" spans="6:10" x14ac:dyDescent="0.35">
      <c r="F130" s="10"/>
      <c r="G130" s="7"/>
      <c r="H130" s="10"/>
      <c r="I130" s="9"/>
      <c r="J130" s="10"/>
    </row>
    <row r="131" spans="6:10" x14ac:dyDescent="0.35">
      <c r="F131" s="10"/>
      <c r="G131" s="7"/>
      <c r="H131" s="10"/>
      <c r="I131" s="9"/>
      <c r="J131" s="10"/>
    </row>
    <row r="132" spans="6:10" x14ac:dyDescent="0.35">
      <c r="F132" s="10"/>
      <c r="G132" s="7"/>
      <c r="H132" s="10"/>
      <c r="I132" s="9"/>
      <c r="J132" s="10"/>
    </row>
    <row r="133" spans="6:10" x14ac:dyDescent="0.35">
      <c r="F133" s="6"/>
      <c r="G133" s="7"/>
      <c r="H133" s="6"/>
      <c r="I133" s="7"/>
      <c r="J133" s="6"/>
    </row>
    <row r="134" spans="6:10" x14ac:dyDescent="0.35">
      <c r="F134" s="12"/>
      <c r="G134" s="12"/>
      <c r="H134" s="12"/>
      <c r="I134" s="12"/>
      <c r="J134" s="12"/>
    </row>
    <row r="1048576" spans="33:33" x14ac:dyDescent="0.35">
      <c r="AG1048576">
        <v>0</v>
      </c>
    </row>
  </sheetData>
  <autoFilter ref="A3:AG87" xr:uid="{00000000-0009-0000-0000-000002000000}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7" r:id="rId4" name="CommandButton2">
          <controlPr defaultSize="0" autoLine="0" r:id="rId5">
            <anchor moveWithCells="1">
              <from>
                <xdr:col>33</xdr:col>
                <xdr:colOff>330200</xdr:colOff>
                <xdr:row>87</xdr:row>
                <xdr:rowOff>0</xdr:rowOff>
              </from>
              <to>
                <xdr:col>36</xdr:col>
                <xdr:colOff>368300</xdr:colOff>
                <xdr:row>89</xdr:row>
                <xdr:rowOff>127000</xdr:rowOff>
              </to>
            </anchor>
          </controlPr>
        </control>
      </mc:Choice>
      <mc:Fallback>
        <control shapeId="6147" r:id="rId4" name="CommandButton2"/>
      </mc:Fallback>
    </mc:AlternateContent>
    <mc:AlternateContent xmlns:mc="http://schemas.openxmlformats.org/markup-compatibility/2006">
      <mc:Choice Requires="x14">
        <control shapeId="6146" r:id="rId6" name="CommandButton1">
          <controlPr defaultSize="0" autoLine="0" r:id="rId7">
            <anchor moveWithCells="1">
              <from>
                <xdr:col>33</xdr:col>
                <xdr:colOff>406400</xdr:colOff>
                <xdr:row>87</xdr:row>
                <xdr:rowOff>0</xdr:rowOff>
              </from>
              <to>
                <xdr:col>36</xdr:col>
                <xdr:colOff>336550</xdr:colOff>
                <xdr:row>89</xdr:row>
                <xdr:rowOff>114300</xdr:rowOff>
              </to>
            </anchor>
          </controlPr>
        </control>
      </mc:Choice>
      <mc:Fallback>
        <control shapeId="6146" r:id="rId6" name="CommandButton1"/>
      </mc:Fallback>
    </mc:AlternateContent>
    <mc:AlternateContent xmlns:mc="http://schemas.openxmlformats.org/markup-compatibility/2006">
      <mc:Choice Requires="x14">
        <control shapeId="6145" r:id="rId8" name="Repopulate">
          <controlPr defaultSize="0" autoLine="0" r:id="rId9">
            <anchor moveWithCells="1">
              <from>
                <xdr:col>33</xdr:col>
                <xdr:colOff>342900</xdr:colOff>
                <xdr:row>87</xdr:row>
                <xdr:rowOff>0</xdr:rowOff>
              </from>
              <to>
                <xdr:col>36</xdr:col>
                <xdr:colOff>368300</xdr:colOff>
                <xdr:row>89</xdr:row>
                <xdr:rowOff>101600</xdr:rowOff>
              </to>
            </anchor>
          </controlPr>
        </control>
      </mc:Choice>
      <mc:Fallback>
        <control shapeId="6145" r:id="rId8" name="Repopulat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7E528-81DD-4AFD-87A0-9F38FE851C68}">
  <sheetPr codeName="Sheet10">
    <pageSetUpPr fitToPage="1"/>
  </sheetPr>
  <dimension ref="A1:AE79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J45" sqref="J4:J45"/>
    </sheetView>
  </sheetViews>
  <sheetFormatPr defaultRowHeight="14.5" x14ac:dyDescent="0.35"/>
  <cols>
    <col min="3" max="3" width="51.1796875" bestFit="1" customWidth="1"/>
  </cols>
  <sheetData>
    <row r="1" spans="1:31" x14ac:dyDescent="0.35">
      <c r="A1" s="3" t="s">
        <v>0</v>
      </c>
      <c r="B1" s="43">
        <v>44369</v>
      </c>
      <c r="C1" s="3"/>
      <c r="D1" s="1"/>
      <c r="N1" s="3"/>
      <c r="O1" s="14"/>
      <c r="Q1" s="3"/>
      <c r="R1" s="14"/>
      <c r="T1" s="3"/>
      <c r="U1" s="14"/>
      <c r="W1" s="3"/>
      <c r="X1" s="14"/>
      <c r="Z1" s="3"/>
      <c r="AA1" s="14"/>
      <c r="AC1" s="3"/>
      <c r="AD1" s="14"/>
    </row>
    <row r="2" spans="1:31" x14ac:dyDescent="0.35">
      <c r="M2" t="s">
        <v>638</v>
      </c>
      <c r="N2" s="3" t="s">
        <v>639</v>
      </c>
      <c r="O2" s="14"/>
      <c r="P2" t="s">
        <v>638</v>
      </c>
      <c r="Q2" s="3" t="s">
        <v>639</v>
      </c>
      <c r="R2" s="14"/>
      <c r="S2" t="s">
        <v>638</v>
      </c>
      <c r="T2" s="3" t="s">
        <v>639</v>
      </c>
      <c r="U2" s="14"/>
      <c r="V2" t="s">
        <v>638</v>
      </c>
      <c r="W2" s="3" t="s">
        <v>639</v>
      </c>
      <c r="X2" s="14"/>
      <c r="Y2" t="s">
        <v>638</v>
      </c>
      <c r="Z2" s="3" t="s">
        <v>639</v>
      </c>
      <c r="AA2" s="14"/>
      <c r="AB2" t="s">
        <v>638</v>
      </c>
      <c r="AC2" s="3" t="s">
        <v>639</v>
      </c>
      <c r="AD2" s="14"/>
    </row>
    <row r="3" spans="1:31" x14ac:dyDescent="0.35">
      <c r="A3" t="s">
        <v>904</v>
      </c>
      <c r="B3" t="s">
        <v>905</v>
      </c>
      <c r="C3" t="s">
        <v>55</v>
      </c>
      <c r="D3" t="s">
        <v>56</v>
      </c>
      <c r="E3" t="s">
        <v>57</v>
      </c>
      <c r="F3" t="s">
        <v>58</v>
      </c>
      <c r="G3" t="s">
        <v>59</v>
      </c>
      <c r="H3" t="s">
        <v>60</v>
      </c>
      <c r="I3" t="s">
        <v>61</v>
      </c>
      <c r="J3" t="s">
        <v>62</v>
      </c>
      <c r="K3" t="s">
        <v>63</v>
      </c>
      <c r="L3" t="s">
        <v>64</v>
      </c>
      <c r="M3" s="3" t="s">
        <v>64</v>
      </c>
      <c r="N3" s="14" t="s">
        <v>65</v>
      </c>
      <c r="O3" t="s">
        <v>66</v>
      </c>
      <c r="P3" s="3" t="s">
        <v>66</v>
      </c>
      <c r="Q3" s="14" t="s">
        <v>65</v>
      </c>
      <c r="R3" t="s">
        <v>67</v>
      </c>
      <c r="S3" s="3" t="s">
        <v>67</v>
      </c>
      <c r="T3" s="14" t="s">
        <v>65</v>
      </c>
      <c r="U3" t="s">
        <v>10</v>
      </c>
      <c r="V3" s="3" t="s">
        <v>10</v>
      </c>
      <c r="W3" s="14" t="s">
        <v>65</v>
      </c>
      <c r="X3" t="s">
        <v>68</v>
      </c>
      <c r="Y3" s="3" t="s">
        <v>68</v>
      </c>
      <c r="Z3" s="14" t="s">
        <v>65</v>
      </c>
      <c r="AA3" t="s">
        <v>69</v>
      </c>
      <c r="AB3" s="3" t="s">
        <v>69</v>
      </c>
      <c r="AC3" s="14" t="s">
        <v>65</v>
      </c>
      <c r="AD3" t="s">
        <v>73</v>
      </c>
    </row>
    <row r="4" spans="1:31" x14ac:dyDescent="0.35">
      <c r="C4" s="28" t="s">
        <v>74</v>
      </c>
      <c r="D4" s="29" t="s">
        <v>75</v>
      </c>
      <c r="E4" s="29" t="s">
        <v>76</v>
      </c>
      <c r="F4" s="29"/>
      <c r="G4" s="29"/>
      <c r="H4" s="29"/>
      <c r="I4" s="29" t="s">
        <v>80</v>
      </c>
      <c r="J4" s="30"/>
      <c r="K4" s="29" t="s">
        <v>82</v>
      </c>
      <c r="L4" s="35">
        <v>1000</v>
      </c>
      <c r="M4" s="35">
        <v>1000</v>
      </c>
      <c r="N4" s="16">
        <f t="shared" ref="N4:N45" si="0">SUM($L$47/(SUM($M$4:$M$85)))*M4</f>
        <v>3123.4326241134754</v>
      </c>
      <c r="O4" s="35">
        <v>1000</v>
      </c>
      <c r="P4" s="35">
        <v>1000</v>
      </c>
      <c r="Q4" s="16">
        <f t="shared" ref="Q4:Q45" si="1">SUM($O$47/(SUM($P$4:$P$119)))*P4</f>
        <v>2365.9878787878788</v>
      </c>
      <c r="R4" s="35">
        <v>1000</v>
      </c>
      <c r="S4" s="35">
        <v>1000</v>
      </c>
      <c r="T4" s="16">
        <f t="shared" ref="T4:T45" si="2">SUM($R$47/(SUM($S$4:$S$119)))*S4</f>
        <v>181.61344537815128</v>
      </c>
      <c r="U4" s="35">
        <v>1000</v>
      </c>
      <c r="V4" s="35">
        <v>1000</v>
      </c>
      <c r="W4" s="16">
        <f t="shared" ref="W4:W45" si="3">SUM($U$47/(SUM($V$4:$V$119)))*V4</f>
        <v>5.7857142857142856</v>
      </c>
      <c r="X4" s="35">
        <v>1000</v>
      </c>
      <c r="Y4" s="35">
        <v>1000</v>
      </c>
      <c r="Z4" s="16">
        <f t="shared" ref="Z4:Z45" si="4">SUM($X$47/(SUM($Y$4:$Y$119)))*Y4</f>
        <v>0</v>
      </c>
      <c r="AA4" s="35">
        <v>1000</v>
      </c>
      <c r="AB4" s="35">
        <v>1000</v>
      </c>
      <c r="AC4" s="16">
        <f t="shared" ref="AC4:AC45" si="5">SUM($AA$47/(SUM($AB$4:$AB$119)))*AB4</f>
        <v>36.451612903225808</v>
      </c>
      <c r="AD4" s="32" t="s">
        <v>82</v>
      </c>
      <c r="AE4" s="5">
        <v>1</v>
      </c>
    </row>
    <row r="5" spans="1:31" x14ac:dyDescent="0.35">
      <c r="B5" t="s">
        <v>913</v>
      </c>
      <c r="C5" s="28" t="s">
        <v>84</v>
      </c>
      <c r="D5" s="29" t="s">
        <v>85</v>
      </c>
      <c r="E5" s="29" t="s">
        <v>86</v>
      </c>
      <c r="F5" s="29"/>
      <c r="G5" s="29"/>
      <c r="H5" s="29"/>
      <c r="I5" s="29" t="s">
        <v>90</v>
      </c>
      <c r="J5" s="30"/>
      <c r="K5" s="29" t="s">
        <v>82</v>
      </c>
      <c r="L5" s="35">
        <v>500</v>
      </c>
      <c r="M5" s="35">
        <v>500</v>
      </c>
      <c r="N5" s="16">
        <f t="shared" si="0"/>
        <v>1561.7163120567377</v>
      </c>
      <c r="O5" s="35">
        <v>500</v>
      </c>
      <c r="P5" s="35">
        <v>500</v>
      </c>
      <c r="Q5" s="16">
        <f t="shared" si="1"/>
        <v>1182.9939393939394</v>
      </c>
      <c r="R5" s="35">
        <v>0</v>
      </c>
      <c r="S5" s="35">
        <v>0</v>
      </c>
      <c r="T5" s="16">
        <f t="shared" si="2"/>
        <v>0</v>
      </c>
      <c r="U5" s="35">
        <v>500</v>
      </c>
      <c r="V5" s="35">
        <v>500</v>
      </c>
      <c r="W5" s="16">
        <f t="shared" si="3"/>
        <v>2.8928571428571428</v>
      </c>
      <c r="X5" s="35">
        <v>500</v>
      </c>
      <c r="Y5" s="35">
        <v>500</v>
      </c>
      <c r="Z5" s="16">
        <f t="shared" si="4"/>
        <v>0</v>
      </c>
      <c r="AA5" s="35">
        <v>0</v>
      </c>
      <c r="AB5" s="35">
        <v>0</v>
      </c>
      <c r="AC5" s="16">
        <f t="shared" si="5"/>
        <v>0</v>
      </c>
      <c r="AD5" s="32" t="s">
        <v>91</v>
      </c>
      <c r="AE5" s="22">
        <v>1</v>
      </c>
    </row>
    <row r="6" spans="1:31" ht="13.9" customHeight="1" x14ac:dyDescent="0.35">
      <c r="C6" s="25" t="s">
        <v>92</v>
      </c>
      <c r="D6" s="26" t="s">
        <v>93</v>
      </c>
      <c r="E6" s="26" t="s">
        <v>94</v>
      </c>
      <c r="F6" s="26"/>
      <c r="G6" s="26"/>
      <c r="H6" s="26"/>
      <c r="I6" s="26" t="s">
        <v>98</v>
      </c>
      <c r="J6" s="27"/>
      <c r="K6" s="26" t="s">
        <v>82</v>
      </c>
      <c r="L6" s="34">
        <v>500</v>
      </c>
      <c r="M6" s="34">
        <v>500</v>
      </c>
      <c r="N6" s="16">
        <f t="shared" si="0"/>
        <v>1561.7163120567377</v>
      </c>
      <c r="O6" s="34">
        <v>1000</v>
      </c>
      <c r="P6" s="34">
        <v>1000</v>
      </c>
      <c r="Q6" s="16">
        <f t="shared" si="1"/>
        <v>2365.9878787878788</v>
      </c>
      <c r="R6" s="34">
        <v>0</v>
      </c>
      <c r="S6" s="34">
        <v>0</v>
      </c>
      <c r="T6" s="16">
        <f t="shared" si="2"/>
        <v>0</v>
      </c>
      <c r="U6" s="34">
        <v>0</v>
      </c>
      <c r="V6" s="34">
        <v>0</v>
      </c>
      <c r="W6" s="16">
        <f t="shared" si="3"/>
        <v>0</v>
      </c>
      <c r="X6" s="34">
        <v>0</v>
      </c>
      <c r="Y6" s="34">
        <v>0</v>
      </c>
      <c r="Z6" s="16">
        <f t="shared" si="4"/>
        <v>0</v>
      </c>
      <c r="AA6" s="34">
        <v>0</v>
      </c>
      <c r="AB6" s="34">
        <v>0</v>
      </c>
      <c r="AC6" s="16">
        <f t="shared" si="5"/>
        <v>0</v>
      </c>
      <c r="AD6" s="31" t="s">
        <v>82</v>
      </c>
      <c r="AE6" s="22">
        <v>1</v>
      </c>
    </row>
    <row r="7" spans="1:31" x14ac:dyDescent="0.35">
      <c r="B7" t="s">
        <v>913</v>
      </c>
      <c r="C7" s="25" t="s">
        <v>100</v>
      </c>
      <c r="D7" s="26" t="s">
        <v>101</v>
      </c>
      <c r="E7" s="26" t="s">
        <v>102</v>
      </c>
      <c r="F7" s="26"/>
      <c r="G7" s="26"/>
      <c r="H7" s="26"/>
      <c r="I7" s="26" t="s">
        <v>106</v>
      </c>
      <c r="J7" s="27"/>
      <c r="K7" s="26" t="s">
        <v>82</v>
      </c>
      <c r="L7" s="34">
        <v>0</v>
      </c>
      <c r="M7" s="34">
        <v>0</v>
      </c>
      <c r="N7" s="16">
        <f t="shared" si="0"/>
        <v>0</v>
      </c>
      <c r="O7" s="34">
        <v>500</v>
      </c>
      <c r="P7" s="34">
        <v>500</v>
      </c>
      <c r="Q7" s="16">
        <f t="shared" si="1"/>
        <v>1182.9939393939394</v>
      </c>
      <c r="R7" s="34">
        <v>0</v>
      </c>
      <c r="S7" s="34">
        <v>0</v>
      </c>
      <c r="T7" s="16">
        <f t="shared" si="2"/>
        <v>0</v>
      </c>
      <c r="U7" s="34">
        <v>0</v>
      </c>
      <c r="V7" s="34">
        <v>0</v>
      </c>
      <c r="W7" s="16">
        <f t="shared" si="3"/>
        <v>0</v>
      </c>
      <c r="X7" s="34">
        <v>0</v>
      </c>
      <c r="Y7" s="34">
        <v>0</v>
      </c>
      <c r="Z7" s="16">
        <f t="shared" si="4"/>
        <v>0</v>
      </c>
      <c r="AA7" s="34">
        <v>0</v>
      </c>
      <c r="AB7" s="34">
        <v>0</v>
      </c>
      <c r="AC7" s="16">
        <f t="shared" si="5"/>
        <v>0</v>
      </c>
      <c r="AD7" s="31" t="s">
        <v>91</v>
      </c>
      <c r="AE7" s="22">
        <v>1</v>
      </c>
    </row>
    <row r="8" spans="1:31" x14ac:dyDescent="0.35">
      <c r="B8" t="s">
        <v>913</v>
      </c>
      <c r="C8" s="25" t="s">
        <v>154</v>
      </c>
      <c r="D8" s="26" t="s">
        <v>155</v>
      </c>
      <c r="E8" s="26" t="s">
        <v>156</v>
      </c>
      <c r="F8" s="26"/>
      <c r="G8" s="26"/>
      <c r="H8" s="26"/>
      <c r="I8" s="26" t="s">
        <v>160</v>
      </c>
      <c r="J8" s="27"/>
      <c r="K8" s="26" t="s">
        <v>82</v>
      </c>
      <c r="L8" s="34">
        <v>500</v>
      </c>
      <c r="M8" s="34">
        <v>500</v>
      </c>
      <c r="N8" s="16">
        <f t="shared" si="0"/>
        <v>1561.7163120567377</v>
      </c>
      <c r="O8" s="34">
        <v>1500</v>
      </c>
      <c r="P8" s="34">
        <v>1500</v>
      </c>
      <c r="Q8" s="16">
        <f t="shared" si="1"/>
        <v>3548.9818181818187</v>
      </c>
      <c r="R8" s="34">
        <v>500</v>
      </c>
      <c r="S8" s="34">
        <v>500</v>
      </c>
      <c r="T8" s="16">
        <f t="shared" si="2"/>
        <v>90.806722689075642</v>
      </c>
      <c r="U8" s="34">
        <v>0</v>
      </c>
      <c r="V8" s="34">
        <v>0</v>
      </c>
      <c r="W8" s="16">
        <f t="shared" si="3"/>
        <v>0</v>
      </c>
      <c r="X8" s="34">
        <v>0</v>
      </c>
      <c r="Y8" s="34">
        <v>0</v>
      </c>
      <c r="Z8" s="16">
        <f t="shared" si="4"/>
        <v>0</v>
      </c>
      <c r="AA8" s="34">
        <v>0</v>
      </c>
      <c r="AB8" s="34">
        <v>0</v>
      </c>
      <c r="AC8" s="16">
        <f t="shared" si="5"/>
        <v>0</v>
      </c>
      <c r="AD8" s="31" t="s">
        <v>91</v>
      </c>
      <c r="AE8" s="5">
        <v>1</v>
      </c>
    </row>
    <row r="9" spans="1:31" x14ac:dyDescent="0.35">
      <c r="B9" t="s">
        <v>913</v>
      </c>
      <c r="C9" s="25" t="s">
        <v>184</v>
      </c>
      <c r="D9" s="26" t="s">
        <v>185</v>
      </c>
      <c r="E9" s="26" t="s">
        <v>186</v>
      </c>
      <c r="F9" s="26"/>
      <c r="G9" s="26"/>
      <c r="H9" s="26"/>
      <c r="I9" s="26" t="s">
        <v>114</v>
      </c>
      <c r="J9" s="27"/>
      <c r="K9" s="26" t="s">
        <v>82</v>
      </c>
      <c r="L9" s="34">
        <v>1000</v>
      </c>
      <c r="M9" s="34">
        <v>1000</v>
      </c>
      <c r="N9" s="16">
        <f t="shared" si="0"/>
        <v>3123.4326241134754</v>
      </c>
      <c r="O9" s="34">
        <v>1000</v>
      </c>
      <c r="P9" s="34">
        <v>1000</v>
      </c>
      <c r="Q9" s="16">
        <f t="shared" si="1"/>
        <v>2365.9878787878788</v>
      </c>
      <c r="R9" s="34">
        <v>1000</v>
      </c>
      <c r="S9" s="34">
        <v>1000</v>
      </c>
      <c r="T9" s="16">
        <f t="shared" si="2"/>
        <v>181.61344537815128</v>
      </c>
      <c r="U9" s="34">
        <v>0</v>
      </c>
      <c r="V9" s="34">
        <v>0</v>
      </c>
      <c r="W9" s="16">
        <f t="shared" si="3"/>
        <v>0</v>
      </c>
      <c r="X9" s="34">
        <v>0</v>
      </c>
      <c r="Y9" s="34">
        <v>0</v>
      </c>
      <c r="Z9" s="16">
        <f t="shared" si="4"/>
        <v>0</v>
      </c>
      <c r="AA9" s="34">
        <v>0</v>
      </c>
      <c r="AB9" s="34">
        <v>0</v>
      </c>
      <c r="AC9" s="16">
        <f t="shared" si="5"/>
        <v>0</v>
      </c>
      <c r="AD9" s="31" t="s">
        <v>91</v>
      </c>
      <c r="AE9" s="22">
        <v>1</v>
      </c>
    </row>
    <row r="10" spans="1:31" x14ac:dyDescent="0.35">
      <c r="B10" t="s">
        <v>913</v>
      </c>
      <c r="C10" s="28" t="s">
        <v>191</v>
      </c>
      <c r="D10" s="29" t="s">
        <v>192</v>
      </c>
      <c r="E10" s="29" t="s">
        <v>193</v>
      </c>
      <c r="F10" s="29"/>
      <c r="G10" s="29"/>
      <c r="H10" s="29"/>
      <c r="I10" s="29" t="s">
        <v>106</v>
      </c>
      <c r="J10" s="30"/>
      <c r="K10" s="29" t="s">
        <v>82</v>
      </c>
      <c r="L10" s="35">
        <v>1000</v>
      </c>
      <c r="M10" s="35">
        <v>1000</v>
      </c>
      <c r="N10" s="16">
        <f t="shared" si="0"/>
        <v>3123.4326241134754</v>
      </c>
      <c r="O10" s="35">
        <v>2250</v>
      </c>
      <c r="P10" s="35">
        <v>2250</v>
      </c>
      <c r="Q10" s="16">
        <f t="shared" si="1"/>
        <v>5323.4727272727278</v>
      </c>
      <c r="R10" s="35">
        <v>2250</v>
      </c>
      <c r="S10" s="35">
        <v>2250</v>
      </c>
      <c r="T10" s="16">
        <f t="shared" si="2"/>
        <v>408.63025210084038</v>
      </c>
      <c r="U10" s="35">
        <v>0</v>
      </c>
      <c r="V10" s="35">
        <v>0</v>
      </c>
      <c r="W10" s="16">
        <f t="shared" si="3"/>
        <v>0</v>
      </c>
      <c r="X10" s="35">
        <v>2250</v>
      </c>
      <c r="Y10" s="35">
        <v>2250</v>
      </c>
      <c r="Z10" s="16">
        <f t="shared" si="4"/>
        <v>0</v>
      </c>
      <c r="AA10" s="35">
        <v>500</v>
      </c>
      <c r="AB10" s="35">
        <v>500</v>
      </c>
      <c r="AC10" s="16">
        <f t="shared" si="5"/>
        <v>18.225806451612904</v>
      </c>
      <c r="AD10" s="32" t="s">
        <v>91</v>
      </c>
      <c r="AE10" s="22">
        <v>1</v>
      </c>
    </row>
    <row r="11" spans="1:31" x14ac:dyDescent="0.35">
      <c r="B11" t="s">
        <v>913</v>
      </c>
      <c r="C11" s="28" t="s">
        <v>206</v>
      </c>
      <c r="D11" s="29" t="s">
        <v>207</v>
      </c>
      <c r="E11" s="29" t="s">
        <v>208</v>
      </c>
      <c r="F11" s="29"/>
      <c r="G11" s="29"/>
      <c r="H11" s="29"/>
      <c r="I11" s="29" t="s">
        <v>212</v>
      </c>
      <c r="J11" s="30"/>
      <c r="K11" s="29" t="s">
        <v>82</v>
      </c>
      <c r="L11" s="35">
        <v>2250</v>
      </c>
      <c r="M11" s="35">
        <v>2250</v>
      </c>
      <c r="N11" s="16">
        <f t="shared" si="0"/>
        <v>7027.7234042553191</v>
      </c>
      <c r="O11" s="35">
        <v>2250</v>
      </c>
      <c r="P11" s="35">
        <v>2250</v>
      </c>
      <c r="Q11" s="16">
        <f t="shared" si="1"/>
        <v>5323.4727272727278</v>
      </c>
      <c r="R11" s="35">
        <v>500</v>
      </c>
      <c r="S11" s="35">
        <v>500</v>
      </c>
      <c r="T11" s="16">
        <f t="shared" si="2"/>
        <v>90.806722689075642</v>
      </c>
      <c r="U11" s="35">
        <v>0</v>
      </c>
      <c r="V11" s="35">
        <v>0</v>
      </c>
      <c r="W11" s="16">
        <f t="shared" si="3"/>
        <v>0</v>
      </c>
      <c r="X11" s="35">
        <v>0</v>
      </c>
      <c r="Y11" s="35">
        <v>0</v>
      </c>
      <c r="Z11" s="16">
        <f t="shared" si="4"/>
        <v>0</v>
      </c>
      <c r="AA11" s="35">
        <v>0</v>
      </c>
      <c r="AB11" s="35">
        <v>0</v>
      </c>
      <c r="AC11" s="16">
        <f t="shared" si="5"/>
        <v>0</v>
      </c>
      <c r="AD11" s="32" t="s">
        <v>91</v>
      </c>
      <c r="AE11" s="22">
        <v>1</v>
      </c>
    </row>
    <row r="12" spans="1:31" x14ac:dyDescent="0.35">
      <c r="C12" s="28" t="s">
        <v>206</v>
      </c>
      <c r="D12" s="29" t="s">
        <v>214</v>
      </c>
      <c r="E12" s="29" t="s">
        <v>208</v>
      </c>
      <c r="F12" s="29"/>
      <c r="G12" s="29"/>
      <c r="H12" s="29"/>
      <c r="I12" s="29" t="s">
        <v>160</v>
      </c>
      <c r="J12" s="30"/>
      <c r="K12" s="29" t="s">
        <v>82</v>
      </c>
      <c r="L12" s="35">
        <v>500</v>
      </c>
      <c r="M12" s="35">
        <v>500</v>
      </c>
      <c r="N12" s="16">
        <f t="shared" si="0"/>
        <v>1561.7163120567377</v>
      </c>
      <c r="O12" s="35">
        <v>500</v>
      </c>
      <c r="P12" s="35">
        <v>500</v>
      </c>
      <c r="Q12" s="16">
        <f t="shared" si="1"/>
        <v>1182.9939393939394</v>
      </c>
      <c r="R12" s="35">
        <v>500</v>
      </c>
      <c r="S12" s="35">
        <v>500</v>
      </c>
      <c r="T12" s="16">
        <f t="shared" si="2"/>
        <v>90.806722689075642</v>
      </c>
      <c r="U12" s="35">
        <v>500</v>
      </c>
      <c r="V12" s="35">
        <v>500</v>
      </c>
      <c r="W12" s="16">
        <f t="shared" si="3"/>
        <v>2.8928571428571428</v>
      </c>
      <c r="X12" s="35">
        <v>0</v>
      </c>
      <c r="Y12" s="35">
        <v>0</v>
      </c>
      <c r="Z12" s="16">
        <f t="shared" si="4"/>
        <v>0</v>
      </c>
      <c r="AA12" s="35">
        <v>500</v>
      </c>
      <c r="AB12" s="35">
        <v>500</v>
      </c>
      <c r="AC12" s="16">
        <f t="shared" si="5"/>
        <v>18.225806451612904</v>
      </c>
      <c r="AD12" s="32" t="s">
        <v>82</v>
      </c>
      <c r="AE12" s="5">
        <v>1</v>
      </c>
    </row>
    <row r="13" spans="1:31" x14ac:dyDescent="0.35">
      <c r="C13" s="25" t="s">
        <v>218</v>
      </c>
      <c r="D13" s="26" t="s">
        <v>219</v>
      </c>
      <c r="E13" s="26" t="s">
        <v>220</v>
      </c>
      <c r="F13" s="26"/>
      <c r="G13" s="26"/>
      <c r="H13" s="26"/>
      <c r="I13" s="26" t="s">
        <v>106</v>
      </c>
      <c r="J13" s="27"/>
      <c r="K13" s="26" t="s">
        <v>82</v>
      </c>
      <c r="L13" s="34">
        <v>500</v>
      </c>
      <c r="M13" s="34">
        <v>500</v>
      </c>
      <c r="N13" s="16">
        <f t="shared" si="0"/>
        <v>1561.7163120567377</v>
      </c>
      <c r="O13" s="34">
        <v>500</v>
      </c>
      <c r="P13" s="34">
        <v>500</v>
      </c>
      <c r="Q13" s="16">
        <f t="shared" si="1"/>
        <v>1182.9939393939394</v>
      </c>
      <c r="R13" s="34">
        <v>500</v>
      </c>
      <c r="S13" s="34">
        <v>500</v>
      </c>
      <c r="T13" s="16">
        <f t="shared" si="2"/>
        <v>90.806722689075642</v>
      </c>
      <c r="U13" s="34">
        <v>500</v>
      </c>
      <c r="V13" s="34">
        <v>500</v>
      </c>
      <c r="W13" s="16">
        <f t="shared" si="3"/>
        <v>2.8928571428571428</v>
      </c>
      <c r="X13" s="34">
        <v>1000</v>
      </c>
      <c r="Y13" s="34">
        <v>1000</v>
      </c>
      <c r="Z13" s="16">
        <f t="shared" si="4"/>
        <v>0</v>
      </c>
      <c r="AA13" s="34">
        <v>500</v>
      </c>
      <c r="AB13" s="34">
        <v>500</v>
      </c>
      <c r="AC13" s="16">
        <f t="shared" si="5"/>
        <v>18.225806451612904</v>
      </c>
      <c r="AD13" s="31" t="s">
        <v>82</v>
      </c>
      <c r="AE13" s="5">
        <v>1</v>
      </c>
    </row>
    <row r="14" spans="1:31" x14ac:dyDescent="0.35">
      <c r="B14" t="s">
        <v>913</v>
      </c>
      <c r="C14" s="28" t="s">
        <v>225</v>
      </c>
      <c r="D14" s="29" t="s">
        <v>226</v>
      </c>
      <c r="E14" s="29" t="s">
        <v>227</v>
      </c>
      <c r="F14" s="29"/>
      <c r="G14" s="29"/>
      <c r="H14" s="29"/>
      <c r="I14" s="29" t="s">
        <v>120</v>
      </c>
      <c r="J14" s="30"/>
      <c r="K14" s="29" t="s">
        <v>82</v>
      </c>
      <c r="L14" s="35">
        <v>0</v>
      </c>
      <c r="M14" s="35">
        <v>0</v>
      </c>
      <c r="N14" s="16">
        <f t="shared" si="0"/>
        <v>0</v>
      </c>
      <c r="O14" s="35">
        <v>1500</v>
      </c>
      <c r="P14" s="35">
        <v>1500</v>
      </c>
      <c r="Q14" s="16">
        <f t="shared" si="1"/>
        <v>3548.9818181818187</v>
      </c>
      <c r="R14" s="35">
        <v>0</v>
      </c>
      <c r="S14" s="35">
        <v>0</v>
      </c>
      <c r="T14" s="16">
        <f t="shared" si="2"/>
        <v>0</v>
      </c>
      <c r="U14" s="35">
        <v>500</v>
      </c>
      <c r="V14" s="35">
        <v>500</v>
      </c>
      <c r="W14" s="16">
        <f t="shared" si="3"/>
        <v>2.8928571428571428</v>
      </c>
      <c r="X14" s="35">
        <v>500</v>
      </c>
      <c r="Y14" s="35">
        <v>500</v>
      </c>
      <c r="Z14" s="16">
        <f t="shared" si="4"/>
        <v>0</v>
      </c>
      <c r="AA14" s="35">
        <v>500</v>
      </c>
      <c r="AB14" s="35">
        <v>500</v>
      </c>
      <c r="AC14" s="16">
        <f t="shared" si="5"/>
        <v>18.225806451612904</v>
      </c>
      <c r="AD14" s="32" t="s">
        <v>91</v>
      </c>
      <c r="AE14" s="5">
        <v>1</v>
      </c>
    </row>
    <row r="15" spans="1:31" x14ac:dyDescent="0.35">
      <c r="B15" t="s">
        <v>913</v>
      </c>
      <c r="C15" s="28" t="s">
        <v>232</v>
      </c>
      <c r="D15" s="29" t="s">
        <v>233</v>
      </c>
      <c r="E15" s="29" t="s">
        <v>234</v>
      </c>
      <c r="F15" s="29"/>
      <c r="G15" s="29"/>
      <c r="H15" s="29"/>
      <c r="I15" s="29" t="s">
        <v>237</v>
      </c>
      <c r="J15" s="30"/>
      <c r="K15" s="29" t="s">
        <v>82</v>
      </c>
      <c r="L15" s="35">
        <v>500</v>
      </c>
      <c r="M15" s="35">
        <v>500</v>
      </c>
      <c r="N15" s="16">
        <f t="shared" si="0"/>
        <v>1561.7163120567377</v>
      </c>
      <c r="O15" s="35">
        <v>500</v>
      </c>
      <c r="P15" s="35">
        <v>500</v>
      </c>
      <c r="Q15" s="16">
        <f t="shared" si="1"/>
        <v>1182.9939393939394</v>
      </c>
      <c r="R15" s="35">
        <v>500</v>
      </c>
      <c r="S15" s="35">
        <v>500</v>
      </c>
      <c r="T15" s="16">
        <f t="shared" si="2"/>
        <v>90.806722689075642</v>
      </c>
      <c r="U15" s="35">
        <v>500</v>
      </c>
      <c r="V15" s="35">
        <v>500</v>
      </c>
      <c r="W15" s="16">
        <f t="shared" si="3"/>
        <v>2.8928571428571428</v>
      </c>
      <c r="X15" s="35">
        <v>500</v>
      </c>
      <c r="Y15" s="35">
        <v>500</v>
      </c>
      <c r="Z15" s="16">
        <f t="shared" si="4"/>
        <v>0</v>
      </c>
      <c r="AA15" s="35">
        <v>500</v>
      </c>
      <c r="AB15" s="35">
        <v>500</v>
      </c>
      <c r="AC15" s="16">
        <f t="shared" si="5"/>
        <v>18.225806451612904</v>
      </c>
      <c r="AD15" s="32" t="s">
        <v>91</v>
      </c>
      <c r="AE15" s="22">
        <v>1</v>
      </c>
    </row>
    <row r="16" spans="1:31" x14ac:dyDescent="0.35">
      <c r="C16" s="25" t="s">
        <v>246</v>
      </c>
      <c r="D16" s="26" t="s">
        <v>247</v>
      </c>
      <c r="E16" s="26" t="s">
        <v>248</v>
      </c>
      <c r="F16" s="26"/>
      <c r="G16" s="26"/>
      <c r="H16" s="26"/>
      <c r="I16" s="26" t="s">
        <v>182</v>
      </c>
      <c r="J16" s="27"/>
      <c r="K16" s="26" t="s">
        <v>82</v>
      </c>
      <c r="L16" s="34">
        <v>1000</v>
      </c>
      <c r="M16" s="34">
        <v>1000</v>
      </c>
      <c r="N16" s="16">
        <f t="shared" si="0"/>
        <v>3123.4326241134754</v>
      </c>
      <c r="O16" s="34">
        <v>500</v>
      </c>
      <c r="P16" s="34">
        <v>500</v>
      </c>
      <c r="Q16" s="16">
        <f t="shared" si="1"/>
        <v>1182.9939393939394</v>
      </c>
      <c r="R16" s="34">
        <v>500</v>
      </c>
      <c r="S16" s="34">
        <v>500</v>
      </c>
      <c r="T16" s="16">
        <f t="shared" si="2"/>
        <v>90.806722689075642</v>
      </c>
      <c r="U16" s="34">
        <v>500</v>
      </c>
      <c r="V16" s="34">
        <v>500</v>
      </c>
      <c r="W16" s="16">
        <f t="shared" si="3"/>
        <v>2.8928571428571428</v>
      </c>
      <c r="X16" s="34">
        <v>500</v>
      </c>
      <c r="Y16" s="34">
        <v>500</v>
      </c>
      <c r="Z16" s="16">
        <f t="shared" si="4"/>
        <v>0</v>
      </c>
      <c r="AA16" s="34">
        <v>500</v>
      </c>
      <c r="AB16" s="34">
        <v>500</v>
      </c>
      <c r="AC16" s="16">
        <f t="shared" si="5"/>
        <v>18.225806451612904</v>
      </c>
      <c r="AD16" s="31" t="s">
        <v>82</v>
      </c>
      <c r="AE16" s="5">
        <v>1</v>
      </c>
    </row>
    <row r="17" spans="2:31" x14ac:dyDescent="0.35">
      <c r="C17" s="25" t="s">
        <v>268</v>
      </c>
      <c r="D17" s="26" t="s">
        <v>269</v>
      </c>
      <c r="E17" s="26" t="s">
        <v>270</v>
      </c>
      <c r="F17" s="26"/>
      <c r="G17" s="26"/>
      <c r="H17" s="26"/>
      <c r="I17" s="26" t="s">
        <v>212</v>
      </c>
      <c r="J17" s="27"/>
      <c r="K17" s="26" t="s">
        <v>82</v>
      </c>
      <c r="L17" s="34">
        <v>1000</v>
      </c>
      <c r="M17" s="34">
        <v>1000</v>
      </c>
      <c r="N17" s="16">
        <f t="shared" si="0"/>
        <v>3123.4326241134754</v>
      </c>
      <c r="O17" s="34">
        <v>500</v>
      </c>
      <c r="P17" s="34">
        <v>500</v>
      </c>
      <c r="Q17" s="16">
        <f t="shared" si="1"/>
        <v>1182.9939393939394</v>
      </c>
      <c r="R17" s="34">
        <v>0</v>
      </c>
      <c r="S17" s="34">
        <v>0</v>
      </c>
      <c r="T17" s="16">
        <f t="shared" si="2"/>
        <v>0</v>
      </c>
      <c r="U17" s="34">
        <v>500</v>
      </c>
      <c r="V17" s="34">
        <v>500</v>
      </c>
      <c r="W17" s="16">
        <f t="shared" si="3"/>
        <v>2.8928571428571428</v>
      </c>
      <c r="X17" s="34">
        <v>500</v>
      </c>
      <c r="Y17" s="34">
        <v>500</v>
      </c>
      <c r="Z17" s="16">
        <f t="shared" si="4"/>
        <v>0</v>
      </c>
      <c r="AA17" s="34">
        <v>500</v>
      </c>
      <c r="AB17" s="34">
        <v>500</v>
      </c>
      <c r="AC17" s="16">
        <f t="shared" si="5"/>
        <v>18.225806451612904</v>
      </c>
      <c r="AD17" s="31" t="s">
        <v>82</v>
      </c>
      <c r="AE17" s="5">
        <v>1</v>
      </c>
    </row>
    <row r="18" spans="2:31" x14ac:dyDescent="0.35">
      <c r="C18" s="25" t="s">
        <v>274</v>
      </c>
      <c r="D18" s="26" t="s">
        <v>275</v>
      </c>
      <c r="E18" s="26" t="s">
        <v>276</v>
      </c>
      <c r="F18" s="26"/>
      <c r="G18" s="26"/>
      <c r="H18" s="26"/>
      <c r="I18" s="26" t="s">
        <v>279</v>
      </c>
      <c r="J18" s="27"/>
      <c r="K18" s="26" t="s">
        <v>82</v>
      </c>
      <c r="L18" s="34">
        <v>1500</v>
      </c>
      <c r="M18" s="34">
        <v>1500</v>
      </c>
      <c r="N18" s="16">
        <f t="shared" si="0"/>
        <v>4685.1489361702133</v>
      </c>
      <c r="O18" s="34">
        <v>1500</v>
      </c>
      <c r="P18" s="34">
        <v>1500</v>
      </c>
      <c r="Q18" s="16">
        <f t="shared" si="1"/>
        <v>3548.9818181818187</v>
      </c>
      <c r="R18" s="34">
        <v>1500</v>
      </c>
      <c r="S18" s="34">
        <v>1500</v>
      </c>
      <c r="T18" s="16">
        <f t="shared" si="2"/>
        <v>272.42016806722688</v>
      </c>
      <c r="U18" s="34">
        <v>500</v>
      </c>
      <c r="V18" s="34">
        <v>500</v>
      </c>
      <c r="W18" s="16">
        <f t="shared" si="3"/>
        <v>2.8928571428571428</v>
      </c>
      <c r="X18" s="34">
        <v>500</v>
      </c>
      <c r="Y18" s="34">
        <v>500</v>
      </c>
      <c r="Z18" s="16">
        <f t="shared" si="4"/>
        <v>0</v>
      </c>
      <c r="AA18" s="34">
        <v>500</v>
      </c>
      <c r="AB18" s="34">
        <v>500</v>
      </c>
      <c r="AC18" s="16">
        <f t="shared" si="5"/>
        <v>18.225806451612904</v>
      </c>
      <c r="AD18" s="31" t="s">
        <v>82</v>
      </c>
      <c r="AE18" s="5">
        <v>1</v>
      </c>
    </row>
    <row r="19" spans="2:31" x14ac:dyDescent="0.35">
      <c r="C19" s="28" t="s">
        <v>281</v>
      </c>
      <c r="D19" s="29" t="s">
        <v>282</v>
      </c>
      <c r="E19" s="29" t="s">
        <v>283</v>
      </c>
      <c r="F19" s="29"/>
      <c r="G19" s="29"/>
      <c r="H19" s="29"/>
      <c r="I19" s="29" t="s">
        <v>114</v>
      </c>
      <c r="J19" s="30"/>
      <c r="K19" s="29" t="s">
        <v>82</v>
      </c>
      <c r="L19" s="35">
        <v>500</v>
      </c>
      <c r="M19" s="35">
        <v>500</v>
      </c>
      <c r="N19" s="16">
        <f t="shared" si="0"/>
        <v>1561.7163120567377</v>
      </c>
      <c r="O19" s="35">
        <v>500</v>
      </c>
      <c r="P19" s="35">
        <v>500</v>
      </c>
      <c r="Q19" s="16">
        <f t="shared" si="1"/>
        <v>1182.9939393939394</v>
      </c>
      <c r="R19" s="35">
        <v>500</v>
      </c>
      <c r="S19" s="35">
        <v>500</v>
      </c>
      <c r="T19" s="16">
        <f t="shared" si="2"/>
        <v>90.806722689075642</v>
      </c>
      <c r="U19" s="35">
        <v>500</v>
      </c>
      <c r="V19" s="35">
        <v>500</v>
      </c>
      <c r="W19" s="16">
        <f t="shared" si="3"/>
        <v>2.8928571428571428</v>
      </c>
      <c r="X19" s="35">
        <v>0</v>
      </c>
      <c r="Y19" s="35">
        <v>0</v>
      </c>
      <c r="Z19" s="16">
        <f t="shared" si="4"/>
        <v>0</v>
      </c>
      <c r="AA19" s="35">
        <v>500</v>
      </c>
      <c r="AB19" s="35">
        <v>500</v>
      </c>
      <c r="AC19" s="16">
        <f t="shared" si="5"/>
        <v>18.225806451612904</v>
      </c>
      <c r="AD19" s="32" t="s">
        <v>82</v>
      </c>
      <c r="AE19" s="5">
        <v>1</v>
      </c>
    </row>
    <row r="20" spans="2:31" x14ac:dyDescent="0.35">
      <c r="C20" s="25" t="s">
        <v>288</v>
      </c>
      <c r="D20" s="26" t="s">
        <v>289</v>
      </c>
      <c r="E20" s="26" t="s">
        <v>290</v>
      </c>
      <c r="F20" s="26"/>
      <c r="G20" s="26"/>
      <c r="H20" s="26"/>
      <c r="I20" s="26" t="s">
        <v>204</v>
      </c>
      <c r="J20" s="27"/>
      <c r="K20" s="26" t="s">
        <v>82</v>
      </c>
      <c r="L20" s="34">
        <v>500</v>
      </c>
      <c r="M20" s="34">
        <v>500</v>
      </c>
      <c r="N20" s="16">
        <f t="shared" si="0"/>
        <v>1561.7163120567377</v>
      </c>
      <c r="O20" s="34">
        <v>500</v>
      </c>
      <c r="P20" s="34">
        <v>500</v>
      </c>
      <c r="Q20" s="16">
        <f t="shared" si="1"/>
        <v>1182.9939393939394</v>
      </c>
      <c r="R20" s="34">
        <v>500</v>
      </c>
      <c r="S20" s="34">
        <v>500</v>
      </c>
      <c r="T20" s="16">
        <f t="shared" si="2"/>
        <v>90.806722689075642</v>
      </c>
      <c r="U20" s="34">
        <v>0</v>
      </c>
      <c r="V20" s="34">
        <v>0</v>
      </c>
      <c r="W20" s="16">
        <f t="shared" si="3"/>
        <v>0</v>
      </c>
      <c r="X20" s="34">
        <v>0</v>
      </c>
      <c r="Y20" s="34">
        <v>0</v>
      </c>
      <c r="Z20" s="16">
        <f t="shared" si="4"/>
        <v>0</v>
      </c>
      <c r="AA20" s="34">
        <v>500</v>
      </c>
      <c r="AB20" s="34">
        <v>500</v>
      </c>
      <c r="AC20" s="16">
        <f t="shared" si="5"/>
        <v>18.225806451612904</v>
      </c>
      <c r="AD20" s="31" t="s">
        <v>82</v>
      </c>
      <c r="AE20" s="5">
        <v>1</v>
      </c>
    </row>
    <row r="21" spans="2:31" x14ac:dyDescent="0.35">
      <c r="C21" s="25" t="s">
        <v>295</v>
      </c>
      <c r="D21" s="26" t="s">
        <v>296</v>
      </c>
      <c r="E21" s="26" t="s">
        <v>297</v>
      </c>
      <c r="F21" s="26"/>
      <c r="G21" s="26"/>
      <c r="H21" s="26"/>
      <c r="I21" s="26" t="s">
        <v>160</v>
      </c>
      <c r="J21" s="27"/>
      <c r="K21" s="26" t="s">
        <v>82</v>
      </c>
      <c r="L21" s="34">
        <v>1000</v>
      </c>
      <c r="M21" s="34">
        <v>1000</v>
      </c>
      <c r="N21" s="16">
        <f t="shared" si="0"/>
        <v>3123.4326241134754</v>
      </c>
      <c r="O21" s="34">
        <v>1000</v>
      </c>
      <c r="P21" s="34">
        <v>1000</v>
      </c>
      <c r="Q21" s="16">
        <f t="shared" si="1"/>
        <v>2365.9878787878788</v>
      </c>
      <c r="R21" s="34">
        <v>1000</v>
      </c>
      <c r="S21" s="34">
        <v>1000</v>
      </c>
      <c r="T21" s="16">
        <f t="shared" si="2"/>
        <v>181.61344537815128</v>
      </c>
      <c r="U21" s="34">
        <v>0</v>
      </c>
      <c r="V21" s="34">
        <v>0</v>
      </c>
      <c r="W21" s="16">
        <f t="shared" si="3"/>
        <v>0</v>
      </c>
      <c r="X21" s="34">
        <v>0</v>
      </c>
      <c r="Y21" s="34">
        <v>0</v>
      </c>
      <c r="Z21" s="16">
        <f t="shared" si="4"/>
        <v>0</v>
      </c>
      <c r="AA21" s="34">
        <v>500</v>
      </c>
      <c r="AB21" s="34">
        <v>500</v>
      </c>
      <c r="AC21" s="16">
        <f t="shared" si="5"/>
        <v>18.225806451612904</v>
      </c>
      <c r="AD21" s="31" t="s">
        <v>82</v>
      </c>
      <c r="AE21" s="5">
        <v>1</v>
      </c>
    </row>
    <row r="22" spans="2:31" x14ac:dyDescent="0.35">
      <c r="C22" s="28" t="s">
        <v>302</v>
      </c>
      <c r="D22" s="29" t="s">
        <v>303</v>
      </c>
      <c r="E22" s="29" t="s">
        <v>304</v>
      </c>
      <c r="F22" s="29"/>
      <c r="G22" s="29"/>
      <c r="H22" s="29"/>
      <c r="I22" s="29" t="s">
        <v>160</v>
      </c>
      <c r="J22" s="30"/>
      <c r="K22" s="29" t="s">
        <v>82</v>
      </c>
      <c r="L22" s="35">
        <v>500</v>
      </c>
      <c r="M22" s="35">
        <v>500</v>
      </c>
      <c r="N22" s="16">
        <f t="shared" si="0"/>
        <v>1561.7163120567377</v>
      </c>
      <c r="O22" s="35">
        <v>500</v>
      </c>
      <c r="P22" s="35">
        <v>500</v>
      </c>
      <c r="Q22" s="16">
        <f t="shared" si="1"/>
        <v>1182.9939393939394</v>
      </c>
      <c r="R22" s="35">
        <v>500</v>
      </c>
      <c r="S22" s="35">
        <v>500</v>
      </c>
      <c r="T22" s="16">
        <f t="shared" si="2"/>
        <v>90.806722689075642</v>
      </c>
      <c r="U22" s="35">
        <v>500</v>
      </c>
      <c r="V22" s="35">
        <v>500</v>
      </c>
      <c r="W22" s="16">
        <f t="shared" si="3"/>
        <v>2.8928571428571428</v>
      </c>
      <c r="X22" s="35">
        <v>500</v>
      </c>
      <c r="Y22" s="35">
        <v>500</v>
      </c>
      <c r="Z22" s="16">
        <f t="shared" si="4"/>
        <v>0</v>
      </c>
      <c r="AA22" s="35">
        <v>500</v>
      </c>
      <c r="AB22" s="35">
        <v>500</v>
      </c>
      <c r="AC22" s="16">
        <f t="shared" si="5"/>
        <v>18.225806451612904</v>
      </c>
      <c r="AD22" s="32" t="s">
        <v>82</v>
      </c>
      <c r="AE22" s="5">
        <v>1</v>
      </c>
    </row>
    <row r="23" spans="2:31" x14ac:dyDescent="0.35">
      <c r="C23" s="28" t="s">
        <v>317</v>
      </c>
      <c r="D23" s="29" t="s">
        <v>318</v>
      </c>
      <c r="E23" s="29" t="s">
        <v>319</v>
      </c>
      <c r="F23" s="29"/>
      <c r="G23" s="29"/>
      <c r="H23" s="29"/>
      <c r="I23" s="29" t="s">
        <v>322</v>
      </c>
      <c r="J23" s="30"/>
      <c r="K23" s="29" t="s">
        <v>82</v>
      </c>
      <c r="L23" s="35">
        <v>1500</v>
      </c>
      <c r="M23" s="35">
        <v>1500</v>
      </c>
      <c r="N23" s="16">
        <f t="shared" si="0"/>
        <v>4685.1489361702133</v>
      </c>
      <c r="O23" s="35">
        <v>1500</v>
      </c>
      <c r="P23" s="35">
        <v>1500</v>
      </c>
      <c r="Q23" s="16">
        <f t="shared" si="1"/>
        <v>3548.9818181818187</v>
      </c>
      <c r="R23" s="35">
        <v>1500</v>
      </c>
      <c r="S23" s="35">
        <v>1500</v>
      </c>
      <c r="T23" s="16">
        <f t="shared" si="2"/>
        <v>272.42016806722688</v>
      </c>
      <c r="U23" s="35">
        <v>500</v>
      </c>
      <c r="V23" s="35">
        <v>500</v>
      </c>
      <c r="W23" s="16">
        <f t="shared" si="3"/>
        <v>2.8928571428571428</v>
      </c>
      <c r="X23" s="35">
        <v>500</v>
      </c>
      <c r="Y23" s="35">
        <v>500</v>
      </c>
      <c r="Z23" s="16">
        <f t="shared" si="4"/>
        <v>0</v>
      </c>
      <c r="AA23" s="35">
        <v>500</v>
      </c>
      <c r="AB23" s="35">
        <v>500</v>
      </c>
      <c r="AC23" s="16">
        <f t="shared" si="5"/>
        <v>18.225806451612904</v>
      </c>
      <c r="AD23" s="32" t="s">
        <v>82</v>
      </c>
      <c r="AE23" s="5">
        <v>1</v>
      </c>
    </row>
    <row r="24" spans="2:31" x14ac:dyDescent="0.35">
      <c r="C24" s="25" t="s">
        <v>338</v>
      </c>
      <c r="D24" s="26" t="s">
        <v>339</v>
      </c>
      <c r="E24" s="26" t="s">
        <v>340</v>
      </c>
      <c r="F24" s="26"/>
      <c r="G24" s="26"/>
      <c r="H24" s="26"/>
      <c r="I24" s="26" t="s">
        <v>343</v>
      </c>
      <c r="J24" s="27"/>
      <c r="K24" s="26" t="s">
        <v>82</v>
      </c>
      <c r="L24" s="34">
        <v>1000</v>
      </c>
      <c r="M24" s="34">
        <v>1000</v>
      </c>
      <c r="N24" s="16">
        <f t="shared" si="0"/>
        <v>3123.4326241134754</v>
      </c>
      <c r="O24" s="34">
        <v>1000</v>
      </c>
      <c r="P24" s="34">
        <v>1000</v>
      </c>
      <c r="Q24" s="16">
        <f t="shared" si="1"/>
        <v>2365.9878787878788</v>
      </c>
      <c r="R24" s="34">
        <v>1000</v>
      </c>
      <c r="S24" s="34">
        <v>1000</v>
      </c>
      <c r="T24" s="16">
        <f t="shared" si="2"/>
        <v>181.61344537815128</v>
      </c>
      <c r="U24" s="34">
        <v>500</v>
      </c>
      <c r="V24" s="34">
        <v>500</v>
      </c>
      <c r="W24" s="16">
        <f t="shared" si="3"/>
        <v>2.8928571428571428</v>
      </c>
      <c r="X24" s="34">
        <v>500</v>
      </c>
      <c r="Y24" s="34">
        <v>500</v>
      </c>
      <c r="Z24" s="16">
        <f t="shared" si="4"/>
        <v>0</v>
      </c>
      <c r="AA24" s="34">
        <v>500</v>
      </c>
      <c r="AB24" s="34">
        <v>500</v>
      </c>
      <c r="AC24" s="16">
        <f t="shared" si="5"/>
        <v>18.225806451612904</v>
      </c>
      <c r="AD24" s="31" t="s">
        <v>82</v>
      </c>
      <c r="AE24" s="5">
        <v>1</v>
      </c>
    </row>
    <row r="25" spans="2:31" x14ac:dyDescent="0.35">
      <c r="C25" s="25" t="s">
        <v>345</v>
      </c>
      <c r="D25" s="26" t="s">
        <v>346</v>
      </c>
      <c r="E25" s="26" t="s">
        <v>347</v>
      </c>
      <c r="F25" s="26"/>
      <c r="G25" s="26"/>
      <c r="H25" s="26"/>
      <c r="I25" s="26" t="s">
        <v>351</v>
      </c>
      <c r="J25" s="27"/>
      <c r="K25" s="26" t="s">
        <v>82</v>
      </c>
      <c r="L25" s="34">
        <v>500</v>
      </c>
      <c r="M25" s="34">
        <v>500</v>
      </c>
      <c r="N25" s="16">
        <f t="shared" si="0"/>
        <v>1561.7163120567377</v>
      </c>
      <c r="O25" s="34">
        <v>500</v>
      </c>
      <c r="P25" s="34">
        <v>500</v>
      </c>
      <c r="Q25" s="16">
        <f t="shared" si="1"/>
        <v>1182.9939393939394</v>
      </c>
      <c r="R25" s="34">
        <v>500</v>
      </c>
      <c r="S25" s="34">
        <v>500</v>
      </c>
      <c r="T25" s="16">
        <f t="shared" si="2"/>
        <v>90.806722689075642</v>
      </c>
      <c r="U25" s="34">
        <v>500</v>
      </c>
      <c r="V25" s="34">
        <v>500</v>
      </c>
      <c r="W25" s="16">
        <f t="shared" si="3"/>
        <v>2.8928571428571428</v>
      </c>
      <c r="X25" s="34">
        <v>500</v>
      </c>
      <c r="Y25" s="34">
        <v>500</v>
      </c>
      <c r="Z25" s="16">
        <f t="shared" si="4"/>
        <v>0</v>
      </c>
      <c r="AA25" s="34">
        <v>500</v>
      </c>
      <c r="AB25" s="34">
        <v>500</v>
      </c>
      <c r="AC25" s="16">
        <f t="shared" si="5"/>
        <v>18.225806451612904</v>
      </c>
      <c r="AD25" s="31" t="s">
        <v>82</v>
      </c>
      <c r="AE25" s="5">
        <v>1</v>
      </c>
    </row>
    <row r="26" spans="2:31" x14ac:dyDescent="0.35">
      <c r="C26" s="25" t="s">
        <v>373</v>
      </c>
      <c r="D26" s="26" t="s">
        <v>374</v>
      </c>
      <c r="E26" s="26" t="s">
        <v>375</v>
      </c>
      <c r="F26" s="26"/>
      <c r="G26" s="26"/>
      <c r="H26" s="26"/>
      <c r="I26" s="26" t="s">
        <v>379</v>
      </c>
      <c r="J26" s="27"/>
      <c r="K26" s="26" t="s">
        <v>82</v>
      </c>
      <c r="L26" s="34">
        <v>1000</v>
      </c>
      <c r="M26" s="34">
        <v>1000</v>
      </c>
      <c r="N26" s="16">
        <f t="shared" si="0"/>
        <v>3123.4326241134754</v>
      </c>
      <c r="O26" s="34">
        <v>1000</v>
      </c>
      <c r="P26" s="34">
        <v>1000</v>
      </c>
      <c r="Q26" s="16">
        <f t="shared" si="1"/>
        <v>2365.9878787878788</v>
      </c>
      <c r="R26" s="34">
        <v>1000</v>
      </c>
      <c r="S26" s="34">
        <v>1000</v>
      </c>
      <c r="T26" s="16">
        <f t="shared" si="2"/>
        <v>181.61344537815128</v>
      </c>
      <c r="U26" s="34">
        <v>1000</v>
      </c>
      <c r="V26" s="34">
        <v>1000</v>
      </c>
      <c r="W26" s="16">
        <f t="shared" si="3"/>
        <v>5.7857142857142856</v>
      </c>
      <c r="X26" s="34">
        <v>1500</v>
      </c>
      <c r="Y26" s="34">
        <v>1500</v>
      </c>
      <c r="Z26" s="16">
        <f t="shared" si="4"/>
        <v>0</v>
      </c>
      <c r="AA26" s="34">
        <v>1000</v>
      </c>
      <c r="AB26" s="34">
        <v>1000</v>
      </c>
      <c r="AC26" s="16">
        <f t="shared" si="5"/>
        <v>36.451612903225808</v>
      </c>
      <c r="AD26" s="31" t="s">
        <v>82</v>
      </c>
      <c r="AE26" s="5">
        <v>1</v>
      </c>
    </row>
    <row r="27" spans="2:31" x14ac:dyDescent="0.35">
      <c r="B27" t="s">
        <v>913</v>
      </c>
      <c r="C27" s="28" t="s">
        <v>387</v>
      </c>
      <c r="D27" s="29" t="s">
        <v>388</v>
      </c>
      <c r="E27" s="29" t="s">
        <v>389</v>
      </c>
      <c r="F27" s="29"/>
      <c r="G27" s="29"/>
      <c r="H27" s="29"/>
      <c r="I27" s="29" t="s">
        <v>204</v>
      </c>
      <c r="J27" s="30"/>
      <c r="K27" s="29" t="s">
        <v>82</v>
      </c>
      <c r="L27" s="35">
        <v>500</v>
      </c>
      <c r="M27" s="35">
        <v>500</v>
      </c>
      <c r="N27" s="16">
        <f t="shared" si="0"/>
        <v>1561.7163120567377</v>
      </c>
      <c r="O27" s="35">
        <v>500</v>
      </c>
      <c r="P27" s="35">
        <v>500</v>
      </c>
      <c r="Q27" s="16">
        <f t="shared" si="1"/>
        <v>1182.9939393939394</v>
      </c>
      <c r="R27" s="35">
        <v>500</v>
      </c>
      <c r="S27" s="35">
        <v>500</v>
      </c>
      <c r="T27" s="16">
        <f t="shared" si="2"/>
        <v>90.806722689075642</v>
      </c>
      <c r="U27" s="35">
        <v>500</v>
      </c>
      <c r="V27" s="35">
        <v>500</v>
      </c>
      <c r="W27" s="16">
        <f t="shared" si="3"/>
        <v>2.8928571428571428</v>
      </c>
      <c r="X27" s="35">
        <v>500</v>
      </c>
      <c r="Y27" s="35">
        <v>500</v>
      </c>
      <c r="Z27" s="16">
        <f t="shared" si="4"/>
        <v>0</v>
      </c>
      <c r="AA27" s="35">
        <v>500</v>
      </c>
      <c r="AB27" s="35">
        <v>500</v>
      </c>
      <c r="AC27" s="16">
        <f t="shared" si="5"/>
        <v>18.225806451612904</v>
      </c>
      <c r="AD27" s="32" t="s">
        <v>91</v>
      </c>
      <c r="AE27" s="22">
        <v>1</v>
      </c>
    </row>
    <row r="28" spans="2:31" x14ac:dyDescent="0.35">
      <c r="B28" t="s">
        <v>913</v>
      </c>
      <c r="C28" s="28" t="s">
        <v>402</v>
      </c>
      <c r="D28" s="29" t="s">
        <v>403</v>
      </c>
      <c r="E28" s="29" t="s">
        <v>404</v>
      </c>
      <c r="F28" s="29"/>
      <c r="G28" s="29"/>
      <c r="H28" s="29"/>
      <c r="I28" s="29" t="s">
        <v>343</v>
      </c>
      <c r="J28" s="30"/>
      <c r="K28" s="29" t="s">
        <v>82</v>
      </c>
      <c r="L28" s="35">
        <v>0</v>
      </c>
      <c r="M28" s="35">
        <v>0</v>
      </c>
      <c r="N28" s="16">
        <f t="shared" si="0"/>
        <v>0</v>
      </c>
      <c r="O28" s="35">
        <v>2250</v>
      </c>
      <c r="P28" s="35">
        <v>2250</v>
      </c>
      <c r="Q28" s="16">
        <f t="shared" si="1"/>
        <v>5323.4727272727278</v>
      </c>
      <c r="R28" s="35">
        <v>0</v>
      </c>
      <c r="S28" s="35">
        <v>0</v>
      </c>
      <c r="T28" s="16">
        <f t="shared" si="2"/>
        <v>0</v>
      </c>
      <c r="U28" s="35">
        <v>0</v>
      </c>
      <c r="V28" s="35">
        <v>0</v>
      </c>
      <c r="W28" s="16">
        <f t="shared" si="3"/>
        <v>0</v>
      </c>
      <c r="X28" s="35">
        <v>0</v>
      </c>
      <c r="Y28" s="35">
        <v>0</v>
      </c>
      <c r="Z28" s="16">
        <f t="shared" si="4"/>
        <v>0</v>
      </c>
      <c r="AA28" s="35">
        <v>0</v>
      </c>
      <c r="AB28" s="35">
        <v>0</v>
      </c>
      <c r="AC28" s="16">
        <f t="shared" si="5"/>
        <v>0</v>
      </c>
      <c r="AD28" s="32" t="s">
        <v>91</v>
      </c>
      <c r="AE28" s="22">
        <v>1</v>
      </c>
    </row>
    <row r="29" spans="2:31" x14ac:dyDescent="0.35">
      <c r="B29" t="s">
        <v>913</v>
      </c>
      <c r="C29" s="28" t="s">
        <v>408</v>
      </c>
      <c r="D29" s="29" t="s">
        <v>409</v>
      </c>
      <c r="E29" s="29" t="s">
        <v>410</v>
      </c>
      <c r="F29" s="29"/>
      <c r="G29" s="29"/>
      <c r="H29" s="29"/>
      <c r="I29" s="29" t="s">
        <v>160</v>
      </c>
      <c r="J29" s="30"/>
      <c r="K29" s="29" t="s">
        <v>82</v>
      </c>
      <c r="L29" s="35">
        <v>500</v>
      </c>
      <c r="M29" s="35">
        <v>500</v>
      </c>
      <c r="N29" s="16">
        <f t="shared" si="0"/>
        <v>1561.7163120567377</v>
      </c>
      <c r="O29" s="35">
        <v>500</v>
      </c>
      <c r="P29" s="35">
        <v>500</v>
      </c>
      <c r="Q29" s="16">
        <f t="shared" si="1"/>
        <v>1182.9939393939394</v>
      </c>
      <c r="R29" s="35">
        <v>500</v>
      </c>
      <c r="S29" s="35">
        <v>500</v>
      </c>
      <c r="T29" s="16">
        <f t="shared" si="2"/>
        <v>90.806722689075642</v>
      </c>
      <c r="U29" s="35">
        <v>500</v>
      </c>
      <c r="V29" s="35">
        <v>500</v>
      </c>
      <c r="W29" s="16">
        <f t="shared" si="3"/>
        <v>2.8928571428571428</v>
      </c>
      <c r="X29" s="35">
        <v>500</v>
      </c>
      <c r="Y29" s="35">
        <v>500</v>
      </c>
      <c r="Z29" s="16">
        <f t="shared" si="4"/>
        <v>0</v>
      </c>
      <c r="AA29" s="35">
        <v>500</v>
      </c>
      <c r="AB29" s="35">
        <v>500</v>
      </c>
      <c r="AC29" s="16">
        <f t="shared" si="5"/>
        <v>18.225806451612904</v>
      </c>
      <c r="AD29" s="32" t="s">
        <v>91</v>
      </c>
      <c r="AE29" s="22">
        <v>1</v>
      </c>
    </row>
    <row r="30" spans="2:31" x14ac:dyDescent="0.35">
      <c r="B30" t="s">
        <v>913</v>
      </c>
      <c r="C30" s="28" t="s">
        <v>431</v>
      </c>
      <c r="D30" s="29" t="s">
        <v>432</v>
      </c>
      <c r="E30" s="29" t="s">
        <v>433</v>
      </c>
      <c r="F30" s="29"/>
      <c r="G30" s="29"/>
      <c r="H30" s="29"/>
      <c r="I30" s="29" t="s">
        <v>160</v>
      </c>
      <c r="J30" s="30"/>
      <c r="K30" s="29" t="s">
        <v>82</v>
      </c>
      <c r="L30" s="35">
        <v>500</v>
      </c>
      <c r="M30" s="35">
        <v>500</v>
      </c>
      <c r="N30" s="16">
        <f t="shared" si="0"/>
        <v>1561.7163120567377</v>
      </c>
      <c r="O30" s="35">
        <v>0</v>
      </c>
      <c r="P30" s="35">
        <v>0</v>
      </c>
      <c r="Q30" s="16">
        <f t="shared" si="1"/>
        <v>0</v>
      </c>
      <c r="R30" s="35">
        <v>0</v>
      </c>
      <c r="S30" s="35">
        <v>0</v>
      </c>
      <c r="T30" s="16">
        <f t="shared" si="2"/>
        <v>0</v>
      </c>
      <c r="U30" s="35">
        <v>0</v>
      </c>
      <c r="V30" s="35">
        <v>0</v>
      </c>
      <c r="W30" s="16">
        <f t="shared" si="3"/>
        <v>0</v>
      </c>
      <c r="X30" s="35">
        <v>0</v>
      </c>
      <c r="Y30" s="35">
        <v>0</v>
      </c>
      <c r="Z30" s="16">
        <f t="shared" si="4"/>
        <v>0</v>
      </c>
      <c r="AA30" s="35">
        <v>0</v>
      </c>
      <c r="AB30" s="35">
        <v>0</v>
      </c>
      <c r="AC30" s="16">
        <f t="shared" si="5"/>
        <v>0</v>
      </c>
      <c r="AD30" s="32" t="s">
        <v>91</v>
      </c>
      <c r="AE30" s="5">
        <v>1</v>
      </c>
    </row>
    <row r="31" spans="2:31" x14ac:dyDescent="0.35">
      <c r="C31" s="28" t="s">
        <v>457</v>
      </c>
      <c r="D31" s="29" t="s">
        <v>458</v>
      </c>
      <c r="E31" s="29" t="s">
        <v>459</v>
      </c>
      <c r="F31" s="29"/>
      <c r="G31" s="29"/>
      <c r="H31" s="29"/>
      <c r="I31" s="29" t="s">
        <v>351</v>
      </c>
      <c r="J31" s="30"/>
      <c r="K31" s="29" t="s">
        <v>82</v>
      </c>
      <c r="L31" s="35">
        <v>1000</v>
      </c>
      <c r="M31" s="35">
        <v>1000</v>
      </c>
      <c r="N31" s="16">
        <f t="shared" si="0"/>
        <v>3123.4326241134754</v>
      </c>
      <c r="O31" s="35">
        <v>0</v>
      </c>
      <c r="P31" s="35">
        <v>0</v>
      </c>
      <c r="Q31" s="16">
        <f t="shared" si="1"/>
        <v>0</v>
      </c>
      <c r="R31" s="35">
        <v>500</v>
      </c>
      <c r="S31" s="35">
        <v>500</v>
      </c>
      <c r="T31" s="16">
        <f t="shared" si="2"/>
        <v>90.806722689075642</v>
      </c>
      <c r="U31" s="35">
        <v>500</v>
      </c>
      <c r="V31" s="35">
        <v>500</v>
      </c>
      <c r="W31" s="16">
        <f t="shared" si="3"/>
        <v>2.8928571428571428</v>
      </c>
      <c r="X31" s="35">
        <v>500</v>
      </c>
      <c r="Y31" s="35">
        <v>500</v>
      </c>
      <c r="Z31" s="16">
        <f t="shared" si="4"/>
        <v>0</v>
      </c>
      <c r="AA31" s="35">
        <v>500</v>
      </c>
      <c r="AB31" s="35">
        <v>500</v>
      </c>
      <c r="AC31" s="16">
        <f t="shared" si="5"/>
        <v>18.225806451612904</v>
      </c>
      <c r="AD31" s="32" t="s">
        <v>82</v>
      </c>
      <c r="AE31" s="5">
        <v>1</v>
      </c>
    </row>
    <row r="32" spans="2:31" x14ac:dyDescent="0.35">
      <c r="B32" t="s">
        <v>913</v>
      </c>
      <c r="C32" s="28" t="s">
        <v>471</v>
      </c>
      <c r="D32" s="29" t="s">
        <v>472</v>
      </c>
      <c r="E32" s="29" t="s">
        <v>473</v>
      </c>
      <c r="F32" s="29"/>
      <c r="G32" s="29"/>
      <c r="H32" s="29"/>
      <c r="I32" s="29" t="s">
        <v>343</v>
      </c>
      <c r="J32" s="30"/>
      <c r="K32" s="29" t="s">
        <v>82</v>
      </c>
      <c r="L32" s="35">
        <v>2250</v>
      </c>
      <c r="M32" s="35">
        <v>2250</v>
      </c>
      <c r="N32" s="16">
        <f t="shared" si="0"/>
        <v>7027.7234042553191</v>
      </c>
      <c r="O32" s="35">
        <v>2250</v>
      </c>
      <c r="P32" s="35">
        <v>2250</v>
      </c>
      <c r="Q32" s="16">
        <f t="shared" si="1"/>
        <v>5323.4727272727278</v>
      </c>
      <c r="R32" s="35">
        <v>2250</v>
      </c>
      <c r="S32" s="35">
        <v>2250</v>
      </c>
      <c r="T32" s="16">
        <f t="shared" si="2"/>
        <v>408.63025210084038</v>
      </c>
      <c r="U32" s="35">
        <v>0</v>
      </c>
      <c r="V32" s="35">
        <v>0</v>
      </c>
      <c r="W32" s="16">
        <f t="shared" si="3"/>
        <v>0</v>
      </c>
      <c r="X32" s="35">
        <v>0</v>
      </c>
      <c r="Y32" s="35">
        <v>0</v>
      </c>
      <c r="Z32" s="16">
        <f t="shared" si="4"/>
        <v>0</v>
      </c>
      <c r="AA32" s="35">
        <v>500</v>
      </c>
      <c r="AB32" s="35">
        <v>500</v>
      </c>
      <c r="AC32" s="16">
        <f t="shared" si="5"/>
        <v>18.225806451612904</v>
      </c>
      <c r="AD32" s="32" t="s">
        <v>91</v>
      </c>
      <c r="AE32" s="22">
        <v>1</v>
      </c>
    </row>
    <row r="33" spans="1:31" x14ac:dyDescent="0.35">
      <c r="B33" t="s">
        <v>913</v>
      </c>
      <c r="C33" s="25" t="s">
        <v>478</v>
      </c>
      <c r="D33" s="26" t="s">
        <v>479</v>
      </c>
      <c r="E33" s="26" t="s">
        <v>480</v>
      </c>
      <c r="F33" s="26"/>
      <c r="G33" s="26"/>
      <c r="H33" s="26"/>
      <c r="I33" s="26" t="s">
        <v>484</v>
      </c>
      <c r="J33" s="27"/>
      <c r="K33" s="26" t="s">
        <v>82</v>
      </c>
      <c r="L33" s="34">
        <v>1500</v>
      </c>
      <c r="M33" s="34">
        <v>1500</v>
      </c>
      <c r="N33" s="16">
        <f t="shared" si="0"/>
        <v>4685.1489361702133</v>
      </c>
      <c r="O33" s="34">
        <v>1500</v>
      </c>
      <c r="P33" s="34">
        <v>1500</v>
      </c>
      <c r="Q33" s="16">
        <f t="shared" si="1"/>
        <v>3548.9818181818187</v>
      </c>
      <c r="R33" s="34">
        <v>1500</v>
      </c>
      <c r="S33" s="34">
        <v>1500</v>
      </c>
      <c r="T33" s="16">
        <f t="shared" si="2"/>
        <v>272.42016806722688</v>
      </c>
      <c r="U33" s="34">
        <v>0</v>
      </c>
      <c r="V33" s="34">
        <v>0</v>
      </c>
      <c r="W33" s="16">
        <f t="shared" si="3"/>
        <v>0</v>
      </c>
      <c r="X33" s="34">
        <v>0</v>
      </c>
      <c r="Y33" s="34">
        <v>0</v>
      </c>
      <c r="Z33" s="16">
        <f t="shared" si="4"/>
        <v>0</v>
      </c>
      <c r="AA33" s="34">
        <v>0</v>
      </c>
      <c r="AB33" s="34">
        <v>0</v>
      </c>
      <c r="AC33" s="16">
        <f t="shared" si="5"/>
        <v>0</v>
      </c>
      <c r="AD33" s="31" t="s">
        <v>91</v>
      </c>
      <c r="AE33" s="5">
        <v>1</v>
      </c>
    </row>
    <row r="34" spans="1:31" x14ac:dyDescent="0.35">
      <c r="B34" t="s">
        <v>913</v>
      </c>
      <c r="C34" s="28" t="s">
        <v>494</v>
      </c>
      <c r="D34" s="29" t="s">
        <v>495</v>
      </c>
      <c r="E34" s="29" t="s">
        <v>496</v>
      </c>
      <c r="F34" s="29"/>
      <c r="G34" s="29"/>
      <c r="H34" s="29"/>
      <c r="I34" s="29" t="s">
        <v>160</v>
      </c>
      <c r="J34" s="30"/>
      <c r="K34" s="29" t="s">
        <v>82</v>
      </c>
      <c r="L34" s="35">
        <v>500</v>
      </c>
      <c r="M34" s="35">
        <v>500</v>
      </c>
      <c r="N34" s="16">
        <f t="shared" si="0"/>
        <v>1561.7163120567377</v>
      </c>
      <c r="O34" s="35">
        <v>500</v>
      </c>
      <c r="P34" s="35">
        <v>500</v>
      </c>
      <c r="Q34" s="16">
        <f t="shared" si="1"/>
        <v>1182.9939393939394</v>
      </c>
      <c r="R34" s="35">
        <v>0</v>
      </c>
      <c r="S34" s="35">
        <v>0</v>
      </c>
      <c r="T34" s="16">
        <f t="shared" si="2"/>
        <v>0</v>
      </c>
      <c r="U34" s="35">
        <v>0</v>
      </c>
      <c r="V34" s="35">
        <v>0</v>
      </c>
      <c r="W34" s="16">
        <f t="shared" si="3"/>
        <v>0</v>
      </c>
      <c r="X34" s="35">
        <v>500</v>
      </c>
      <c r="Y34" s="35">
        <v>500</v>
      </c>
      <c r="Z34" s="16">
        <f t="shared" si="4"/>
        <v>0</v>
      </c>
      <c r="AA34" s="35">
        <v>500</v>
      </c>
      <c r="AB34" s="35">
        <v>500</v>
      </c>
      <c r="AC34" s="16">
        <f t="shared" si="5"/>
        <v>18.225806451612904</v>
      </c>
      <c r="AD34" s="32" t="s">
        <v>91</v>
      </c>
      <c r="AE34" s="5">
        <v>1</v>
      </c>
    </row>
    <row r="35" spans="1:31" x14ac:dyDescent="0.35">
      <c r="B35" t="s">
        <v>913</v>
      </c>
      <c r="C35" s="25" t="s">
        <v>507</v>
      </c>
      <c r="D35" s="26" t="s">
        <v>508</v>
      </c>
      <c r="E35" s="26" t="s">
        <v>509</v>
      </c>
      <c r="F35" s="26"/>
      <c r="G35" s="26"/>
      <c r="H35" s="26"/>
      <c r="I35" s="26" t="s">
        <v>513</v>
      </c>
      <c r="J35" s="27"/>
      <c r="K35" s="26" t="s">
        <v>82</v>
      </c>
      <c r="L35" s="34">
        <v>1500</v>
      </c>
      <c r="M35" s="34">
        <v>1500</v>
      </c>
      <c r="N35" s="16">
        <f t="shared" si="0"/>
        <v>4685.1489361702133</v>
      </c>
      <c r="O35" s="34">
        <v>1500</v>
      </c>
      <c r="P35" s="34">
        <v>1500</v>
      </c>
      <c r="Q35" s="16">
        <f t="shared" si="1"/>
        <v>3548.9818181818187</v>
      </c>
      <c r="R35" s="34">
        <v>1500</v>
      </c>
      <c r="S35" s="34">
        <v>1500</v>
      </c>
      <c r="T35" s="16">
        <f t="shared" si="2"/>
        <v>272.42016806722688</v>
      </c>
      <c r="U35" s="34">
        <v>500</v>
      </c>
      <c r="V35" s="34">
        <v>500</v>
      </c>
      <c r="W35" s="16">
        <f t="shared" si="3"/>
        <v>2.8928571428571428</v>
      </c>
      <c r="X35" s="34">
        <v>500</v>
      </c>
      <c r="Y35" s="34">
        <v>500</v>
      </c>
      <c r="Z35" s="16">
        <f t="shared" si="4"/>
        <v>0</v>
      </c>
      <c r="AA35" s="34">
        <v>500</v>
      </c>
      <c r="AB35" s="34">
        <v>500</v>
      </c>
      <c r="AC35" s="16">
        <f t="shared" si="5"/>
        <v>18.225806451612904</v>
      </c>
      <c r="AD35" s="31" t="s">
        <v>91</v>
      </c>
      <c r="AE35" s="22">
        <v>1</v>
      </c>
    </row>
    <row r="36" spans="1:31" x14ac:dyDescent="0.35">
      <c r="B36" t="s">
        <v>913</v>
      </c>
      <c r="C36" s="25" t="s">
        <v>515</v>
      </c>
      <c r="D36" s="26" t="s">
        <v>516</v>
      </c>
      <c r="E36" s="26" t="s">
        <v>517</v>
      </c>
      <c r="F36" s="26"/>
      <c r="G36" s="26"/>
      <c r="H36" s="26"/>
      <c r="I36" s="26" t="s">
        <v>204</v>
      </c>
      <c r="J36" s="27"/>
      <c r="K36" s="26" t="s">
        <v>82</v>
      </c>
      <c r="L36" s="34">
        <v>500</v>
      </c>
      <c r="M36" s="34">
        <v>500</v>
      </c>
      <c r="N36" s="16">
        <f t="shared" si="0"/>
        <v>1561.7163120567377</v>
      </c>
      <c r="O36" s="34">
        <v>500</v>
      </c>
      <c r="P36" s="34">
        <v>500</v>
      </c>
      <c r="Q36" s="16">
        <f t="shared" si="1"/>
        <v>1182.9939393939394</v>
      </c>
      <c r="R36" s="34">
        <v>500</v>
      </c>
      <c r="S36" s="34">
        <v>500</v>
      </c>
      <c r="T36" s="16">
        <f t="shared" si="2"/>
        <v>90.806722689075642</v>
      </c>
      <c r="U36" s="34">
        <v>0</v>
      </c>
      <c r="V36" s="34">
        <v>0</v>
      </c>
      <c r="W36" s="16">
        <f t="shared" si="3"/>
        <v>0</v>
      </c>
      <c r="X36" s="34">
        <v>0</v>
      </c>
      <c r="Y36" s="34">
        <v>0</v>
      </c>
      <c r="Z36" s="16">
        <f t="shared" si="4"/>
        <v>0</v>
      </c>
      <c r="AA36" s="34">
        <v>0</v>
      </c>
      <c r="AB36" s="34">
        <v>0</v>
      </c>
      <c r="AC36" s="16">
        <f t="shared" si="5"/>
        <v>0</v>
      </c>
      <c r="AD36" s="31" t="s">
        <v>91</v>
      </c>
      <c r="AE36" s="22">
        <v>1</v>
      </c>
    </row>
    <row r="37" spans="1:31" x14ac:dyDescent="0.35">
      <c r="B37" t="s">
        <v>913</v>
      </c>
      <c r="C37" s="28" t="s">
        <v>521</v>
      </c>
      <c r="D37" s="29" t="s">
        <v>522</v>
      </c>
      <c r="E37" s="29" t="s">
        <v>523</v>
      </c>
      <c r="F37" s="29"/>
      <c r="G37" s="29"/>
      <c r="H37" s="29"/>
      <c r="I37" s="29" t="s">
        <v>160</v>
      </c>
      <c r="J37" s="30"/>
      <c r="K37" s="29" t="s">
        <v>82</v>
      </c>
      <c r="L37" s="35">
        <v>500</v>
      </c>
      <c r="M37" s="35">
        <v>500</v>
      </c>
      <c r="N37" s="16">
        <f t="shared" si="0"/>
        <v>1561.7163120567377</v>
      </c>
      <c r="O37" s="35">
        <v>500</v>
      </c>
      <c r="P37" s="35">
        <v>500</v>
      </c>
      <c r="Q37" s="16">
        <f t="shared" si="1"/>
        <v>1182.9939393939394</v>
      </c>
      <c r="R37" s="35">
        <v>500</v>
      </c>
      <c r="S37" s="35">
        <v>500</v>
      </c>
      <c r="T37" s="16">
        <f t="shared" si="2"/>
        <v>90.806722689075642</v>
      </c>
      <c r="U37" s="35">
        <v>0</v>
      </c>
      <c r="V37" s="35">
        <v>0</v>
      </c>
      <c r="W37" s="16">
        <f t="shared" si="3"/>
        <v>0</v>
      </c>
      <c r="X37" s="35">
        <v>0</v>
      </c>
      <c r="Y37" s="35">
        <v>0</v>
      </c>
      <c r="Z37" s="16">
        <f t="shared" si="4"/>
        <v>0</v>
      </c>
      <c r="AA37" s="35">
        <v>0</v>
      </c>
      <c r="AB37" s="35">
        <v>0</v>
      </c>
      <c r="AC37" s="16">
        <f t="shared" si="5"/>
        <v>0</v>
      </c>
      <c r="AD37" s="32" t="s">
        <v>91</v>
      </c>
      <c r="AE37" s="22">
        <v>1</v>
      </c>
    </row>
    <row r="38" spans="1:31" x14ac:dyDescent="0.35">
      <c r="C38" s="25" t="s">
        <v>536</v>
      </c>
      <c r="D38" s="26" t="s">
        <v>537</v>
      </c>
      <c r="E38" s="26" t="s">
        <v>538</v>
      </c>
      <c r="F38" s="26"/>
      <c r="G38" s="26"/>
      <c r="H38" s="26"/>
      <c r="I38" s="26" t="s">
        <v>106</v>
      </c>
      <c r="J38" s="27"/>
      <c r="K38" s="26" t="s">
        <v>82</v>
      </c>
      <c r="L38" s="34">
        <v>1000</v>
      </c>
      <c r="M38" s="34">
        <v>1000</v>
      </c>
      <c r="N38" s="16">
        <f t="shared" si="0"/>
        <v>3123.4326241134754</v>
      </c>
      <c r="O38" s="34">
        <v>1000</v>
      </c>
      <c r="P38" s="34">
        <v>1000</v>
      </c>
      <c r="Q38" s="16">
        <f t="shared" si="1"/>
        <v>2365.9878787878788</v>
      </c>
      <c r="R38" s="34">
        <v>1000</v>
      </c>
      <c r="S38" s="34">
        <v>1000</v>
      </c>
      <c r="T38" s="16">
        <f t="shared" si="2"/>
        <v>181.61344537815128</v>
      </c>
      <c r="U38" s="34">
        <v>500</v>
      </c>
      <c r="V38" s="34">
        <v>500</v>
      </c>
      <c r="W38" s="16">
        <f t="shared" si="3"/>
        <v>2.8928571428571428</v>
      </c>
      <c r="X38" s="34">
        <v>500</v>
      </c>
      <c r="Y38" s="34">
        <v>500</v>
      </c>
      <c r="Z38" s="16">
        <f t="shared" si="4"/>
        <v>0</v>
      </c>
      <c r="AA38" s="34">
        <v>500</v>
      </c>
      <c r="AB38" s="34">
        <v>500</v>
      </c>
      <c r="AC38" s="16">
        <f t="shared" si="5"/>
        <v>18.225806451612904</v>
      </c>
      <c r="AD38" s="31" t="s">
        <v>82</v>
      </c>
      <c r="AE38" s="5">
        <v>1</v>
      </c>
    </row>
    <row r="39" spans="1:31" x14ac:dyDescent="0.35">
      <c r="B39" t="s">
        <v>913</v>
      </c>
      <c r="C39" s="25" t="s">
        <v>543</v>
      </c>
      <c r="D39" s="26" t="s">
        <v>544</v>
      </c>
      <c r="E39" s="26" t="s">
        <v>545</v>
      </c>
      <c r="F39" s="26"/>
      <c r="G39" s="26"/>
      <c r="H39" s="26"/>
      <c r="I39" s="26" t="s">
        <v>549</v>
      </c>
      <c r="J39" s="27"/>
      <c r="K39" s="26" t="s">
        <v>82</v>
      </c>
      <c r="L39" s="34">
        <v>500</v>
      </c>
      <c r="M39" s="34">
        <v>500</v>
      </c>
      <c r="N39" s="16">
        <f t="shared" si="0"/>
        <v>1561.7163120567377</v>
      </c>
      <c r="O39" s="34">
        <v>1500</v>
      </c>
      <c r="P39" s="34">
        <v>1500</v>
      </c>
      <c r="Q39" s="16">
        <f t="shared" si="1"/>
        <v>3548.9818181818187</v>
      </c>
      <c r="R39" s="34">
        <v>500</v>
      </c>
      <c r="S39" s="34">
        <v>500</v>
      </c>
      <c r="T39" s="16">
        <f t="shared" si="2"/>
        <v>90.806722689075642</v>
      </c>
      <c r="U39" s="34">
        <v>0</v>
      </c>
      <c r="V39" s="34">
        <v>0</v>
      </c>
      <c r="W39" s="16">
        <f t="shared" si="3"/>
        <v>0</v>
      </c>
      <c r="X39" s="34">
        <v>0</v>
      </c>
      <c r="Y39" s="34">
        <v>0</v>
      </c>
      <c r="Z39" s="16">
        <f t="shared" si="4"/>
        <v>0</v>
      </c>
      <c r="AA39" s="34">
        <v>0</v>
      </c>
      <c r="AB39" s="34">
        <v>0</v>
      </c>
      <c r="AC39" s="16">
        <f t="shared" si="5"/>
        <v>0</v>
      </c>
      <c r="AD39" s="31" t="s">
        <v>91</v>
      </c>
      <c r="AE39" s="22">
        <v>1</v>
      </c>
    </row>
    <row r="40" spans="1:31" x14ac:dyDescent="0.35">
      <c r="C40" s="25" t="s">
        <v>551</v>
      </c>
      <c r="D40" s="26" t="s">
        <v>552</v>
      </c>
      <c r="E40" s="26" t="s">
        <v>553</v>
      </c>
      <c r="F40" s="26"/>
      <c r="G40" s="26"/>
      <c r="H40" s="26"/>
      <c r="I40" s="26" t="s">
        <v>204</v>
      </c>
      <c r="J40" s="27"/>
      <c r="K40" s="26" t="s">
        <v>82</v>
      </c>
      <c r="L40" s="34">
        <v>500</v>
      </c>
      <c r="M40" s="34">
        <v>500</v>
      </c>
      <c r="N40" s="16">
        <f t="shared" si="0"/>
        <v>1561.7163120567377</v>
      </c>
      <c r="O40" s="34">
        <v>500</v>
      </c>
      <c r="P40" s="34">
        <v>500</v>
      </c>
      <c r="Q40" s="16">
        <f t="shared" si="1"/>
        <v>1182.9939393939394</v>
      </c>
      <c r="R40" s="34">
        <v>500</v>
      </c>
      <c r="S40" s="34">
        <v>500</v>
      </c>
      <c r="T40" s="16">
        <f t="shared" si="2"/>
        <v>90.806722689075642</v>
      </c>
      <c r="U40" s="34">
        <v>500</v>
      </c>
      <c r="V40" s="34">
        <v>500</v>
      </c>
      <c r="W40" s="16">
        <f t="shared" si="3"/>
        <v>2.8928571428571428</v>
      </c>
      <c r="X40" s="34">
        <v>500</v>
      </c>
      <c r="Y40" s="34">
        <v>500</v>
      </c>
      <c r="Z40" s="16">
        <f t="shared" si="4"/>
        <v>0</v>
      </c>
      <c r="AA40" s="34">
        <v>500</v>
      </c>
      <c r="AB40" s="34">
        <v>500</v>
      </c>
      <c r="AC40" s="16">
        <f t="shared" si="5"/>
        <v>18.225806451612904</v>
      </c>
      <c r="AD40" s="31" t="s">
        <v>82</v>
      </c>
      <c r="AE40" s="5">
        <v>1</v>
      </c>
    </row>
    <row r="41" spans="1:31" x14ac:dyDescent="0.35">
      <c r="B41" t="s">
        <v>913</v>
      </c>
      <c r="C41" s="25" t="s">
        <v>563</v>
      </c>
      <c r="D41" s="26" t="s">
        <v>564</v>
      </c>
      <c r="E41" s="26" t="s">
        <v>565</v>
      </c>
      <c r="F41" s="26"/>
      <c r="G41" s="26"/>
      <c r="H41" s="26"/>
      <c r="I41" s="26" t="s">
        <v>569</v>
      </c>
      <c r="J41" s="27"/>
      <c r="K41" s="26" t="s">
        <v>82</v>
      </c>
      <c r="L41" s="34">
        <v>1500</v>
      </c>
      <c r="M41" s="34">
        <v>1500</v>
      </c>
      <c r="N41" s="16">
        <f t="shared" si="0"/>
        <v>4685.1489361702133</v>
      </c>
      <c r="O41" s="34">
        <v>1500</v>
      </c>
      <c r="P41" s="34">
        <v>1500</v>
      </c>
      <c r="Q41" s="16">
        <f t="shared" si="1"/>
        <v>3548.9818181818187</v>
      </c>
      <c r="R41" s="34">
        <v>1000</v>
      </c>
      <c r="S41" s="34">
        <v>1000</v>
      </c>
      <c r="T41" s="16">
        <f t="shared" si="2"/>
        <v>181.61344537815128</v>
      </c>
      <c r="U41" s="34">
        <v>0</v>
      </c>
      <c r="V41" s="34">
        <v>0</v>
      </c>
      <c r="W41" s="16">
        <f t="shared" si="3"/>
        <v>0</v>
      </c>
      <c r="X41" s="34">
        <v>0</v>
      </c>
      <c r="Y41" s="34">
        <v>0</v>
      </c>
      <c r="Z41" s="16">
        <f t="shared" si="4"/>
        <v>0</v>
      </c>
      <c r="AA41" s="34">
        <v>0</v>
      </c>
      <c r="AB41" s="34">
        <v>0</v>
      </c>
      <c r="AC41" s="16">
        <f t="shared" si="5"/>
        <v>0</v>
      </c>
      <c r="AD41" s="31" t="s">
        <v>91</v>
      </c>
      <c r="AE41" s="22">
        <v>1</v>
      </c>
    </row>
    <row r="42" spans="1:31" x14ac:dyDescent="0.35">
      <c r="B42" t="s">
        <v>913</v>
      </c>
      <c r="C42" s="28" t="s">
        <v>571</v>
      </c>
      <c r="D42" s="29" t="s">
        <v>572</v>
      </c>
      <c r="E42" s="29" t="s">
        <v>573</v>
      </c>
      <c r="F42" s="29"/>
      <c r="G42" s="29"/>
      <c r="H42" s="29"/>
      <c r="I42" s="29" t="s">
        <v>160</v>
      </c>
      <c r="J42" s="30"/>
      <c r="K42" s="29" t="s">
        <v>82</v>
      </c>
      <c r="L42" s="35">
        <v>500</v>
      </c>
      <c r="M42" s="35">
        <v>500</v>
      </c>
      <c r="N42" s="16">
        <f t="shared" si="0"/>
        <v>1561.7163120567377</v>
      </c>
      <c r="O42" s="35">
        <v>1000</v>
      </c>
      <c r="P42" s="35">
        <v>1000</v>
      </c>
      <c r="Q42" s="16">
        <f t="shared" si="1"/>
        <v>2365.9878787878788</v>
      </c>
      <c r="R42" s="35">
        <v>500</v>
      </c>
      <c r="S42" s="35">
        <v>500</v>
      </c>
      <c r="T42" s="16">
        <f t="shared" si="2"/>
        <v>90.806722689075642</v>
      </c>
      <c r="U42" s="35">
        <v>1000</v>
      </c>
      <c r="V42" s="35">
        <v>1000</v>
      </c>
      <c r="W42" s="16">
        <f t="shared" si="3"/>
        <v>5.7857142857142856</v>
      </c>
      <c r="X42" s="35">
        <v>1000</v>
      </c>
      <c r="Y42" s="35">
        <v>1000</v>
      </c>
      <c r="Z42" s="16">
        <f t="shared" si="4"/>
        <v>0</v>
      </c>
      <c r="AA42" s="35">
        <v>500</v>
      </c>
      <c r="AB42" s="35">
        <v>500</v>
      </c>
      <c r="AC42" s="16">
        <f t="shared" si="5"/>
        <v>18.225806451612904</v>
      </c>
      <c r="AD42" s="32" t="s">
        <v>91</v>
      </c>
      <c r="AE42" s="22">
        <v>1</v>
      </c>
    </row>
    <row r="43" spans="1:31" x14ac:dyDescent="0.35">
      <c r="B43" t="s">
        <v>913</v>
      </c>
      <c r="C43" s="28" t="s">
        <v>591</v>
      </c>
      <c r="D43" s="29" t="s">
        <v>592</v>
      </c>
      <c r="E43" s="29" t="s">
        <v>593</v>
      </c>
      <c r="F43" s="29"/>
      <c r="G43" s="29"/>
      <c r="H43" s="29"/>
      <c r="I43" s="29" t="s">
        <v>160</v>
      </c>
      <c r="J43" s="30"/>
      <c r="K43" s="29" t="s">
        <v>82</v>
      </c>
      <c r="L43" s="35">
        <v>1000</v>
      </c>
      <c r="M43" s="35">
        <v>1000</v>
      </c>
      <c r="N43" s="16">
        <f t="shared" si="0"/>
        <v>3123.4326241134754</v>
      </c>
      <c r="O43" s="35">
        <v>1000</v>
      </c>
      <c r="P43" s="35">
        <v>1000</v>
      </c>
      <c r="Q43" s="16">
        <f t="shared" si="1"/>
        <v>2365.9878787878788</v>
      </c>
      <c r="R43" s="35">
        <v>1000</v>
      </c>
      <c r="S43" s="35">
        <v>1000</v>
      </c>
      <c r="T43" s="16">
        <f t="shared" si="2"/>
        <v>181.61344537815128</v>
      </c>
      <c r="U43" s="35">
        <v>1000</v>
      </c>
      <c r="V43" s="35">
        <v>1000</v>
      </c>
      <c r="W43" s="16">
        <f t="shared" si="3"/>
        <v>5.7857142857142856</v>
      </c>
      <c r="X43" s="35">
        <v>500</v>
      </c>
      <c r="Y43" s="35">
        <v>500</v>
      </c>
      <c r="Z43" s="16">
        <f t="shared" si="4"/>
        <v>0</v>
      </c>
      <c r="AA43" s="35">
        <v>500</v>
      </c>
      <c r="AB43" s="35">
        <v>500</v>
      </c>
      <c r="AC43" s="16">
        <f t="shared" si="5"/>
        <v>18.225806451612904</v>
      </c>
      <c r="AD43" s="32" t="s">
        <v>91</v>
      </c>
      <c r="AE43" s="22">
        <v>1</v>
      </c>
    </row>
    <row r="44" spans="1:31" x14ac:dyDescent="0.35">
      <c r="C44" s="28" t="s">
        <v>612</v>
      </c>
      <c r="D44" s="29" t="s">
        <v>613</v>
      </c>
      <c r="E44" s="29" t="s">
        <v>614</v>
      </c>
      <c r="F44" s="29"/>
      <c r="G44" s="29"/>
      <c r="H44" s="29"/>
      <c r="I44" s="29" t="s">
        <v>168</v>
      </c>
      <c r="J44" s="30"/>
      <c r="K44" s="29" t="s">
        <v>82</v>
      </c>
      <c r="L44" s="35">
        <v>500</v>
      </c>
      <c r="M44" s="35">
        <v>500</v>
      </c>
      <c r="N44" s="16">
        <f t="shared" si="0"/>
        <v>1561.7163120567377</v>
      </c>
      <c r="O44" s="35">
        <v>500</v>
      </c>
      <c r="P44" s="35">
        <v>500</v>
      </c>
      <c r="Q44" s="16">
        <f t="shared" si="1"/>
        <v>1182.9939393939394</v>
      </c>
      <c r="R44" s="35">
        <v>0</v>
      </c>
      <c r="S44" s="35">
        <v>0</v>
      </c>
      <c r="T44" s="16">
        <f t="shared" si="2"/>
        <v>0</v>
      </c>
      <c r="U44" s="35">
        <v>500</v>
      </c>
      <c r="V44" s="35">
        <v>500</v>
      </c>
      <c r="W44" s="16">
        <f t="shared" si="3"/>
        <v>2.8928571428571428</v>
      </c>
      <c r="X44" s="35">
        <v>500</v>
      </c>
      <c r="Y44" s="35">
        <v>500</v>
      </c>
      <c r="Z44" s="16">
        <f t="shared" si="4"/>
        <v>0</v>
      </c>
      <c r="AA44" s="35">
        <v>500</v>
      </c>
      <c r="AB44" s="35">
        <v>500</v>
      </c>
      <c r="AC44" s="16">
        <f t="shared" si="5"/>
        <v>18.225806451612904</v>
      </c>
      <c r="AD44" s="32" t="s">
        <v>82</v>
      </c>
      <c r="AE44" s="5">
        <v>1</v>
      </c>
    </row>
    <row r="45" spans="1:31" x14ac:dyDescent="0.35">
      <c r="B45" t="s">
        <v>913</v>
      </c>
      <c r="C45" s="28" t="s">
        <v>618</v>
      </c>
      <c r="D45" s="29" t="s">
        <v>619</v>
      </c>
      <c r="E45" s="29" t="s">
        <v>620</v>
      </c>
      <c r="F45" s="29"/>
      <c r="G45" s="29"/>
      <c r="H45" s="29"/>
      <c r="I45" s="29" t="s">
        <v>160</v>
      </c>
      <c r="J45" s="30"/>
      <c r="K45" s="29" t="s">
        <v>82</v>
      </c>
      <c r="L45" s="35">
        <v>2250</v>
      </c>
      <c r="M45" s="35">
        <v>2250</v>
      </c>
      <c r="N45" s="16">
        <f t="shared" si="0"/>
        <v>7027.7234042553191</v>
      </c>
      <c r="O45" s="35">
        <v>2250</v>
      </c>
      <c r="P45" s="35">
        <v>2250</v>
      </c>
      <c r="Q45" s="16">
        <f t="shared" si="1"/>
        <v>5323.4727272727278</v>
      </c>
      <c r="R45" s="35">
        <v>2250</v>
      </c>
      <c r="S45" s="35">
        <v>2250</v>
      </c>
      <c r="T45" s="16">
        <f t="shared" si="2"/>
        <v>408.63025210084038</v>
      </c>
      <c r="U45" s="35">
        <v>0</v>
      </c>
      <c r="V45" s="35">
        <v>0</v>
      </c>
      <c r="W45" s="16">
        <f t="shared" si="3"/>
        <v>0</v>
      </c>
      <c r="X45" s="35">
        <v>500</v>
      </c>
      <c r="Y45" s="35">
        <v>500</v>
      </c>
      <c r="Z45" s="16">
        <f t="shared" si="4"/>
        <v>0</v>
      </c>
      <c r="AA45" s="35">
        <v>500</v>
      </c>
      <c r="AB45" s="35">
        <v>500</v>
      </c>
      <c r="AC45" s="16">
        <f t="shared" si="5"/>
        <v>18.225806451612904</v>
      </c>
      <c r="AD45" s="32" t="s">
        <v>91</v>
      </c>
      <c r="AE45" s="5">
        <v>1</v>
      </c>
    </row>
    <row r="46" spans="1:31" x14ac:dyDescent="0.35">
      <c r="S46" s="5"/>
    </row>
    <row r="47" spans="1:31" x14ac:dyDescent="0.35">
      <c r="A47" t="s">
        <v>632</v>
      </c>
      <c r="C47" s="4"/>
      <c r="D47" s="4"/>
      <c r="E47" s="4"/>
      <c r="F47" s="4"/>
      <c r="G47" s="4"/>
      <c r="H47" s="4"/>
      <c r="I47" s="4"/>
      <c r="J47" s="13" t="s">
        <v>633</v>
      </c>
      <c r="K47" s="5"/>
      <c r="L47" s="18">
        <f>F56</f>
        <v>110101</v>
      </c>
      <c r="M47" s="16"/>
      <c r="N47" s="5"/>
      <c r="O47" s="18">
        <f>G56</f>
        <v>97597</v>
      </c>
      <c r="P47" s="16"/>
      <c r="Q47" s="5"/>
      <c r="R47" s="18">
        <f>H56</f>
        <v>5403</v>
      </c>
      <c r="S47" s="16"/>
      <c r="T47" s="5"/>
      <c r="U47" s="18">
        <f>I56</f>
        <v>81</v>
      </c>
      <c r="V47" s="16"/>
      <c r="W47" s="5"/>
      <c r="X47" s="18">
        <f>J56</f>
        <v>0</v>
      </c>
      <c r="Y47" s="16"/>
      <c r="Z47" s="5"/>
      <c r="AA47" s="18">
        <f>K56</f>
        <v>565</v>
      </c>
      <c r="AB47" s="16"/>
      <c r="AC47" s="4"/>
      <c r="AD47" s="4"/>
      <c r="AE47" s="4"/>
    </row>
    <row r="48" spans="1:31" x14ac:dyDescent="0.35">
      <c r="C48" s="4"/>
      <c r="D48" s="4"/>
      <c r="E48" s="4"/>
      <c r="F48" s="4"/>
      <c r="G48" s="4"/>
      <c r="H48" s="4"/>
      <c r="I48" s="4"/>
      <c r="J48" s="13" t="s">
        <v>908</v>
      </c>
      <c r="K48" s="5"/>
      <c r="L48" s="18">
        <f>SUM(L4:L45)</f>
        <v>35250</v>
      </c>
      <c r="M48" s="16"/>
      <c r="N48" s="5"/>
      <c r="O48" s="18">
        <f>SUM(O4:O45)</f>
        <v>41250</v>
      </c>
      <c r="P48" s="16"/>
      <c r="Q48" s="5"/>
      <c r="R48" s="18">
        <f>SUM(R4:R45)</f>
        <v>29750</v>
      </c>
      <c r="S48" s="16"/>
      <c r="T48" s="5"/>
      <c r="U48" s="18">
        <f>SUM(U4:U45)</f>
        <v>14000</v>
      </c>
      <c r="V48" s="16"/>
      <c r="W48" s="5"/>
      <c r="X48" s="18">
        <f>SUM(X4:X45)</f>
        <v>16750</v>
      </c>
      <c r="Y48" s="16"/>
      <c r="Z48" s="5"/>
      <c r="AA48" s="18">
        <f>SUM(AA4:AA45)</f>
        <v>15500</v>
      </c>
      <c r="AB48" s="16"/>
      <c r="AC48" s="4"/>
      <c r="AD48" s="4"/>
      <c r="AE48" s="4"/>
    </row>
    <row r="49" spans="3:31" x14ac:dyDescent="0.35">
      <c r="C49" s="4"/>
      <c r="D49" s="4"/>
      <c r="E49" s="4"/>
      <c r="F49" s="4"/>
      <c r="G49" s="4"/>
      <c r="H49" s="4"/>
      <c r="I49" s="4"/>
      <c r="J49" s="13" t="s">
        <v>909</v>
      </c>
      <c r="K49" s="5"/>
      <c r="L49" s="18">
        <f>SUM(L47-L48)</f>
        <v>74851</v>
      </c>
      <c r="M49" s="17"/>
      <c r="N49" s="17"/>
      <c r="O49" s="18">
        <f>SUM(O47-O48)</f>
        <v>56347</v>
      </c>
      <c r="P49" s="17"/>
      <c r="Q49" s="17"/>
      <c r="R49" s="18">
        <f>SUM(R47-R48)</f>
        <v>-24347</v>
      </c>
      <c r="S49" s="17"/>
      <c r="T49" s="17"/>
      <c r="U49" s="18">
        <f>SUM(U47-U48)</f>
        <v>-13919</v>
      </c>
      <c r="V49" s="17"/>
      <c r="W49" s="17"/>
      <c r="X49" s="18">
        <f>SUM(X47-X48)</f>
        <v>-16750</v>
      </c>
      <c r="Y49" s="17"/>
      <c r="Z49" s="17"/>
      <c r="AA49" s="18">
        <f>SUM(AA47-AA48)</f>
        <v>-14935</v>
      </c>
      <c r="AB49" s="17"/>
      <c r="AC49" s="17"/>
      <c r="AD49" s="4"/>
      <c r="AE49" s="4"/>
    </row>
    <row r="52" spans="3:31" x14ac:dyDescent="0.35">
      <c r="D52" s="50" t="s">
        <v>3</v>
      </c>
      <c r="E52" s="51" t="s">
        <v>4</v>
      </c>
      <c r="F52" s="51" t="s">
        <v>7</v>
      </c>
      <c r="G52" s="51" t="s">
        <v>8</v>
      </c>
      <c r="H52" s="51" t="s">
        <v>9</v>
      </c>
      <c r="I52" s="51" t="s">
        <v>829</v>
      </c>
      <c r="J52" s="51" t="s">
        <v>11</v>
      </c>
      <c r="K52" s="51" t="s">
        <v>12</v>
      </c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</row>
    <row r="53" spans="3:31" x14ac:dyDescent="0.35">
      <c r="D53" s="52"/>
      <c r="E53" s="52" t="s">
        <v>915</v>
      </c>
      <c r="F53" s="53">
        <v>110101</v>
      </c>
      <c r="G53" s="53">
        <v>97597</v>
      </c>
      <c r="H53" s="53">
        <v>5403</v>
      </c>
      <c r="I53" s="53">
        <v>146</v>
      </c>
      <c r="J53" s="53">
        <v>0</v>
      </c>
      <c r="K53" s="53">
        <v>765</v>
      </c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</row>
    <row r="54" spans="3:31" x14ac:dyDescent="0.35">
      <c r="D54" s="52"/>
      <c r="E54" s="52" t="s">
        <v>916</v>
      </c>
      <c r="F54" s="52"/>
      <c r="G54" s="52"/>
      <c r="H54" s="52"/>
      <c r="I54" s="52">
        <v>65</v>
      </c>
      <c r="J54" s="52"/>
      <c r="K54" s="52">
        <v>200</v>
      </c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Z54" s="19"/>
    </row>
    <row r="55" spans="3:31" x14ac:dyDescent="0.35">
      <c r="D55" s="52"/>
      <c r="E55" s="52"/>
      <c r="F55" s="52"/>
      <c r="G55" s="52"/>
      <c r="H55" s="52"/>
      <c r="I55" s="52"/>
      <c r="J55" s="52"/>
      <c r="K55" s="52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Z55" s="19"/>
    </row>
    <row r="56" spans="3:31" x14ac:dyDescent="0.35">
      <c r="E56" t="s">
        <v>13</v>
      </c>
      <c r="F56" s="54">
        <f t="shared" ref="F56:K56" si="6">SUM(F53-F54)</f>
        <v>110101</v>
      </c>
      <c r="G56" s="54">
        <f t="shared" si="6"/>
        <v>97597</v>
      </c>
      <c r="H56" s="54">
        <f t="shared" si="6"/>
        <v>5403</v>
      </c>
      <c r="I56" s="54">
        <f t="shared" si="6"/>
        <v>81</v>
      </c>
      <c r="J56" s="54">
        <f t="shared" si="6"/>
        <v>0</v>
      </c>
      <c r="K56" s="54">
        <f t="shared" si="6"/>
        <v>565</v>
      </c>
      <c r="M56" s="19"/>
      <c r="N56" s="19"/>
      <c r="O56" s="16"/>
      <c r="P56" s="16"/>
      <c r="Q56" s="16"/>
      <c r="R56" s="16"/>
      <c r="S56" s="16"/>
      <c r="T56" s="19"/>
      <c r="U56" s="19"/>
      <c r="V56" s="19"/>
      <c r="W56" s="19"/>
      <c r="X56" s="19"/>
      <c r="Z56" s="19"/>
    </row>
    <row r="57" spans="3:31" x14ac:dyDescent="0.35">
      <c r="M57" s="19"/>
      <c r="N57" s="19"/>
      <c r="O57" s="16"/>
      <c r="P57" s="16"/>
      <c r="Q57" s="16"/>
      <c r="R57" s="16"/>
      <c r="S57" s="16"/>
      <c r="T57" s="19"/>
      <c r="U57" s="19"/>
      <c r="V57" s="19"/>
      <c r="W57" s="19"/>
      <c r="X57" s="19"/>
      <c r="Z57" s="19"/>
    </row>
    <row r="58" spans="3:31" x14ac:dyDescent="0.35">
      <c r="O58" s="16"/>
      <c r="P58" s="16"/>
      <c r="Q58" s="16"/>
      <c r="R58" s="16"/>
      <c r="S58" s="16"/>
      <c r="T58" s="19"/>
      <c r="U58" s="19"/>
      <c r="V58" s="19"/>
      <c r="W58" s="19"/>
      <c r="X58" s="19"/>
      <c r="Y58" s="19"/>
      <c r="Z58" s="19"/>
    </row>
    <row r="59" spans="3:31" x14ac:dyDescent="0.35">
      <c r="O59" s="16"/>
      <c r="P59" s="16"/>
      <c r="Q59" s="16"/>
      <c r="R59" s="16"/>
      <c r="S59" s="16"/>
      <c r="T59" s="19"/>
      <c r="U59" s="19"/>
      <c r="V59" s="19"/>
      <c r="W59" s="19"/>
      <c r="X59" s="19"/>
      <c r="Y59" s="19"/>
      <c r="Z59" s="19"/>
    </row>
    <row r="60" spans="3:31" x14ac:dyDescent="0.35">
      <c r="O60" s="16"/>
      <c r="P60" s="16"/>
      <c r="Q60" s="16"/>
      <c r="R60" s="16"/>
      <c r="S60" s="16"/>
      <c r="T60" s="19"/>
      <c r="U60" s="19"/>
      <c r="V60" s="19"/>
      <c r="W60" s="19"/>
      <c r="X60" s="19"/>
      <c r="Y60" s="19"/>
      <c r="Z60" s="19"/>
    </row>
    <row r="61" spans="3:31" x14ac:dyDescent="0.35">
      <c r="O61" s="16"/>
      <c r="P61" s="16"/>
      <c r="Q61" s="16"/>
      <c r="R61" s="16"/>
      <c r="S61" s="16"/>
      <c r="T61" s="19"/>
      <c r="U61" s="19"/>
      <c r="V61" s="19"/>
      <c r="W61" s="19"/>
      <c r="X61" s="19"/>
      <c r="Y61" s="19"/>
      <c r="Z61" s="19"/>
    </row>
    <row r="62" spans="3:31" x14ac:dyDescent="0.35">
      <c r="O62" s="16"/>
      <c r="P62" s="16"/>
      <c r="Q62" s="16"/>
      <c r="R62" s="16"/>
      <c r="S62" s="16"/>
      <c r="T62" s="19"/>
      <c r="U62" s="19"/>
      <c r="V62" s="19"/>
      <c r="W62" s="19"/>
      <c r="X62" s="19"/>
      <c r="Y62" s="19"/>
      <c r="Z62" s="19"/>
    </row>
    <row r="63" spans="3:31" x14ac:dyDescent="0.35">
      <c r="O63" s="16"/>
      <c r="P63" s="16"/>
      <c r="Q63" s="16"/>
      <c r="R63" s="16"/>
      <c r="S63" s="16"/>
      <c r="T63" s="19"/>
      <c r="U63" s="19"/>
      <c r="V63" s="19"/>
      <c r="W63" s="19"/>
      <c r="X63" s="19"/>
      <c r="Y63" s="19"/>
      <c r="Z63" s="19"/>
    </row>
    <row r="64" spans="3:31" x14ac:dyDescent="0.35">
      <c r="O64" s="16"/>
      <c r="P64" s="16"/>
      <c r="Q64" s="16"/>
      <c r="R64" s="16"/>
      <c r="S64" s="16"/>
    </row>
    <row r="65" spans="15:20" x14ac:dyDescent="0.35">
      <c r="O65" s="16"/>
      <c r="P65" s="16"/>
      <c r="Q65" s="16"/>
      <c r="R65" s="16"/>
      <c r="S65" s="16"/>
    </row>
    <row r="66" spans="15:20" x14ac:dyDescent="0.35">
      <c r="O66" s="16"/>
      <c r="P66" s="16"/>
      <c r="Q66" s="16"/>
      <c r="R66" s="16"/>
      <c r="S66" s="16"/>
    </row>
    <row r="67" spans="15:20" x14ac:dyDescent="0.35">
      <c r="O67" s="16"/>
      <c r="P67" s="16"/>
      <c r="Q67" s="16"/>
      <c r="R67" s="16"/>
      <c r="S67" s="16"/>
    </row>
    <row r="68" spans="15:20" x14ac:dyDescent="0.35">
      <c r="O68" s="16"/>
      <c r="P68" s="16"/>
      <c r="Q68" s="16"/>
      <c r="R68" s="16"/>
      <c r="S68" s="16"/>
    </row>
    <row r="69" spans="15:20" x14ac:dyDescent="0.35">
      <c r="O69" s="16"/>
      <c r="P69" s="16"/>
      <c r="Q69" s="16"/>
      <c r="R69" s="16"/>
      <c r="S69" s="16"/>
    </row>
    <row r="70" spans="15:20" x14ac:dyDescent="0.35">
      <c r="O70" s="16"/>
      <c r="P70" s="16"/>
      <c r="Q70" s="16"/>
      <c r="R70" s="16"/>
      <c r="S70" s="16"/>
    </row>
    <row r="71" spans="15:20" x14ac:dyDescent="0.35">
      <c r="O71" s="16"/>
      <c r="P71" s="16"/>
      <c r="Q71" s="16"/>
      <c r="R71" s="16"/>
      <c r="S71" s="16"/>
    </row>
    <row r="72" spans="15:20" x14ac:dyDescent="0.35">
      <c r="O72" s="16"/>
      <c r="P72" s="16"/>
      <c r="Q72" s="16"/>
      <c r="R72" s="16"/>
      <c r="S72" s="16"/>
    </row>
    <row r="73" spans="15:20" x14ac:dyDescent="0.35">
      <c r="O73" s="16"/>
      <c r="P73" s="16"/>
      <c r="Q73" s="16"/>
      <c r="R73" s="16"/>
      <c r="S73" s="16"/>
    </row>
    <row r="74" spans="15:20" x14ac:dyDescent="0.35">
      <c r="O74" s="16"/>
      <c r="P74" s="16"/>
      <c r="Q74" s="16"/>
      <c r="R74" s="16"/>
      <c r="S74" s="16"/>
    </row>
    <row r="75" spans="15:20" x14ac:dyDescent="0.35">
      <c r="O75" s="16"/>
      <c r="P75" s="16"/>
      <c r="Q75" s="16"/>
      <c r="R75" s="16"/>
      <c r="S75" s="16"/>
    </row>
    <row r="76" spans="15:20" x14ac:dyDescent="0.35">
      <c r="O76" s="16"/>
      <c r="P76" s="16"/>
      <c r="Q76" s="16"/>
      <c r="R76" s="16"/>
      <c r="S76" s="16"/>
    </row>
    <row r="77" spans="15:20" x14ac:dyDescent="0.35">
      <c r="O77" s="16"/>
      <c r="P77" s="16"/>
      <c r="Q77" s="16"/>
      <c r="R77" s="16"/>
      <c r="S77" s="16"/>
    </row>
    <row r="78" spans="15:20" x14ac:dyDescent="0.35">
      <c r="O78" s="16"/>
      <c r="P78" s="16"/>
      <c r="Q78" s="16"/>
      <c r="R78" s="16"/>
      <c r="S78" s="16"/>
    </row>
    <row r="79" spans="15:20" x14ac:dyDescent="0.35">
      <c r="O79" s="5"/>
      <c r="P79" s="5"/>
      <c r="Q79" s="5"/>
      <c r="R79" s="5"/>
      <c r="S79" s="5"/>
      <c r="T79" s="5"/>
    </row>
  </sheetData>
  <autoFilter ref="A3:AE45" xr:uid="{DA27E528-81DD-4AFD-87A0-9F38FE851C68}"/>
  <pageMargins left="0.7" right="0.7" top="0.75" bottom="0.75" header="0.3" footer="0.3"/>
  <pageSetup paperSize="5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651E5-1CE5-459A-A0D7-0D3871969844}">
  <sheetPr codeName="Sheet11"/>
  <dimension ref="A1:XFB55"/>
  <sheetViews>
    <sheetView topLeftCell="A22" workbookViewId="0">
      <selection activeCell="E45" sqref="E45"/>
    </sheetView>
  </sheetViews>
  <sheetFormatPr defaultRowHeight="14.5" x14ac:dyDescent="0.35"/>
  <cols>
    <col min="3" max="3" width="77.1796875" bestFit="1" customWidth="1"/>
  </cols>
  <sheetData>
    <row r="1" spans="1:16382" x14ac:dyDescent="0.35">
      <c r="A1" s="3" t="s">
        <v>0</v>
      </c>
      <c r="B1" s="43">
        <v>44369</v>
      </c>
      <c r="C1" s="3"/>
      <c r="D1" s="1"/>
      <c r="N1" s="3"/>
      <c r="O1" s="14"/>
      <c r="Q1" s="3"/>
      <c r="R1" s="14"/>
      <c r="T1" s="3"/>
      <c r="U1" s="14"/>
      <c r="W1" s="3"/>
      <c r="X1" s="14"/>
      <c r="Z1" s="3"/>
      <c r="AA1" s="14"/>
      <c r="AC1" s="3"/>
      <c r="AD1" s="14"/>
    </row>
    <row r="2" spans="1:16382" x14ac:dyDescent="0.35">
      <c r="M2" t="s">
        <v>638</v>
      </c>
      <c r="N2" s="3" t="s">
        <v>639</v>
      </c>
      <c r="O2" s="14"/>
      <c r="P2" t="s">
        <v>638</v>
      </c>
      <c r="Q2" s="3" t="s">
        <v>639</v>
      </c>
      <c r="R2" s="14"/>
      <c r="S2" t="s">
        <v>638</v>
      </c>
      <c r="T2" s="3" t="s">
        <v>639</v>
      </c>
      <c r="U2" s="14"/>
      <c r="V2" t="s">
        <v>638</v>
      </c>
      <c r="W2" s="3" t="s">
        <v>639</v>
      </c>
      <c r="X2" s="14"/>
      <c r="Y2" t="s">
        <v>638</v>
      </c>
      <c r="Z2" s="3" t="s">
        <v>639</v>
      </c>
      <c r="AA2" s="14"/>
      <c r="AB2" t="s">
        <v>638</v>
      </c>
      <c r="AC2" s="3" t="s">
        <v>639</v>
      </c>
      <c r="AD2" s="14"/>
    </row>
    <row r="3" spans="1:16382" x14ac:dyDescent="0.35">
      <c r="A3" t="s">
        <v>904</v>
      </c>
      <c r="B3" t="s">
        <v>905</v>
      </c>
      <c r="C3" t="s">
        <v>55</v>
      </c>
      <c r="D3" t="s">
        <v>56</v>
      </c>
      <c r="E3" t="s">
        <v>57</v>
      </c>
      <c r="F3" t="s">
        <v>58</v>
      </c>
      <c r="G3" t="s">
        <v>59</v>
      </c>
      <c r="H3" t="s">
        <v>60</v>
      </c>
      <c r="I3" t="s">
        <v>61</v>
      </c>
      <c r="J3" t="s">
        <v>62</v>
      </c>
      <c r="K3" t="s">
        <v>63</v>
      </c>
      <c r="L3" t="s">
        <v>64</v>
      </c>
      <c r="M3" s="3" t="s">
        <v>64</v>
      </c>
      <c r="N3" s="14" t="s">
        <v>65</v>
      </c>
      <c r="O3" t="s">
        <v>66</v>
      </c>
      <c r="P3" s="3" t="s">
        <v>66</v>
      </c>
      <c r="Q3" s="14" t="s">
        <v>65</v>
      </c>
      <c r="R3" t="s">
        <v>67</v>
      </c>
      <c r="S3" s="3" t="s">
        <v>67</v>
      </c>
      <c r="T3" s="14" t="s">
        <v>65</v>
      </c>
      <c r="U3" t="s">
        <v>10</v>
      </c>
      <c r="V3" s="3" t="s">
        <v>10</v>
      </c>
      <c r="W3" s="14" t="s">
        <v>65</v>
      </c>
      <c r="X3" t="s">
        <v>68</v>
      </c>
      <c r="Y3" s="3" t="s">
        <v>68</v>
      </c>
      <c r="Z3" s="14" t="s">
        <v>65</v>
      </c>
      <c r="AA3" t="s">
        <v>69</v>
      </c>
      <c r="AB3" s="3" t="s">
        <v>69</v>
      </c>
      <c r="AC3" s="14" t="s">
        <v>65</v>
      </c>
      <c r="AD3" t="s">
        <v>73</v>
      </c>
    </row>
    <row r="4" spans="1:16382" x14ac:dyDescent="0.35">
      <c r="C4" s="25" t="s">
        <v>625</v>
      </c>
      <c r="D4" s="26" t="s">
        <v>626</v>
      </c>
      <c r="E4" s="26" t="s">
        <v>627</v>
      </c>
      <c r="F4" s="26" t="s">
        <v>628</v>
      </c>
      <c r="G4" s="26" t="s">
        <v>629</v>
      </c>
      <c r="H4" s="26" t="s">
        <v>630</v>
      </c>
      <c r="I4" s="26" t="s">
        <v>160</v>
      </c>
      <c r="J4" s="27" t="s">
        <v>631</v>
      </c>
      <c r="K4" s="26" t="s">
        <v>82</v>
      </c>
      <c r="L4" s="34">
        <v>2250</v>
      </c>
      <c r="M4" s="34">
        <v>2250</v>
      </c>
      <c r="N4" s="16">
        <f>SUM($L$39/(SUM($M$4:$M$111)))*M4</f>
        <v>8839.3846153846152</v>
      </c>
      <c r="O4" s="34">
        <v>2250</v>
      </c>
      <c r="P4" s="34">
        <v>2250</v>
      </c>
      <c r="Q4" s="16">
        <f>SUM($O$39/(SUM($P$4:$P$111)))*P4</f>
        <v>2934.782608695652</v>
      </c>
      <c r="R4" s="34">
        <v>2250</v>
      </c>
      <c r="S4" s="34">
        <v>2250</v>
      </c>
      <c r="T4" s="16">
        <f>SUM($R$39/(SUM($S$4:$S$111)))*S4</f>
        <v>2124.5901639344261</v>
      </c>
      <c r="U4" s="34">
        <v>0</v>
      </c>
      <c r="V4" s="34">
        <v>0</v>
      </c>
      <c r="W4" s="16">
        <f>SUM($U$39/(SUM($V$4:$V$111)))*V4</f>
        <v>0</v>
      </c>
      <c r="X4" s="34">
        <v>500</v>
      </c>
      <c r="Y4" s="34">
        <v>500</v>
      </c>
      <c r="Z4" s="16">
        <f>SUM($X$55/(SUM($Y$4:$Y$127)))*Y4</f>
        <v>0</v>
      </c>
      <c r="AA4" s="34">
        <v>500</v>
      </c>
      <c r="AB4" s="34">
        <v>500</v>
      </c>
      <c r="AC4" s="16">
        <f>SUM($AA$39/(SUM($AB$4:$AB$111)))*AB4</f>
        <v>14.814814814814815</v>
      </c>
      <c r="AD4" s="31" t="s">
        <v>82</v>
      </c>
      <c r="AE4" s="5">
        <v>1</v>
      </c>
    </row>
    <row r="5" spans="1:16382" x14ac:dyDescent="0.35">
      <c r="C5" s="28" t="s">
        <v>162</v>
      </c>
      <c r="D5" s="29" t="s">
        <v>163</v>
      </c>
      <c r="E5" s="29" t="s">
        <v>164</v>
      </c>
      <c r="F5" s="29" t="s">
        <v>165</v>
      </c>
      <c r="G5" s="29" t="s">
        <v>166</v>
      </c>
      <c r="H5" s="29" t="s">
        <v>167</v>
      </c>
      <c r="I5" s="29" t="s">
        <v>168</v>
      </c>
      <c r="J5" s="30" t="s">
        <v>169</v>
      </c>
      <c r="K5" s="29" t="s">
        <v>82</v>
      </c>
      <c r="L5" s="35">
        <v>500</v>
      </c>
      <c r="M5" s="35">
        <v>500</v>
      </c>
      <c r="N5" s="16">
        <f t="shared" ref="N5:N32" si="0">SUM($L$39/(SUM($M$4:$M$111)))*M5</f>
        <v>1964.3076923076924</v>
      </c>
      <c r="O5" s="35">
        <v>1000</v>
      </c>
      <c r="P5" s="35">
        <v>1000</v>
      </c>
      <c r="Q5" s="16">
        <f t="shared" ref="Q5:Q32" si="1">SUM($O$39/(SUM($P$4:$P$111)))*P5</f>
        <v>1304.3478260869565</v>
      </c>
      <c r="R5" s="35">
        <v>500</v>
      </c>
      <c r="S5" s="35">
        <v>500</v>
      </c>
      <c r="T5" s="16">
        <f t="shared" ref="T5:T32" si="2">SUM($R$39/(SUM($S$4:$S$111)))*S5</f>
        <v>472.13114754098365</v>
      </c>
      <c r="U5" s="35">
        <v>0</v>
      </c>
      <c r="V5" s="35">
        <v>0</v>
      </c>
      <c r="W5" s="16">
        <f t="shared" ref="W5:W32" si="3">SUM($U$39/(SUM($V$4:$V$111)))*V5</f>
        <v>0</v>
      </c>
      <c r="X5" s="35">
        <v>500</v>
      </c>
      <c r="Y5" s="35">
        <v>500</v>
      </c>
      <c r="Z5" s="16">
        <f t="shared" ref="Z5:Z32" si="4">SUM($X$55/(SUM($Y$4:$Y$127)))*Y5</f>
        <v>0</v>
      </c>
      <c r="AA5" s="35">
        <v>500</v>
      </c>
      <c r="AB5" s="35">
        <v>500</v>
      </c>
      <c r="AC5" s="16">
        <f t="shared" ref="AC5:AC32" si="5">SUM($AA$39/(SUM($AB$4:$AB$111)))*AB5</f>
        <v>14.814814814814815</v>
      </c>
      <c r="AD5" s="32" t="s">
        <v>82</v>
      </c>
      <c r="AE5" s="5">
        <v>1</v>
      </c>
    </row>
    <row r="6" spans="1:16382" x14ac:dyDescent="0.35">
      <c r="C6" s="25" t="s">
        <v>170</v>
      </c>
      <c r="D6" s="26" t="s">
        <v>163</v>
      </c>
      <c r="E6" s="26" t="s">
        <v>171</v>
      </c>
      <c r="F6" s="26" t="s">
        <v>172</v>
      </c>
      <c r="G6" s="26" t="s">
        <v>173</v>
      </c>
      <c r="H6" s="26" t="s">
        <v>174</v>
      </c>
      <c r="I6" s="26" t="s">
        <v>168</v>
      </c>
      <c r="J6" s="27" t="s">
        <v>175</v>
      </c>
      <c r="K6" s="26" t="s">
        <v>82</v>
      </c>
      <c r="L6" s="34">
        <v>500</v>
      </c>
      <c r="M6" s="34">
        <v>500</v>
      </c>
      <c r="N6" s="16">
        <f t="shared" si="0"/>
        <v>1964.3076923076924</v>
      </c>
      <c r="O6" s="34">
        <v>1500</v>
      </c>
      <c r="P6" s="34">
        <v>1500</v>
      </c>
      <c r="Q6" s="16">
        <f t="shared" si="1"/>
        <v>1956.5217391304348</v>
      </c>
      <c r="R6" s="34">
        <v>1000</v>
      </c>
      <c r="S6" s="34">
        <v>1000</v>
      </c>
      <c r="T6" s="16">
        <f t="shared" si="2"/>
        <v>944.2622950819673</v>
      </c>
      <c r="U6" s="34">
        <v>0</v>
      </c>
      <c r="V6" s="34">
        <v>0</v>
      </c>
      <c r="W6" s="16">
        <f t="shared" si="3"/>
        <v>0</v>
      </c>
      <c r="X6" s="34">
        <v>500</v>
      </c>
      <c r="Y6" s="34">
        <v>500</v>
      </c>
      <c r="Z6" s="16">
        <f t="shared" si="4"/>
        <v>0</v>
      </c>
      <c r="AA6" s="34">
        <v>500</v>
      </c>
      <c r="AB6" s="34">
        <v>500</v>
      </c>
      <c r="AC6" s="16">
        <f t="shared" si="5"/>
        <v>14.814814814814815</v>
      </c>
      <c r="AD6" s="31" t="s">
        <v>82</v>
      </c>
      <c r="AE6" s="5">
        <v>1</v>
      </c>
    </row>
    <row r="7" spans="1:16382" x14ac:dyDescent="0.35">
      <c r="B7" t="s">
        <v>914</v>
      </c>
      <c r="C7" s="25" t="s">
        <v>176</v>
      </c>
      <c r="D7" s="26" t="s">
        <v>177</v>
      </c>
      <c r="E7" s="26" t="s">
        <v>178</v>
      </c>
      <c r="F7" s="26" t="s">
        <v>179</v>
      </c>
      <c r="G7" s="26" t="s">
        <v>180</v>
      </c>
      <c r="H7" s="26" t="s">
        <v>181</v>
      </c>
      <c r="I7" s="26" t="s">
        <v>182</v>
      </c>
      <c r="J7" s="27" t="s">
        <v>183</v>
      </c>
      <c r="K7" s="26" t="s">
        <v>82</v>
      </c>
      <c r="L7" s="34">
        <v>2250</v>
      </c>
      <c r="M7" s="34">
        <v>2250</v>
      </c>
      <c r="N7" s="16">
        <f t="shared" si="0"/>
        <v>8839.3846153846152</v>
      </c>
      <c r="O7" s="34">
        <v>500</v>
      </c>
      <c r="P7" s="34">
        <v>500</v>
      </c>
      <c r="Q7" s="16">
        <f t="shared" si="1"/>
        <v>652.17391304347825</v>
      </c>
      <c r="R7" s="34">
        <v>0</v>
      </c>
      <c r="S7" s="34">
        <v>0</v>
      </c>
      <c r="T7" s="16">
        <f t="shared" si="2"/>
        <v>0</v>
      </c>
      <c r="U7" s="34">
        <v>0</v>
      </c>
      <c r="V7" s="34">
        <v>0</v>
      </c>
      <c r="W7" s="16">
        <f t="shared" si="3"/>
        <v>0</v>
      </c>
      <c r="X7" s="34">
        <v>500</v>
      </c>
      <c r="Y7" s="34">
        <v>500</v>
      </c>
      <c r="Z7" s="16">
        <f t="shared" si="4"/>
        <v>0</v>
      </c>
      <c r="AA7" s="34">
        <v>0</v>
      </c>
      <c r="AB7" s="34">
        <v>0</v>
      </c>
      <c r="AC7" s="16">
        <f t="shared" si="5"/>
        <v>0</v>
      </c>
      <c r="AD7" s="31" t="s">
        <v>82</v>
      </c>
      <c r="AE7" s="5">
        <v>1</v>
      </c>
    </row>
    <row r="8" spans="1:16382" x14ac:dyDescent="0.35">
      <c r="B8" t="s">
        <v>914</v>
      </c>
      <c r="C8" s="28" t="s">
        <v>260</v>
      </c>
      <c r="D8" s="29" t="s">
        <v>261</v>
      </c>
      <c r="E8" s="29" t="s">
        <v>262</v>
      </c>
      <c r="F8" s="29" t="s">
        <v>263</v>
      </c>
      <c r="G8" s="29" t="s">
        <v>264</v>
      </c>
      <c r="H8" s="29" t="s">
        <v>265</v>
      </c>
      <c r="I8" s="29" t="s">
        <v>266</v>
      </c>
      <c r="J8" s="30" t="s">
        <v>267</v>
      </c>
      <c r="K8" s="29" t="s">
        <v>82</v>
      </c>
      <c r="L8" s="35">
        <v>2250</v>
      </c>
      <c r="M8" s="35">
        <v>2250</v>
      </c>
      <c r="N8" s="16">
        <f t="shared" si="0"/>
        <v>8839.3846153846152</v>
      </c>
      <c r="O8" s="35">
        <v>2250</v>
      </c>
      <c r="P8" s="35">
        <v>2250</v>
      </c>
      <c r="Q8" s="16">
        <f t="shared" si="1"/>
        <v>2934.782608695652</v>
      </c>
      <c r="R8" s="35">
        <v>2250</v>
      </c>
      <c r="S8" s="35">
        <v>2250</v>
      </c>
      <c r="T8" s="16">
        <f t="shared" si="2"/>
        <v>2124.5901639344261</v>
      </c>
      <c r="U8" s="35">
        <v>500</v>
      </c>
      <c r="V8" s="35">
        <v>500</v>
      </c>
      <c r="W8" s="16">
        <f t="shared" si="3"/>
        <v>3.3333333333333335</v>
      </c>
      <c r="X8" s="35">
        <v>500</v>
      </c>
      <c r="Y8" s="35">
        <v>500</v>
      </c>
      <c r="Z8" s="16">
        <f t="shared" si="4"/>
        <v>0</v>
      </c>
      <c r="AA8" s="35">
        <v>500</v>
      </c>
      <c r="AB8" s="35">
        <v>500</v>
      </c>
      <c r="AC8" s="16">
        <f t="shared" si="5"/>
        <v>14.814814814814815</v>
      </c>
      <c r="AD8" s="32" t="s">
        <v>82</v>
      </c>
      <c r="AE8" s="5">
        <v>1</v>
      </c>
    </row>
    <row r="9" spans="1:16382" x14ac:dyDescent="0.35">
      <c r="B9" t="s">
        <v>914</v>
      </c>
      <c r="C9" s="28" t="s">
        <v>324</v>
      </c>
      <c r="D9" s="29" t="s">
        <v>325</v>
      </c>
      <c r="E9" s="29" t="s">
        <v>326</v>
      </c>
      <c r="F9" s="29" t="s">
        <v>327</v>
      </c>
      <c r="G9" s="29" t="s">
        <v>328</v>
      </c>
      <c r="H9" s="29" t="s">
        <v>329</v>
      </c>
      <c r="I9" s="29" t="s">
        <v>160</v>
      </c>
      <c r="J9" s="30" t="s">
        <v>330</v>
      </c>
      <c r="K9" s="29" t="s">
        <v>82</v>
      </c>
      <c r="L9" s="35">
        <v>2250</v>
      </c>
      <c r="M9" s="35">
        <v>2250</v>
      </c>
      <c r="N9" s="16">
        <f t="shared" si="0"/>
        <v>8839.3846153846152</v>
      </c>
      <c r="O9" s="35">
        <v>2250</v>
      </c>
      <c r="P9" s="35">
        <v>2250</v>
      </c>
      <c r="Q9" s="16">
        <f t="shared" si="1"/>
        <v>2934.782608695652</v>
      </c>
      <c r="R9" s="35">
        <v>2250</v>
      </c>
      <c r="S9" s="35">
        <v>2250</v>
      </c>
      <c r="T9" s="16">
        <f t="shared" si="2"/>
        <v>2124.5901639344261</v>
      </c>
      <c r="U9" s="35">
        <v>2250</v>
      </c>
      <c r="V9" s="35">
        <v>2250</v>
      </c>
      <c r="W9" s="16">
        <f t="shared" si="3"/>
        <v>15.000000000000002</v>
      </c>
      <c r="X9" s="35">
        <v>0</v>
      </c>
      <c r="Y9" s="35">
        <v>0</v>
      </c>
      <c r="Z9" s="16">
        <f t="shared" si="4"/>
        <v>0</v>
      </c>
      <c r="AA9" s="35">
        <v>500</v>
      </c>
      <c r="AB9" s="35">
        <v>500</v>
      </c>
      <c r="AC9" s="16">
        <f t="shared" si="5"/>
        <v>14.814814814814815</v>
      </c>
      <c r="AD9" s="32" t="s">
        <v>82</v>
      </c>
      <c r="AE9" s="5">
        <v>1</v>
      </c>
    </row>
    <row r="10" spans="1:16382" x14ac:dyDescent="0.35">
      <c r="B10" t="s">
        <v>914</v>
      </c>
      <c r="C10" s="25" t="s">
        <v>598</v>
      </c>
      <c r="D10" s="26" t="s">
        <v>599</v>
      </c>
      <c r="E10" s="26" t="s">
        <v>600</v>
      </c>
      <c r="F10" s="26" t="s">
        <v>601</v>
      </c>
      <c r="G10" s="26" t="s">
        <v>602</v>
      </c>
      <c r="H10" s="26" t="s">
        <v>603</v>
      </c>
      <c r="I10" s="26" t="s">
        <v>212</v>
      </c>
      <c r="J10" s="27" t="s">
        <v>604</v>
      </c>
      <c r="K10" s="26" t="s">
        <v>82</v>
      </c>
      <c r="L10" s="34">
        <v>2250</v>
      </c>
      <c r="M10" s="34">
        <v>2250</v>
      </c>
      <c r="N10" s="16">
        <f t="shared" si="0"/>
        <v>8839.3846153846152</v>
      </c>
      <c r="O10" s="34">
        <v>2250</v>
      </c>
      <c r="P10" s="34">
        <v>2250</v>
      </c>
      <c r="Q10" s="16">
        <f t="shared" si="1"/>
        <v>2934.782608695652</v>
      </c>
      <c r="R10" s="34">
        <v>2250</v>
      </c>
      <c r="S10" s="34">
        <v>2250</v>
      </c>
      <c r="T10" s="16">
        <f t="shared" si="2"/>
        <v>2124.5901639344261</v>
      </c>
      <c r="U10" s="34">
        <v>2250</v>
      </c>
      <c r="V10" s="34">
        <v>2250</v>
      </c>
      <c r="W10" s="16">
        <f t="shared" si="3"/>
        <v>15.000000000000002</v>
      </c>
      <c r="X10" s="34">
        <v>2250</v>
      </c>
      <c r="Y10" s="34">
        <v>2250</v>
      </c>
      <c r="Z10" s="16">
        <f t="shared" si="4"/>
        <v>0</v>
      </c>
      <c r="AA10" s="34">
        <v>2250</v>
      </c>
      <c r="AB10" s="34">
        <v>2250</v>
      </c>
      <c r="AC10" s="16">
        <f t="shared" si="5"/>
        <v>66.666666666666671</v>
      </c>
      <c r="AD10" s="31" t="s">
        <v>82</v>
      </c>
      <c r="AE10" s="5">
        <v>1</v>
      </c>
    </row>
    <row r="11" spans="1:16382" x14ac:dyDescent="0.35">
      <c r="B11" t="s">
        <v>914</v>
      </c>
      <c r="C11" s="25" t="s">
        <v>253</v>
      </c>
      <c r="D11" s="26" t="s">
        <v>254</v>
      </c>
      <c r="E11" s="26" t="s">
        <v>255</v>
      </c>
      <c r="F11" s="26" t="s">
        <v>256</v>
      </c>
      <c r="G11" s="26"/>
      <c r="H11" s="26" t="s">
        <v>257</v>
      </c>
      <c r="I11" s="26" t="s">
        <v>258</v>
      </c>
      <c r="J11" s="27" t="s">
        <v>259</v>
      </c>
      <c r="K11" s="26" t="s">
        <v>82</v>
      </c>
      <c r="L11" s="34">
        <v>2250</v>
      </c>
      <c r="M11" s="34">
        <v>2250</v>
      </c>
      <c r="N11" s="16">
        <f t="shared" si="0"/>
        <v>8839.3846153846152</v>
      </c>
      <c r="O11" s="34">
        <v>2250</v>
      </c>
      <c r="P11" s="34">
        <v>2250</v>
      </c>
      <c r="Q11" s="16">
        <f t="shared" si="1"/>
        <v>2934.782608695652</v>
      </c>
      <c r="R11" s="34">
        <v>1000</v>
      </c>
      <c r="S11" s="34">
        <v>1000</v>
      </c>
      <c r="T11" s="16">
        <f t="shared" si="2"/>
        <v>944.2622950819673</v>
      </c>
      <c r="U11" s="34">
        <v>0</v>
      </c>
      <c r="V11" s="34">
        <v>0</v>
      </c>
      <c r="W11" s="16">
        <f t="shared" si="3"/>
        <v>0</v>
      </c>
      <c r="X11" s="34">
        <v>0</v>
      </c>
      <c r="Y11" s="34">
        <v>0</v>
      </c>
      <c r="Z11" s="16">
        <f t="shared" si="4"/>
        <v>0</v>
      </c>
      <c r="AA11" s="34">
        <v>0</v>
      </c>
      <c r="AB11" s="34">
        <v>0</v>
      </c>
      <c r="AC11" s="16">
        <f t="shared" si="5"/>
        <v>0</v>
      </c>
      <c r="AD11" s="31" t="s">
        <v>82</v>
      </c>
      <c r="AE11" s="5">
        <v>1</v>
      </c>
    </row>
    <row r="12" spans="1:16382" x14ac:dyDescent="0.35">
      <c r="B12" t="s">
        <v>914</v>
      </c>
      <c r="C12" s="25" t="s">
        <v>309</v>
      </c>
      <c r="D12" s="26" t="s">
        <v>310</v>
      </c>
      <c r="E12" s="26" t="s">
        <v>311</v>
      </c>
      <c r="F12" s="26" t="s">
        <v>312</v>
      </c>
      <c r="G12" s="26" t="s">
        <v>313</v>
      </c>
      <c r="H12" s="26" t="s">
        <v>314</v>
      </c>
      <c r="I12" s="26" t="s">
        <v>315</v>
      </c>
      <c r="J12" s="27" t="s">
        <v>316</v>
      </c>
      <c r="K12" s="26" t="s">
        <v>82</v>
      </c>
      <c r="L12" s="34">
        <v>2250</v>
      </c>
      <c r="M12" s="34">
        <v>2250</v>
      </c>
      <c r="N12" s="16">
        <f t="shared" si="0"/>
        <v>8839.3846153846152</v>
      </c>
      <c r="O12" s="34">
        <v>2250</v>
      </c>
      <c r="P12" s="34">
        <v>2250</v>
      </c>
      <c r="Q12" s="16">
        <f t="shared" si="1"/>
        <v>2934.782608695652</v>
      </c>
      <c r="R12" s="34">
        <v>2250</v>
      </c>
      <c r="S12" s="34">
        <v>2250</v>
      </c>
      <c r="T12" s="16">
        <f t="shared" si="2"/>
        <v>2124.5901639344261</v>
      </c>
      <c r="U12" s="34">
        <v>0</v>
      </c>
      <c r="V12" s="34">
        <v>0</v>
      </c>
      <c r="W12" s="16">
        <f t="shared" si="3"/>
        <v>0</v>
      </c>
      <c r="X12" s="34">
        <v>0</v>
      </c>
      <c r="Y12" s="34">
        <v>0</v>
      </c>
      <c r="Z12" s="16">
        <f t="shared" si="4"/>
        <v>0</v>
      </c>
      <c r="AA12" s="34">
        <v>0</v>
      </c>
      <c r="AB12" s="34">
        <v>0</v>
      </c>
      <c r="AC12" s="16">
        <f t="shared" si="5"/>
        <v>0</v>
      </c>
      <c r="AD12" s="31" t="s">
        <v>82</v>
      </c>
      <c r="AE12" s="5">
        <v>1</v>
      </c>
    </row>
    <row r="13" spans="1:16382" s="44" customFormat="1" x14ac:dyDescent="0.35">
      <c r="A13"/>
      <c r="B13" t="s">
        <v>914</v>
      </c>
      <c r="C13" s="28" t="s">
        <v>331</v>
      </c>
      <c r="D13" s="29" t="s">
        <v>332</v>
      </c>
      <c r="E13" s="29" t="s">
        <v>333</v>
      </c>
      <c r="F13" s="29" t="s">
        <v>334</v>
      </c>
      <c r="G13" s="29" t="s">
        <v>335</v>
      </c>
      <c r="H13" s="29" t="s">
        <v>336</v>
      </c>
      <c r="I13" s="29" t="s">
        <v>160</v>
      </c>
      <c r="J13" s="30" t="s">
        <v>337</v>
      </c>
      <c r="K13" s="29" t="s">
        <v>82</v>
      </c>
      <c r="L13" s="35">
        <v>1000</v>
      </c>
      <c r="M13" s="35">
        <v>1000</v>
      </c>
      <c r="N13" s="16">
        <f t="shared" si="0"/>
        <v>3928.6153846153848</v>
      </c>
      <c r="O13" s="35">
        <v>500</v>
      </c>
      <c r="P13" s="35">
        <v>500</v>
      </c>
      <c r="Q13" s="16">
        <f t="shared" si="1"/>
        <v>652.17391304347825</v>
      </c>
      <c r="R13" s="35">
        <v>1000</v>
      </c>
      <c r="S13" s="35">
        <v>1000</v>
      </c>
      <c r="T13" s="16">
        <f t="shared" si="2"/>
        <v>944.2622950819673</v>
      </c>
      <c r="U13" s="35">
        <v>500</v>
      </c>
      <c r="V13" s="35">
        <v>500</v>
      </c>
      <c r="W13" s="16">
        <f t="shared" si="3"/>
        <v>3.3333333333333335</v>
      </c>
      <c r="X13" s="35">
        <v>500</v>
      </c>
      <c r="Y13" s="35">
        <v>500</v>
      </c>
      <c r="Z13" s="16">
        <f t="shared" si="4"/>
        <v>0</v>
      </c>
      <c r="AA13" s="35">
        <v>0</v>
      </c>
      <c r="AB13" s="35">
        <v>0</v>
      </c>
      <c r="AC13" s="16">
        <f t="shared" si="5"/>
        <v>0</v>
      </c>
      <c r="AD13" s="32" t="s">
        <v>82</v>
      </c>
      <c r="AE13" s="5">
        <v>1</v>
      </c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  <c r="AJY13"/>
      <c r="AJZ13"/>
      <c r="AKA13"/>
      <c r="AKB13"/>
      <c r="AKC13"/>
      <c r="AKD13"/>
      <c r="AKE13"/>
      <c r="AKF13"/>
      <c r="AKG13"/>
      <c r="AKH13"/>
      <c r="AKI13"/>
      <c r="AKJ13"/>
      <c r="AKK13"/>
      <c r="AKL13"/>
      <c r="AKM13"/>
      <c r="AKN13"/>
      <c r="AKO13"/>
      <c r="AKP13"/>
      <c r="AKQ13"/>
      <c r="AKR13"/>
      <c r="AKS13"/>
      <c r="AKT13"/>
      <c r="AKU13"/>
      <c r="AKV13"/>
      <c r="AKW13"/>
      <c r="AKX13"/>
      <c r="AKY13"/>
      <c r="AKZ13"/>
      <c r="ALA13"/>
      <c r="ALB13"/>
      <c r="ALC13"/>
      <c r="ALD13"/>
      <c r="ALE13"/>
      <c r="ALF13"/>
      <c r="ALG13"/>
      <c r="ALH13"/>
      <c r="ALI13"/>
      <c r="ALJ13"/>
      <c r="ALK13"/>
      <c r="ALL13"/>
      <c r="ALM13"/>
      <c r="ALN13"/>
      <c r="ALO13"/>
      <c r="ALP13"/>
      <c r="ALQ13"/>
      <c r="ALR13"/>
      <c r="ALS13"/>
      <c r="ALT13"/>
      <c r="ALU13"/>
      <c r="ALV13"/>
      <c r="ALW13"/>
      <c r="ALX13"/>
      <c r="ALY13"/>
      <c r="ALZ13"/>
      <c r="AMA13"/>
      <c r="AMB13"/>
      <c r="AMC13"/>
      <c r="AMD13"/>
      <c r="AME13"/>
      <c r="AMF13"/>
      <c r="AMG13"/>
      <c r="AMH13"/>
      <c r="AMI13"/>
      <c r="AMJ13"/>
      <c r="AMK13"/>
      <c r="AML13"/>
      <c r="AMM13"/>
      <c r="AMN13"/>
      <c r="AMO13"/>
      <c r="AMP13"/>
      <c r="AMQ13"/>
      <c r="AMR13"/>
      <c r="AMS13"/>
      <c r="AMT13"/>
      <c r="AMU13"/>
      <c r="AMV13"/>
      <c r="AMW13"/>
      <c r="AMX13"/>
      <c r="AMY13"/>
      <c r="AMZ13"/>
      <c r="ANA13"/>
      <c r="ANB13"/>
      <c r="ANC13"/>
      <c r="AND13"/>
      <c r="ANE13"/>
      <c r="ANF13"/>
      <c r="ANG13"/>
      <c r="ANH13"/>
      <c r="ANI13"/>
      <c r="ANJ13"/>
      <c r="ANK13"/>
      <c r="ANL13"/>
      <c r="ANM13"/>
      <c r="ANN13"/>
      <c r="ANO13"/>
      <c r="ANP13"/>
      <c r="ANQ13"/>
      <c r="ANR13"/>
      <c r="ANS13"/>
      <c r="ANT13"/>
      <c r="ANU13"/>
      <c r="ANV13"/>
      <c r="ANW13"/>
      <c r="ANX13"/>
      <c r="ANY13"/>
      <c r="ANZ13"/>
      <c r="AOA13"/>
      <c r="AOB13"/>
      <c r="AOC13"/>
      <c r="AOD13"/>
      <c r="AOE13"/>
      <c r="AOF13"/>
      <c r="AOG13"/>
      <c r="AOH13"/>
      <c r="AOI13"/>
      <c r="AOJ13"/>
      <c r="AOK13"/>
      <c r="AOL13"/>
      <c r="AOM13"/>
      <c r="AON13"/>
      <c r="AOO13"/>
      <c r="AOP13"/>
      <c r="AOQ13"/>
      <c r="AOR13"/>
      <c r="AOS13"/>
      <c r="AOT13"/>
      <c r="AOU13"/>
      <c r="AOV13"/>
      <c r="AOW13"/>
      <c r="AOX13"/>
      <c r="AOY13"/>
      <c r="AOZ13"/>
      <c r="APA13"/>
      <c r="APB13"/>
      <c r="APC13"/>
      <c r="APD13"/>
      <c r="APE13"/>
      <c r="APF13"/>
      <c r="APG13"/>
      <c r="APH13"/>
      <c r="API13"/>
      <c r="APJ13"/>
      <c r="APK13"/>
      <c r="APL13"/>
      <c r="APM13"/>
      <c r="APN13"/>
      <c r="APO13"/>
      <c r="APP13"/>
      <c r="APQ13"/>
      <c r="APR13"/>
      <c r="APS13"/>
      <c r="APT13"/>
      <c r="APU13"/>
      <c r="APV13"/>
      <c r="APW13"/>
      <c r="APX13"/>
      <c r="APY13"/>
      <c r="APZ13"/>
      <c r="AQA13"/>
      <c r="AQB13"/>
      <c r="AQC13"/>
      <c r="AQD13"/>
      <c r="AQE13"/>
      <c r="AQF13"/>
      <c r="AQG13"/>
      <c r="AQH13"/>
      <c r="AQI13"/>
      <c r="AQJ13"/>
      <c r="AQK13"/>
      <c r="AQL13"/>
      <c r="AQM13"/>
      <c r="AQN13"/>
      <c r="AQO13"/>
      <c r="AQP13"/>
      <c r="AQQ13"/>
      <c r="AQR13"/>
      <c r="AQS13"/>
      <c r="AQT13"/>
      <c r="AQU13"/>
      <c r="AQV13"/>
      <c r="AQW13"/>
      <c r="AQX13"/>
      <c r="AQY13"/>
      <c r="AQZ13"/>
      <c r="ARA13"/>
      <c r="ARB13"/>
      <c r="ARC13"/>
      <c r="ARD13"/>
      <c r="ARE13"/>
      <c r="ARF13"/>
      <c r="ARG13"/>
      <c r="ARH13"/>
      <c r="ARI13"/>
      <c r="ARJ13"/>
      <c r="ARK13"/>
      <c r="ARL13"/>
      <c r="ARM13"/>
      <c r="ARN13"/>
      <c r="ARO13"/>
      <c r="ARP13"/>
      <c r="ARQ13"/>
      <c r="ARR13"/>
      <c r="ARS13"/>
      <c r="ART13"/>
      <c r="ARU13"/>
      <c r="ARV13"/>
      <c r="ARW13"/>
      <c r="ARX13"/>
      <c r="ARY13"/>
      <c r="ARZ13"/>
      <c r="ASA13"/>
      <c r="ASB13"/>
      <c r="ASC13"/>
      <c r="ASD13"/>
      <c r="ASE13"/>
      <c r="ASF13"/>
      <c r="ASG13"/>
      <c r="ASH13"/>
      <c r="ASI13"/>
      <c r="ASJ13"/>
      <c r="ASK13"/>
      <c r="ASL13"/>
      <c r="ASM13"/>
      <c r="ASN13"/>
      <c r="ASO13"/>
      <c r="ASP13"/>
      <c r="ASQ13"/>
      <c r="ASR13"/>
      <c r="ASS13"/>
      <c r="AST13"/>
      <c r="ASU13"/>
      <c r="ASV13"/>
      <c r="ASW13"/>
      <c r="ASX13"/>
      <c r="ASY13"/>
      <c r="ASZ13"/>
      <c r="ATA13"/>
      <c r="ATB13"/>
      <c r="ATC13"/>
      <c r="ATD13"/>
      <c r="ATE13"/>
      <c r="ATF13"/>
      <c r="ATG13"/>
      <c r="ATH13"/>
      <c r="ATI13"/>
      <c r="ATJ13"/>
      <c r="ATK13"/>
      <c r="ATL13"/>
      <c r="ATM13"/>
      <c r="ATN13"/>
      <c r="ATO13"/>
      <c r="ATP13"/>
      <c r="ATQ13"/>
      <c r="ATR13"/>
      <c r="ATS13"/>
      <c r="ATT13"/>
      <c r="ATU13"/>
      <c r="ATV13"/>
      <c r="ATW13"/>
      <c r="ATX13"/>
      <c r="ATY13"/>
      <c r="ATZ13"/>
      <c r="AUA13"/>
      <c r="AUB13"/>
      <c r="AUC13"/>
      <c r="AUD13"/>
      <c r="AUE13"/>
      <c r="AUF13"/>
      <c r="AUG13"/>
      <c r="AUH13"/>
      <c r="AUI13"/>
      <c r="AUJ13"/>
      <c r="AUK13"/>
      <c r="AUL13"/>
      <c r="AUM13"/>
      <c r="AUN13"/>
      <c r="AUO13"/>
      <c r="AUP13"/>
      <c r="AUQ13"/>
      <c r="AUR13"/>
      <c r="AUS13"/>
      <c r="AUT13"/>
      <c r="AUU13"/>
      <c r="AUV13"/>
      <c r="AUW13"/>
      <c r="AUX13"/>
      <c r="AUY13"/>
      <c r="AUZ13"/>
      <c r="AVA13"/>
      <c r="AVB13"/>
      <c r="AVC13"/>
      <c r="AVD13"/>
      <c r="AVE13"/>
      <c r="AVF13"/>
      <c r="AVG13"/>
      <c r="AVH13"/>
      <c r="AVI13"/>
      <c r="AVJ13"/>
      <c r="AVK13"/>
      <c r="AVL13"/>
      <c r="AVM13"/>
      <c r="AVN13"/>
      <c r="AVO13"/>
      <c r="AVP13"/>
      <c r="AVQ13"/>
      <c r="AVR13"/>
      <c r="AVS13"/>
      <c r="AVT13"/>
      <c r="AVU13"/>
      <c r="AVV13"/>
      <c r="AVW13"/>
      <c r="AVX13"/>
      <c r="AVY13"/>
      <c r="AVZ13"/>
      <c r="AWA13"/>
      <c r="AWB13"/>
      <c r="AWC13"/>
      <c r="AWD13"/>
      <c r="AWE13"/>
      <c r="AWF13"/>
      <c r="AWG13"/>
      <c r="AWH13"/>
      <c r="AWI13"/>
      <c r="AWJ13"/>
      <c r="AWK13"/>
      <c r="AWL13"/>
      <c r="AWM13"/>
      <c r="AWN13"/>
      <c r="AWO13"/>
      <c r="AWP13"/>
      <c r="AWQ13"/>
      <c r="AWR13"/>
      <c r="AWS13"/>
      <c r="AWT13"/>
      <c r="AWU13"/>
      <c r="AWV13"/>
      <c r="AWW13"/>
      <c r="AWX13"/>
      <c r="AWY13"/>
      <c r="AWZ13"/>
      <c r="AXA13"/>
      <c r="AXB13"/>
      <c r="AXC13"/>
      <c r="AXD13"/>
      <c r="AXE13"/>
      <c r="AXF13"/>
      <c r="AXG13"/>
      <c r="AXH13"/>
      <c r="AXI13"/>
      <c r="AXJ13"/>
      <c r="AXK13"/>
      <c r="AXL13"/>
      <c r="AXM13"/>
      <c r="AXN13"/>
      <c r="AXO13"/>
      <c r="AXP13"/>
      <c r="AXQ13"/>
      <c r="AXR13"/>
      <c r="AXS13"/>
      <c r="AXT13"/>
      <c r="AXU13"/>
      <c r="AXV13"/>
      <c r="AXW13"/>
      <c r="AXX13"/>
      <c r="AXY13"/>
      <c r="AXZ13"/>
      <c r="AYA13"/>
      <c r="AYB13"/>
      <c r="AYC13"/>
      <c r="AYD13"/>
      <c r="AYE13"/>
      <c r="AYF13"/>
      <c r="AYG13"/>
      <c r="AYH13"/>
      <c r="AYI13"/>
      <c r="AYJ13"/>
      <c r="AYK13"/>
      <c r="AYL13"/>
      <c r="AYM13"/>
      <c r="AYN13"/>
      <c r="AYO13"/>
      <c r="AYP13"/>
      <c r="AYQ13"/>
      <c r="AYR13"/>
      <c r="AYS13"/>
      <c r="AYT13"/>
      <c r="AYU13"/>
      <c r="AYV13"/>
      <c r="AYW13"/>
      <c r="AYX13"/>
      <c r="AYY13"/>
      <c r="AYZ13"/>
      <c r="AZA13"/>
      <c r="AZB13"/>
      <c r="AZC13"/>
      <c r="AZD13"/>
      <c r="AZE13"/>
      <c r="AZF13"/>
      <c r="AZG13"/>
      <c r="AZH13"/>
      <c r="AZI13"/>
      <c r="AZJ13"/>
      <c r="AZK13"/>
      <c r="AZL13"/>
      <c r="AZM13"/>
      <c r="AZN13"/>
      <c r="AZO13"/>
      <c r="AZP13"/>
      <c r="AZQ13"/>
      <c r="AZR13"/>
      <c r="AZS13"/>
      <c r="AZT13"/>
      <c r="AZU13"/>
      <c r="AZV13"/>
      <c r="AZW13"/>
      <c r="AZX13"/>
      <c r="AZY13"/>
      <c r="AZZ13"/>
      <c r="BAA13"/>
      <c r="BAB13"/>
      <c r="BAC13"/>
      <c r="BAD13"/>
      <c r="BAE13"/>
      <c r="BAF13"/>
      <c r="BAG13"/>
      <c r="BAH13"/>
      <c r="BAI13"/>
      <c r="BAJ13"/>
      <c r="BAK13"/>
      <c r="BAL13"/>
      <c r="BAM13"/>
      <c r="BAN13"/>
      <c r="BAO13"/>
      <c r="BAP13"/>
      <c r="BAQ13"/>
      <c r="BAR13"/>
      <c r="BAS13"/>
      <c r="BAT13"/>
      <c r="BAU13"/>
      <c r="BAV13"/>
      <c r="BAW13"/>
      <c r="BAX13"/>
      <c r="BAY13"/>
      <c r="BAZ13"/>
      <c r="BBA13"/>
      <c r="BBB13"/>
      <c r="BBC13"/>
      <c r="BBD13"/>
      <c r="BBE13"/>
      <c r="BBF13"/>
      <c r="BBG13"/>
      <c r="BBH13"/>
      <c r="BBI13"/>
      <c r="BBJ13"/>
      <c r="BBK13"/>
      <c r="BBL13"/>
      <c r="BBM13"/>
      <c r="BBN13"/>
      <c r="BBO13"/>
      <c r="BBP13"/>
      <c r="BBQ13"/>
      <c r="BBR13"/>
      <c r="BBS13"/>
      <c r="BBT13"/>
      <c r="BBU13"/>
      <c r="BBV13"/>
      <c r="BBW13"/>
      <c r="BBX13"/>
      <c r="BBY13"/>
      <c r="BBZ13"/>
      <c r="BCA13"/>
      <c r="BCB13"/>
      <c r="BCC13"/>
      <c r="BCD13"/>
      <c r="BCE13"/>
      <c r="BCF13"/>
      <c r="BCG13"/>
      <c r="BCH13"/>
      <c r="BCI13"/>
      <c r="BCJ13"/>
      <c r="BCK13"/>
      <c r="BCL13"/>
      <c r="BCM13"/>
      <c r="BCN13"/>
      <c r="BCO13"/>
      <c r="BCP13"/>
      <c r="BCQ13"/>
      <c r="BCR13"/>
      <c r="BCS13"/>
      <c r="BCT13"/>
      <c r="BCU13"/>
      <c r="BCV13"/>
      <c r="BCW13"/>
      <c r="BCX13"/>
      <c r="BCY13"/>
      <c r="BCZ13"/>
      <c r="BDA13"/>
      <c r="BDB13"/>
      <c r="BDC13"/>
      <c r="BDD13"/>
      <c r="BDE13"/>
      <c r="BDF13"/>
      <c r="BDG13"/>
      <c r="BDH13"/>
      <c r="BDI13"/>
      <c r="BDJ13"/>
      <c r="BDK13"/>
      <c r="BDL13"/>
      <c r="BDM13"/>
      <c r="BDN13"/>
      <c r="BDO13"/>
      <c r="BDP13"/>
      <c r="BDQ13"/>
      <c r="BDR13"/>
      <c r="BDS13"/>
      <c r="BDT13"/>
      <c r="BDU13"/>
      <c r="BDV13"/>
      <c r="BDW13"/>
      <c r="BDX13"/>
      <c r="BDY13"/>
      <c r="BDZ13"/>
      <c r="BEA13"/>
      <c r="BEB13"/>
      <c r="BEC13"/>
      <c r="BED13"/>
      <c r="BEE13"/>
      <c r="BEF13"/>
      <c r="BEG13"/>
      <c r="BEH13"/>
      <c r="BEI13"/>
      <c r="BEJ13"/>
      <c r="BEK13"/>
      <c r="BEL13"/>
      <c r="BEM13"/>
      <c r="BEN13"/>
      <c r="BEO13"/>
      <c r="BEP13"/>
      <c r="BEQ13"/>
      <c r="BER13"/>
      <c r="BES13"/>
      <c r="BET13"/>
      <c r="BEU13"/>
      <c r="BEV13"/>
      <c r="BEW13"/>
      <c r="BEX13"/>
      <c r="BEY13"/>
      <c r="BEZ13"/>
      <c r="BFA13"/>
      <c r="BFB13"/>
      <c r="BFC13"/>
      <c r="BFD13"/>
      <c r="BFE13"/>
      <c r="BFF13"/>
      <c r="BFG13"/>
      <c r="BFH13"/>
      <c r="BFI13"/>
      <c r="BFJ13"/>
      <c r="BFK13"/>
      <c r="BFL13"/>
      <c r="BFM13"/>
      <c r="BFN13"/>
      <c r="BFO13"/>
      <c r="BFP13"/>
      <c r="BFQ13"/>
      <c r="BFR13"/>
      <c r="BFS13"/>
      <c r="BFT13"/>
      <c r="BFU13"/>
      <c r="BFV13"/>
      <c r="BFW13"/>
      <c r="BFX13"/>
      <c r="BFY13"/>
      <c r="BFZ13"/>
      <c r="BGA13"/>
      <c r="BGB13"/>
      <c r="BGC13"/>
      <c r="BGD13"/>
      <c r="BGE13"/>
      <c r="BGF13"/>
      <c r="BGG13"/>
      <c r="BGH13"/>
      <c r="BGI13"/>
      <c r="BGJ13"/>
      <c r="BGK13"/>
      <c r="BGL13"/>
      <c r="BGM13"/>
      <c r="BGN13"/>
      <c r="BGO13"/>
      <c r="BGP13"/>
      <c r="BGQ13"/>
      <c r="BGR13"/>
      <c r="BGS13"/>
      <c r="BGT13"/>
      <c r="BGU13"/>
      <c r="BGV13"/>
      <c r="BGW13"/>
      <c r="BGX13"/>
      <c r="BGY13"/>
      <c r="BGZ13"/>
      <c r="BHA13"/>
      <c r="BHB13"/>
      <c r="BHC13"/>
      <c r="BHD13"/>
      <c r="BHE13"/>
      <c r="BHF13"/>
      <c r="BHG13"/>
      <c r="BHH13"/>
      <c r="BHI13"/>
      <c r="BHJ13"/>
      <c r="BHK13"/>
      <c r="BHL13"/>
      <c r="BHM13"/>
      <c r="BHN13"/>
      <c r="BHO13"/>
      <c r="BHP13"/>
      <c r="BHQ13"/>
      <c r="BHR13"/>
      <c r="BHS13"/>
      <c r="BHT13"/>
      <c r="BHU13"/>
      <c r="BHV13"/>
      <c r="BHW13"/>
      <c r="BHX13"/>
      <c r="BHY13"/>
      <c r="BHZ13"/>
      <c r="BIA13"/>
      <c r="BIB13"/>
      <c r="BIC13"/>
      <c r="BID13"/>
      <c r="BIE13"/>
      <c r="BIF13"/>
      <c r="BIG13"/>
      <c r="BIH13"/>
      <c r="BII13"/>
      <c r="BIJ13"/>
      <c r="BIK13"/>
      <c r="BIL13"/>
      <c r="BIM13"/>
      <c r="BIN13"/>
      <c r="BIO13"/>
      <c r="BIP13"/>
      <c r="BIQ13"/>
      <c r="BIR13"/>
      <c r="BIS13"/>
      <c r="BIT13"/>
      <c r="BIU13"/>
      <c r="BIV13"/>
      <c r="BIW13"/>
      <c r="BIX13"/>
      <c r="BIY13"/>
      <c r="BIZ13"/>
      <c r="BJA13"/>
      <c r="BJB13"/>
      <c r="BJC13"/>
      <c r="BJD13"/>
      <c r="BJE13"/>
      <c r="BJF13"/>
      <c r="BJG13"/>
      <c r="BJH13"/>
      <c r="BJI13"/>
      <c r="BJJ13"/>
      <c r="BJK13"/>
      <c r="BJL13"/>
      <c r="BJM13"/>
      <c r="BJN13"/>
      <c r="BJO13"/>
      <c r="BJP13"/>
      <c r="BJQ13"/>
      <c r="BJR13"/>
      <c r="BJS13"/>
      <c r="BJT13"/>
      <c r="BJU13"/>
      <c r="BJV13"/>
      <c r="BJW13"/>
      <c r="BJX13"/>
      <c r="BJY13"/>
      <c r="BJZ13"/>
      <c r="BKA13"/>
      <c r="BKB13"/>
      <c r="BKC13"/>
      <c r="BKD13"/>
      <c r="BKE13"/>
      <c r="BKF13"/>
      <c r="BKG13"/>
      <c r="BKH13"/>
      <c r="BKI13"/>
      <c r="BKJ13"/>
      <c r="BKK13"/>
      <c r="BKL13"/>
      <c r="BKM13"/>
      <c r="BKN13"/>
      <c r="BKO13"/>
      <c r="BKP13"/>
      <c r="BKQ13"/>
      <c r="BKR13"/>
      <c r="BKS13"/>
      <c r="BKT13"/>
      <c r="BKU13"/>
      <c r="BKV13"/>
      <c r="BKW13"/>
      <c r="BKX13"/>
      <c r="BKY13"/>
      <c r="BKZ13"/>
      <c r="BLA13"/>
      <c r="BLB13"/>
      <c r="BLC13"/>
      <c r="BLD13"/>
      <c r="BLE13"/>
      <c r="BLF13"/>
      <c r="BLG13"/>
      <c r="BLH13"/>
      <c r="BLI13"/>
      <c r="BLJ13"/>
      <c r="BLK13"/>
      <c r="BLL13"/>
      <c r="BLM13"/>
      <c r="BLN13"/>
      <c r="BLO13"/>
      <c r="BLP13"/>
      <c r="BLQ13"/>
      <c r="BLR13"/>
      <c r="BLS13"/>
      <c r="BLT13"/>
      <c r="BLU13"/>
      <c r="BLV13"/>
      <c r="BLW13"/>
      <c r="BLX13"/>
      <c r="BLY13"/>
      <c r="BLZ13"/>
      <c r="BMA13"/>
      <c r="BMB13"/>
      <c r="BMC13"/>
      <c r="BMD13"/>
      <c r="BME13"/>
      <c r="BMF13"/>
      <c r="BMG13"/>
      <c r="BMH13"/>
      <c r="BMI13"/>
      <c r="BMJ13"/>
      <c r="BMK13"/>
      <c r="BML13"/>
      <c r="BMM13"/>
      <c r="BMN13"/>
      <c r="BMO13"/>
      <c r="BMP13"/>
      <c r="BMQ13"/>
      <c r="BMR13"/>
      <c r="BMS13"/>
      <c r="BMT13"/>
      <c r="BMU13"/>
      <c r="BMV13"/>
      <c r="BMW13"/>
      <c r="BMX13"/>
      <c r="BMY13"/>
      <c r="BMZ13"/>
      <c r="BNA13"/>
      <c r="BNB13"/>
      <c r="BNC13"/>
      <c r="BND13"/>
      <c r="BNE13"/>
      <c r="BNF13"/>
      <c r="BNG13"/>
      <c r="BNH13"/>
      <c r="BNI13"/>
      <c r="BNJ13"/>
      <c r="BNK13"/>
      <c r="BNL13"/>
      <c r="BNM13"/>
      <c r="BNN13"/>
      <c r="BNO13"/>
      <c r="BNP13"/>
      <c r="BNQ13"/>
      <c r="BNR13"/>
      <c r="BNS13"/>
      <c r="BNT13"/>
      <c r="BNU13"/>
      <c r="BNV13"/>
      <c r="BNW13"/>
      <c r="BNX13"/>
      <c r="BNY13"/>
      <c r="BNZ13"/>
      <c r="BOA13"/>
      <c r="BOB13"/>
      <c r="BOC13"/>
      <c r="BOD13"/>
      <c r="BOE13"/>
      <c r="BOF13"/>
      <c r="BOG13"/>
      <c r="BOH13"/>
      <c r="BOI13"/>
      <c r="BOJ13"/>
      <c r="BOK13"/>
      <c r="BOL13"/>
      <c r="BOM13"/>
      <c r="BON13"/>
      <c r="BOO13"/>
      <c r="BOP13"/>
      <c r="BOQ13"/>
      <c r="BOR13"/>
      <c r="BOS13"/>
      <c r="BOT13"/>
      <c r="BOU13"/>
      <c r="BOV13"/>
      <c r="BOW13"/>
      <c r="BOX13"/>
      <c r="BOY13"/>
      <c r="BOZ13"/>
      <c r="BPA13"/>
      <c r="BPB13"/>
      <c r="BPC13"/>
      <c r="BPD13"/>
      <c r="BPE13"/>
      <c r="BPF13"/>
      <c r="BPG13"/>
      <c r="BPH13"/>
      <c r="BPI13"/>
      <c r="BPJ13"/>
      <c r="BPK13"/>
      <c r="BPL13"/>
      <c r="BPM13"/>
      <c r="BPN13"/>
      <c r="BPO13"/>
      <c r="BPP13"/>
      <c r="BPQ13"/>
      <c r="BPR13"/>
      <c r="BPS13"/>
      <c r="BPT13"/>
      <c r="BPU13"/>
      <c r="BPV13"/>
      <c r="BPW13"/>
      <c r="BPX13"/>
      <c r="BPY13"/>
      <c r="BPZ13"/>
      <c r="BQA13"/>
      <c r="BQB13"/>
      <c r="BQC13"/>
      <c r="BQD13"/>
      <c r="BQE13"/>
      <c r="BQF13"/>
      <c r="BQG13"/>
      <c r="BQH13"/>
      <c r="BQI13"/>
      <c r="BQJ13"/>
      <c r="BQK13"/>
      <c r="BQL13"/>
      <c r="BQM13"/>
      <c r="BQN13"/>
      <c r="BQO13"/>
      <c r="BQP13"/>
      <c r="BQQ13"/>
      <c r="BQR13"/>
      <c r="BQS13"/>
      <c r="BQT13"/>
      <c r="BQU13"/>
      <c r="BQV13"/>
      <c r="BQW13"/>
      <c r="BQX13"/>
      <c r="BQY13"/>
      <c r="BQZ13"/>
      <c r="BRA13"/>
      <c r="BRB13"/>
      <c r="BRC13"/>
      <c r="BRD13"/>
      <c r="BRE13"/>
      <c r="BRF13"/>
      <c r="BRG13"/>
      <c r="BRH13"/>
      <c r="BRI13"/>
      <c r="BRJ13"/>
      <c r="BRK13"/>
      <c r="BRL13"/>
      <c r="BRM13"/>
      <c r="BRN13"/>
      <c r="BRO13"/>
      <c r="BRP13"/>
      <c r="BRQ13"/>
      <c r="BRR13"/>
      <c r="BRS13"/>
      <c r="BRT13"/>
      <c r="BRU13"/>
      <c r="BRV13"/>
      <c r="BRW13"/>
      <c r="BRX13"/>
      <c r="BRY13"/>
      <c r="BRZ13"/>
      <c r="BSA13"/>
      <c r="BSB13"/>
      <c r="BSC13"/>
      <c r="BSD13"/>
      <c r="BSE13"/>
      <c r="BSF13"/>
      <c r="BSG13"/>
      <c r="BSH13"/>
      <c r="BSI13"/>
      <c r="BSJ13"/>
      <c r="BSK13"/>
      <c r="BSL13"/>
      <c r="BSM13"/>
      <c r="BSN13"/>
      <c r="BSO13"/>
      <c r="BSP13"/>
      <c r="BSQ13"/>
      <c r="BSR13"/>
      <c r="BSS13"/>
      <c r="BST13"/>
      <c r="BSU13"/>
      <c r="BSV13"/>
      <c r="BSW13"/>
      <c r="BSX13"/>
      <c r="BSY13"/>
      <c r="BSZ13"/>
      <c r="BTA13"/>
      <c r="BTB13"/>
      <c r="BTC13"/>
      <c r="BTD13"/>
      <c r="BTE13"/>
      <c r="BTF13"/>
      <c r="BTG13"/>
      <c r="BTH13"/>
      <c r="BTI13"/>
      <c r="BTJ13"/>
      <c r="BTK13"/>
      <c r="BTL13"/>
      <c r="BTM13"/>
      <c r="BTN13"/>
      <c r="BTO13"/>
      <c r="BTP13"/>
      <c r="BTQ13"/>
      <c r="BTR13"/>
      <c r="BTS13"/>
      <c r="BTT13"/>
      <c r="BTU13"/>
      <c r="BTV13"/>
      <c r="BTW13"/>
      <c r="BTX13"/>
      <c r="BTY13"/>
      <c r="BTZ13"/>
      <c r="BUA13"/>
      <c r="BUB13"/>
      <c r="BUC13"/>
      <c r="BUD13"/>
      <c r="BUE13"/>
      <c r="BUF13"/>
      <c r="BUG13"/>
      <c r="BUH13"/>
      <c r="BUI13"/>
      <c r="BUJ13"/>
      <c r="BUK13"/>
      <c r="BUL13"/>
      <c r="BUM13"/>
      <c r="BUN13"/>
      <c r="BUO13"/>
      <c r="BUP13"/>
      <c r="BUQ13"/>
      <c r="BUR13"/>
      <c r="BUS13"/>
      <c r="BUT13"/>
      <c r="BUU13"/>
      <c r="BUV13"/>
      <c r="BUW13"/>
      <c r="BUX13"/>
      <c r="BUY13"/>
      <c r="BUZ13"/>
      <c r="BVA13"/>
      <c r="BVB13"/>
      <c r="BVC13"/>
      <c r="BVD13"/>
      <c r="BVE13"/>
      <c r="BVF13"/>
      <c r="BVG13"/>
      <c r="BVH13"/>
      <c r="BVI13"/>
      <c r="BVJ13"/>
      <c r="BVK13"/>
      <c r="BVL13"/>
      <c r="BVM13"/>
      <c r="BVN13"/>
      <c r="BVO13"/>
      <c r="BVP13"/>
      <c r="BVQ13"/>
      <c r="BVR13"/>
      <c r="BVS13"/>
      <c r="BVT13"/>
      <c r="BVU13"/>
      <c r="BVV13"/>
      <c r="BVW13"/>
      <c r="BVX13"/>
      <c r="BVY13"/>
      <c r="BVZ13"/>
      <c r="BWA13"/>
      <c r="BWB13"/>
      <c r="BWC13"/>
      <c r="BWD13"/>
      <c r="BWE13"/>
      <c r="BWF13"/>
      <c r="BWG13"/>
      <c r="BWH13"/>
      <c r="BWI13"/>
      <c r="BWJ13"/>
      <c r="BWK13"/>
      <c r="BWL13"/>
      <c r="BWM13"/>
      <c r="BWN13"/>
      <c r="BWO13"/>
      <c r="BWP13"/>
      <c r="BWQ13"/>
      <c r="BWR13"/>
      <c r="BWS13"/>
      <c r="BWT13"/>
      <c r="BWU13"/>
      <c r="BWV13"/>
      <c r="BWW13"/>
      <c r="BWX13"/>
      <c r="BWY13"/>
      <c r="BWZ13"/>
      <c r="BXA13"/>
      <c r="BXB13"/>
      <c r="BXC13"/>
      <c r="BXD13"/>
      <c r="BXE13"/>
      <c r="BXF13"/>
      <c r="BXG13"/>
      <c r="BXH13"/>
      <c r="BXI13"/>
      <c r="BXJ13"/>
      <c r="BXK13"/>
      <c r="BXL13"/>
      <c r="BXM13"/>
      <c r="BXN13"/>
      <c r="BXO13"/>
      <c r="BXP13"/>
      <c r="BXQ13"/>
      <c r="BXR13"/>
      <c r="BXS13"/>
      <c r="BXT13"/>
      <c r="BXU13"/>
      <c r="BXV13"/>
      <c r="BXW13"/>
      <c r="BXX13"/>
      <c r="BXY13"/>
      <c r="BXZ13"/>
      <c r="BYA13"/>
      <c r="BYB13"/>
      <c r="BYC13"/>
      <c r="BYD13"/>
      <c r="BYE13"/>
      <c r="BYF13"/>
      <c r="BYG13"/>
      <c r="BYH13"/>
      <c r="BYI13"/>
      <c r="BYJ13"/>
      <c r="BYK13"/>
      <c r="BYL13"/>
      <c r="BYM13"/>
      <c r="BYN13"/>
      <c r="BYO13"/>
      <c r="BYP13"/>
      <c r="BYQ13"/>
      <c r="BYR13"/>
      <c r="BYS13"/>
      <c r="BYT13"/>
      <c r="BYU13"/>
      <c r="BYV13"/>
      <c r="BYW13"/>
      <c r="BYX13"/>
      <c r="BYY13"/>
      <c r="BYZ13"/>
      <c r="BZA13"/>
      <c r="BZB13"/>
      <c r="BZC13"/>
      <c r="BZD13"/>
      <c r="BZE13"/>
      <c r="BZF13"/>
      <c r="BZG13"/>
      <c r="BZH13"/>
      <c r="BZI13"/>
      <c r="BZJ13"/>
      <c r="BZK13"/>
      <c r="BZL13"/>
      <c r="BZM13"/>
      <c r="BZN13"/>
      <c r="BZO13"/>
      <c r="BZP13"/>
      <c r="BZQ13"/>
      <c r="BZR13"/>
      <c r="BZS13"/>
      <c r="BZT13"/>
      <c r="BZU13"/>
      <c r="BZV13"/>
      <c r="BZW13"/>
      <c r="BZX13"/>
      <c r="BZY13"/>
      <c r="BZZ13"/>
      <c r="CAA13"/>
      <c r="CAB13"/>
      <c r="CAC13"/>
      <c r="CAD13"/>
      <c r="CAE13"/>
      <c r="CAF13"/>
      <c r="CAG13"/>
      <c r="CAH13"/>
      <c r="CAI13"/>
      <c r="CAJ13"/>
      <c r="CAK13"/>
      <c r="CAL13"/>
      <c r="CAM13"/>
      <c r="CAN13"/>
      <c r="CAO13"/>
      <c r="CAP13"/>
      <c r="CAQ13"/>
      <c r="CAR13"/>
      <c r="CAS13"/>
      <c r="CAT13"/>
      <c r="CAU13"/>
      <c r="CAV13"/>
      <c r="CAW13"/>
      <c r="CAX13"/>
      <c r="CAY13"/>
      <c r="CAZ13"/>
      <c r="CBA13"/>
      <c r="CBB13"/>
      <c r="CBC13"/>
      <c r="CBD13"/>
      <c r="CBE13"/>
      <c r="CBF13"/>
      <c r="CBG13"/>
      <c r="CBH13"/>
      <c r="CBI13"/>
      <c r="CBJ13"/>
      <c r="CBK13"/>
      <c r="CBL13"/>
      <c r="CBM13"/>
      <c r="CBN13"/>
      <c r="CBO13"/>
      <c r="CBP13"/>
      <c r="CBQ13"/>
      <c r="CBR13"/>
      <c r="CBS13"/>
      <c r="CBT13"/>
      <c r="CBU13"/>
      <c r="CBV13"/>
      <c r="CBW13"/>
      <c r="CBX13"/>
      <c r="CBY13"/>
      <c r="CBZ13"/>
      <c r="CCA13"/>
      <c r="CCB13"/>
      <c r="CCC13"/>
      <c r="CCD13"/>
      <c r="CCE13"/>
      <c r="CCF13"/>
      <c r="CCG13"/>
      <c r="CCH13"/>
      <c r="CCI13"/>
      <c r="CCJ13"/>
      <c r="CCK13"/>
      <c r="CCL13"/>
      <c r="CCM13"/>
      <c r="CCN13"/>
      <c r="CCO13"/>
      <c r="CCP13"/>
      <c r="CCQ13"/>
      <c r="CCR13"/>
      <c r="CCS13"/>
      <c r="CCT13"/>
      <c r="CCU13"/>
      <c r="CCV13"/>
      <c r="CCW13"/>
      <c r="CCX13"/>
      <c r="CCY13"/>
      <c r="CCZ13"/>
      <c r="CDA13"/>
      <c r="CDB13"/>
      <c r="CDC13"/>
      <c r="CDD13"/>
      <c r="CDE13"/>
      <c r="CDF13"/>
      <c r="CDG13"/>
      <c r="CDH13"/>
      <c r="CDI13"/>
      <c r="CDJ13"/>
      <c r="CDK13"/>
      <c r="CDL13"/>
      <c r="CDM13"/>
      <c r="CDN13"/>
      <c r="CDO13"/>
      <c r="CDP13"/>
      <c r="CDQ13"/>
      <c r="CDR13"/>
      <c r="CDS13"/>
      <c r="CDT13"/>
      <c r="CDU13"/>
      <c r="CDV13"/>
      <c r="CDW13"/>
      <c r="CDX13"/>
      <c r="CDY13"/>
      <c r="CDZ13"/>
      <c r="CEA13"/>
      <c r="CEB13"/>
      <c r="CEC13"/>
      <c r="CED13"/>
      <c r="CEE13"/>
      <c r="CEF13"/>
      <c r="CEG13"/>
      <c r="CEH13"/>
      <c r="CEI13"/>
      <c r="CEJ13"/>
      <c r="CEK13"/>
      <c r="CEL13"/>
      <c r="CEM13"/>
      <c r="CEN13"/>
      <c r="CEO13"/>
      <c r="CEP13"/>
      <c r="CEQ13"/>
      <c r="CER13"/>
      <c r="CES13"/>
      <c r="CET13"/>
      <c r="CEU13"/>
      <c r="CEV13"/>
      <c r="CEW13"/>
      <c r="CEX13"/>
      <c r="CEY13"/>
      <c r="CEZ13"/>
      <c r="CFA13"/>
      <c r="CFB13"/>
      <c r="CFC13"/>
      <c r="CFD13"/>
      <c r="CFE13"/>
      <c r="CFF13"/>
      <c r="CFG13"/>
      <c r="CFH13"/>
      <c r="CFI13"/>
      <c r="CFJ13"/>
      <c r="CFK13"/>
      <c r="CFL13"/>
      <c r="CFM13"/>
      <c r="CFN13"/>
      <c r="CFO13"/>
      <c r="CFP13"/>
      <c r="CFQ13"/>
      <c r="CFR13"/>
      <c r="CFS13"/>
      <c r="CFT13"/>
      <c r="CFU13"/>
      <c r="CFV13"/>
      <c r="CFW13"/>
      <c r="CFX13"/>
      <c r="CFY13"/>
      <c r="CFZ13"/>
      <c r="CGA13"/>
      <c r="CGB13"/>
      <c r="CGC13"/>
      <c r="CGD13"/>
      <c r="CGE13"/>
      <c r="CGF13"/>
      <c r="CGG13"/>
      <c r="CGH13"/>
      <c r="CGI13"/>
      <c r="CGJ13"/>
      <c r="CGK13"/>
      <c r="CGL13"/>
      <c r="CGM13"/>
      <c r="CGN13"/>
      <c r="CGO13"/>
      <c r="CGP13"/>
      <c r="CGQ13"/>
      <c r="CGR13"/>
      <c r="CGS13"/>
      <c r="CGT13"/>
      <c r="CGU13"/>
      <c r="CGV13"/>
      <c r="CGW13"/>
      <c r="CGX13"/>
      <c r="CGY13"/>
      <c r="CGZ13"/>
      <c r="CHA13"/>
      <c r="CHB13"/>
      <c r="CHC13"/>
      <c r="CHD13"/>
      <c r="CHE13"/>
      <c r="CHF13"/>
      <c r="CHG13"/>
      <c r="CHH13"/>
      <c r="CHI13"/>
      <c r="CHJ13"/>
      <c r="CHK13"/>
      <c r="CHL13"/>
      <c r="CHM13"/>
      <c r="CHN13"/>
      <c r="CHO13"/>
      <c r="CHP13"/>
      <c r="CHQ13"/>
      <c r="CHR13"/>
      <c r="CHS13"/>
      <c r="CHT13"/>
      <c r="CHU13"/>
      <c r="CHV13"/>
      <c r="CHW13"/>
      <c r="CHX13"/>
      <c r="CHY13"/>
      <c r="CHZ13"/>
      <c r="CIA13"/>
      <c r="CIB13"/>
      <c r="CIC13"/>
      <c r="CID13"/>
      <c r="CIE13"/>
      <c r="CIF13"/>
      <c r="CIG13"/>
      <c r="CIH13"/>
      <c r="CII13"/>
      <c r="CIJ13"/>
      <c r="CIK13"/>
      <c r="CIL13"/>
      <c r="CIM13"/>
      <c r="CIN13"/>
      <c r="CIO13"/>
      <c r="CIP13"/>
      <c r="CIQ13"/>
      <c r="CIR13"/>
      <c r="CIS13"/>
      <c r="CIT13"/>
      <c r="CIU13"/>
      <c r="CIV13"/>
      <c r="CIW13"/>
      <c r="CIX13"/>
      <c r="CIY13"/>
      <c r="CIZ13"/>
      <c r="CJA13"/>
      <c r="CJB13"/>
      <c r="CJC13"/>
      <c r="CJD13"/>
      <c r="CJE13"/>
      <c r="CJF13"/>
      <c r="CJG13"/>
      <c r="CJH13"/>
      <c r="CJI13"/>
      <c r="CJJ13"/>
      <c r="CJK13"/>
      <c r="CJL13"/>
      <c r="CJM13"/>
      <c r="CJN13"/>
      <c r="CJO13"/>
      <c r="CJP13"/>
      <c r="CJQ13"/>
      <c r="CJR13"/>
      <c r="CJS13"/>
      <c r="CJT13"/>
      <c r="CJU13"/>
      <c r="CJV13"/>
      <c r="CJW13"/>
      <c r="CJX13"/>
      <c r="CJY13"/>
      <c r="CJZ13"/>
      <c r="CKA13"/>
      <c r="CKB13"/>
      <c r="CKC13"/>
      <c r="CKD13"/>
      <c r="CKE13"/>
      <c r="CKF13"/>
      <c r="CKG13"/>
      <c r="CKH13"/>
      <c r="CKI13"/>
      <c r="CKJ13"/>
      <c r="CKK13"/>
      <c r="CKL13"/>
      <c r="CKM13"/>
      <c r="CKN13"/>
      <c r="CKO13"/>
      <c r="CKP13"/>
      <c r="CKQ13"/>
      <c r="CKR13"/>
      <c r="CKS13"/>
      <c r="CKT13"/>
      <c r="CKU13"/>
      <c r="CKV13"/>
      <c r="CKW13"/>
      <c r="CKX13"/>
      <c r="CKY13"/>
      <c r="CKZ13"/>
      <c r="CLA13"/>
      <c r="CLB13"/>
      <c r="CLC13"/>
      <c r="CLD13"/>
      <c r="CLE13"/>
      <c r="CLF13"/>
      <c r="CLG13"/>
      <c r="CLH13"/>
      <c r="CLI13"/>
      <c r="CLJ13"/>
      <c r="CLK13"/>
      <c r="CLL13"/>
      <c r="CLM13"/>
      <c r="CLN13"/>
      <c r="CLO13"/>
      <c r="CLP13"/>
      <c r="CLQ13"/>
      <c r="CLR13"/>
      <c r="CLS13"/>
      <c r="CLT13"/>
      <c r="CLU13"/>
      <c r="CLV13"/>
      <c r="CLW13"/>
      <c r="CLX13"/>
      <c r="CLY13"/>
      <c r="CLZ13"/>
      <c r="CMA13"/>
      <c r="CMB13"/>
      <c r="CMC13"/>
      <c r="CMD13"/>
      <c r="CME13"/>
      <c r="CMF13"/>
      <c r="CMG13"/>
      <c r="CMH13"/>
      <c r="CMI13"/>
      <c r="CMJ13"/>
      <c r="CMK13"/>
      <c r="CML13"/>
      <c r="CMM13"/>
      <c r="CMN13"/>
      <c r="CMO13"/>
      <c r="CMP13"/>
      <c r="CMQ13"/>
      <c r="CMR13"/>
      <c r="CMS13"/>
      <c r="CMT13"/>
      <c r="CMU13"/>
      <c r="CMV13"/>
      <c r="CMW13"/>
      <c r="CMX13"/>
      <c r="CMY13"/>
      <c r="CMZ13"/>
      <c r="CNA13"/>
      <c r="CNB13"/>
      <c r="CNC13"/>
      <c r="CND13"/>
      <c r="CNE13"/>
      <c r="CNF13"/>
      <c r="CNG13"/>
      <c r="CNH13"/>
      <c r="CNI13"/>
      <c r="CNJ13"/>
      <c r="CNK13"/>
      <c r="CNL13"/>
      <c r="CNM13"/>
      <c r="CNN13"/>
      <c r="CNO13"/>
      <c r="CNP13"/>
      <c r="CNQ13"/>
      <c r="CNR13"/>
      <c r="CNS13"/>
      <c r="CNT13"/>
      <c r="CNU13"/>
      <c r="CNV13"/>
      <c r="CNW13"/>
      <c r="CNX13"/>
      <c r="CNY13"/>
      <c r="CNZ13"/>
      <c r="COA13"/>
      <c r="COB13"/>
      <c r="COC13"/>
      <c r="COD13"/>
      <c r="COE13"/>
      <c r="COF13"/>
      <c r="COG13"/>
      <c r="COH13"/>
      <c r="COI13"/>
      <c r="COJ13"/>
      <c r="COK13"/>
      <c r="COL13"/>
      <c r="COM13"/>
      <c r="CON13"/>
      <c r="COO13"/>
      <c r="COP13"/>
      <c r="COQ13"/>
      <c r="COR13"/>
      <c r="COS13"/>
      <c r="COT13"/>
      <c r="COU13"/>
      <c r="COV13"/>
      <c r="COW13"/>
      <c r="COX13"/>
      <c r="COY13"/>
      <c r="COZ13"/>
      <c r="CPA13"/>
      <c r="CPB13"/>
      <c r="CPC13"/>
      <c r="CPD13"/>
      <c r="CPE13"/>
      <c r="CPF13"/>
      <c r="CPG13"/>
      <c r="CPH13"/>
      <c r="CPI13"/>
      <c r="CPJ13"/>
      <c r="CPK13"/>
      <c r="CPL13"/>
      <c r="CPM13"/>
      <c r="CPN13"/>
      <c r="CPO13"/>
      <c r="CPP13"/>
      <c r="CPQ13"/>
      <c r="CPR13"/>
      <c r="CPS13"/>
      <c r="CPT13"/>
      <c r="CPU13"/>
      <c r="CPV13"/>
      <c r="CPW13"/>
      <c r="CPX13"/>
      <c r="CPY13"/>
      <c r="CPZ13"/>
      <c r="CQA13"/>
      <c r="CQB13"/>
      <c r="CQC13"/>
      <c r="CQD13"/>
      <c r="CQE13"/>
      <c r="CQF13"/>
      <c r="CQG13"/>
      <c r="CQH13"/>
      <c r="CQI13"/>
      <c r="CQJ13"/>
      <c r="CQK13"/>
      <c r="CQL13"/>
      <c r="CQM13"/>
      <c r="CQN13"/>
      <c r="CQO13"/>
      <c r="CQP13"/>
      <c r="CQQ13"/>
      <c r="CQR13"/>
      <c r="CQS13"/>
      <c r="CQT13"/>
      <c r="CQU13"/>
      <c r="CQV13"/>
      <c r="CQW13"/>
      <c r="CQX13"/>
      <c r="CQY13"/>
      <c r="CQZ13"/>
      <c r="CRA13"/>
      <c r="CRB13"/>
      <c r="CRC13"/>
      <c r="CRD13"/>
      <c r="CRE13"/>
      <c r="CRF13"/>
      <c r="CRG13"/>
      <c r="CRH13"/>
      <c r="CRI13"/>
      <c r="CRJ13"/>
      <c r="CRK13"/>
      <c r="CRL13"/>
      <c r="CRM13"/>
      <c r="CRN13"/>
      <c r="CRO13"/>
      <c r="CRP13"/>
      <c r="CRQ13"/>
      <c r="CRR13"/>
      <c r="CRS13"/>
      <c r="CRT13"/>
      <c r="CRU13"/>
      <c r="CRV13"/>
      <c r="CRW13"/>
      <c r="CRX13"/>
      <c r="CRY13"/>
      <c r="CRZ13"/>
      <c r="CSA13"/>
      <c r="CSB13"/>
      <c r="CSC13"/>
      <c r="CSD13"/>
      <c r="CSE13"/>
      <c r="CSF13"/>
      <c r="CSG13"/>
      <c r="CSH13"/>
      <c r="CSI13"/>
      <c r="CSJ13"/>
      <c r="CSK13"/>
      <c r="CSL13"/>
      <c r="CSM13"/>
      <c r="CSN13"/>
      <c r="CSO13"/>
      <c r="CSP13"/>
      <c r="CSQ13"/>
      <c r="CSR13"/>
      <c r="CSS13"/>
      <c r="CST13"/>
      <c r="CSU13"/>
      <c r="CSV13"/>
      <c r="CSW13"/>
      <c r="CSX13"/>
      <c r="CSY13"/>
      <c r="CSZ13"/>
      <c r="CTA13"/>
      <c r="CTB13"/>
      <c r="CTC13"/>
      <c r="CTD13"/>
      <c r="CTE13"/>
      <c r="CTF13"/>
      <c r="CTG13"/>
      <c r="CTH13"/>
      <c r="CTI13"/>
      <c r="CTJ13"/>
      <c r="CTK13"/>
      <c r="CTL13"/>
      <c r="CTM13"/>
      <c r="CTN13"/>
      <c r="CTO13"/>
      <c r="CTP13"/>
      <c r="CTQ13"/>
      <c r="CTR13"/>
      <c r="CTS13"/>
      <c r="CTT13"/>
      <c r="CTU13"/>
      <c r="CTV13"/>
      <c r="CTW13"/>
      <c r="CTX13"/>
      <c r="CTY13"/>
      <c r="CTZ13"/>
      <c r="CUA13"/>
      <c r="CUB13"/>
      <c r="CUC13"/>
      <c r="CUD13"/>
      <c r="CUE13"/>
      <c r="CUF13"/>
      <c r="CUG13"/>
      <c r="CUH13"/>
      <c r="CUI13"/>
      <c r="CUJ13"/>
      <c r="CUK13"/>
      <c r="CUL13"/>
      <c r="CUM13"/>
      <c r="CUN13"/>
      <c r="CUO13"/>
      <c r="CUP13"/>
      <c r="CUQ13"/>
      <c r="CUR13"/>
      <c r="CUS13"/>
      <c r="CUT13"/>
      <c r="CUU13"/>
      <c r="CUV13"/>
      <c r="CUW13"/>
      <c r="CUX13"/>
      <c r="CUY13"/>
      <c r="CUZ13"/>
      <c r="CVA13"/>
      <c r="CVB13"/>
      <c r="CVC13"/>
      <c r="CVD13"/>
      <c r="CVE13"/>
      <c r="CVF13"/>
      <c r="CVG13"/>
      <c r="CVH13"/>
      <c r="CVI13"/>
      <c r="CVJ13"/>
      <c r="CVK13"/>
      <c r="CVL13"/>
      <c r="CVM13"/>
      <c r="CVN13"/>
      <c r="CVO13"/>
      <c r="CVP13"/>
      <c r="CVQ13"/>
      <c r="CVR13"/>
      <c r="CVS13"/>
      <c r="CVT13"/>
      <c r="CVU13"/>
      <c r="CVV13"/>
      <c r="CVW13"/>
      <c r="CVX13"/>
      <c r="CVY13"/>
      <c r="CVZ13"/>
      <c r="CWA13"/>
      <c r="CWB13"/>
      <c r="CWC13"/>
      <c r="CWD13"/>
      <c r="CWE13"/>
      <c r="CWF13"/>
      <c r="CWG13"/>
      <c r="CWH13"/>
      <c r="CWI13"/>
      <c r="CWJ13"/>
      <c r="CWK13"/>
      <c r="CWL13"/>
      <c r="CWM13"/>
      <c r="CWN13"/>
      <c r="CWO13"/>
      <c r="CWP13"/>
      <c r="CWQ13"/>
      <c r="CWR13"/>
      <c r="CWS13"/>
      <c r="CWT13"/>
      <c r="CWU13"/>
      <c r="CWV13"/>
      <c r="CWW13"/>
      <c r="CWX13"/>
      <c r="CWY13"/>
      <c r="CWZ13"/>
      <c r="CXA13"/>
      <c r="CXB13"/>
      <c r="CXC13"/>
      <c r="CXD13"/>
      <c r="CXE13"/>
      <c r="CXF13"/>
      <c r="CXG13"/>
      <c r="CXH13"/>
      <c r="CXI13"/>
      <c r="CXJ13"/>
      <c r="CXK13"/>
      <c r="CXL13"/>
      <c r="CXM13"/>
      <c r="CXN13"/>
      <c r="CXO13"/>
      <c r="CXP13"/>
      <c r="CXQ13"/>
      <c r="CXR13"/>
      <c r="CXS13"/>
      <c r="CXT13"/>
      <c r="CXU13"/>
      <c r="CXV13"/>
      <c r="CXW13"/>
      <c r="CXX13"/>
      <c r="CXY13"/>
      <c r="CXZ13"/>
      <c r="CYA13"/>
      <c r="CYB13"/>
      <c r="CYC13"/>
      <c r="CYD13"/>
      <c r="CYE13"/>
      <c r="CYF13"/>
      <c r="CYG13"/>
      <c r="CYH13"/>
      <c r="CYI13"/>
      <c r="CYJ13"/>
      <c r="CYK13"/>
      <c r="CYL13"/>
      <c r="CYM13"/>
      <c r="CYN13"/>
      <c r="CYO13"/>
      <c r="CYP13"/>
      <c r="CYQ13"/>
      <c r="CYR13"/>
      <c r="CYS13"/>
      <c r="CYT13"/>
      <c r="CYU13"/>
      <c r="CYV13"/>
      <c r="CYW13"/>
      <c r="CYX13"/>
      <c r="CYY13"/>
      <c r="CYZ13"/>
      <c r="CZA13"/>
      <c r="CZB13"/>
      <c r="CZC13"/>
      <c r="CZD13"/>
      <c r="CZE13"/>
      <c r="CZF13"/>
      <c r="CZG13"/>
      <c r="CZH13"/>
      <c r="CZI13"/>
      <c r="CZJ13"/>
      <c r="CZK13"/>
      <c r="CZL13"/>
      <c r="CZM13"/>
      <c r="CZN13"/>
      <c r="CZO13"/>
      <c r="CZP13"/>
      <c r="CZQ13"/>
      <c r="CZR13"/>
      <c r="CZS13"/>
      <c r="CZT13"/>
      <c r="CZU13"/>
      <c r="CZV13"/>
      <c r="CZW13"/>
      <c r="CZX13"/>
      <c r="CZY13"/>
      <c r="CZZ13"/>
      <c r="DAA13"/>
      <c r="DAB13"/>
      <c r="DAC13"/>
      <c r="DAD13"/>
      <c r="DAE13"/>
      <c r="DAF13"/>
      <c r="DAG13"/>
      <c r="DAH13"/>
      <c r="DAI13"/>
      <c r="DAJ13"/>
      <c r="DAK13"/>
      <c r="DAL13"/>
      <c r="DAM13"/>
      <c r="DAN13"/>
      <c r="DAO13"/>
      <c r="DAP13"/>
      <c r="DAQ13"/>
      <c r="DAR13"/>
      <c r="DAS13"/>
      <c r="DAT13"/>
      <c r="DAU13"/>
      <c r="DAV13"/>
      <c r="DAW13"/>
      <c r="DAX13"/>
      <c r="DAY13"/>
      <c r="DAZ13"/>
      <c r="DBA13"/>
      <c r="DBB13"/>
      <c r="DBC13"/>
      <c r="DBD13"/>
      <c r="DBE13"/>
      <c r="DBF13"/>
      <c r="DBG13"/>
      <c r="DBH13"/>
      <c r="DBI13"/>
      <c r="DBJ13"/>
      <c r="DBK13"/>
      <c r="DBL13"/>
      <c r="DBM13"/>
      <c r="DBN13"/>
      <c r="DBO13"/>
      <c r="DBP13"/>
      <c r="DBQ13"/>
      <c r="DBR13"/>
      <c r="DBS13"/>
      <c r="DBT13"/>
      <c r="DBU13"/>
      <c r="DBV13"/>
      <c r="DBW13"/>
      <c r="DBX13"/>
      <c r="DBY13"/>
      <c r="DBZ13"/>
      <c r="DCA13"/>
      <c r="DCB13"/>
      <c r="DCC13"/>
      <c r="DCD13"/>
      <c r="DCE13"/>
      <c r="DCF13"/>
      <c r="DCG13"/>
      <c r="DCH13"/>
      <c r="DCI13"/>
      <c r="DCJ13"/>
      <c r="DCK13"/>
      <c r="DCL13"/>
      <c r="DCM13"/>
      <c r="DCN13"/>
      <c r="DCO13"/>
      <c r="DCP13"/>
      <c r="DCQ13"/>
      <c r="DCR13"/>
      <c r="DCS13"/>
      <c r="DCT13"/>
      <c r="DCU13"/>
      <c r="DCV13"/>
      <c r="DCW13"/>
      <c r="DCX13"/>
      <c r="DCY13"/>
      <c r="DCZ13"/>
      <c r="DDA13"/>
      <c r="DDB13"/>
      <c r="DDC13"/>
      <c r="DDD13"/>
      <c r="DDE13"/>
      <c r="DDF13"/>
      <c r="DDG13"/>
      <c r="DDH13"/>
      <c r="DDI13"/>
      <c r="DDJ13"/>
      <c r="DDK13"/>
      <c r="DDL13"/>
      <c r="DDM13"/>
      <c r="DDN13"/>
      <c r="DDO13"/>
      <c r="DDP13"/>
      <c r="DDQ13"/>
      <c r="DDR13"/>
      <c r="DDS13"/>
      <c r="DDT13"/>
      <c r="DDU13"/>
      <c r="DDV13"/>
      <c r="DDW13"/>
      <c r="DDX13"/>
      <c r="DDY13"/>
      <c r="DDZ13"/>
      <c r="DEA13"/>
      <c r="DEB13"/>
      <c r="DEC13"/>
      <c r="DED13"/>
      <c r="DEE13"/>
      <c r="DEF13"/>
      <c r="DEG13"/>
      <c r="DEH13"/>
      <c r="DEI13"/>
      <c r="DEJ13"/>
      <c r="DEK13"/>
      <c r="DEL13"/>
      <c r="DEM13"/>
      <c r="DEN13"/>
      <c r="DEO13"/>
      <c r="DEP13"/>
      <c r="DEQ13"/>
      <c r="DER13"/>
      <c r="DES13"/>
      <c r="DET13"/>
      <c r="DEU13"/>
      <c r="DEV13"/>
      <c r="DEW13"/>
      <c r="DEX13"/>
      <c r="DEY13"/>
      <c r="DEZ13"/>
      <c r="DFA13"/>
      <c r="DFB13"/>
      <c r="DFC13"/>
      <c r="DFD13"/>
      <c r="DFE13"/>
      <c r="DFF13"/>
      <c r="DFG13"/>
      <c r="DFH13"/>
      <c r="DFI13"/>
      <c r="DFJ13"/>
      <c r="DFK13"/>
      <c r="DFL13"/>
      <c r="DFM13"/>
      <c r="DFN13"/>
      <c r="DFO13"/>
      <c r="DFP13"/>
      <c r="DFQ13"/>
      <c r="DFR13"/>
      <c r="DFS13"/>
      <c r="DFT13"/>
      <c r="DFU13"/>
      <c r="DFV13"/>
      <c r="DFW13"/>
      <c r="DFX13"/>
      <c r="DFY13"/>
      <c r="DFZ13"/>
      <c r="DGA13"/>
      <c r="DGB13"/>
      <c r="DGC13"/>
      <c r="DGD13"/>
      <c r="DGE13"/>
      <c r="DGF13"/>
      <c r="DGG13"/>
      <c r="DGH13"/>
      <c r="DGI13"/>
      <c r="DGJ13"/>
      <c r="DGK13"/>
      <c r="DGL13"/>
      <c r="DGM13"/>
      <c r="DGN13"/>
      <c r="DGO13"/>
      <c r="DGP13"/>
      <c r="DGQ13"/>
      <c r="DGR13"/>
      <c r="DGS13"/>
      <c r="DGT13"/>
      <c r="DGU13"/>
      <c r="DGV13"/>
      <c r="DGW13"/>
      <c r="DGX13"/>
      <c r="DGY13"/>
      <c r="DGZ13"/>
      <c r="DHA13"/>
      <c r="DHB13"/>
      <c r="DHC13"/>
      <c r="DHD13"/>
      <c r="DHE13"/>
      <c r="DHF13"/>
      <c r="DHG13"/>
      <c r="DHH13"/>
      <c r="DHI13"/>
      <c r="DHJ13"/>
      <c r="DHK13"/>
      <c r="DHL13"/>
      <c r="DHM13"/>
      <c r="DHN13"/>
      <c r="DHO13"/>
      <c r="DHP13"/>
      <c r="DHQ13"/>
      <c r="DHR13"/>
      <c r="DHS13"/>
      <c r="DHT13"/>
      <c r="DHU13"/>
      <c r="DHV13"/>
      <c r="DHW13"/>
      <c r="DHX13"/>
      <c r="DHY13"/>
      <c r="DHZ13"/>
      <c r="DIA13"/>
      <c r="DIB13"/>
      <c r="DIC13"/>
      <c r="DID13"/>
      <c r="DIE13"/>
      <c r="DIF13"/>
      <c r="DIG13"/>
      <c r="DIH13"/>
      <c r="DII13"/>
      <c r="DIJ13"/>
      <c r="DIK13"/>
      <c r="DIL13"/>
      <c r="DIM13"/>
      <c r="DIN13"/>
      <c r="DIO13"/>
      <c r="DIP13"/>
      <c r="DIQ13"/>
      <c r="DIR13"/>
      <c r="DIS13"/>
      <c r="DIT13"/>
      <c r="DIU13"/>
      <c r="DIV13"/>
      <c r="DIW13"/>
      <c r="DIX13"/>
      <c r="DIY13"/>
      <c r="DIZ13"/>
      <c r="DJA13"/>
      <c r="DJB13"/>
      <c r="DJC13"/>
      <c r="DJD13"/>
      <c r="DJE13"/>
      <c r="DJF13"/>
      <c r="DJG13"/>
      <c r="DJH13"/>
      <c r="DJI13"/>
      <c r="DJJ13"/>
      <c r="DJK13"/>
      <c r="DJL13"/>
      <c r="DJM13"/>
      <c r="DJN13"/>
      <c r="DJO13"/>
      <c r="DJP13"/>
      <c r="DJQ13"/>
      <c r="DJR13"/>
      <c r="DJS13"/>
      <c r="DJT13"/>
      <c r="DJU13"/>
      <c r="DJV13"/>
      <c r="DJW13"/>
      <c r="DJX13"/>
      <c r="DJY13"/>
      <c r="DJZ13"/>
      <c r="DKA13"/>
      <c r="DKB13"/>
      <c r="DKC13"/>
      <c r="DKD13"/>
      <c r="DKE13"/>
      <c r="DKF13"/>
      <c r="DKG13"/>
      <c r="DKH13"/>
      <c r="DKI13"/>
      <c r="DKJ13"/>
      <c r="DKK13"/>
      <c r="DKL13"/>
      <c r="DKM13"/>
      <c r="DKN13"/>
      <c r="DKO13"/>
      <c r="DKP13"/>
      <c r="DKQ13"/>
      <c r="DKR13"/>
      <c r="DKS13"/>
      <c r="DKT13"/>
      <c r="DKU13"/>
      <c r="DKV13"/>
      <c r="DKW13"/>
      <c r="DKX13"/>
      <c r="DKY13"/>
      <c r="DKZ13"/>
      <c r="DLA13"/>
      <c r="DLB13"/>
      <c r="DLC13"/>
      <c r="DLD13"/>
      <c r="DLE13"/>
      <c r="DLF13"/>
      <c r="DLG13"/>
      <c r="DLH13"/>
      <c r="DLI13"/>
      <c r="DLJ13"/>
      <c r="DLK13"/>
      <c r="DLL13"/>
      <c r="DLM13"/>
      <c r="DLN13"/>
      <c r="DLO13"/>
      <c r="DLP13"/>
      <c r="DLQ13"/>
      <c r="DLR13"/>
      <c r="DLS13"/>
      <c r="DLT13"/>
      <c r="DLU13"/>
      <c r="DLV13"/>
      <c r="DLW13"/>
      <c r="DLX13"/>
      <c r="DLY13"/>
      <c r="DLZ13"/>
      <c r="DMA13"/>
      <c r="DMB13"/>
      <c r="DMC13"/>
      <c r="DMD13"/>
      <c r="DME13"/>
      <c r="DMF13"/>
      <c r="DMG13"/>
      <c r="DMH13"/>
      <c r="DMI13"/>
      <c r="DMJ13"/>
      <c r="DMK13"/>
      <c r="DML13"/>
      <c r="DMM13"/>
      <c r="DMN13"/>
      <c r="DMO13"/>
      <c r="DMP13"/>
      <c r="DMQ13"/>
      <c r="DMR13"/>
      <c r="DMS13"/>
      <c r="DMT13"/>
      <c r="DMU13"/>
      <c r="DMV13"/>
      <c r="DMW13"/>
      <c r="DMX13"/>
      <c r="DMY13"/>
      <c r="DMZ13"/>
      <c r="DNA13"/>
      <c r="DNB13"/>
      <c r="DNC13"/>
      <c r="DND13"/>
      <c r="DNE13"/>
      <c r="DNF13"/>
      <c r="DNG13"/>
      <c r="DNH13"/>
      <c r="DNI13"/>
      <c r="DNJ13"/>
      <c r="DNK13"/>
      <c r="DNL13"/>
      <c r="DNM13"/>
      <c r="DNN13"/>
      <c r="DNO13"/>
      <c r="DNP13"/>
      <c r="DNQ13"/>
      <c r="DNR13"/>
      <c r="DNS13"/>
      <c r="DNT13"/>
      <c r="DNU13"/>
      <c r="DNV13"/>
      <c r="DNW13"/>
      <c r="DNX13"/>
      <c r="DNY13"/>
      <c r="DNZ13"/>
      <c r="DOA13"/>
      <c r="DOB13"/>
      <c r="DOC13"/>
      <c r="DOD13"/>
      <c r="DOE13"/>
      <c r="DOF13"/>
      <c r="DOG13"/>
      <c r="DOH13"/>
      <c r="DOI13"/>
      <c r="DOJ13"/>
      <c r="DOK13"/>
      <c r="DOL13"/>
      <c r="DOM13"/>
      <c r="DON13"/>
      <c r="DOO13"/>
      <c r="DOP13"/>
      <c r="DOQ13"/>
      <c r="DOR13"/>
      <c r="DOS13"/>
      <c r="DOT13"/>
      <c r="DOU13"/>
      <c r="DOV13"/>
      <c r="DOW13"/>
      <c r="DOX13"/>
      <c r="DOY13"/>
      <c r="DOZ13"/>
      <c r="DPA13"/>
      <c r="DPB13"/>
      <c r="DPC13"/>
      <c r="DPD13"/>
      <c r="DPE13"/>
      <c r="DPF13"/>
      <c r="DPG13"/>
      <c r="DPH13"/>
      <c r="DPI13"/>
      <c r="DPJ13"/>
      <c r="DPK13"/>
      <c r="DPL13"/>
      <c r="DPM13"/>
      <c r="DPN13"/>
      <c r="DPO13"/>
      <c r="DPP13"/>
      <c r="DPQ13"/>
      <c r="DPR13"/>
      <c r="DPS13"/>
      <c r="DPT13"/>
      <c r="DPU13"/>
      <c r="DPV13"/>
      <c r="DPW13"/>
      <c r="DPX13"/>
      <c r="DPY13"/>
      <c r="DPZ13"/>
      <c r="DQA13"/>
      <c r="DQB13"/>
      <c r="DQC13"/>
      <c r="DQD13"/>
      <c r="DQE13"/>
      <c r="DQF13"/>
      <c r="DQG13"/>
      <c r="DQH13"/>
      <c r="DQI13"/>
      <c r="DQJ13"/>
      <c r="DQK13"/>
      <c r="DQL13"/>
      <c r="DQM13"/>
      <c r="DQN13"/>
      <c r="DQO13"/>
      <c r="DQP13"/>
      <c r="DQQ13"/>
      <c r="DQR13"/>
      <c r="DQS13"/>
      <c r="DQT13"/>
      <c r="DQU13"/>
      <c r="DQV13"/>
      <c r="DQW13"/>
      <c r="DQX13"/>
      <c r="DQY13"/>
      <c r="DQZ13"/>
      <c r="DRA13"/>
      <c r="DRB13"/>
      <c r="DRC13"/>
      <c r="DRD13"/>
      <c r="DRE13"/>
      <c r="DRF13"/>
      <c r="DRG13"/>
      <c r="DRH13"/>
      <c r="DRI13"/>
      <c r="DRJ13"/>
      <c r="DRK13"/>
      <c r="DRL13"/>
      <c r="DRM13"/>
      <c r="DRN13"/>
      <c r="DRO13"/>
      <c r="DRP13"/>
      <c r="DRQ13"/>
      <c r="DRR13"/>
      <c r="DRS13"/>
      <c r="DRT13"/>
      <c r="DRU13"/>
      <c r="DRV13"/>
      <c r="DRW13"/>
      <c r="DRX13"/>
      <c r="DRY13"/>
      <c r="DRZ13"/>
      <c r="DSA13"/>
      <c r="DSB13"/>
      <c r="DSC13"/>
      <c r="DSD13"/>
      <c r="DSE13"/>
      <c r="DSF13"/>
      <c r="DSG13"/>
      <c r="DSH13"/>
      <c r="DSI13"/>
      <c r="DSJ13"/>
      <c r="DSK13"/>
      <c r="DSL13"/>
      <c r="DSM13"/>
      <c r="DSN13"/>
      <c r="DSO13"/>
      <c r="DSP13"/>
      <c r="DSQ13"/>
      <c r="DSR13"/>
      <c r="DSS13"/>
      <c r="DST13"/>
      <c r="DSU13"/>
      <c r="DSV13"/>
      <c r="DSW13"/>
      <c r="DSX13"/>
      <c r="DSY13"/>
      <c r="DSZ13"/>
      <c r="DTA13"/>
      <c r="DTB13"/>
      <c r="DTC13"/>
      <c r="DTD13"/>
      <c r="DTE13"/>
      <c r="DTF13"/>
      <c r="DTG13"/>
      <c r="DTH13"/>
      <c r="DTI13"/>
      <c r="DTJ13"/>
      <c r="DTK13"/>
      <c r="DTL13"/>
      <c r="DTM13"/>
      <c r="DTN13"/>
      <c r="DTO13"/>
      <c r="DTP13"/>
      <c r="DTQ13"/>
      <c r="DTR13"/>
      <c r="DTS13"/>
      <c r="DTT13"/>
      <c r="DTU13"/>
      <c r="DTV13"/>
      <c r="DTW13"/>
      <c r="DTX13"/>
      <c r="DTY13"/>
      <c r="DTZ13"/>
      <c r="DUA13"/>
      <c r="DUB13"/>
      <c r="DUC13"/>
      <c r="DUD13"/>
      <c r="DUE13"/>
      <c r="DUF13"/>
      <c r="DUG13"/>
      <c r="DUH13"/>
      <c r="DUI13"/>
      <c r="DUJ13"/>
      <c r="DUK13"/>
      <c r="DUL13"/>
      <c r="DUM13"/>
      <c r="DUN13"/>
      <c r="DUO13"/>
      <c r="DUP13"/>
      <c r="DUQ13"/>
      <c r="DUR13"/>
      <c r="DUS13"/>
      <c r="DUT13"/>
      <c r="DUU13"/>
      <c r="DUV13"/>
      <c r="DUW13"/>
      <c r="DUX13"/>
      <c r="DUY13"/>
      <c r="DUZ13"/>
      <c r="DVA13"/>
      <c r="DVB13"/>
      <c r="DVC13"/>
      <c r="DVD13"/>
      <c r="DVE13"/>
      <c r="DVF13"/>
      <c r="DVG13"/>
      <c r="DVH13"/>
      <c r="DVI13"/>
      <c r="DVJ13"/>
      <c r="DVK13"/>
      <c r="DVL13"/>
      <c r="DVM13"/>
      <c r="DVN13"/>
      <c r="DVO13"/>
      <c r="DVP13"/>
      <c r="DVQ13"/>
      <c r="DVR13"/>
      <c r="DVS13"/>
      <c r="DVT13"/>
      <c r="DVU13"/>
      <c r="DVV13"/>
      <c r="DVW13"/>
      <c r="DVX13"/>
      <c r="DVY13"/>
      <c r="DVZ13"/>
      <c r="DWA13"/>
      <c r="DWB13"/>
      <c r="DWC13"/>
      <c r="DWD13"/>
      <c r="DWE13"/>
      <c r="DWF13"/>
      <c r="DWG13"/>
      <c r="DWH13"/>
      <c r="DWI13"/>
      <c r="DWJ13"/>
      <c r="DWK13"/>
      <c r="DWL13"/>
      <c r="DWM13"/>
      <c r="DWN13"/>
      <c r="DWO13"/>
      <c r="DWP13"/>
      <c r="DWQ13"/>
      <c r="DWR13"/>
      <c r="DWS13"/>
      <c r="DWT13"/>
      <c r="DWU13"/>
      <c r="DWV13"/>
      <c r="DWW13"/>
      <c r="DWX13"/>
      <c r="DWY13"/>
      <c r="DWZ13"/>
      <c r="DXA13"/>
      <c r="DXB13"/>
      <c r="DXC13"/>
      <c r="DXD13"/>
      <c r="DXE13"/>
      <c r="DXF13"/>
      <c r="DXG13"/>
      <c r="DXH13"/>
      <c r="DXI13"/>
      <c r="DXJ13"/>
      <c r="DXK13"/>
      <c r="DXL13"/>
      <c r="DXM13"/>
      <c r="DXN13"/>
      <c r="DXO13"/>
      <c r="DXP13"/>
      <c r="DXQ13"/>
      <c r="DXR13"/>
      <c r="DXS13"/>
      <c r="DXT13"/>
      <c r="DXU13"/>
      <c r="DXV13"/>
      <c r="DXW13"/>
      <c r="DXX13"/>
      <c r="DXY13"/>
      <c r="DXZ13"/>
      <c r="DYA13"/>
      <c r="DYB13"/>
      <c r="DYC13"/>
      <c r="DYD13"/>
      <c r="DYE13"/>
      <c r="DYF13"/>
      <c r="DYG13"/>
      <c r="DYH13"/>
      <c r="DYI13"/>
      <c r="DYJ13"/>
      <c r="DYK13"/>
      <c r="DYL13"/>
      <c r="DYM13"/>
      <c r="DYN13"/>
      <c r="DYO13"/>
      <c r="DYP13"/>
      <c r="DYQ13"/>
      <c r="DYR13"/>
      <c r="DYS13"/>
      <c r="DYT13"/>
      <c r="DYU13"/>
      <c r="DYV13"/>
      <c r="DYW13"/>
      <c r="DYX13"/>
      <c r="DYY13"/>
      <c r="DYZ13"/>
      <c r="DZA13"/>
      <c r="DZB13"/>
      <c r="DZC13"/>
      <c r="DZD13"/>
      <c r="DZE13"/>
      <c r="DZF13"/>
      <c r="DZG13"/>
      <c r="DZH13"/>
      <c r="DZI13"/>
      <c r="DZJ13"/>
      <c r="DZK13"/>
      <c r="DZL13"/>
      <c r="DZM13"/>
      <c r="DZN13"/>
      <c r="DZO13"/>
      <c r="DZP13"/>
      <c r="DZQ13"/>
      <c r="DZR13"/>
      <c r="DZS13"/>
      <c r="DZT13"/>
      <c r="DZU13"/>
      <c r="DZV13"/>
      <c r="DZW13"/>
      <c r="DZX13"/>
      <c r="DZY13"/>
      <c r="DZZ13"/>
      <c r="EAA13"/>
      <c r="EAB13"/>
      <c r="EAC13"/>
      <c r="EAD13"/>
      <c r="EAE13"/>
      <c r="EAF13"/>
      <c r="EAG13"/>
      <c r="EAH13"/>
      <c r="EAI13"/>
      <c r="EAJ13"/>
      <c r="EAK13"/>
      <c r="EAL13"/>
      <c r="EAM13"/>
      <c r="EAN13"/>
      <c r="EAO13"/>
      <c r="EAP13"/>
      <c r="EAQ13"/>
      <c r="EAR13"/>
      <c r="EAS13"/>
      <c r="EAT13"/>
      <c r="EAU13"/>
      <c r="EAV13"/>
      <c r="EAW13"/>
      <c r="EAX13"/>
      <c r="EAY13"/>
      <c r="EAZ13"/>
      <c r="EBA13"/>
      <c r="EBB13"/>
      <c r="EBC13"/>
      <c r="EBD13"/>
      <c r="EBE13"/>
      <c r="EBF13"/>
      <c r="EBG13"/>
      <c r="EBH13"/>
      <c r="EBI13"/>
      <c r="EBJ13"/>
      <c r="EBK13"/>
      <c r="EBL13"/>
      <c r="EBM13"/>
      <c r="EBN13"/>
      <c r="EBO13"/>
      <c r="EBP13"/>
      <c r="EBQ13"/>
      <c r="EBR13"/>
      <c r="EBS13"/>
      <c r="EBT13"/>
      <c r="EBU13"/>
      <c r="EBV13"/>
      <c r="EBW13"/>
      <c r="EBX13"/>
      <c r="EBY13"/>
      <c r="EBZ13"/>
      <c r="ECA13"/>
      <c r="ECB13"/>
      <c r="ECC13"/>
      <c r="ECD13"/>
      <c r="ECE13"/>
      <c r="ECF13"/>
      <c r="ECG13"/>
      <c r="ECH13"/>
      <c r="ECI13"/>
      <c r="ECJ13"/>
      <c r="ECK13"/>
      <c r="ECL13"/>
      <c r="ECM13"/>
      <c r="ECN13"/>
      <c r="ECO13"/>
      <c r="ECP13"/>
      <c r="ECQ13"/>
      <c r="ECR13"/>
      <c r="ECS13"/>
      <c r="ECT13"/>
      <c r="ECU13"/>
      <c r="ECV13"/>
      <c r="ECW13"/>
      <c r="ECX13"/>
      <c r="ECY13"/>
      <c r="ECZ13"/>
      <c r="EDA13"/>
      <c r="EDB13"/>
      <c r="EDC13"/>
      <c r="EDD13"/>
      <c r="EDE13"/>
      <c r="EDF13"/>
      <c r="EDG13"/>
      <c r="EDH13"/>
      <c r="EDI13"/>
      <c r="EDJ13"/>
      <c r="EDK13"/>
      <c r="EDL13"/>
      <c r="EDM13"/>
      <c r="EDN13"/>
      <c r="EDO13"/>
      <c r="EDP13"/>
      <c r="EDQ13"/>
      <c r="EDR13"/>
      <c r="EDS13"/>
      <c r="EDT13"/>
      <c r="EDU13"/>
      <c r="EDV13"/>
      <c r="EDW13"/>
      <c r="EDX13"/>
      <c r="EDY13"/>
      <c r="EDZ13"/>
      <c r="EEA13"/>
      <c r="EEB13"/>
      <c r="EEC13"/>
      <c r="EED13"/>
      <c r="EEE13"/>
      <c r="EEF13"/>
      <c r="EEG13"/>
      <c r="EEH13"/>
      <c r="EEI13"/>
      <c r="EEJ13"/>
      <c r="EEK13"/>
      <c r="EEL13"/>
      <c r="EEM13"/>
      <c r="EEN13"/>
      <c r="EEO13"/>
      <c r="EEP13"/>
      <c r="EEQ13"/>
      <c r="EER13"/>
      <c r="EES13"/>
      <c r="EET13"/>
      <c r="EEU13"/>
      <c r="EEV13"/>
      <c r="EEW13"/>
      <c r="EEX13"/>
      <c r="EEY13"/>
      <c r="EEZ13"/>
      <c r="EFA13"/>
      <c r="EFB13"/>
      <c r="EFC13"/>
      <c r="EFD13"/>
      <c r="EFE13"/>
      <c r="EFF13"/>
      <c r="EFG13"/>
      <c r="EFH13"/>
      <c r="EFI13"/>
      <c r="EFJ13"/>
      <c r="EFK13"/>
      <c r="EFL13"/>
      <c r="EFM13"/>
      <c r="EFN13"/>
      <c r="EFO13"/>
      <c r="EFP13"/>
      <c r="EFQ13"/>
      <c r="EFR13"/>
      <c r="EFS13"/>
      <c r="EFT13"/>
      <c r="EFU13"/>
      <c r="EFV13"/>
      <c r="EFW13"/>
      <c r="EFX13"/>
      <c r="EFY13"/>
      <c r="EFZ13"/>
      <c r="EGA13"/>
      <c r="EGB13"/>
      <c r="EGC13"/>
      <c r="EGD13"/>
      <c r="EGE13"/>
      <c r="EGF13"/>
      <c r="EGG13"/>
      <c r="EGH13"/>
      <c r="EGI13"/>
      <c r="EGJ13"/>
      <c r="EGK13"/>
      <c r="EGL13"/>
      <c r="EGM13"/>
      <c r="EGN13"/>
      <c r="EGO13"/>
      <c r="EGP13"/>
      <c r="EGQ13"/>
      <c r="EGR13"/>
      <c r="EGS13"/>
      <c r="EGT13"/>
      <c r="EGU13"/>
      <c r="EGV13"/>
      <c r="EGW13"/>
      <c r="EGX13"/>
      <c r="EGY13"/>
      <c r="EGZ13"/>
      <c r="EHA13"/>
      <c r="EHB13"/>
      <c r="EHC13"/>
      <c r="EHD13"/>
      <c r="EHE13"/>
      <c r="EHF13"/>
      <c r="EHG13"/>
      <c r="EHH13"/>
      <c r="EHI13"/>
      <c r="EHJ13"/>
      <c r="EHK13"/>
      <c r="EHL13"/>
      <c r="EHM13"/>
      <c r="EHN13"/>
      <c r="EHO13"/>
      <c r="EHP13"/>
      <c r="EHQ13"/>
      <c r="EHR13"/>
      <c r="EHS13"/>
      <c r="EHT13"/>
      <c r="EHU13"/>
      <c r="EHV13"/>
      <c r="EHW13"/>
      <c r="EHX13"/>
      <c r="EHY13"/>
      <c r="EHZ13"/>
      <c r="EIA13"/>
      <c r="EIB13"/>
      <c r="EIC13"/>
      <c r="EID13"/>
      <c r="EIE13"/>
      <c r="EIF13"/>
      <c r="EIG13"/>
      <c r="EIH13"/>
      <c r="EII13"/>
      <c r="EIJ13"/>
      <c r="EIK13"/>
      <c r="EIL13"/>
      <c r="EIM13"/>
      <c r="EIN13"/>
      <c r="EIO13"/>
      <c r="EIP13"/>
      <c r="EIQ13"/>
      <c r="EIR13"/>
      <c r="EIS13"/>
      <c r="EIT13"/>
      <c r="EIU13"/>
      <c r="EIV13"/>
      <c r="EIW13"/>
      <c r="EIX13"/>
      <c r="EIY13"/>
      <c r="EIZ13"/>
      <c r="EJA13"/>
      <c r="EJB13"/>
      <c r="EJC13"/>
      <c r="EJD13"/>
      <c r="EJE13"/>
      <c r="EJF13"/>
      <c r="EJG13"/>
      <c r="EJH13"/>
      <c r="EJI13"/>
      <c r="EJJ13"/>
      <c r="EJK13"/>
      <c r="EJL13"/>
      <c r="EJM13"/>
      <c r="EJN13"/>
      <c r="EJO13"/>
      <c r="EJP13"/>
      <c r="EJQ13"/>
      <c r="EJR13"/>
      <c r="EJS13"/>
      <c r="EJT13"/>
      <c r="EJU13"/>
      <c r="EJV13"/>
      <c r="EJW13"/>
      <c r="EJX13"/>
      <c r="EJY13"/>
      <c r="EJZ13"/>
      <c r="EKA13"/>
      <c r="EKB13"/>
      <c r="EKC13"/>
      <c r="EKD13"/>
      <c r="EKE13"/>
      <c r="EKF13"/>
      <c r="EKG13"/>
      <c r="EKH13"/>
      <c r="EKI13"/>
      <c r="EKJ13"/>
      <c r="EKK13"/>
      <c r="EKL13"/>
      <c r="EKM13"/>
      <c r="EKN13"/>
      <c r="EKO13"/>
      <c r="EKP13"/>
      <c r="EKQ13"/>
      <c r="EKR13"/>
      <c r="EKS13"/>
      <c r="EKT13"/>
      <c r="EKU13"/>
      <c r="EKV13"/>
      <c r="EKW13"/>
      <c r="EKX13"/>
      <c r="EKY13"/>
      <c r="EKZ13"/>
      <c r="ELA13"/>
      <c r="ELB13"/>
      <c r="ELC13"/>
      <c r="ELD13"/>
      <c r="ELE13"/>
      <c r="ELF13"/>
      <c r="ELG13"/>
      <c r="ELH13"/>
      <c r="ELI13"/>
      <c r="ELJ13"/>
      <c r="ELK13"/>
      <c r="ELL13"/>
      <c r="ELM13"/>
      <c r="ELN13"/>
      <c r="ELO13"/>
      <c r="ELP13"/>
      <c r="ELQ13"/>
      <c r="ELR13"/>
      <c r="ELS13"/>
      <c r="ELT13"/>
      <c r="ELU13"/>
      <c r="ELV13"/>
      <c r="ELW13"/>
      <c r="ELX13"/>
      <c r="ELY13"/>
      <c r="ELZ13"/>
      <c r="EMA13"/>
      <c r="EMB13"/>
      <c r="EMC13"/>
      <c r="EMD13"/>
      <c r="EME13"/>
      <c r="EMF13"/>
      <c r="EMG13"/>
      <c r="EMH13"/>
      <c r="EMI13"/>
      <c r="EMJ13"/>
      <c r="EMK13"/>
      <c r="EML13"/>
      <c r="EMM13"/>
      <c r="EMN13"/>
      <c r="EMO13"/>
      <c r="EMP13"/>
      <c r="EMQ13"/>
      <c r="EMR13"/>
      <c r="EMS13"/>
      <c r="EMT13"/>
      <c r="EMU13"/>
      <c r="EMV13"/>
      <c r="EMW13"/>
      <c r="EMX13"/>
      <c r="EMY13"/>
      <c r="EMZ13"/>
      <c r="ENA13"/>
      <c r="ENB13"/>
      <c r="ENC13"/>
      <c r="END13"/>
      <c r="ENE13"/>
      <c r="ENF13"/>
      <c r="ENG13"/>
      <c r="ENH13"/>
      <c r="ENI13"/>
      <c r="ENJ13"/>
      <c r="ENK13"/>
      <c r="ENL13"/>
      <c r="ENM13"/>
      <c r="ENN13"/>
      <c r="ENO13"/>
      <c r="ENP13"/>
      <c r="ENQ13"/>
      <c r="ENR13"/>
      <c r="ENS13"/>
      <c r="ENT13"/>
      <c r="ENU13"/>
      <c r="ENV13"/>
      <c r="ENW13"/>
      <c r="ENX13"/>
      <c r="ENY13"/>
      <c r="ENZ13"/>
      <c r="EOA13"/>
      <c r="EOB13"/>
      <c r="EOC13"/>
      <c r="EOD13"/>
      <c r="EOE13"/>
      <c r="EOF13"/>
      <c r="EOG13"/>
      <c r="EOH13"/>
      <c r="EOI13"/>
      <c r="EOJ13"/>
      <c r="EOK13"/>
      <c r="EOL13"/>
      <c r="EOM13"/>
      <c r="EON13"/>
      <c r="EOO13"/>
      <c r="EOP13"/>
      <c r="EOQ13"/>
      <c r="EOR13"/>
      <c r="EOS13"/>
      <c r="EOT13"/>
      <c r="EOU13"/>
      <c r="EOV13"/>
      <c r="EOW13"/>
      <c r="EOX13"/>
      <c r="EOY13"/>
      <c r="EOZ13"/>
      <c r="EPA13"/>
      <c r="EPB13"/>
      <c r="EPC13"/>
      <c r="EPD13"/>
      <c r="EPE13"/>
      <c r="EPF13"/>
      <c r="EPG13"/>
      <c r="EPH13"/>
      <c r="EPI13"/>
      <c r="EPJ13"/>
      <c r="EPK13"/>
      <c r="EPL13"/>
      <c r="EPM13"/>
      <c r="EPN13"/>
      <c r="EPO13"/>
      <c r="EPP13"/>
      <c r="EPQ13"/>
      <c r="EPR13"/>
      <c r="EPS13"/>
      <c r="EPT13"/>
      <c r="EPU13"/>
      <c r="EPV13"/>
      <c r="EPW13"/>
      <c r="EPX13"/>
      <c r="EPY13"/>
      <c r="EPZ13"/>
      <c r="EQA13"/>
      <c r="EQB13"/>
      <c r="EQC13"/>
      <c r="EQD13"/>
      <c r="EQE13"/>
      <c r="EQF13"/>
      <c r="EQG13"/>
      <c r="EQH13"/>
      <c r="EQI13"/>
      <c r="EQJ13"/>
      <c r="EQK13"/>
      <c r="EQL13"/>
      <c r="EQM13"/>
      <c r="EQN13"/>
      <c r="EQO13"/>
      <c r="EQP13"/>
      <c r="EQQ13"/>
      <c r="EQR13"/>
      <c r="EQS13"/>
      <c r="EQT13"/>
      <c r="EQU13"/>
      <c r="EQV13"/>
      <c r="EQW13"/>
      <c r="EQX13"/>
      <c r="EQY13"/>
      <c r="EQZ13"/>
      <c r="ERA13"/>
      <c r="ERB13"/>
      <c r="ERC13"/>
      <c r="ERD13"/>
      <c r="ERE13"/>
      <c r="ERF13"/>
      <c r="ERG13"/>
      <c r="ERH13"/>
      <c r="ERI13"/>
      <c r="ERJ13"/>
      <c r="ERK13"/>
      <c r="ERL13"/>
      <c r="ERM13"/>
      <c r="ERN13"/>
      <c r="ERO13"/>
      <c r="ERP13"/>
      <c r="ERQ13"/>
      <c r="ERR13"/>
      <c r="ERS13"/>
      <c r="ERT13"/>
      <c r="ERU13"/>
      <c r="ERV13"/>
      <c r="ERW13"/>
      <c r="ERX13"/>
      <c r="ERY13"/>
      <c r="ERZ13"/>
      <c r="ESA13"/>
      <c r="ESB13"/>
      <c r="ESC13"/>
      <c r="ESD13"/>
      <c r="ESE13"/>
      <c r="ESF13"/>
      <c r="ESG13"/>
      <c r="ESH13"/>
      <c r="ESI13"/>
      <c r="ESJ13"/>
      <c r="ESK13"/>
      <c r="ESL13"/>
      <c r="ESM13"/>
      <c r="ESN13"/>
      <c r="ESO13"/>
      <c r="ESP13"/>
      <c r="ESQ13"/>
      <c r="ESR13"/>
      <c r="ESS13"/>
      <c r="EST13"/>
      <c r="ESU13"/>
      <c r="ESV13"/>
      <c r="ESW13"/>
      <c r="ESX13"/>
      <c r="ESY13"/>
      <c r="ESZ13"/>
      <c r="ETA13"/>
      <c r="ETB13"/>
      <c r="ETC13"/>
      <c r="ETD13"/>
      <c r="ETE13"/>
      <c r="ETF13"/>
      <c r="ETG13"/>
      <c r="ETH13"/>
      <c r="ETI13"/>
      <c r="ETJ13"/>
      <c r="ETK13"/>
      <c r="ETL13"/>
      <c r="ETM13"/>
      <c r="ETN13"/>
      <c r="ETO13"/>
      <c r="ETP13"/>
      <c r="ETQ13"/>
      <c r="ETR13"/>
      <c r="ETS13"/>
      <c r="ETT13"/>
      <c r="ETU13"/>
      <c r="ETV13"/>
      <c r="ETW13"/>
      <c r="ETX13"/>
      <c r="ETY13"/>
      <c r="ETZ13"/>
      <c r="EUA13"/>
      <c r="EUB13"/>
      <c r="EUC13"/>
      <c r="EUD13"/>
      <c r="EUE13"/>
      <c r="EUF13"/>
      <c r="EUG13"/>
      <c r="EUH13"/>
      <c r="EUI13"/>
      <c r="EUJ13"/>
      <c r="EUK13"/>
      <c r="EUL13"/>
      <c r="EUM13"/>
      <c r="EUN13"/>
      <c r="EUO13"/>
      <c r="EUP13"/>
      <c r="EUQ13"/>
      <c r="EUR13"/>
      <c r="EUS13"/>
      <c r="EUT13"/>
      <c r="EUU13"/>
      <c r="EUV13"/>
      <c r="EUW13"/>
      <c r="EUX13"/>
      <c r="EUY13"/>
      <c r="EUZ13"/>
      <c r="EVA13"/>
      <c r="EVB13"/>
      <c r="EVC13"/>
      <c r="EVD13"/>
      <c r="EVE13"/>
      <c r="EVF13"/>
      <c r="EVG13"/>
      <c r="EVH13"/>
      <c r="EVI13"/>
      <c r="EVJ13"/>
      <c r="EVK13"/>
      <c r="EVL13"/>
      <c r="EVM13"/>
      <c r="EVN13"/>
      <c r="EVO13"/>
      <c r="EVP13"/>
      <c r="EVQ13"/>
      <c r="EVR13"/>
      <c r="EVS13"/>
      <c r="EVT13"/>
      <c r="EVU13"/>
      <c r="EVV13"/>
      <c r="EVW13"/>
      <c r="EVX13"/>
      <c r="EVY13"/>
      <c r="EVZ13"/>
      <c r="EWA13"/>
      <c r="EWB13"/>
      <c r="EWC13"/>
      <c r="EWD13"/>
      <c r="EWE13"/>
      <c r="EWF13"/>
      <c r="EWG13"/>
      <c r="EWH13"/>
      <c r="EWI13"/>
      <c r="EWJ13"/>
      <c r="EWK13"/>
      <c r="EWL13"/>
      <c r="EWM13"/>
      <c r="EWN13"/>
      <c r="EWO13"/>
      <c r="EWP13"/>
      <c r="EWQ13"/>
      <c r="EWR13"/>
      <c r="EWS13"/>
      <c r="EWT13"/>
      <c r="EWU13"/>
      <c r="EWV13"/>
      <c r="EWW13"/>
      <c r="EWX13"/>
      <c r="EWY13"/>
      <c r="EWZ13"/>
      <c r="EXA13"/>
      <c r="EXB13"/>
      <c r="EXC13"/>
      <c r="EXD13"/>
      <c r="EXE13"/>
      <c r="EXF13"/>
      <c r="EXG13"/>
      <c r="EXH13"/>
      <c r="EXI13"/>
      <c r="EXJ13"/>
      <c r="EXK13"/>
      <c r="EXL13"/>
      <c r="EXM13"/>
      <c r="EXN13"/>
      <c r="EXO13"/>
      <c r="EXP13"/>
      <c r="EXQ13"/>
      <c r="EXR13"/>
      <c r="EXS13"/>
      <c r="EXT13"/>
      <c r="EXU13"/>
      <c r="EXV13"/>
      <c r="EXW13"/>
      <c r="EXX13"/>
      <c r="EXY13"/>
      <c r="EXZ13"/>
      <c r="EYA13"/>
      <c r="EYB13"/>
      <c r="EYC13"/>
      <c r="EYD13"/>
      <c r="EYE13"/>
      <c r="EYF13"/>
      <c r="EYG13"/>
      <c r="EYH13"/>
      <c r="EYI13"/>
      <c r="EYJ13"/>
      <c r="EYK13"/>
      <c r="EYL13"/>
      <c r="EYM13"/>
      <c r="EYN13"/>
      <c r="EYO13"/>
      <c r="EYP13"/>
      <c r="EYQ13"/>
      <c r="EYR13"/>
      <c r="EYS13"/>
      <c r="EYT13"/>
      <c r="EYU13"/>
      <c r="EYV13"/>
      <c r="EYW13"/>
      <c r="EYX13"/>
      <c r="EYY13"/>
      <c r="EYZ13"/>
      <c r="EZA13"/>
      <c r="EZB13"/>
      <c r="EZC13"/>
      <c r="EZD13"/>
      <c r="EZE13"/>
      <c r="EZF13"/>
      <c r="EZG13"/>
      <c r="EZH13"/>
      <c r="EZI13"/>
      <c r="EZJ13"/>
      <c r="EZK13"/>
      <c r="EZL13"/>
      <c r="EZM13"/>
      <c r="EZN13"/>
      <c r="EZO13"/>
      <c r="EZP13"/>
      <c r="EZQ13"/>
      <c r="EZR13"/>
      <c r="EZS13"/>
      <c r="EZT13"/>
      <c r="EZU13"/>
      <c r="EZV13"/>
      <c r="EZW13"/>
      <c r="EZX13"/>
      <c r="EZY13"/>
      <c r="EZZ13"/>
      <c r="FAA13"/>
      <c r="FAB13"/>
      <c r="FAC13"/>
      <c r="FAD13"/>
      <c r="FAE13"/>
      <c r="FAF13"/>
      <c r="FAG13"/>
      <c r="FAH13"/>
      <c r="FAI13"/>
      <c r="FAJ13"/>
      <c r="FAK13"/>
      <c r="FAL13"/>
      <c r="FAM13"/>
      <c r="FAN13"/>
      <c r="FAO13"/>
      <c r="FAP13"/>
      <c r="FAQ13"/>
      <c r="FAR13"/>
      <c r="FAS13"/>
      <c r="FAT13"/>
      <c r="FAU13"/>
      <c r="FAV13"/>
      <c r="FAW13"/>
      <c r="FAX13"/>
      <c r="FAY13"/>
      <c r="FAZ13"/>
      <c r="FBA13"/>
      <c r="FBB13"/>
      <c r="FBC13"/>
      <c r="FBD13"/>
      <c r="FBE13"/>
      <c r="FBF13"/>
      <c r="FBG13"/>
      <c r="FBH13"/>
      <c r="FBI13"/>
      <c r="FBJ13"/>
      <c r="FBK13"/>
      <c r="FBL13"/>
      <c r="FBM13"/>
      <c r="FBN13"/>
      <c r="FBO13"/>
      <c r="FBP13"/>
      <c r="FBQ13"/>
      <c r="FBR13"/>
      <c r="FBS13"/>
      <c r="FBT13"/>
      <c r="FBU13"/>
      <c r="FBV13"/>
      <c r="FBW13"/>
      <c r="FBX13"/>
      <c r="FBY13"/>
      <c r="FBZ13"/>
      <c r="FCA13"/>
      <c r="FCB13"/>
      <c r="FCC13"/>
      <c r="FCD13"/>
      <c r="FCE13"/>
      <c r="FCF13"/>
      <c r="FCG13"/>
      <c r="FCH13"/>
      <c r="FCI13"/>
      <c r="FCJ13"/>
      <c r="FCK13"/>
      <c r="FCL13"/>
      <c r="FCM13"/>
      <c r="FCN13"/>
      <c r="FCO13"/>
      <c r="FCP13"/>
      <c r="FCQ13"/>
      <c r="FCR13"/>
      <c r="FCS13"/>
      <c r="FCT13"/>
      <c r="FCU13"/>
      <c r="FCV13"/>
      <c r="FCW13"/>
      <c r="FCX13"/>
      <c r="FCY13"/>
      <c r="FCZ13"/>
      <c r="FDA13"/>
      <c r="FDB13"/>
      <c r="FDC13"/>
      <c r="FDD13"/>
      <c r="FDE13"/>
      <c r="FDF13"/>
      <c r="FDG13"/>
      <c r="FDH13"/>
      <c r="FDI13"/>
      <c r="FDJ13"/>
      <c r="FDK13"/>
      <c r="FDL13"/>
      <c r="FDM13"/>
      <c r="FDN13"/>
      <c r="FDO13"/>
      <c r="FDP13"/>
      <c r="FDQ13"/>
      <c r="FDR13"/>
      <c r="FDS13"/>
      <c r="FDT13"/>
      <c r="FDU13"/>
      <c r="FDV13"/>
      <c r="FDW13"/>
      <c r="FDX13"/>
      <c r="FDY13"/>
      <c r="FDZ13"/>
      <c r="FEA13"/>
      <c r="FEB13"/>
      <c r="FEC13"/>
      <c r="FED13"/>
      <c r="FEE13"/>
      <c r="FEF13"/>
      <c r="FEG13"/>
      <c r="FEH13"/>
      <c r="FEI13"/>
      <c r="FEJ13"/>
      <c r="FEK13"/>
      <c r="FEL13"/>
      <c r="FEM13"/>
      <c r="FEN13"/>
      <c r="FEO13"/>
      <c r="FEP13"/>
      <c r="FEQ13"/>
      <c r="FER13"/>
      <c r="FES13"/>
      <c r="FET13"/>
      <c r="FEU13"/>
      <c r="FEV13"/>
      <c r="FEW13"/>
      <c r="FEX13"/>
      <c r="FEY13"/>
      <c r="FEZ13"/>
      <c r="FFA13"/>
      <c r="FFB13"/>
      <c r="FFC13"/>
      <c r="FFD13"/>
      <c r="FFE13"/>
      <c r="FFF13"/>
      <c r="FFG13"/>
      <c r="FFH13"/>
      <c r="FFI13"/>
      <c r="FFJ13"/>
      <c r="FFK13"/>
      <c r="FFL13"/>
      <c r="FFM13"/>
      <c r="FFN13"/>
      <c r="FFO13"/>
      <c r="FFP13"/>
      <c r="FFQ13"/>
      <c r="FFR13"/>
      <c r="FFS13"/>
      <c r="FFT13"/>
      <c r="FFU13"/>
      <c r="FFV13"/>
      <c r="FFW13"/>
      <c r="FFX13"/>
      <c r="FFY13"/>
      <c r="FFZ13"/>
      <c r="FGA13"/>
      <c r="FGB13"/>
      <c r="FGC13"/>
      <c r="FGD13"/>
      <c r="FGE13"/>
      <c r="FGF13"/>
      <c r="FGG13"/>
      <c r="FGH13"/>
      <c r="FGI13"/>
      <c r="FGJ13"/>
      <c r="FGK13"/>
      <c r="FGL13"/>
      <c r="FGM13"/>
      <c r="FGN13"/>
      <c r="FGO13"/>
      <c r="FGP13"/>
      <c r="FGQ13"/>
      <c r="FGR13"/>
      <c r="FGS13"/>
      <c r="FGT13"/>
      <c r="FGU13"/>
      <c r="FGV13"/>
      <c r="FGW13"/>
      <c r="FGX13"/>
      <c r="FGY13"/>
      <c r="FGZ13"/>
      <c r="FHA13"/>
      <c r="FHB13"/>
      <c r="FHC13"/>
      <c r="FHD13"/>
      <c r="FHE13"/>
      <c r="FHF13"/>
      <c r="FHG13"/>
      <c r="FHH13"/>
      <c r="FHI13"/>
      <c r="FHJ13"/>
      <c r="FHK13"/>
      <c r="FHL13"/>
      <c r="FHM13"/>
      <c r="FHN13"/>
      <c r="FHO13"/>
      <c r="FHP13"/>
      <c r="FHQ13"/>
      <c r="FHR13"/>
      <c r="FHS13"/>
      <c r="FHT13"/>
      <c r="FHU13"/>
      <c r="FHV13"/>
      <c r="FHW13"/>
      <c r="FHX13"/>
      <c r="FHY13"/>
      <c r="FHZ13"/>
      <c r="FIA13"/>
      <c r="FIB13"/>
      <c r="FIC13"/>
      <c r="FID13"/>
      <c r="FIE13"/>
      <c r="FIF13"/>
      <c r="FIG13"/>
      <c r="FIH13"/>
      <c r="FII13"/>
      <c r="FIJ13"/>
      <c r="FIK13"/>
      <c r="FIL13"/>
      <c r="FIM13"/>
      <c r="FIN13"/>
      <c r="FIO13"/>
      <c r="FIP13"/>
      <c r="FIQ13"/>
      <c r="FIR13"/>
      <c r="FIS13"/>
      <c r="FIT13"/>
      <c r="FIU13"/>
      <c r="FIV13"/>
      <c r="FIW13"/>
      <c r="FIX13"/>
      <c r="FIY13"/>
      <c r="FIZ13"/>
      <c r="FJA13"/>
      <c r="FJB13"/>
      <c r="FJC13"/>
      <c r="FJD13"/>
      <c r="FJE13"/>
      <c r="FJF13"/>
      <c r="FJG13"/>
      <c r="FJH13"/>
      <c r="FJI13"/>
      <c r="FJJ13"/>
      <c r="FJK13"/>
      <c r="FJL13"/>
      <c r="FJM13"/>
      <c r="FJN13"/>
      <c r="FJO13"/>
      <c r="FJP13"/>
      <c r="FJQ13"/>
      <c r="FJR13"/>
      <c r="FJS13"/>
      <c r="FJT13"/>
      <c r="FJU13"/>
      <c r="FJV13"/>
      <c r="FJW13"/>
      <c r="FJX13"/>
      <c r="FJY13"/>
      <c r="FJZ13"/>
      <c r="FKA13"/>
      <c r="FKB13"/>
      <c r="FKC13"/>
      <c r="FKD13"/>
      <c r="FKE13"/>
      <c r="FKF13"/>
      <c r="FKG13"/>
      <c r="FKH13"/>
      <c r="FKI13"/>
      <c r="FKJ13"/>
      <c r="FKK13"/>
      <c r="FKL13"/>
      <c r="FKM13"/>
      <c r="FKN13"/>
      <c r="FKO13"/>
      <c r="FKP13"/>
      <c r="FKQ13"/>
      <c r="FKR13"/>
      <c r="FKS13"/>
      <c r="FKT13"/>
      <c r="FKU13"/>
      <c r="FKV13"/>
      <c r="FKW13"/>
      <c r="FKX13"/>
      <c r="FKY13"/>
      <c r="FKZ13"/>
      <c r="FLA13"/>
      <c r="FLB13"/>
      <c r="FLC13"/>
      <c r="FLD13"/>
      <c r="FLE13"/>
      <c r="FLF13"/>
      <c r="FLG13"/>
      <c r="FLH13"/>
      <c r="FLI13"/>
      <c r="FLJ13"/>
      <c r="FLK13"/>
      <c r="FLL13"/>
      <c r="FLM13"/>
      <c r="FLN13"/>
      <c r="FLO13"/>
      <c r="FLP13"/>
      <c r="FLQ13"/>
      <c r="FLR13"/>
      <c r="FLS13"/>
      <c r="FLT13"/>
      <c r="FLU13"/>
      <c r="FLV13"/>
      <c r="FLW13"/>
      <c r="FLX13"/>
      <c r="FLY13"/>
      <c r="FLZ13"/>
      <c r="FMA13"/>
      <c r="FMB13"/>
      <c r="FMC13"/>
      <c r="FMD13"/>
      <c r="FME13"/>
      <c r="FMF13"/>
      <c r="FMG13"/>
      <c r="FMH13"/>
      <c r="FMI13"/>
      <c r="FMJ13"/>
      <c r="FMK13"/>
      <c r="FML13"/>
      <c r="FMM13"/>
      <c r="FMN13"/>
      <c r="FMO13"/>
      <c r="FMP13"/>
      <c r="FMQ13"/>
      <c r="FMR13"/>
      <c r="FMS13"/>
      <c r="FMT13"/>
      <c r="FMU13"/>
      <c r="FMV13"/>
      <c r="FMW13"/>
      <c r="FMX13"/>
      <c r="FMY13"/>
      <c r="FMZ13"/>
      <c r="FNA13"/>
      <c r="FNB13"/>
      <c r="FNC13"/>
      <c r="FND13"/>
      <c r="FNE13"/>
      <c r="FNF13"/>
      <c r="FNG13"/>
      <c r="FNH13"/>
      <c r="FNI13"/>
      <c r="FNJ13"/>
      <c r="FNK13"/>
      <c r="FNL13"/>
      <c r="FNM13"/>
      <c r="FNN13"/>
      <c r="FNO13"/>
      <c r="FNP13"/>
      <c r="FNQ13"/>
      <c r="FNR13"/>
      <c r="FNS13"/>
      <c r="FNT13"/>
      <c r="FNU13"/>
      <c r="FNV13"/>
      <c r="FNW13"/>
      <c r="FNX13"/>
      <c r="FNY13"/>
      <c r="FNZ13"/>
      <c r="FOA13"/>
      <c r="FOB13"/>
      <c r="FOC13"/>
      <c r="FOD13"/>
      <c r="FOE13"/>
      <c r="FOF13"/>
      <c r="FOG13"/>
      <c r="FOH13"/>
      <c r="FOI13"/>
      <c r="FOJ13"/>
      <c r="FOK13"/>
      <c r="FOL13"/>
      <c r="FOM13"/>
      <c r="FON13"/>
      <c r="FOO13"/>
      <c r="FOP13"/>
      <c r="FOQ13"/>
      <c r="FOR13"/>
      <c r="FOS13"/>
      <c r="FOT13"/>
      <c r="FOU13"/>
      <c r="FOV13"/>
      <c r="FOW13"/>
      <c r="FOX13"/>
      <c r="FOY13"/>
      <c r="FOZ13"/>
      <c r="FPA13"/>
      <c r="FPB13"/>
      <c r="FPC13"/>
      <c r="FPD13"/>
      <c r="FPE13"/>
      <c r="FPF13"/>
      <c r="FPG13"/>
      <c r="FPH13"/>
      <c r="FPI13"/>
      <c r="FPJ13"/>
      <c r="FPK13"/>
      <c r="FPL13"/>
      <c r="FPM13"/>
      <c r="FPN13"/>
      <c r="FPO13"/>
      <c r="FPP13"/>
      <c r="FPQ13"/>
      <c r="FPR13"/>
      <c r="FPS13"/>
      <c r="FPT13"/>
      <c r="FPU13"/>
      <c r="FPV13"/>
      <c r="FPW13"/>
      <c r="FPX13"/>
      <c r="FPY13"/>
      <c r="FPZ13"/>
      <c r="FQA13"/>
      <c r="FQB13"/>
      <c r="FQC13"/>
      <c r="FQD13"/>
      <c r="FQE13"/>
      <c r="FQF13"/>
      <c r="FQG13"/>
      <c r="FQH13"/>
      <c r="FQI13"/>
      <c r="FQJ13"/>
      <c r="FQK13"/>
      <c r="FQL13"/>
      <c r="FQM13"/>
      <c r="FQN13"/>
      <c r="FQO13"/>
      <c r="FQP13"/>
      <c r="FQQ13"/>
      <c r="FQR13"/>
      <c r="FQS13"/>
      <c r="FQT13"/>
      <c r="FQU13"/>
      <c r="FQV13"/>
      <c r="FQW13"/>
      <c r="FQX13"/>
      <c r="FQY13"/>
      <c r="FQZ13"/>
      <c r="FRA13"/>
      <c r="FRB13"/>
      <c r="FRC13"/>
      <c r="FRD13"/>
      <c r="FRE13"/>
      <c r="FRF13"/>
      <c r="FRG13"/>
      <c r="FRH13"/>
      <c r="FRI13"/>
      <c r="FRJ13"/>
      <c r="FRK13"/>
      <c r="FRL13"/>
      <c r="FRM13"/>
      <c r="FRN13"/>
      <c r="FRO13"/>
      <c r="FRP13"/>
      <c r="FRQ13"/>
      <c r="FRR13"/>
      <c r="FRS13"/>
      <c r="FRT13"/>
      <c r="FRU13"/>
      <c r="FRV13"/>
      <c r="FRW13"/>
      <c r="FRX13"/>
      <c r="FRY13"/>
      <c r="FRZ13"/>
      <c r="FSA13"/>
      <c r="FSB13"/>
      <c r="FSC13"/>
      <c r="FSD13"/>
      <c r="FSE13"/>
      <c r="FSF13"/>
      <c r="FSG13"/>
      <c r="FSH13"/>
      <c r="FSI13"/>
      <c r="FSJ13"/>
      <c r="FSK13"/>
      <c r="FSL13"/>
      <c r="FSM13"/>
      <c r="FSN13"/>
      <c r="FSO13"/>
      <c r="FSP13"/>
      <c r="FSQ13"/>
      <c r="FSR13"/>
      <c r="FSS13"/>
      <c r="FST13"/>
      <c r="FSU13"/>
      <c r="FSV13"/>
      <c r="FSW13"/>
      <c r="FSX13"/>
      <c r="FSY13"/>
      <c r="FSZ13"/>
      <c r="FTA13"/>
      <c r="FTB13"/>
      <c r="FTC13"/>
      <c r="FTD13"/>
      <c r="FTE13"/>
      <c r="FTF13"/>
      <c r="FTG13"/>
      <c r="FTH13"/>
      <c r="FTI13"/>
      <c r="FTJ13"/>
      <c r="FTK13"/>
      <c r="FTL13"/>
      <c r="FTM13"/>
      <c r="FTN13"/>
      <c r="FTO13"/>
      <c r="FTP13"/>
      <c r="FTQ13"/>
      <c r="FTR13"/>
      <c r="FTS13"/>
      <c r="FTT13"/>
      <c r="FTU13"/>
      <c r="FTV13"/>
      <c r="FTW13"/>
      <c r="FTX13"/>
      <c r="FTY13"/>
      <c r="FTZ13"/>
      <c r="FUA13"/>
      <c r="FUB13"/>
      <c r="FUC13"/>
      <c r="FUD13"/>
      <c r="FUE13"/>
      <c r="FUF13"/>
      <c r="FUG13"/>
      <c r="FUH13"/>
      <c r="FUI13"/>
      <c r="FUJ13"/>
      <c r="FUK13"/>
      <c r="FUL13"/>
      <c r="FUM13"/>
      <c r="FUN13"/>
      <c r="FUO13"/>
      <c r="FUP13"/>
      <c r="FUQ13"/>
      <c r="FUR13"/>
      <c r="FUS13"/>
      <c r="FUT13"/>
      <c r="FUU13"/>
      <c r="FUV13"/>
      <c r="FUW13"/>
      <c r="FUX13"/>
      <c r="FUY13"/>
      <c r="FUZ13"/>
      <c r="FVA13"/>
      <c r="FVB13"/>
      <c r="FVC13"/>
      <c r="FVD13"/>
      <c r="FVE13"/>
      <c r="FVF13"/>
      <c r="FVG13"/>
      <c r="FVH13"/>
      <c r="FVI13"/>
      <c r="FVJ13"/>
      <c r="FVK13"/>
      <c r="FVL13"/>
      <c r="FVM13"/>
      <c r="FVN13"/>
      <c r="FVO13"/>
      <c r="FVP13"/>
      <c r="FVQ13"/>
      <c r="FVR13"/>
      <c r="FVS13"/>
      <c r="FVT13"/>
      <c r="FVU13"/>
      <c r="FVV13"/>
      <c r="FVW13"/>
      <c r="FVX13"/>
      <c r="FVY13"/>
      <c r="FVZ13"/>
      <c r="FWA13"/>
      <c r="FWB13"/>
      <c r="FWC13"/>
      <c r="FWD13"/>
      <c r="FWE13"/>
      <c r="FWF13"/>
      <c r="FWG13"/>
      <c r="FWH13"/>
      <c r="FWI13"/>
      <c r="FWJ13"/>
      <c r="FWK13"/>
      <c r="FWL13"/>
      <c r="FWM13"/>
      <c r="FWN13"/>
      <c r="FWO13"/>
      <c r="FWP13"/>
      <c r="FWQ13"/>
      <c r="FWR13"/>
      <c r="FWS13"/>
      <c r="FWT13"/>
      <c r="FWU13"/>
      <c r="FWV13"/>
      <c r="FWW13"/>
      <c r="FWX13"/>
      <c r="FWY13"/>
      <c r="FWZ13"/>
      <c r="FXA13"/>
      <c r="FXB13"/>
      <c r="FXC13"/>
      <c r="FXD13"/>
      <c r="FXE13"/>
      <c r="FXF13"/>
      <c r="FXG13"/>
      <c r="FXH13"/>
      <c r="FXI13"/>
      <c r="FXJ13"/>
      <c r="FXK13"/>
      <c r="FXL13"/>
      <c r="FXM13"/>
      <c r="FXN13"/>
      <c r="FXO13"/>
      <c r="FXP13"/>
      <c r="FXQ13"/>
      <c r="FXR13"/>
      <c r="FXS13"/>
      <c r="FXT13"/>
      <c r="FXU13"/>
      <c r="FXV13"/>
      <c r="FXW13"/>
      <c r="FXX13"/>
      <c r="FXY13"/>
      <c r="FXZ13"/>
      <c r="FYA13"/>
      <c r="FYB13"/>
      <c r="FYC13"/>
      <c r="FYD13"/>
      <c r="FYE13"/>
      <c r="FYF13"/>
      <c r="FYG13"/>
      <c r="FYH13"/>
      <c r="FYI13"/>
      <c r="FYJ13"/>
      <c r="FYK13"/>
      <c r="FYL13"/>
      <c r="FYM13"/>
      <c r="FYN13"/>
      <c r="FYO13"/>
      <c r="FYP13"/>
      <c r="FYQ13"/>
      <c r="FYR13"/>
      <c r="FYS13"/>
      <c r="FYT13"/>
      <c r="FYU13"/>
      <c r="FYV13"/>
      <c r="FYW13"/>
      <c r="FYX13"/>
      <c r="FYY13"/>
      <c r="FYZ13"/>
      <c r="FZA13"/>
      <c r="FZB13"/>
      <c r="FZC13"/>
      <c r="FZD13"/>
      <c r="FZE13"/>
      <c r="FZF13"/>
      <c r="FZG13"/>
      <c r="FZH13"/>
      <c r="FZI13"/>
      <c r="FZJ13"/>
      <c r="FZK13"/>
      <c r="FZL13"/>
      <c r="FZM13"/>
      <c r="FZN13"/>
      <c r="FZO13"/>
      <c r="FZP13"/>
      <c r="FZQ13"/>
      <c r="FZR13"/>
      <c r="FZS13"/>
      <c r="FZT13"/>
      <c r="FZU13"/>
      <c r="FZV13"/>
      <c r="FZW13"/>
      <c r="FZX13"/>
      <c r="FZY13"/>
      <c r="FZZ13"/>
      <c r="GAA13"/>
      <c r="GAB13"/>
      <c r="GAC13"/>
      <c r="GAD13"/>
      <c r="GAE13"/>
      <c r="GAF13"/>
      <c r="GAG13"/>
      <c r="GAH13"/>
      <c r="GAI13"/>
      <c r="GAJ13"/>
      <c r="GAK13"/>
      <c r="GAL13"/>
      <c r="GAM13"/>
      <c r="GAN13"/>
      <c r="GAO13"/>
      <c r="GAP13"/>
      <c r="GAQ13"/>
      <c r="GAR13"/>
      <c r="GAS13"/>
      <c r="GAT13"/>
      <c r="GAU13"/>
      <c r="GAV13"/>
      <c r="GAW13"/>
      <c r="GAX13"/>
      <c r="GAY13"/>
      <c r="GAZ13"/>
      <c r="GBA13"/>
      <c r="GBB13"/>
      <c r="GBC13"/>
      <c r="GBD13"/>
      <c r="GBE13"/>
      <c r="GBF13"/>
      <c r="GBG13"/>
      <c r="GBH13"/>
      <c r="GBI13"/>
      <c r="GBJ13"/>
      <c r="GBK13"/>
      <c r="GBL13"/>
      <c r="GBM13"/>
      <c r="GBN13"/>
      <c r="GBO13"/>
      <c r="GBP13"/>
      <c r="GBQ13"/>
      <c r="GBR13"/>
      <c r="GBS13"/>
      <c r="GBT13"/>
      <c r="GBU13"/>
      <c r="GBV13"/>
      <c r="GBW13"/>
      <c r="GBX13"/>
      <c r="GBY13"/>
      <c r="GBZ13"/>
      <c r="GCA13"/>
      <c r="GCB13"/>
      <c r="GCC13"/>
      <c r="GCD13"/>
      <c r="GCE13"/>
      <c r="GCF13"/>
      <c r="GCG13"/>
      <c r="GCH13"/>
      <c r="GCI13"/>
      <c r="GCJ13"/>
      <c r="GCK13"/>
      <c r="GCL13"/>
      <c r="GCM13"/>
      <c r="GCN13"/>
      <c r="GCO13"/>
      <c r="GCP13"/>
      <c r="GCQ13"/>
      <c r="GCR13"/>
      <c r="GCS13"/>
      <c r="GCT13"/>
      <c r="GCU13"/>
      <c r="GCV13"/>
      <c r="GCW13"/>
      <c r="GCX13"/>
      <c r="GCY13"/>
      <c r="GCZ13"/>
      <c r="GDA13"/>
      <c r="GDB13"/>
      <c r="GDC13"/>
      <c r="GDD13"/>
      <c r="GDE13"/>
      <c r="GDF13"/>
      <c r="GDG13"/>
      <c r="GDH13"/>
      <c r="GDI13"/>
      <c r="GDJ13"/>
      <c r="GDK13"/>
      <c r="GDL13"/>
      <c r="GDM13"/>
      <c r="GDN13"/>
      <c r="GDO13"/>
      <c r="GDP13"/>
      <c r="GDQ13"/>
      <c r="GDR13"/>
      <c r="GDS13"/>
      <c r="GDT13"/>
      <c r="GDU13"/>
      <c r="GDV13"/>
      <c r="GDW13"/>
      <c r="GDX13"/>
      <c r="GDY13"/>
      <c r="GDZ13"/>
      <c r="GEA13"/>
      <c r="GEB13"/>
      <c r="GEC13"/>
      <c r="GED13"/>
      <c r="GEE13"/>
      <c r="GEF13"/>
      <c r="GEG13"/>
      <c r="GEH13"/>
      <c r="GEI13"/>
      <c r="GEJ13"/>
      <c r="GEK13"/>
      <c r="GEL13"/>
      <c r="GEM13"/>
      <c r="GEN13"/>
      <c r="GEO13"/>
      <c r="GEP13"/>
      <c r="GEQ13"/>
      <c r="GER13"/>
      <c r="GES13"/>
      <c r="GET13"/>
      <c r="GEU13"/>
      <c r="GEV13"/>
      <c r="GEW13"/>
      <c r="GEX13"/>
      <c r="GEY13"/>
      <c r="GEZ13"/>
      <c r="GFA13"/>
      <c r="GFB13"/>
      <c r="GFC13"/>
      <c r="GFD13"/>
      <c r="GFE13"/>
      <c r="GFF13"/>
      <c r="GFG13"/>
      <c r="GFH13"/>
      <c r="GFI13"/>
      <c r="GFJ13"/>
      <c r="GFK13"/>
      <c r="GFL13"/>
      <c r="GFM13"/>
      <c r="GFN13"/>
      <c r="GFO13"/>
      <c r="GFP13"/>
      <c r="GFQ13"/>
      <c r="GFR13"/>
      <c r="GFS13"/>
      <c r="GFT13"/>
      <c r="GFU13"/>
      <c r="GFV13"/>
      <c r="GFW13"/>
      <c r="GFX13"/>
      <c r="GFY13"/>
      <c r="GFZ13"/>
      <c r="GGA13"/>
      <c r="GGB13"/>
      <c r="GGC13"/>
      <c r="GGD13"/>
      <c r="GGE13"/>
      <c r="GGF13"/>
      <c r="GGG13"/>
      <c r="GGH13"/>
      <c r="GGI13"/>
      <c r="GGJ13"/>
      <c r="GGK13"/>
      <c r="GGL13"/>
      <c r="GGM13"/>
      <c r="GGN13"/>
      <c r="GGO13"/>
      <c r="GGP13"/>
      <c r="GGQ13"/>
      <c r="GGR13"/>
      <c r="GGS13"/>
      <c r="GGT13"/>
      <c r="GGU13"/>
      <c r="GGV13"/>
      <c r="GGW13"/>
      <c r="GGX13"/>
      <c r="GGY13"/>
      <c r="GGZ13"/>
      <c r="GHA13"/>
      <c r="GHB13"/>
      <c r="GHC13"/>
      <c r="GHD13"/>
      <c r="GHE13"/>
      <c r="GHF13"/>
      <c r="GHG13"/>
      <c r="GHH13"/>
      <c r="GHI13"/>
      <c r="GHJ13"/>
      <c r="GHK13"/>
      <c r="GHL13"/>
      <c r="GHM13"/>
      <c r="GHN13"/>
      <c r="GHO13"/>
      <c r="GHP13"/>
      <c r="GHQ13"/>
      <c r="GHR13"/>
      <c r="GHS13"/>
      <c r="GHT13"/>
      <c r="GHU13"/>
      <c r="GHV13"/>
      <c r="GHW13"/>
      <c r="GHX13"/>
      <c r="GHY13"/>
      <c r="GHZ13"/>
      <c r="GIA13"/>
      <c r="GIB13"/>
      <c r="GIC13"/>
      <c r="GID13"/>
      <c r="GIE13"/>
      <c r="GIF13"/>
      <c r="GIG13"/>
      <c r="GIH13"/>
      <c r="GII13"/>
      <c r="GIJ13"/>
      <c r="GIK13"/>
      <c r="GIL13"/>
      <c r="GIM13"/>
      <c r="GIN13"/>
      <c r="GIO13"/>
      <c r="GIP13"/>
      <c r="GIQ13"/>
      <c r="GIR13"/>
      <c r="GIS13"/>
      <c r="GIT13"/>
      <c r="GIU13"/>
      <c r="GIV13"/>
      <c r="GIW13"/>
      <c r="GIX13"/>
      <c r="GIY13"/>
      <c r="GIZ13"/>
      <c r="GJA13"/>
      <c r="GJB13"/>
      <c r="GJC13"/>
      <c r="GJD13"/>
      <c r="GJE13"/>
      <c r="GJF13"/>
      <c r="GJG13"/>
      <c r="GJH13"/>
      <c r="GJI13"/>
      <c r="GJJ13"/>
      <c r="GJK13"/>
      <c r="GJL13"/>
      <c r="GJM13"/>
      <c r="GJN13"/>
      <c r="GJO13"/>
      <c r="GJP13"/>
      <c r="GJQ13"/>
      <c r="GJR13"/>
      <c r="GJS13"/>
      <c r="GJT13"/>
      <c r="GJU13"/>
      <c r="GJV13"/>
      <c r="GJW13"/>
      <c r="GJX13"/>
      <c r="GJY13"/>
      <c r="GJZ13"/>
      <c r="GKA13"/>
      <c r="GKB13"/>
      <c r="GKC13"/>
      <c r="GKD13"/>
      <c r="GKE13"/>
      <c r="GKF13"/>
      <c r="GKG13"/>
      <c r="GKH13"/>
      <c r="GKI13"/>
      <c r="GKJ13"/>
      <c r="GKK13"/>
      <c r="GKL13"/>
      <c r="GKM13"/>
      <c r="GKN13"/>
      <c r="GKO13"/>
      <c r="GKP13"/>
      <c r="GKQ13"/>
      <c r="GKR13"/>
      <c r="GKS13"/>
      <c r="GKT13"/>
      <c r="GKU13"/>
      <c r="GKV13"/>
      <c r="GKW13"/>
      <c r="GKX13"/>
      <c r="GKY13"/>
      <c r="GKZ13"/>
      <c r="GLA13"/>
      <c r="GLB13"/>
      <c r="GLC13"/>
      <c r="GLD13"/>
      <c r="GLE13"/>
      <c r="GLF13"/>
      <c r="GLG13"/>
      <c r="GLH13"/>
      <c r="GLI13"/>
      <c r="GLJ13"/>
      <c r="GLK13"/>
      <c r="GLL13"/>
      <c r="GLM13"/>
      <c r="GLN13"/>
      <c r="GLO13"/>
      <c r="GLP13"/>
      <c r="GLQ13"/>
      <c r="GLR13"/>
      <c r="GLS13"/>
      <c r="GLT13"/>
      <c r="GLU13"/>
      <c r="GLV13"/>
      <c r="GLW13"/>
      <c r="GLX13"/>
      <c r="GLY13"/>
      <c r="GLZ13"/>
      <c r="GMA13"/>
      <c r="GMB13"/>
      <c r="GMC13"/>
      <c r="GMD13"/>
      <c r="GME13"/>
      <c r="GMF13"/>
      <c r="GMG13"/>
      <c r="GMH13"/>
      <c r="GMI13"/>
      <c r="GMJ13"/>
      <c r="GMK13"/>
      <c r="GML13"/>
      <c r="GMM13"/>
      <c r="GMN13"/>
      <c r="GMO13"/>
      <c r="GMP13"/>
      <c r="GMQ13"/>
      <c r="GMR13"/>
      <c r="GMS13"/>
      <c r="GMT13"/>
      <c r="GMU13"/>
      <c r="GMV13"/>
      <c r="GMW13"/>
      <c r="GMX13"/>
      <c r="GMY13"/>
      <c r="GMZ13"/>
      <c r="GNA13"/>
      <c r="GNB13"/>
      <c r="GNC13"/>
      <c r="GND13"/>
      <c r="GNE13"/>
      <c r="GNF13"/>
      <c r="GNG13"/>
      <c r="GNH13"/>
      <c r="GNI13"/>
      <c r="GNJ13"/>
      <c r="GNK13"/>
      <c r="GNL13"/>
      <c r="GNM13"/>
      <c r="GNN13"/>
      <c r="GNO13"/>
      <c r="GNP13"/>
      <c r="GNQ13"/>
      <c r="GNR13"/>
      <c r="GNS13"/>
      <c r="GNT13"/>
      <c r="GNU13"/>
      <c r="GNV13"/>
      <c r="GNW13"/>
      <c r="GNX13"/>
      <c r="GNY13"/>
      <c r="GNZ13"/>
      <c r="GOA13"/>
      <c r="GOB13"/>
      <c r="GOC13"/>
      <c r="GOD13"/>
      <c r="GOE13"/>
      <c r="GOF13"/>
      <c r="GOG13"/>
      <c r="GOH13"/>
      <c r="GOI13"/>
      <c r="GOJ13"/>
      <c r="GOK13"/>
      <c r="GOL13"/>
      <c r="GOM13"/>
      <c r="GON13"/>
      <c r="GOO13"/>
      <c r="GOP13"/>
      <c r="GOQ13"/>
      <c r="GOR13"/>
      <c r="GOS13"/>
      <c r="GOT13"/>
      <c r="GOU13"/>
      <c r="GOV13"/>
      <c r="GOW13"/>
      <c r="GOX13"/>
      <c r="GOY13"/>
      <c r="GOZ13"/>
      <c r="GPA13"/>
      <c r="GPB13"/>
      <c r="GPC13"/>
      <c r="GPD13"/>
      <c r="GPE13"/>
      <c r="GPF13"/>
      <c r="GPG13"/>
      <c r="GPH13"/>
      <c r="GPI13"/>
      <c r="GPJ13"/>
      <c r="GPK13"/>
      <c r="GPL13"/>
      <c r="GPM13"/>
      <c r="GPN13"/>
      <c r="GPO13"/>
      <c r="GPP13"/>
      <c r="GPQ13"/>
      <c r="GPR13"/>
      <c r="GPS13"/>
      <c r="GPT13"/>
      <c r="GPU13"/>
      <c r="GPV13"/>
      <c r="GPW13"/>
      <c r="GPX13"/>
      <c r="GPY13"/>
      <c r="GPZ13"/>
      <c r="GQA13"/>
      <c r="GQB13"/>
      <c r="GQC13"/>
      <c r="GQD13"/>
      <c r="GQE13"/>
      <c r="GQF13"/>
      <c r="GQG13"/>
      <c r="GQH13"/>
      <c r="GQI13"/>
      <c r="GQJ13"/>
      <c r="GQK13"/>
      <c r="GQL13"/>
      <c r="GQM13"/>
      <c r="GQN13"/>
      <c r="GQO13"/>
      <c r="GQP13"/>
      <c r="GQQ13"/>
      <c r="GQR13"/>
      <c r="GQS13"/>
      <c r="GQT13"/>
      <c r="GQU13"/>
      <c r="GQV13"/>
      <c r="GQW13"/>
      <c r="GQX13"/>
      <c r="GQY13"/>
      <c r="GQZ13"/>
      <c r="GRA13"/>
      <c r="GRB13"/>
      <c r="GRC13"/>
      <c r="GRD13"/>
      <c r="GRE13"/>
      <c r="GRF13"/>
      <c r="GRG13"/>
      <c r="GRH13"/>
      <c r="GRI13"/>
      <c r="GRJ13"/>
      <c r="GRK13"/>
      <c r="GRL13"/>
      <c r="GRM13"/>
      <c r="GRN13"/>
      <c r="GRO13"/>
      <c r="GRP13"/>
      <c r="GRQ13"/>
      <c r="GRR13"/>
      <c r="GRS13"/>
      <c r="GRT13"/>
      <c r="GRU13"/>
      <c r="GRV13"/>
      <c r="GRW13"/>
      <c r="GRX13"/>
      <c r="GRY13"/>
      <c r="GRZ13"/>
      <c r="GSA13"/>
      <c r="GSB13"/>
      <c r="GSC13"/>
      <c r="GSD13"/>
      <c r="GSE13"/>
      <c r="GSF13"/>
      <c r="GSG13"/>
      <c r="GSH13"/>
      <c r="GSI13"/>
      <c r="GSJ13"/>
      <c r="GSK13"/>
      <c r="GSL13"/>
      <c r="GSM13"/>
      <c r="GSN13"/>
      <c r="GSO13"/>
      <c r="GSP13"/>
      <c r="GSQ13"/>
      <c r="GSR13"/>
      <c r="GSS13"/>
      <c r="GST13"/>
      <c r="GSU13"/>
      <c r="GSV13"/>
      <c r="GSW13"/>
      <c r="GSX13"/>
      <c r="GSY13"/>
      <c r="GSZ13"/>
      <c r="GTA13"/>
      <c r="GTB13"/>
      <c r="GTC13"/>
      <c r="GTD13"/>
      <c r="GTE13"/>
      <c r="GTF13"/>
      <c r="GTG13"/>
      <c r="GTH13"/>
      <c r="GTI13"/>
      <c r="GTJ13"/>
      <c r="GTK13"/>
      <c r="GTL13"/>
      <c r="GTM13"/>
      <c r="GTN13"/>
      <c r="GTO13"/>
      <c r="GTP13"/>
      <c r="GTQ13"/>
      <c r="GTR13"/>
      <c r="GTS13"/>
      <c r="GTT13"/>
      <c r="GTU13"/>
      <c r="GTV13"/>
      <c r="GTW13"/>
      <c r="GTX13"/>
      <c r="GTY13"/>
      <c r="GTZ13"/>
      <c r="GUA13"/>
      <c r="GUB13"/>
      <c r="GUC13"/>
      <c r="GUD13"/>
      <c r="GUE13"/>
      <c r="GUF13"/>
      <c r="GUG13"/>
      <c r="GUH13"/>
      <c r="GUI13"/>
      <c r="GUJ13"/>
      <c r="GUK13"/>
      <c r="GUL13"/>
      <c r="GUM13"/>
      <c r="GUN13"/>
      <c r="GUO13"/>
      <c r="GUP13"/>
      <c r="GUQ13"/>
      <c r="GUR13"/>
      <c r="GUS13"/>
      <c r="GUT13"/>
      <c r="GUU13"/>
      <c r="GUV13"/>
      <c r="GUW13"/>
      <c r="GUX13"/>
      <c r="GUY13"/>
      <c r="GUZ13"/>
      <c r="GVA13"/>
      <c r="GVB13"/>
      <c r="GVC13"/>
      <c r="GVD13"/>
      <c r="GVE13"/>
      <c r="GVF13"/>
      <c r="GVG13"/>
      <c r="GVH13"/>
      <c r="GVI13"/>
      <c r="GVJ13"/>
      <c r="GVK13"/>
      <c r="GVL13"/>
      <c r="GVM13"/>
      <c r="GVN13"/>
      <c r="GVO13"/>
      <c r="GVP13"/>
      <c r="GVQ13"/>
      <c r="GVR13"/>
      <c r="GVS13"/>
      <c r="GVT13"/>
      <c r="GVU13"/>
      <c r="GVV13"/>
      <c r="GVW13"/>
      <c r="GVX13"/>
      <c r="GVY13"/>
      <c r="GVZ13"/>
      <c r="GWA13"/>
      <c r="GWB13"/>
      <c r="GWC13"/>
      <c r="GWD13"/>
      <c r="GWE13"/>
      <c r="GWF13"/>
      <c r="GWG13"/>
      <c r="GWH13"/>
      <c r="GWI13"/>
      <c r="GWJ13"/>
      <c r="GWK13"/>
      <c r="GWL13"/>
      <c r="GWM13"/>
      <c r="GWN13"/>
      <c r="GWO13"/>
      <c r="GWP13"/>
      <c r="GWQ13"/>
      <c r="GWR13"/>
      <c r="GWS13"/>
      <c r="GWT13"/>
      <c r="GWU13"/>
      <c r="GWV13"/>
      <c r="GWW13"/>
      <c r="GWX13"/>
      <c r="GWY13"/>
      <c r="GWZ13"/>
      <c r="GXA13"/>
      <c r="GXB13"/>
      <c r="GXC13"/>
      <c r="GXD13"/>
      <c r="GXE13"/>
      <c r="GXF13"/>
      <c r="GXG13"/>
      <c r="GXH13"/>
      <c r="GXI13"/>
      <c r="GXJ13"/>
      <c r="GXK13"/>
      <c r="GXL13"/>
      <c r="GXM13"/>
      <c r="GXN13"/>
      <c r="GXO13"/>
      <c r="GXP13"/>
      <c r="GXQ13"/>
      <c r="GXR13"/>
      <c r="GXS13"/>
      <c r="GXT13"/>
      <c r="GXU13"/>
      <c r="GXV13"/>
      <c r="GXW13"/>
      <c r="GXX13"/>
      <c r="GXY13"/>
      <c r="GXZ13"/>
      <c r="GYA13"/>
      <c r="GYB13"/>
      <c r="GYC13"/>
      <c r="GYD13"/>
      <c r="GYE13"/>
      <c r="GYF13"/>
      <c r="GYG13"/>
      <c r="GYH13"/>
      <c r="GYI13"/>
      <c r="GYJ13"/>
      <c r="GYK13"/>
      <c r="GYL13"/>
      <c r="GYM13"/>
      <c r="GYN13"/>
      <c r="GYO13"/>
      <c r="GYP13"/>
      <c r="GYQ13"/>
      <c r="GYR13"/>
      <c r="GYS13"/>
      <c r="GYT13"/>
      <c r="GYU13"/>
      <c r="GYV13"/>
      <c r="GYW13"/>
      <c r="GYX13"/>
      <c r="GYY13"/>
      <c r="GYZ13"/>
      <c r="GZA13"/>
      <c r="GZB13"/>
      <c r="GZC13"/>
      <c r="GZD13"/>
      <c r="GZE13"/>
      <c r="GZF13"/>
      <c r="GZG13"/>
      <c r="GZH13"/>
      <c r="GZI13"/>
      <c r="GZJ13"/>
      <c r="GZK13"/>
      <c r="GZL13"/>
      <c r="GZM13"/>
      <c r="GZN13"/>
      <c r="GZO13"/>
      <c r="GZP13"/>
      <c r="GZQ13"/>
      <c r="GZR13"/>
      <c r="GZS13"/>
      <c r="GZT13"/>
      <c r="GZU13"/>
      <c r="GZV13"/>
      <c r="GZW13"/>
      <c r="GZX13"/>
      <c r="GZY13"/>
      <c r="GZZ13"/>
      <c r="HAA13"/>
      <c r="HAB13"/>
      <c r="HAC13"/>
      <c r="HAD13"/>
      <c r="HAE13"/>
      <c r="HAF13"/>
      <c r="HAG13"/>
      <c r="HAH13"/>
      <c r="HAI13"/>
      <c r="HAJ13"/>
      <c r="HAK13"/>
      <c r="HAL13"/>
      <c r="HAM13"/>
      <c r="HAN13"/>
      <c r="HAO13"/>
      <c r="HAP13"/>
      <c r="HAQ13"/>
      <c r="HAR13"/>
      <c r="HAS13"/>
      <c r="HAT13"/>
      <c r="HAU13"/>
      <c r="HAV13"/>
      <c r="HAW13"/>
      <c r="HAX13"/>
      <c r="HAY13"/>
      <c r="HAZ13"/>
      <c r="HBA13"/>
      <c r="HBB13"/>
      <c r="HBC13"/>
      <c r="HBD13"/>
      <c r="HBE13"/>
      <c r="HBF13"/>
      <c r="HBG13"/>
      <c r="HBH13"/>
      <c r="HBI13"/>
      <c r="HBJ13"/>
      <c r="HBK13"/>
      <c r="HBL13"/>
      <c r="HBM13"/>
      <c r="HBN13"/>
      <c r="HBO13"/>
      <c r="HBP13"/>
      <c r="HBQ13"/>
      <c r="HBR13"/>
      <c r="HBS13"/>
      <c r="HBT13"/>
      <c r="HBU13"/>
      <c r="HBV13"/>
      <c r="HBW13"/>
      <c r="HBX13"/>
      <c r="HBY13"/>
      <c r="HBZ13"/>
      <c r="HCA13"/>
      <c r="HCB13"/>
      <c r="HCC13"/>
      <c r="HCD13"/>
      <c r="HCE13"/>
      <c r="HCF13"/>
      <c r="HCG13"/>
      <c r="HCH13"/>
      <c r="HCI13"/>
      <c r="HCJ13"/>
      <c r="HCK13"/>
      <c r="HCL13"/>
      <c r="HCM13"/>
      <c r="HCN13"/>
      <c r="HCO13"/>
      <c r="HCP13"/>
      <c r="HCQ13"/>
      <c r="HCR13"/>
      <c r="HCS13"/>
      <c r="HCT13"/>
      <c r="HCU13"/>
      <c r="HCV13"/>
      <c r="HCW13"/>
      <c r="HCX13"/>
      <c r="HCY13"/>
      <c r="HCZ13"/>
      <c r="HDA13"/>
      <c r="HDB13"/>
      <c r="HDC13"/>
      <c r="HDD13"/>
      <c r="HDE13"/>
      <c r="HDF13"/>
      <c r="HDG13"/>
      <c r="HDH13"/>
      <c r="HDI13"/>
      <c r="HDJ13"/>
      <c r="HDK13"/>
      <c r="HDL13"/>
      <c r="HDM13"/>
      <c r="HDN13"/>
      <c r="HDO13"/>
      <c r="HDP13"/>
      <c r="HDQ13"/>
      <c r="HDR13"/>
      <c r="HDS13"/>
      <c r="HDT13"/>
      <c r="HDU13"/>
      <c r="HDV13"/>
      <c r="HDW13"/>
      <c r="HDX13"/>
      <c r="HDY13"/>
      <c r="HDZ13"/>
      <c r="HEA13"/>
      <c r="HEB13"/>
      <c r="HEC13"/>
      <c r="HED13"/>
      <c r="HEE13"/>
      <c r="HEF13"/>
      <c r="HEG13"/>
      <c r="HEH13"/>
      <c r="HEI13"/>
      <c r="HEJ13"/>
      <c r="HEK13"/>
      <c r="HEL13"/>
      <c r="HEM13"/>
      <c r="HEN13"/>
      <c r="HEO13"/>
      <c r="HEP13"/>
      <c r="HEQ13"/>
      <c r="HER13"/>
      <c r="HES13"/>
      <c r="HET13"/>
      <c r="HEU13"/>
      <c r="HEV13"/>
      <c r="HEW13"/>
      <c r="HEX13"/>
      <c r="HEY13"/>
      <c r="HEZ13"/>
      <c r="HFA13"/>
      <c r="HFB13"/>
      <c r="HFC13"/>
      <c r="HFD13"/>
      <c r="HFE13"/>
      <c r="HFF13"/>
      <c r="HFG13"/>
      <c r="HFH13"/>
      <c r="HFI13"/>
      <c r="HFJ13"/>
      <c r="HFK13"/>
      <c r="HFL13"/>
      <c r="HFM13"/>
      <c r="HFN13"/>
      <c r="HFO13"/>
      <c r="HFP13"/>
      <c r="HFQ13"/>
      <c r="HFR13"/>
      <c r="HFS13"/>
      <c r="HFT13"/>
      <c r="HFU13"/>
      <c r="HFV13"/>
      <c r="HFW13"/>
      <c r="HFX13"/>
      <c r="HFY13"/>
      <c r="HFZ13"/>
      <c r="HGA13"/>
      <c r="HGB13"/>
      <c r="HGC13"/>
      <c r="HGD13"/>
      <c r="HGE13"/>
      <c r="HGF13"/>
      <c r="HGG13"/>
      <c r="HGH13"/>
      <c r="HGI13"/>
      <c r="HGJ13"/>
      <c r="HGK13"/>
      <c r="HGL13"/>
      <c r="HGM13"/>
      <c r="HGN13"/>
      <c r="HGO13"/>
      <c r="HGP13"/>
      <c r="HGQ13"/>
      <c r="HGR13"/>
      <c r="HGS13"/>
      <c r="HGT13"/>
      <c r="HGU13"/>
      <c r="HGV13"/>
      <c r="HGW13"/>
      <c r="HGX13"/>
      <c r="HGY13"/>
      <c r="HGZ13"/>
      <c r="HHA13"/>
      <c r="HHB13"/>
      <c r="HHC13"/>
      <c r="HHD13"/>
      <c r="HHE13"/>
      <c r="HHF13"/>
      <c r="HHG13"/>
      <c r="HHH13"/>
      <c r="HHI13"/>
      <c r="HHJ13"/>
      <c r="HHK13"/>
      <c r="HHL13"/>
      <c r="HHM13"/>
      <c r="HHN13"/>
      <c r="HHO13"/>
      <c r="HHP13"/>
      <c r="HHQ13"/>
      <c r="HHR13"/>
      <c r="HHS13"/>
      <c r="HHT13"/>
      <c r="HHU13"/>
      <c r="HHV13"/>
      <c r="HHW13"/>
      <c r="HHX13"/>
      <c r="HHY13"/>
      <c r="HHZ13"/>
      <c r="HIA13"/>
      <c r="HIB13"/>
      <c r="HIC13"/>
      <c r="HID13"/>
      <c r="HIE13"/>
      <c r="HIF13"/>
      <c r="HIG13"/>
      <c r="HIH13"/>
      <c r="HII13"/>
      <c r="HIJ13"/>
      <c r="HIK13"/>
      <c r="HIL13"/>
      <c r="HIM13"/>
      <c r="HIN13"/>
      <c r="HIO13"/>
      <c r="HIP13"/>
      <c r="HIQ13"/>
      <c r="HIR13"/>
      <c r="HIS13"/>
      <c r="HIT13"/>
      <c r="HIU13"/>
      <c r="HIV13"/>
      <c r="HIW13"/>
      <c r="HIX13"/>
      <c r="HIY13"/>
      <c r="HIZ13"/>
      <c r="HJA13"/>
      <c r="HJB13"/>
      <c r="HJC13"/>
      <c r="HJD13"/>
      <c r="HJE13"/>
      <c r="HJF13"/>
      <c r="HJG13"/>
      <c r="HJH13"/>
      <c r="HJI13"/>
      <c r="HJJ13"/>
      <c r="HJK13"/>
      <c r="HJL13"/>
      <c r="HJM13"/>
      <c r="HJN13"/>
      <c r="HJO13"/>
      <c r="HJP13"/>
      <c r="HJQ13"/>
      <c r="HJR13"/>
      <c r="HJS13"/>
      <c r="HJT13"/>
      <c r="HJU13"/>
      <c r="HJV13"/>
      <c r="HJW13"/>
      <c r="HJX13"/>
      <c r="HJY13"/>
      <c r="HJZ13"/>
      <c r="HKA13"/>
      <c r="HKB13"/>
      <c r="HKC13"/>
      <c r="HKD13"/>
      <c r="HKE13"/>
      <c r="HKF13"/>
      <c r="HKG13"/>
      <c r="HKH13"/>
      <c r="HKI13"/>
      <c r="HKJ13"/>
      <c r="HKK13"/>
      <c r="HKL13"/>
      <c r="HKM13"/>
      <c r="HKN13"/>
      <c r="HKO13"/>
      <c r="HKP13"/>
      <c r="HKQ13"/>
      <c r="HKR13"/>
      <c r="HKS13"/>
      <c r="HKT13"/>
      <c r="HKU13"/>
      <c r="HKV13"/>
      <c r="HKW13"/>
      <c r="HKX13"/>
      <c r="HKY13"/>
      <c r="HKZ13"/>
      <c r="HLA13"/>
      <c r="HLB13"/>
      <c r="HLC13"/>
      <c r="HLD13"/>
      <c r="HLE13"/>
      <c r="HLF13"/>
      <c r="HLG13"/>
      <c r="HLH13"/>
      <c r="HLI13"/>
      <c r="HLJ13"/>
      <c r="HLK13"/>
      <c r="HLL13"/>
      <c r="HLM13"/>
      <c r="HLN13"/>
      <c r="HLO13"/>
      <c r="HLP13"/>
      <c r="HLQ13"/>
      <c r="HLR13"/>
      <c r="HLS13"/>
      <c r="HLT13"/>
      <c r="HLU13"/>
      <c r="HLV13"/>
      <c r="HLW13"/>
      <c r="HLX13"/>
      <c r="HLY13"/>
      <c r="HLZ13"/>
      <c r="HMA13"/>
      <c r="HMB13"/>
      <c r="HMC13"/>
      <c r="HMD13"/>
      <c r="HME13"/>
      <c r="HMF13"/>
      <c r="HMG13"/>
      <c r="HMH13"/>
      <c r="HMI13"/>
      <c r="HMJ13"/>
      <c r="HMK13"/>
      <c r="HML13"/>
      <c r="HMM13"/>
      <c r="HMN13"/>
      <c r="HMO13"/>
      <c r="HMP13"/>
      <c r="HMQ13"/>
      <c r="HMR13"/>
      <c r="HMS13"/>
      <c r="HMT13"/>
      <c r="HMU13"/>
      <c r="HMV13"/>
      <c r="HMW13"/>
      <c r="HMX13"/>
      <c r="HMY13"/>
      <c r="HMZ13"/>
      <c r="HNA13"/>
      <c r="HNB13"/>
      <c r="HNC13"/>
      <c r="HND13"/>
      <c r="HNE13"/>
      <c r="HNF13"/>
      <c r="HNG13"/>
      <c r="HNH13"/>
      <c r="HNI13"/>
      <c r="HNJ13"/>
      <c r="HNK13"/>
      <c r="HNL13"/>
      <c r="HNM13"/>
      <c r="HNN13"/>
      <c r="HNO13"/>
      <c r="HNP13"/>
      <c r="HNQ13"/>
      <c r="HNR13"/>
      <c r="HNS13"/>
      <c r="HNT13"/>
      <c r="HNU13"/>
      <c r="HNV13"/>
      <c r="HNW13"/>
      <c r="HNX13"/>
      <c r="HNY13"/>
      <c r="HNZ13"/>
      <c r="HOA13"/>
      <c r="HOB13"/>
      <c r="HOC13"/>
      <c r="HOD13"/>
      <c r="HOE13"/>
      <c r="HOF13"/>
      <c r="HOG13"/>
      <c r="HOH13"/>
      <c r="HOI13"/>
      <c r="HOJ13"/>
      <c r="HOK13"/>
      <c r="HOL13"/>
      <c r="HOM13"/>
      <c r="HON13"/>
      <c r="HOO13"/>
      <c r="HOP13"/>
      <c r="HOQ13"/>
      <c r="HOR13"/>
      <c r="HOS13"/>
      <c r="HOT13"/>
      <c r="HOU13"/>
      <c r="HOV13"/>
      <c r="HOW13"/>
      <c r="HOX13"/>
      <c r="HOY13"/>
      <c r="HOZ13"/>
      <c r="HPA13"/>
      <c r="HPB13"/>
      <c r="HPC13"/>
      <c r="HPD13"/>
      <c r="HPE13"/>
      <c r="HPF13"/>
      <c r="HPG13"/>
      <c r="HPH13"/>
      <c r="HPI13"/>
      <c r="HPJ13"/>
      <c r="HPK13"/>
      <c r="HPL13"/>
      <c r="HPM13"/>
      <c r="HPN13"/>
      <c r="HPO13"/>
      <c r="HPP13"/>
      <c r="HPQ13"/>
      <c r="HPR13"/>
      <c r="HPS13"/>
      <c r="HPT13"/>
      <c r="HPU13"/>
      <c r="HPV13"/>
      <c r="HPW13"/>
      <c r="HPX13"/>
      <c r="HPY13"/>
      <c r="HPZ13"/>
      <c r="HQA13"/>
      <c r="HQB13"/>
      <c r="HQC13"/>
      <c r="HQD13"/>
      <c r="HQE13"/>
      <c r="HQF13"/>
      <c r="HQG13"/>
      <c r="HQH13"/>
      <c r="HQI13"/>
      <c r="HQJ13"/>
      <c r="HQK13"/>
      <c r="HQL13"/>
      <c r="HQM13"/>
      <c r="HQN13"/>
      <c r="HQO13"/>
      <c r="HQP13"/>
      <c r="HQQ13"/>
      <c r="HQR13"/>
      <c r="HQS13"/>
      <c r="HQT13"/>
      <c r="HQU13"/>
      <c r="HQV13"/>
      <c r="HQW13"/>
      <c r="HQX13"/>
      <c r="HQY13"/>
      <c r="HQZ13"/>
      <c r="HRA13"/>
      <c r="HRB13"/>
      <c r="HRC13"/>
      <c r="HRD13"/>
      <c r="HRE13"/>
      <c r="HRF13"/>
      <c r="HRG13"/>
      <c r="HRH13"/>
      <c r="HRI13"/>
      <c r="HRJ13"/>
      <c r="HRK13"/>
      <c r="HRL13"/>
      <c r="HRM13"/>
      <c r="HRN13"/>
      <c r="HRO13"/>
      <c r="HRP13"/>
      <c r="HRQ13"/>
      <c r="HRR13"/>
      <c r="HRS13"/>
      <c r="HRT13"/>
      <c r="HRU13"/>
      <c r="HRV13"/>
      <c r="HRW13"/>
      <c r="HRX13"/>
      <c r="HRY13"/>
      <c r="HRZ13"/>
      <c r="HSA13"/>
      <c r="HSB13"/>
      <c r="HSC13"/>
      <c r="HSD13"/>
      <c r="HSE13"/>
      <c r="HSF13"/>
      <c r="HSG13"/>
      <c r="HSH13"/>
      <c r="HSI13"/>
      <c r="HSJ13"/>
      <c r="HSK13"/>
      <c r="HSL13"/>
      <c r="HSM13"/>
      <c r="HSN13"/>
      <c r="HSO13"/>
      <c r="HSP13"/>
      <c r="HSQ13"/>
      <c r="HSR13"/>
      <c r="HSS13"/>
      <c r="HST13"/>
      <c r="HSU13"/>
      <c r="HSV13"/>
      <c r="HSW13"/>
      <c r="HSX13"/>
      <c r="HSY13"/>
      <c r="HSZ13"/>
      <c r="HTA13"/>
      <c r="HTB13"/>
      <c r="HTC13"/>
      <c r="HTD13"/>
      <c r="HTE13"/>
      <c r="HTF13"/>
      <c r="HTG13"/>
      <c r="HTH13"/>
      <c r="HTI13"/>
      <c r="HTJ13"/>
      <c r="HTK13"/>
      <c r="HTL13"/>
      <c r="HTM13"/>
      <c r="HTN13"/>
      <c r="HTO13"/>
      <c r="HTP13"/>
      <c r="HTQ13"/>
      <c r="HTR13"/>
      <c r="HTS13"/>
      <c r="HTT13"/>
      <c r="HTU13"/>
      <c r="HTV13"/>
      <c r="HTW13"/>
      <c r="HTX13"/>
      <c r="HTY13"/>
      <c r="HTZ13"/>
      <c r="HUA13"/>
      <c r="HUB13"/>
      <c r="HUC13"/>
      <c r="HUD13"/>
      <c r="HUE13"/>
      <c r="HUF13"/>
      <c r="HUG13"/>
      <c r="HUH13"/>
      <c r="HUI13"/>
      <c r="HUJ13"/>
      <c r="HUK13"/>
      <c r="HUL13"/>
      <c r="HUM13"/>
      <c r="HUN13"/>
      <c r="HUO13"/>
      <c r="HUP13"/>
      <c r="HUQ13"/>
      <c r="HUR13"/>
      <c r="HUS13"/>
      <c r="HUT13"/>
      <c r="HUU13"/>
      <c r="HUV13"/>
      <c r="HUW13"/>
      <c r="HUX13"/>
      <c r="HUY13"/>
      <c r="HUZ13"/>
      <c r="HVA13"/>
      <c r="HVB13"/>
      <c r="HVC13"/>
      <c r="HVD13"/>
      <c r="HVE13"/>
      <c r="HVF13"/>
      <c r="HVG13"/>
      <c r="HVH13"/>
      <c r="HVI13"/>
      <c r="HVJ13"/>
      <c r="HVK13"/>
      <c r="HVL13"/>
      <c r="HVM13"/>
      <c r="HVN13"/>
      <c r="HVO13"/>
      <c r="HVP13"/>
      <c r="HVQ13"/>
      <c r="HVR13"/>
      <c r="HVS13"/>
      <c r="HVT13"/>
      <c r="HVU13"/>
      <c r="HVV13"/>
      <c r="HVW13"/>
      <c r="HVX13"/>
      <c r="HVY13"/>
      <c r="HVZ13"/>
      <c r="HWA13"/>
      <c r="HWB13"/>
      <c r="HWC13"/>
      <c r="HWD13"/>
      <c r="HWE13"/>
      <c r="HWF13"/>
      <c r="HWG13"/>
      <c r="HWH13"/>
      <c r="HWI13"/>
      <c r="HWJ13"/>
      <c r="HWK13"/>
      <c r="HWL13"/>
      <c r="HWM13"/>
      <c r="HWN13"/>
      <c r="HWO13"/>
      <c r="HWP13"/>
      <c r="HWQ13"/>
      <c r="HWR13"/>
      <c r="HWS13"/>
      <c r="HWT13"/>
      <c r="HWU13"/>
      <c r="HWV13"/>
      <c r="HWW13"/>
      <c r="HWX13"/>
      <c r="HWY13"/>
      <c r="HWZ13"/>
      <c r="HXA13"/>
      <c r="HXB13"/>
      <c r="HXC13"/>
      <c r="HXD13"/>
      <c r="HXE13"/>
      <c r="HXF13"/>
      <c r="HXG13"/>
      <c r="HXH13"/>
      <c r="HXI13"/>
      <c r="HXJ13"/>
      <c r="HXK13"/>
      <c r="HXL13"/>
      <c r="HXM13"/>
      <c r="HXN13"/>
      <c r="HXO13"/>
      <c r="HXP13"/>
      <c r="HXQ13"/>
      <c r="HXR13"/>
      <c r="HXS13"/>
      <c r="HXT13"/>
      <c r="HXU13"/>
      <c r="HXV13"/>
      <c r="HXW13"/>
      <c r="HXX13"/>
      <c r="HXY13"/>
      <c r="HXZ13"/>
      <c r="HYA13"/>
      <c r="HYB13"/>
      <c r="HYC13"/>
      <c r="HYD13"/>
      <c r="HYE13"/>
      <c r="HYF13"/>
      <c r="HYG13"/>
      <c r="HYH13"/>
      <c r="HYI13"/>
      <c r="HYJ13"/>
      <c r="HYK13"/>
      <c r="HYL13"/>
      <c r="HYM13"/>
      <c r="HYN13"/>
      <c r="HYO13"/>
      <c r="HYP13"/>
      <c r="HYQ13"/>
      <c r="HYR13"/>
      <c r="HYS13"/>
      <c r="HYT13"/>
      <c r="HYU13"/>
      <c r="HYV13"/>
      <c r="HYW13"/>
      <c r="HYX13"/>
      <c r="HYY13"/>
      <c r="HYZ13"/>
      <c r="HZA13"/>
      <c r="HZB13"/>
      <c r="HZC13"/>
      <c r="HZD13"/>
      <c r="HZE13"/>
      <c r="HZF13"/>
      <c r="HZG13"/>
      <c r="HZH13"/>
      <c r="HZI13"/>
      <c r="HZJ13"/>
      <c r="HZK13"/>
      <c r="HZL13"/>
      <c r="HZM13"/>
      <c r="HZN13"/>
      <c r="HZO13"/>
      <c r="HZP13"/>
      <c r="HZQ13"/>
      <c r="HZR13"/>
      <c r="HZS13"/>
      <c r="HZT13"/>
      <c r="HZU13"/>
      <c r="HZV13"/>
      <c r="HZW13"/>
      <c r="HZX13"/>
      <c r="HZY13"/>
      <c r="HZZ13"/>
      <c r="IAA13"/>
      <c r="IAB13"/>
      <c r="IAC13"/>
      <c r="IAD13"/>
      <c r="IAE13"/>
      <c r="IAF13"/>
      <c r="IAG13"/>
      <c r="IAH13"/>
      <c r="IAI13"/>
      <c r="IAJ13"/>
      <c r="IAK13"/>
      <c r="IAL13"/>
      <c r="IAM13"/>
      <c r="IAN13"/>
      <c r="IAO13"/>
      <c r="IAP13"/>
      <c r="IAQ13"/>
      <c r="IAR13"/>
      <c r="IAS13"/>
      <c r="IAT13"/>
      <c r="IAU13"/>
      <c r="IAV13"/>
      <c r="IAW13"/>
      <c r="IAX13"/>
      <c r="IAY13"/>
      <c r="IAZ13"/>
      <c r="IBA13"/>
      <c r="IBB13"/>
      <c r="IBC13"/>
      <c r="IBD13"/>
      <c r="IBE13"/>
      <c r="IBF13"/>
      <c r="IBG13"/>
      <c r="IBH13"/>
      <c r="IBI13"/>
      <c r="IBJ13"/>
      <c r="IBK13"/>
      <c r="IBL13"/>
      <c r="IBM13"/>
      <c r="IBN13"/>
      <c r="IBO13"/>
      <c r="IBP13"/>
      <c r="IBQ13"/>
      <c r="IBR13"/>
      <c r="IBS13"/>
      <c r="IBT13"/>
      <c r="IBU13"/>
      <c r="IBV13"/>
      <c r="IBW13"/>
      <c r="IBX13"/>
      <c r="IBY13"/>
      <c r="IBZ13"/>
      <c r="ICA13"/>
      <c r="ICB13"/>
      <c r="ICC13"/>
      <c r="ICD13"/>
      <c r="ICE13"/>
      <c r="ICF13"/>
      <c r="ICG13"/>
      <c r="ICH13"/>
      <c r="ICI13"/>
      <c r="ICJ13"/>
      <c r="ICK13"/>
      <c r="ICL13"/>
      <c r="ICM13"/>
      <c r="ICN13"/>
      <c r="ICO13"/>
      <c r="ICP13"/>
      <c r="ICQ13"/>
      <c r="ICR13"/>
      <c r="ICS13"/>
      <c r="ICT13"/>
      <c r="ICU13"/>
      <c r="ICV13"/>
      <c r="ICW13"/>
      <c r="ICX13"/>
      <c r="ICY13"/>
      <c r="ICZ13"/>
      <c r="IDA13"/>
      <c r="IDB13"/>
      <c r="IDC13"/>
      <c r="IDD13"/>
      <c r="IDE13"/>
      <c r="IDF13"/>
      <c r="IDG13"/>
      <c r="IDH13"/>
      <c r="IDI13"/>
      <c r="IDJ13"/>
      <c r="IDK13"/>
      <c r="IDL13"/>
      <c r="IDM13"/>
      <c r="IDN13"/>
      <c r="IDO13"/>
      <c r="IDP13"/>
      <c r="IDQ13"/>
      <c r="IDR13"/>
      <c r="IDS13"/>
      <c r="IDT13"/>
      <c r="IDU13"/>
      <c r="IDV13"/>
      <c r="IDW13"/>
      <c r="IDX13"/>
      <c r="IDY13"/>
      <c r="IDZ13"/>
      <c r="IEA13"/>
      <c r="IEB13"/>
      <c r="IEC13"/>
      <c r="IED13"/>
      <c r="IEE13"/>
      <c r="IEF13"/>
      <c r="IEG13"/>
      <c r="IEH13"/>
      <c r="IEI13"/>
      <c r="IEJ13"/>
      <c r="IEK13"/>
      <c r="IEL13"/>
      <c r="IEM13"/>
      <c r="IEN13"/>
      <c r="IEO13"/>
      <c r="IEP13"/>
      <c r="IEQ13"/>
      <c r="IER13"/>
      <c r="IES13"/>
      <c r="IET13"/>
      <c r="IEU13"/>
      <c r="IEV13"/>
      <c r="IEW13"/>
      <c r="IEX13"/>
      <c r="IEY13"/>
      <c r="IEZ13"/>
      <c r="IFA13"/>
      <c r="IFB13"/>
      <c r="IFC13"/>
      <c r="IFD13"/>
      <c r="IFE13"/>
      <c r="IFF13"/>
      <c r="IFG13"/>
      <c r="IFH13"/>
      <c r="IFI13"/>
      <c r="IFJ13"/>
      <c r="IFK13"/>
      <c r="IFL13"/>
      <c r="IFM13"/>
      <c r="IFN13"/>
      <c r="IFO13"/>
      <c r="IFP13"/>
      <c r="IFQ13"/>
      <c r="IFR13"/>
      <c r="IFS13"/>
      <c r="IFT13"/>
      <c r="IFU13"/>
      <c r="IFV13"/>
      <c r="IFW13"/>
      <c r="IFX13"/>
      <c r="IFY13"/>
      <c r="IFZ13"/>
      <c r="IGA13"/>
      <c r="IGB13"/>
      <c r="IGC13"/>
      <c r="IGD13"/>
      <c r="IGE13"/>
      <c r="IGF13"/>
      <c r="IGG13"/>
      <c r="IGH13"/>
      <c r="IGI13"/>
      <c r="IGJ13"/>
      <c r="IGK13"/>
      <c r="IGL13"/>
      <c r="IGM13"/>
      <c r="IGN13"/>
      <c r="IGO13"/>
      <c r="IGP13"/>
      <c r="IGQ13"/>
      <c r="IGR13"/>
      <c r="IGS13"/>
      <c r="IGT13"/>
      <c r="IGU13"/>
      <c r="IGV13"/>
      <c r="IGW13"/>
      <c r="IGX13"/>
      <c r="IGY13"/>
      <c r="IGZ13"/>
      <c r="IHA13"/>
      <c r="IHB13"/>
      <c r="IHC13"/>
      <c r="IHD13"/>
      <c r="IHE13"/>
      <c r="IHF13"/>
      <c r="IHG13"/>
      <c r="IHH13"/>
      <c r="IHI13"/>
      <c r="IHJ13"/>
      <c r="IHK13"/>
      <c r="IHL13"/>
      <c r="IHM13"/>
      <c r="IHN13"/>
      <c r="IHO13"/>
      <c r="IHP13"/>
      <c r="IHQ13"/>
      <c r="IHR13"/>
      <c r="IHS13"/>
      <c r="IHT13"/>
      <c r="IHU13"/>
      <c r="IHV13"/>
      <c r="IHW13"/>
      <c r="IHX13"/>
      <c r="IHY13"/>
      <c r="IHZ13"/>
      <c r="IIA13"/>
      <c r="IIB13"/>
      <c r="IIC13"/>
      <c r="IID13"/>
      <c r="IIE13"/>
      <c r="IIF13"/>
      <c r="IIG13"/>
      <c r="IIH13"/>
      <c r="III13"/>
      <c r="IIJ13"/>
      <c r="IIK13"/>
      <c r="IIL13"/>
      <c r="IIM13"/>
      <c r="IIN13"/>
      <c r="IIO13"/>
      <c r="IIP13"/>
      <c r="IIQ13"/>
      <c r="IIR13"/>
      <c r="IIS13"/>
      <c r="IIT13"/>
      <c r="IIU13"/>
      <c r="IIV13"/>
      <c r="IIW13"/>
      <c r="IIX13"/>
      <c r="IIY13"/>
      <c r="IIZ13"/>
      <c r="IJA13"/>
      <c r="IJB13"/>
      <c r="IJC13"/>
      <c r="IJD13"/>
      <c r="IJE13"/>
      <c r="IJF13"/>
      <c r="IJG13"/>
      <c r="IJH13"/>
      <c r="IJI13"/>
      <c r="IJJ13"/>
      <c r="IJK13"/>
      <c r="IJL13"/>
      <c r="IJM13"/>
      <c r="IJN13"/>
      <c r="IJO13"/>
      <c r="IJP13"/>
      <c r="IJQ13"/>
      <c r="IJR13"/>
      <c r="IJS13"/>
      <c r="IJT13"/>
      <c r="IJU13"/>
      <c r="IJV13"/>
      <c r="IJW13"/>
      <c r="IJX13"/>
      <c r="IJY13"/>
      <c r="IJZ13"/>
      <c r="IKA13"/>
      <c r="IKB13"/>
      <c r="IKC13"/>
      <c r="IKD13"/>
      <c r="IKE13"/>
      <c r="IKF13"/>
      <c r="IKG13"/>
      <c r="IKH13"/>
      <c r="IKI13"/>
      <c r="IKJ13"/>
      <c r="IKK13"/>
      <c r="IKL13"/>
      <c r="IKM13"/>
      <c r="IKN13"/>
      <c r="IKO13"/>
      <c r="IKP13"/>
      <c r="IKQ13"/>
      <c r="IKR13"/>
      <c r="IKS13"/>
      <c r="IKT13"/>
      <c r="IKU13"/>
      <c r="IKV13"/>
      <c r="IKW13"/>
      <c r="IKX13"/>
      <c r="IKY13"/>
      <c r="IKZ13"/>
      <c r="ILA13"/>
      <c r="ILB13"/>
      <c r="ILC13"/>
      <c r="ILD13"/>
      <c r="ILE13"/>
      <c r="ILF13"/>
      <c r="ILG13"/>
      <c r="ILH13"/>
      <c r="ILI13"/>
      <c r="ILJ13"/>
      <c r="ILK13"/>
      <c r="ILL13"/>
      <c r="ILM13"/>
      <c r="ILN13"/>
      <c r="ILO13"/>
      <c r="ILP13"/>
      <c r="ILQ13"/>
      <c r="ILR13"/>
      <c r="ILS13"/>
      <c r="ILT13"/>
      <c r="ILU13"/>
      <c r="ILV13"/>
      <c r="ILW13"/>
      <c r="ILX13"/>
      <c r="ILY13"/>
      <c r="ILZ13"/>
      <c r="IMA13"/>
      <c r="IMB13"/>
      <c r="IMC13"/>
      <c r="IMD13"/>
      <c r="IME13"/>
      <c r="IMF13"/>
      <c r="IMG13"/>
      <c r="IMH13"/>
      <c r="IMI13"/>
      <c r="IMJ13"/>
      <c r="IMK13"/>
      <c r="IML13"/>
      <c r="IMM13"/>
      <c r="IMN13"/>
      <c r="IMO13"/>
      <c r="IMP13"/>
      <c r="IMQ13"/>
      <c r="IMR13"/>
      <c r="IMS13"/>
      <c r="IMT13"/>
      <c r="IMU13"/>
      <c r="IMV13"/>
      <c r="IMW13"/>
      <c r="IMX13"/>
      <c r="IMY13"/>
      <c r="IMZ13"/>
      <c r="INA13"/>
      <c r="INB13"/>
      <c r="INC13"/>
      <c r="IND13"/>
      <c r="INE13"/>
      <c r="INF13"/>
      <c r="ING13"/>
      <c r="INH13"/>
      <c r="INI13"/>
      <c r="INJ13"/>
      <c r="INK13"/>
      <c r="INL13"/>
      <c r="INM13"/>
      <c r="INN13"/>
      <c r="INO13"/>
      <c r="INP13"/>
      <c r="INQ13"/>
      <c r="INR13"/>
      <c r="INS13"/>
      <c r="INT13"/>
      <c r="INU13"/>
      <c r="INV13"/>
      <c r="INW13"/>
      <c r="INX13"/>
      <c r="INY13"/>
      <c r="INZ13"/>
      <c r="IOA13"/>
      <c r="IOB13"/>
      <c r="IOC13"/>
      <c r="IOD13"/>
      <c r="IOE13"/>
      <c r="IOF13"/>
      <c r="IOG13"/>
      <c r="IOH13"/>
      <c r="IOI13"/>
      <c r="IOJ13"/>
      <c r="IOK13"/>
      <c r="IOL13"/>
      <c r="IOM13"/>
      <c r="ION13"/>
      <c r="IOO13"/>
      <c r="IOP13"/>
      <c r="IOQ13"/>
      <c r="IOR13"/>
      <c r="IOS13"/>
      <c r="IOT13"/>
      <c r="IOU13"/>
      <c r="IOV13"/>
      <c r="IOW13"/>
      <c r="IOX13"/>
      <c r="IOY13"/>
      <c r="IOZ13"/>
      <c r="IPA13"/>
      <c r="IPB13"/>
      <c r="IPC13"/>
      <c r="IPD13"/>
      <c r="IPE13"/>
      <c r="IPF13"/>
      <c r="IPG13"/>
      <c r="IPH13"/>
      <c r="IPI13"/>
      <c r="IPJ13"/>
      <c r="IPK13"/>
      <c r="IPL13"/>
      <c r="IPM13"/>
      <c r="IPN13"/>
      <c r="IPO13"/>
      <c r="IPP13"/>
      <c r="IPQ13"/>
      <c r="IPR13"/>
      <c r="IPS13"/>
      <c r="IPT13"/>
      <c r="IPU13"/>
      <c r="IPV13"/>
      <c r="IPW13"/>
      <c r="IPX13"/>
      <c r="IPY13"/>
      <c r="IPZ13"/>
      <c r="IQA13"/>
      <c r="IQB13"/>
      <c r="IQC13"/>
      <c r="IQD13"/>
      <c r="IQE13"/>
      <c r="IQF13"/>
      <c r="IQG13"/>
      <c r="IQH13"/>
      <c r="IQI13"/>
      <c r="IQJ13"/>
      <c r="IQK13"/>
      <c r="IQL13"/>
      <c r="IQM13"/>
      <c r="IQN13"/>
      <c r="IQO13"/>
      <c r="IQP13"/>
      <c r="IQQ13"/>
      <c r="IQR13"/>
      <c r="IQS13"/>
      <c r="IQT13"/>
      <c r="IQU13"/>
      <c r="IQV13"/>
      <c r="IQW13"/>
      <c r="IQX13"/>
      <c r="IQY13"/>
      <c r="IQZ13"/>
      <c r="IRA13"/>
      <c r="IRB13"/>
      <c r="IRC13"/>
      <c r="IRD13"/>
      <c r="IRE13"/>
      <c r="IRF13"/>
      <c r="IRG13"/>
      <c r="IRH13"/>
      <c r="IRI13"/>
      <c r="IRJ13"/>
      <c r="IRK13"/>
      <c r="IRL13"/>
      <c r="IRM13"/>
      <c r="IRN13"/>
      <c r="IRO13"/>
      <c r="IRP13"/>
      <c r="IRQ13"/>
      <c r="IRR13"/>
      <c r="IRS13"/>
      <c r="IRT13"/>
      <c r="IRU13"/>
      <c r="IRV13"/>
      <c r="IRW13"/>
      <c r="IRX13"/>
      <c r="IRY13"/>
      <c r="IRZ13"/>
      <c r="ISA13"/>
      <c r="ISB13"/>
      <c r="ISC13"/>
      <c r="ISD13"/>
      <c r="ISE13"/>
      <c r="ISF13"/>
      <c r="ISG13"/>
      <c r="ISH13"/>
      <c r="ISI13"/>
      <c r="ISJ13"/>
      <c r="ISK13"/>
      <c r="ISL13"/>
      <c r="ISM13"/>
      <c r="ISN13"/>
      <c r="ISO13"/>
      <c r="ISP13"/>
      <c r="ISQ13"/>
      <c r="ISR13"/>
      <c r="ISS13"/>
      <c r="IST13"/>
      <c r="ISU13"/>
      <c r="ISV13"/>
      <c r="ISW13"/>
      <c r="ISX13"/>
      <c r="ISY13"/>
      <c r="ISZ13"/>
      <c r="ITA13"/>
      <c r="ITB13"/>
      <c r="ITC13"/>
      <c r="ITD13"/>
      <c r="ITE13"/>
      <c r="ITF13"/>
      <c r="ITG13"/>
      <c r="ITH13"/>
      <c r="ITI13"/>
      <c r="ITJ13"/>
      <c r="ITK13"/>
      <c r="ITL13"/>
      <c r="ITM13"/>
      <c r="ITN13"/>
      <c r="ITO13"/>
      <c r="ITP13"/>
      <c r="ITQ13"/>
      <c r="ITR13"/>
      <c r="ITS13"/>
      <c r="ITT13"/>
      <c r="ITU13"/>
      <c r="ITV13"/>
      <c r="ITW13"/>
      <c r="ITX13"/>
      <c r="ITY13"/>
      <c r="ITZ13"/>
      <c r="IUA13"/>
      <c r="IUB13"/>
      <c r="IUC13"/>
      <c r="IUD13"/>
      <c r="IUE13"/>
      <c r="IUF13"/>
      <c r="IUG13"/>
      <c r="IUH13"/>
      <c r="IUI13"/>
      <c r="IUJ13"/>
      <c r="IUK13"/>
      <c r="IUL13"/>
      <c r="IUM13"/>
      <c r="IUN13"/>
      <c r="IUO13"/>
      <c r="IUP13"/>
      <c r="IUQ13"/>
      <c r="IUR13"/>
      <c r="IUS13"/>
      <c r="IUT13"/>
      <c r="IUU13"/>
      <c r="IUV13"/>
      <c r="IUW13"/>
      <c r="IUX13"/>
      <c r="IUY13"/>
      <c r="IUZ13"/>
      <c r="IVA13"/>
      <c r="IVB13"/>
      <c r="IVC13"/>
      <c r="IVD13"/>
      <c r="IVE13"/>
      <c r="IVF13"/>
      <c r="IVG13"/>
      <c r="IVH13"/>
      <c r="IVI13"/>
      <c r="IVJ13"/>
      <c r="IVK13"/>
      <c r="IVL13"/>
      <c r="IVM13"/>
      <c r="IVN13"/>
      <c r="IVO13"/>
      <c r="IVP13"/>
      <c r="IVQ13"/>
      <c r="IVR13"/>
      <c r="IVS13"/>
      <c r="IVT13"/>
      <c r="IVU13"/>
      <c r="IVV13"/>
      <c r="IVW13"/>
      <c r="IVX13"/>
      <c r="IVY13"/>
      <c r="IVZ13"/>
      <c r="IWA13"/>
      <c r="IWB13"/>
      <c r="IWC13"/>
      <c r="IWD13"/>
      <c r="IWE13"/>
      <c r="IWF13"/>
      <c r="IWG13"/>
      <c r="IWH13"/>
      <c r="IWI13"/>
      <c r="IWJ13"/>
      <c r="IWK13"/>
      <c r="IWL13"/>
      <c r="IWM13"/>
      <c r="IWN13"/>
      <c r="IWO13"/>
      <c r="IWP13"/>
      <c r="IWQ13"/>
      <c r="IWR13"/>
      <c r="IWS13"/>
      <c r="IWT13"/>
      <c r="IWU13"/>
      <c r="IWV13"/>
      <c r="IWW13"/>
      <c r="IWX13"/>
      <c r="IWY13"/>
      <c r="IWZ13"/>
      <c r="IXA13"/>
      <c r="IXB13"/>
      <c r="IXC13"/>
      <c r="IXD13"/>
      <c r="IXE13"/>
      <c r="IXF13"/>
      <c r="IXG13"/>
      <c r="IXH13"/>
      <c r="IXI13"/>
      <c r="IXJ13"/>
      <c r="IXK13"/>
      <c r="IXL13"/>
      <c r="IXM13"/>
      <c r="IXN13"/>
      <c r="IXO13"/>
      <c r="IXP13"/>
      <c r="IXQ13"/>
      <c r="IXR13"/>
      <c r="IXS13"/>
      <c r="IXT13"/>
      <c r="IXU13"/>
      <c r="IXV13"/>
      <c r="IXW13"/>
      <c r="IXX13"/>
      <c r="IXY13"/>
      <c r="IXZ13"/>
      <c r="IYA13"/>
      <c r="IYB13"/>
      <c r="IYC13"/>
      <c r="IYD13"/>
      <c r="IYE13"/>
      <c r="IYF13"/>
      <c r="IYG13"/>
      <c r="IYH13"/>
      <c r="IYI13"/>
      <c r="IYJ13"/>
      <c r="IYK13"/>
      <c r="IYL13"/>
      <c r="IYM13"/>
      <c r="IYN13"/>
      <c r="IYO13"/>
      <c r="IYP13"/>
      <c r="IYQ13"/>
      <c r="IYR13"/>
      <c r="IYS13"/>
      <c r="IYT13"/>
      <c r="IYU13"/>
      <c r="IYV13"/>
      <c r="IYW13"/>
      <c r="IYX13"/>
      <c r="IYY13"/>
      <c r="IYZ13"/>
      <c r="IZA13"/>
      <c r="IZB13"/>
      <c r="IZC13"/>
      <c r="IZD13"/>
      <c r="IZE13"/>
      <c r="IZF13"/>
      <c r="IZG13"/>
      <c r="IZH13"/>
      <c r="IZI13"/>
      <c r="IZJ13"/>
      <c r="IZK13"/>
      <c r="IZL13"/>
      <c r="IZM13"/>
      <c r="IZN13"/>
      <c r="IZO13"/>
      <c r="IZP13"/>
      <c r="IZQ13"/>
      <c r="IZR13"/>
      <c r="IZS13"/>
      <c r="IZT13"/>
      <c r="IZU13"/>
      <c r="IZV13"/>
      <c r="IZW13"/>
      <c r="IZX13"/>
      <c r="IZY13"/>
      <c r="IZZ13"/>
      <c r="JAA13"/>
      <c r="JAB13"/>
      <c r="JAC13"/>
      <c r="JAD13"/>
      <c r="JAE13"/>
      <c r="JAF13"/>
      <c r="JAG13"/>
      <c r="JAH13"/>
      <c r="JAI13"/>
      <c r="JAJ13"/>
      <c r="JAK13"/>
      <c r="JAL13"/>
      <c r="JAM13"/>
      <c r="JAN13"/>
      <c r="JAO13"/>
      <c r="JAP13"/>
      <c r="JAQ13"/>
      <c r="JAR13"/>
      <c r="JAS13"/>
      <c r="JAT13"/>
      <c r="JAU13"/>
      <c r="JAV13"/>
      <c r="JAW13"/>
      <c r="JAX13"/>
      <c r="JAY13"/>
      <c r="JAZ13"/>
      <c r="JBA13"/>
      <c r="JBB13"/>
      <c r="JBC13"/>
      <c r="JBD13"/>
      <c r="JBE13"/>
      <c r="JBF13"/>
      <c r="JBG13"/>
      <c r="JBH13"/>
      <c r="JBI13"/>
      <c r="JBJ13"/>
      <c r="JBK13"/>
      <c r="JBL13"/>
      <c r="JBM13"/>
      <c r="JBN13"/>
      <c r="JBO13"/>
      <c r="JBP13"/>
      <c r="JBQ13"/>
      <c r="JBR13"/>
      <c r="JBS13"/>
      <c r="JBT13"/>
      <c r="JBU13"/>
      <c r="JBV13"/>
      <c r="JBW13"/>
      <c r="JBX13"/>
      <c r="JBY13"/>
      <c r="JBZ13"/>
      <c r="JCA13"/>
      <c r="JCB13"/>
      <c r="JCC13"/>
      <c r="JCD13"/>
      <c r="JCE13"/>
      <c r="JCF13"/>
      <c r="JCG13"/>
      <c r="JCH13"/>
      <c r="JCI13"/>
      <c r="JCJ13"/>
      <c r="JCK13"/>
      <c r="JCL13"/>
      <c r="JCM13"/>
      <c r="JCN13"/>
      <c r="JCO13"/>
      <c r="JCP13"/>
      <c r="JCQ13"/>
      <c r="JCR13"/>
      <c r="JCS13"/>
      <c r="JCT13"/>
      <c r="JCU13"/>
      <c r="JCV13"/>
      <c r="JCW13"/>
      <c r="JCX13"/>
      <c r="JCY13"/>
      <c r="JCZ13"/>
      <c r="JDA13"/>
      <c r="JDB13"/>
      <c r="JDC13"/>
      <c r="JDD13"/>
      <c r="JDE13"/>
      <c r="JDF13"/>
      <c r="JDG13"/>
      <c r="JDH13"/>
      <c r="JDI13"/>
      <c r="JDJ13"/>
      <c r="JDK13"/>
      <c r="JDL13"/>
      <c r="JDM13"/>
      <c r="JDN13"/>
      <c r="JDO13"/>
      <c r="JDP13"/>
      <c r="JDQ13"/>
      <c r="JDR13"/>
      <c r="JDS13"/>
      <c r="JDT13"/>
      <c r="JDU13"/>
      <c r="JDV13"/>
      <c r="JDW13"/>
      <c r="JDX13"/>
      <c r="JDY13"/>
      <c r="JDZ13"/>
      <c r="JEA13"/>
      <c r="JEB13"/>
      <c r="JEC13"/>
      <c r="JED13"/>
      <c r="JEE13"/>
      <c r="JEF13"/>
      <c r="JEG13"/>
      <c r="JEH13"/>
      <c r="JEI13"/>
      <c r="JEJ13"/>
      <c r="JEK13"/>
      <c r="JEL13"/>
      <c r="JEM13"/>
      <c r="JEN13"/>
      <c r="JEO13"/>
      <c r="JEP13"/>
      <c r="JEQ13"/>
      <c r="JER13"/>
      <c r="JES13"/>
      <c r="JET13"/>
      <c r="JEU13"/>
      <c r="JEV13"/>
      <c r="JEW13"/>
      <c r="JEX13"/>
      <c r="JEY13"/>
      <c r="JEZ13"/>
      <c r="JFA13"/>
      <c r="JFB13"/>
      <c r="JFC13"/>
      <c r="JFD13"/>
      <c r="JFE13"/>
      <c r="JFF13"/>
      <c r="JFG13"/>
      <c r="JFH13"/>
      <c r="JFI13"/>
      <c r="JFJ13"/>
      <c r="JFK13"/>
      <c r="JFL13"/>
      <c r="JFM13"/>
      <c r="JFN13"/>
      <c r="JFO13"/>
      <c r="JFP13"/>
      <c r="JFQ13"/>
      <c r="JFR13"/>
      <c r="JFS13"/>
      <c r="JFT13"/>
      <c r="JFU13"/>
      <c r="JFV13"/>
      <c r="JFW13"/>
      <c r="JFX13"/>
      <c r="JFY13"/>
      <c r="JFZ13"/>
      <c r="JGA13"/>
      <c r="JGB13"/>
      <c r="JGC13"/>
      <c r="JGD13"/>
      <c r="JGE13"/>
      <c r="JGF13"/>
      <c r="JGG13"/>
      <c r="JGH13"/>
      <c r="JGI13"/>
      <c r="JGJ13"/>
      <c r="JGK13"/>
      <c r="JGL13"/>
      <c r="JGM13"/>
      <c r="JGN13"/>
      <c r="JGO13"/>
      <c r="JGP13"/>
      <c r="JGQ13"/>
      <c r="JGR13"/>
      <c r="JGS13"/>
      <c r="JGT13"/>
      <c r="JGU13"/>
      <c r="JGV13"/>
      <c r="JGW13"/>
      <c r="JGX13"/>
      <c r="JGY13"/>
      <c r="JGZ13"/>
      <c r="JHA13"/>
      <c r="JHB13"/>
      <c r="JHC13"/>
      <c r="JHD13"/>
      <c r="JHE13"/>
      <c r="JHF13"/>
      <c r="JHG13"/>
      <c r="JHH13"/>
      <c r="JHI13"/>
      <c r="JHJ13"/>
      <c r="JHK13"/>
      <c r="JHL13"/>
      <c r="JHM13"/>
      <c r="JHN13"/>
      <c r="JHO13"/>
      <c r="JHP13"/>
      <c r="JHQ13"/>
      <c r="JHR13"/>
      <c r="JHS13"/>
      <c r="JHT13"/>
      <c r="JHU13"/>
      <c r="JHV13"/>
      <c r="JHW13"/>
      <c r="JHX13"/>
      <c r="JHY13"/>
      <c r="JHZ13"/>
      <c r="JIA13"/>
      <c r="JIB13"/>
      <c r="JIC13"/>
      <c r="JID13"/>
      <c r="JIE13"/>
      <c r="JIF13"/>
      <c r="JIG13"/>
      <c r="JIH13"/>
      <c r="JII13"/>
      <c r="JIJ13"/>
      <c r="JIK13"/>
      <c r="JIL13"/>
      <c r="JIM13"/>
      <c r="JIN13"/>
      <c r="JIO13"/>
      <c r="JIP13"/>
      <c r="JIQ13"/>
      <c r="JIR13"/>
      <c r="JIS13"/>
      <c r="JIT13"/>
      <c r="JIU13"/>
      <c r="JIV13"/>
      <c r="JIW13"/>
      <c r="JIX13"/>
      <c r="JIY13"/>
      <c r="JIZ13"/>
      <c r="JJA13"/>
      <c r="JJB13"/>
      <c r="JJC13"/>
      <c r="JJD13"/>
      <c r="JJE13"/>
      <c r="JJF13"/>
      <c r="JJG13"/>
      <c r="JJH13"/>
      <c r="JJI13"/>
      <c r="JJJ13"/>
      <c r="JJK13"/>
      <c r="JJL13"/>
      <c r="JJM13"/>
      <c r="JJN13"/>
      <c r="JJO13"/>
      <c r="JJP13"/>
      <c r="JJQ13"/>
      <c r="JJR13"/>
      <c r="JJS13"/>
      <c r="JJT13"/>
      <c r="JJU13"/>
      <c r="JJV13"/>
      <c r="JJW13"/>
      <c r="JJX13"/>
      <c r="JJY13"/>
      <c r="JJZ13"/>
      <c r="JKA13"/>
      <c r="JKB13"/>
      <c r="JKC13"/>
      <c r="JKD13"/>
      <c r="JKE13"/>
      <c r="JKF13"/>
      <c r="JKG13"/>
      <c r="JKH13"/>
      <c r="JKI13"/>
      <c r="JKJ13"/>
      <c r="JKK13"/>
      <c r="JKL13"/>
      <c r="JKM13"/>
      <c r="JKN13"/>
      <c r="JKO13"/>
      <c r="JKP13"/>
      <c r="JKQ13"/>
      <c r="JKR13"/>
      <c r="JKS13"/>
      <c r="JKT13"/>
      <c r="JKU13"/>
      <c r="JKV13"/>
      <c r="JKW13"/>
      <c r="JKX13"/>
      <c r="JKY13"/>
      <c r="JKZ13"/>
      <c r="JLA13"/>
      <c r="JLB13"/>
      <c r="JLC13"/>
      <c r="JLD13"/>
      <c r="JLE13"/>
      <c r="JLF13"/>
      <c r="JLG13"/>
      <c r="JLH13"/>
      <c r="JLI13"/>
      <c r="JLJ13"/>
      <c r="JLK13"/>
      <c r="JLL13"/>
      <c r="JLM13"/>
      <c r="JLN13"/>
      <c r="JLO13"/>
      <c r="JLP13"/>
      <c r="JLQ13"/>
      <c r="JLR13"/>
      <c r="JLS13"/>
      <c r="JLT13"/>
      <c r="JLU13"/>
      <c r="JLV13"/>
      <c r="JLW13"/>
      <c r="JLX13"/>
      <c r="JLY13"/>
      <c r="JLZ13"/>
      <c r="JMA13"/>
      <c r="JMB13"/>
      <c r="JMC13"/>
      <c r="JMD13"/>
      <c r="JME13"/>
      <c r="JMF13"/>
      <c r="JMG13"/>
      <c r="JMH13"/>
      <c r="JMI13"/>
      <c r="JMJ13"/>
      <c r="JMK13"/>
      <c r="JML13"/>
      <c r="JMM13"/>
      <c r="JMN13"/>
      <c r="JMO13"/>
      <c r="JMP13"/>
      <c r="JMQ13"/>
      <c r="JMR13"/>
      <c r="JMS13"/>
      <c r="JMT13"/>
      <c r="JMU13"/>
      <c r="JMV13"/>
      <c r="JMW13"/>
      <c r="JMX13"/>
      <c r="JMY13"/>
      <c r="JMZ13"/>
      <c r="JNA13"/>
      <c r="JNB13"/>
      <c r="JNC13"/>
      <c r="JND13"/>
      <c r="JNE13"/>
      <c r="JNF13"/>
      <c r="JNG13"/>
      <c r="JNH13"/>
      <c r="JNI13"/>
      <c r="JNJ13"/>
      <c r="JNK13"/>
      <c r="JNL13"/>
      <c r="JNM13"/>
      <c r="JNN13"/>
      <c r="JNO13"/>
      <c r="JNP13"/>
      <c r="JNQ13"/>
      <c r="JNR13"/>
      <c r="JNS13"/>
      <c r="JNT13"/>
      <c r="JNU13"/>
      <c r="JNV13"/>
      <c r="JNW13"/>
      <c r="JNX13"/>
      <c r="JNY13"/>
      <c r="JNZ13"/>
      <c r="JOA13"/>
      <c r="JOB13"/>
      <c r="JOC13"/>
      <c r="JOD13"/>
      <c r="JOE13"/>
      <c r="JOF13"/>
      <c r="JOG13"/>
      <c r="JOH13"/>
      <c r="JOI13"/>
      <c r="JOJ13"/>
      <c r="JOK13"/>
      <c r="JOL13"/>
      <c r="JOM13"/>
      <c r="JON13"/>
      <c r="JOO13"/>
      <c r="JOP13"/>
      <c r="JOQ13"/>
      <c r="JOR13"/>
      <c r="JOS13"/>
      <c r="JOT13"/>
      <c r="JOU13"/>
      <c r="JOV13"/>
      <c r="JOW13"/>
      <c r="JOX13"/>
      <c r="JOY13"/>
      <c r="JOZ13"/>
      <c r="JPA13"/>
      <c r="JPB13"/>
      <c r="JPC13"/>
      <c r="JPD13"/>
      <c r="JPE13"/>
      <c r="JPF13"/>
      <c r="JPG13"/>
      <c r="JPH13"/>
      <c r="JPI13"/>
      <c r="JPJ13"/>
      <c r="JPK13"/>
      <c r="JPL13"/>
      <c r="JPM13"/>
      <c r="JPN13"/>
      <c r="JPO13"/>
      <c r="JPP13"/>
      <c r="JPQ13"/>
      <c r="JPR13"/>
      <c r="JPS13"/>
      <c r="JPT13"/>
      <c r="JPU13"/>
      <c r="JPV13"/>
      <c r="JPW13"/>
      <c r="JPX13"/>
      <c r="JPY13"/>
      <c r="JPZ13"/>
      <c r="JQA13"/>
      <c r="JQB13"/>
      <c r="JQC13"/>
      <c r="JQD13"/>
      <c r="JQE13"/>
      <c r="JQF13"/>
      <c r="JQG13"/>
      <c r="JQH13"/>
      <c r="JQI13"/>
      <c r="JQJ13"/>
      <c r="JQK13"/>
      <c r="JQL13"/>
      <c r="JQM13"/>
      <c r="JQN13"/>
      <c r="JQO13"/>
      <c r="JQP13"/>
      <c r="JQQ13"/>
      <c r="JQR13"/>
      <c r="JQS13"/>
      <c r="JQT13"/>
      <c r="JQU13"/>
      <c r="JQV13"/>
      <c r="JQW13"/>
      <c r="JQX13"/>
      <c r="JQY13"/>
      <c r="JQZ13"/>
      <c r="JRA13"/>
      <c r="JRB13"/>
      <c r="JRC13"/>
      <c r="JRD13"/>
      <c r="JRE13"/>
      <c r="JRF13"/>
      <c r="JRG13"/>
      <c r="JRH13"/>
      <c r="JRI13"/>
      <c r="JRJ13"/>
      <c r="JRK13"/>
      <c r="JRL13"/>
      <c r="JRM13"/>
      <c r="JRN13"/>
      <c r="JRO13"/>
      <c r="JRP13"/>
      <c r="JRQ13"/>
      <c r="JRR13"/>
      <c r="JRS13"/>
      <c r="JRT13"/>
      <c r="JRU13"/>
      <c r="JRV13"/>
      <c r="JRW13"/>
      <c r="JRX13"/>
      <c r="JRY13"/>
      <c r="JRZ13"/>
      <c r="JSA13"/>
      <c r="JSB13"/>
      <c r="JSC13"/>
      <c r="JSD13"/>
      <c r="JSE13"/>
      <c r="JSF13"/>
      <c r="JSG13"/>
      <c r="JSH13"/>
      <c r="JSI13"/>
      <c r="JSJ13"/>
      <c r="JSK13"/>
      <c r="JSL13"/>
      <c r="JSM13"/>
      <c r="JSN13"/>
      <c r="JSO13"/>
      <c r="JSP13"/>
      <c r="JSQ13"/>
      <c r="JSR13"/>
      <c r="JSS13"/>
      <c r="JST13"/>
      <c r="JSU13"/>
      <c r="JSV13"/>
      <c r="JSW13"/>
      <c r="JSX13"/>
      <c r="JSY13"/>
      <c r="JSZ13"/>
      <c r="JTA13"/>
      <c r="JTB13"/>
      <c r="JTC13"/>
      <c r="JTD13"/>
      <c r="JTE13"/>
      <c r="JTF13"/>
      <c r="JTG13"/>
      <c r="JTH13"/>
      <c r="JTI13"/>
      <c r="JTJ13"/>
      <c r="JTK13"/>
      <c r="JTL13"/>
      <c r="JTM13"/>
      <c r="JTN13"/>
      <c r="JTO13"/>
      <c r="JTP13"/>
      <c r="JTQ13"/>
      <c r="JTR13"/>
      <c r="JTS13"/>
      <c r="JTT13"/>
      <c r="JTU13"/>
      <c r="JTV13"/>
      <c r="JTW13"/>
      <c r="JTX13"/>
      <c r="JTY13"/>
      <c r="JTZ13"/>
      <c r="JUA13"/>
      <c r="JUB13"/>
      <c r="JUC13"/>
      <c r="JUD13"/>
      <c r="JUE13"/>
      <c r="JUF13"/>
      <c r="JUG13"/>
      <c r="JUH13"/>
      <c r="JUI13"/>
      <c r="JUJ13"/>
      <c r="JUK13"/>
      <c r="JUL13"/>
      <c r="JUM13"/>
      <c r="JUN13"/>
      <c r="JUO13"/>
      <c r="JUP13"/>
      <c r="JUQ13"/>
      <c r="JUR13"/>
      <c r="JUS13"/>
      <c r="JUT13"/>
      <c r="JUU13"/>
      <c r="JUV13"/>
      <c r="JUW13"/>
      <c r="JUX13"/>
      <c r="JUY13"/>
      <c r="JUZ13"/>
      <c r="JVA13"/>
      <c r="JVB13"/>
      <c r="JVC13"/>
      <c r="JVD13"/>
      <c r="JVE13"/>
      <c r="JVF13"/>
      <c r="JVG13"/>
      <c r="JVH13"/>
      <c r="JVI13"/>
      <c r="JVJ13"/>
      <c r="JVK13"/>
      <c r="JVL13"/>
      <c r="JVM13"/>
      <c r="JVN13"/>
      <c r="JVO13"/>
      <c r="JVP13"/>
      <c r="JVQ13"/>
      <c r="JVR13"/>
      <c r="JVS13"/>
      <c r="JVT13"/>
      <c r="JVU13"/>
      <c r="JVV13"/>
      <c r="JVW13"/>
      <c r="JVX13"/>
      <c r="JVY13"/>
      <c r="JVZ13"/>
      <c r="JWA13"/>
      <c r="JWB13"/>
      <c r="JWC13"/>
      <c r="JWD13"/>
      <c r="JWE13"/>
      <c r="JWF13"/>
      <c r="JWG13"/>
      <c r="JWH13"/>
      <c r="JWI13"/>
      <c r="JWJ13"/>
      <c r="JWK13"/>
      <c r="JWL13"/>
      <c r="JWM13"/>
      <c r="JWN13"/>
      <c r="JWO13"/>
      <c r="JWP13"/>
      <c r="JWQ13"/>
      <c r="JWR13"/>
      <c r="JWS13"/>
      <c r="JWT13"/>
      <c r="JWU13"/>
      <c r="JWV13"/>
      <c r="JWW13"/>
      <c r="JWX13"/>
      <c r="JWY13"/>
      <c r="JWZ13"/>
      <c r="JXA13"/>
      <c r="JXB13"/>
      <c r="JXC13"/>
      <c r="JXD13"/>
      <c r="JXE13"/>
      <c r="JXF13"/>
      <c r="JXG13"/>
      <c r="JXH13"/>
      <c r="JXI13"/>
      <c r="JXJ13"/>
      <c r="JXK13"/>
      <c r="JXL13"/>
      <c r="JXM13"/>
      <c r="JXN13"/>
      <c r="JXO13"/>
      <c r="JXP13"/>
      <c r="JXQ13"/>
      <c r="JXR13"/>
      <c r="JXS13"/>
      <c r="JXT13"/>
      <c r="JXU13"/>
      <c r="JXV13"/>
      <c r="JXW13"/>
      <c r="JXX13"/>
      <c r="JXY13"/>
      <c r="JXZ13"/>
      <c r="JYA13"/>
      <c r="JYB13"/>
      <c r="JYC13"/>
      <c r="JYD13"/>
      <c r="JYE13"/>
      <c r="JYF13"/>
      <c r="JYG13"/>
      <c r="JYH13"/>
      <c r="JYI13"/>
      <c r="JYJ13"/>
      <c r="JYK13"/>
      <c r="JYL13"/>
      <c r="JYM13"/>
      <c r="JYN13"/>
      <c r="JYO13"/>
      <c r="JYP13"/>
      <c r="JYQ13"/>
      <c r="JYR13"/>
      <c r="JYS13"/>
      <c r="JYT13"/>
      <c r="JYU13"/>
      <c r="JYV13"/>
      <c r="JYW13"/>
      <c r="JYX13"/>
      <c r="JYY13"/>
      <c r="JYZ13"/>
      <c r="JZA13"/>
      <c r="JZB13"/>
      <c r="JZC13"/>
      <c r="JZD13"/>
      <c r="JZE13"/>
      <c r="JZF13"/>
      <c r="JZG13"/>
      <c r="JZH13"/>
      <c r="JZI13"/>
      <c r="JZJ13"/>
      <c r="JZK13"/>
      <c r="JZL13"/>
      <c r="JZM13"/>
      <c r="JZN13"/>
      <c r="JZO13"/>
      <c r="JZP13"/>
      <c r="JZQ13"/>
      <c r="JZR13"/>
      <c r="JZS13"/>
      <c r="JZT13"/>
      <c r="JZU13"/>
      <c r="JZV13"/>
      <c r="JZW13"/>
      <c r="JZX13"/>
      <c r="JZY13"/>
      <c r="JZZ13"/>
      <c r="KAA13"/>
      <c r="KAB13"/>
      <c r="KAC13"/>
      <c r="KAD13"/>
      <c r="KAE13"/>
      <c r="KAF13"/>
      <c r="KAG13"/>
      <c r="KAH13"/>
      <c r="KAI13"/>
      <c r="KAJ13"/>
      <c r="KAK13"/>
      <c r="KAL13"/>
      <c r="KAM13"/>
      <c r="KAN13"/>
      <c r="KAO13"/>
      <c r="KAP13"/>
      <c r="KAQ13"/>
      <c r="KAR13"/>
      <c r="KAS13"/>
      <c r="KAT13"/>
      <c r="KAU13"/>
      <c r="KAV13"/>
      <c r="KAW13"/>
      <c r="KAX13"/>
      <c r="KAY13"/>
      <c r="KAZ13"/>
      <c r="KBA13"/>
      <c r="KBB13"/>
      <c r="KBC13"/>
      <c r="KBD13"/>
      <c r="KBE13"/>
      <c r="KBF13"/>
      <c r="KBG13"/>
      <c r="KBH13"/>
      <c r="KBI13"/>
      <c r="KBJ13"/>
      <c r="KBK13"/>
      <c r="KBL13"/>
      <c r="KBM13"/>
      <c r="KBN13"/>
      <c r="KBO13"/>
      <c r="KBP13"/>
      <c r="KBQ13"/>
      <c r="KBR13"/>
      <c r="KBS13"/>
      <c r="KBT13"/>
      <c r="KBU13"/>
      <c r="KBV13"/>
      <c r="KBW13"/>
      <c r="KBX13"/>
      <c r="KBY13"/>
      <c r="KBZ13"/>
      <c r="KCA13"/>
      <c r="KCB13"/>
      <c r="KCC13"/>
      <c r="KCD13"/>
      <c r="KCE13"/>
      <c r="KCF13"/>
      <c r="KCG13"/>
      <c r="KCH13"/>
      <c r="KCI13"/>
      <c r="KCJ13"/>
      <c r="KCK13"/>
      <c r="KCL13"/>
      <c r="KCM13"/>
      <c r="KCN13"/>
      <c r="KCO13"/>
      <c r="KCP13"/>
      <c r="KCQ13"/>
      <c r="KCR13"/>
      <c r="KCS13"/>
      <c r="KCT13"/>
      <c r="KCU13"/>
      <c r="KCV13"/>
      <c r="KCW13"/>
      <c r="KCX13"/>
      <c r="KCY13"/>
      <c r="KCZ13"/>
      <c r="KDA13"/>
      <c r="KDB13"/>
      <c r="KDC13"/>
      <c r="KDD13"/>
      <c r="KDE13"/>
      <c r="KDF13"/>
      <c r="KDG13"/>
      <c r="KDH13"/>
      <c r="KDI13"/>
      <c r="KDJ13"/>
      <c r="KDK13"/>
      <c r="KDL13"/>
      <c r="KDM13"/>
      <c r="KDN13"/>
      <c r="KDO13"/>
      <c r="KDP13"/>
      <c r="KDQ13"/>
      <c r="KDR13"/>
      <c r="KDS13"/>
      <c r="KDT13"/>
      <c r="KDU13"/>
      <c r="KDV13"/>
      <c r="KDW13"/>
      <c r="KDX13"/>
      <c r="KDY13"/>
      <c r="KDZ13"/>
      <c r="KEA13"/>
      <c r="KEB13"/>
      <c r="KEC13"/>
      <c r="KED13"/>
      <c r="KEE13"/>
      <c r="KEF13"/>
      <c r="KEG13"/>
      <c r="KEH13"/>
      <c r="KEI13"/>
      <c r="KEJ13"/>
      <c r="KEK13"/>
      <c r="KEL13"/>
      <c r="KEM13"/>
      <c r="KEN13"/>
      <c r="KEO13"/>
      <c r="KEP13"/>
      <c r="KEQ13"/>
      <c r="KER13"/>
      <c r="KES13"/>
      <c r="KET13"/>
      <c r="KEU13"/>
      <c r="KEV13"/>
      <c r="KEW13"/>
      <c r="KEX13"/>
      <c r="KEY13"/>
      <c r="KEZ13"/>
      <c r="KFA13"/>
      <c r="KFB13"/>
      <c r="KFC13"/>
      <c r="KFD13"/>
      <c r="KFE13"/>
      <c r="KFF13"/>
      <c r="KFG13"/>
      <c r="KFH13"/>
      <c r="KFI13"/>
      <c r="KFJ13"/>
      <c r="KFK13"/>
      <c r="KFL13"/>
      <c r="KFM13"/>
      <c r="KFN13"/>
      <c r="KFO13"/>
      <c r="KFP13"/>
      <c r="KFQ13"/>
      <c r="KFR13"/>
      <c r="KFS13"/>
      <c r="KFT13"/>
      <c r="KFU13"/>
      <c r="KFV13"/>
      <c r="KFW13"/>
      <c r="KFX13"/>
      <c r="KFY13"/>
      <c r="KFZ13"/>
      <c r="KGA13"/>
      <c r="KGB13"/>
      <c r="KGC13"/>
      <c r="KGD13"/>
      <c r="KGE13"/>
      <c r="KGF13"/>
      <c r="KGG13"/>
      <c r="KGH13"/>
      <c r="KGI13"/>
      <c r="KGJ13"/>
      <c r="KGK13"/>
      <c r="KGL13"/>
      <c r="KGM13"/>
      <c r="KGN13"/>
      <c r="KGO13"/>
      <c r="KGP13"/>
      <c r="KGQ13"/>
      <c r="KGR13"/>
      <c r="KGS13"/>
      <c r="KGT13"/>
      <c r="KGU13"/>
      <c r="KGV13"/>
      <c r="KGW13"/>
      <c r="KGX13"/>
      <c r="KGY13"/>
      <c r="KGZ13"/>
      <c r="KHA13"/>
      <c r="KHB13"/>
      <c r="KHC13"/>
      <c r="KHD13"/>
      <c r="KHE13"/>
      <c r="KHF13"/>
      <c r="KHG13"/>
      <c r="KHH13"/>
      <c r="KHI13"/>
      <c r="KHJ13"/>
      <c r="KHK13"/>
      <c r="KHL13"/>
      <c r="KHM13"/>
      <c r="KHN13"/>
      <c r="KHO13"/>
      <c r="KHP13"/>
      <c r="KHQ13"/>
      <c r="KHR13"/>
      <c r="KHS13"/>
      <c r="KHT13"/>
      <c r="KHU13"/>
      <c r="KHV13"/>
      <c r="KHW13"/>
      <c r="KHX13"/>
      <c r="KHY13"/>
      <c r="KHZ13"/>
      <c r="KIA13"/>
      <c r="KIB13"/>
      <c r="KIC13"/>
      <c r="KID13"/>
      <c r="KIE13"/>
      <c r="KIF13"/>
      <c r="KIG13"/>
      <c r="KIH13"/>
      <c r="KII13"/>
      <c r="KIJ13"/>
      <c r="KIK13"/>
      <c r="KIL13"/>
      <c r="KIM13"/>
      <c r="KIN13"/>
      <c r="KIO13"/>
      <c r="KIP13"/>
      <c r="KIQ13"/>
      <c r="KIR13"/>
      <c r="KIS13"/>
      <c r="KIT13"/>
      <c r="KIU13"/>
      <c r="KIV13"/>
      <c r="KIW13"/>
      <c r="KIX13"/>
      <c r="KIY13"/>
      <c r="KIZ13"/>
      <c r="KJA13"/>
      <c r="KJB13"/>
      <c r="KJC13"/>
      <c r="KJD13"/>
      <c r="KJE13"/>
      <c r="KJF13"/>
      <c r="KJG13"/>
      <c r="KJH13"/>
      <c r="KJI13"/>
      <c r="KJJ13"/>
      <c r="KJK13"/>
      <c r="KJL13"/>
      <c r="KJM13"/>
      <c r="KJN13"/>
      <c r="KJO13"/>
      <c r="KJP13"/>
      <c r="KJQ13"/>
      <c r="KJR13"/>
      <c r="KJS13"/>
      <c r="KJT13"/>
      <c r="KJU13"/>
      <c r="KJV13"/>
      <c r="KJW13"/>
      <c r="KJX13"/>
      <c r="KJY13"/>
      <c r="KJZ13"/>
      <c r="KKA13"/>
      <c r="KKB13"/>
      <c r="KKC13"/>
      <c r="KKD13"/>
      <c r="KKE13"/>
      <c r="KKF13"/>
      <c r="KKG13"/>
      <c r="KKH13"/>
      <c r="KKI13"/>
      <c r="KKJ13"/>
      <c r="KKK13"/>
      <c r="KKL13"/>
      <c r="KKM13"/>
      <c r="KKN13"/>
      <c r="KKO13"/>
      <c r="KKP13"/>
      <c r="KKQ13"/>
      <c r="KKR13"/>
      <c r="KKS13"/>
      <c r="KKT13"/>
      <c r="KKU13"/>
      <c r="KKV13"/>
      <c r="KKW13"/>
      <c r="KKX13"/>
      <c r="KKY13"/>
      <c r="KKZ13"/>
      <c r="KLA13"/>
      <c r="KLB13"/>
      <c r="KLC13"/>
      <c r="KLD13"/>
      <c r="KLE13"/>
      <c r="KLF13"/>
      <c r="KLG13"/>
      <c r="KLH13"/>
      <c r="KLI13"/>
      <c r="KLJ13"/>
      <c r="KLK13"/>
      <c r="KLL13"/>
      <c r="KLM13"/>
      <c r="KLN13"/>
      <c r="KLO13"/>
      <c r="KLP13"/>
      <c r="KLQ13"/>
      <c r="KLR13"/>
      <c r="KLS13"/>
      <c r="KLT13"/>
      <c r="KLU13"/>
      <c r="KLV13"/>
      <c r="KLW13"/>
      <c r="KLX13"/>
      <c r="KLY13"/>
      <c r="KLZ13"/>
      <c r="KMA13"/>
      <c r="KMB13"/>
      <c r="KMC13"/>
      <c r="KMD13"/>
      <c r="KME13"/>
      <c r="KMF13"/>
      <c r="KMG13"/>
      <c r="KMH13"/>
      <c r="KMI13"/>
      <c r="KMJ13"/>
      <c r="KMK13"/>
      <c r="KML13"/>
      <c r="KMM13"/>
      <c r="KMN13"/>
      <c r="KMO13"/>
      <c r="KMP13"/>
      <c r="KMQ13"/>
      <c r="KMR13"/>
      <c r="KMS13"/>
      <c r="KMT13"/>
      <c r="KMU13"/>
      <c r="KMV13"/>
      <c r="KMW13"/>
      <c r="KMX13"/>
      <c r="KMY13"/>
      <c r="KMZ13"/>
      <c r="KNA13"/>
      <c r="KNB13"/>
      <c r="KNC13"/>
      <c r="KND13"/>
      <c r="KNE13"/>
      <c r="KNF13"/>
      <c r="KNG13"/>
      <c r="KNH13"/>
      <c r="KNI13"/>
      <c r="KNJ13"/>
      <c r="KNK13"/>
      <c r="KNL13"/>
      <c r="KNM13"/>
      <c r="KNN13"/>
      <c r="KNO13"/>
      <c r="KNP13"/>
      <c r="KNQ13"/>
      <c r="KNR13"/>
      <c r="KNS13"/>
      <c r="KNT13"/>
      <c r="KNU13"/>
      <c r="KNV13"/>
      <c r="KNW13"/>
      <c r="KNX13"/>
      <c r="KNY13"/>
      <c r="KNZ13"/>
      <c r="KOA13"/>
      <c r="KOB13"/>
      <c r="KOC13"/>
      <c r="KOD13"/>
      <c r="KOE13"/>
      <c r="KOF13"/>
      <c r="KOG13"/>
      <c r="KOH13"/>
      <c r="KOI13"/>
      <c r="KOJ13"/>
      <c r="KOK13"/>
      <c r="KOL13"/>
      <c r="KOM13"/>
      <c r="KON13"/>
      <c r="KOO13"/>
      <c r="KOP13"/>
      <c r="KOQ13"/>
      <c r="KOR13"/>
      <c r="KOS13"/>
      <c r="KOT13"/>
      <c r="KOU13"/>
      <c r="KOV13"/>
      <c r="KOW13"/>
      <c r="KOX13"/>
      <c r="KOY13"/>
      <c r="KOZ13"/>
      <c r="KPA13"/>
      <c r="KPB13"/>
      <c r="KPC13"/>
      <c r="KPD13"/>
      <c r="KPE13"/>
      <c r="KPF13"/>
      <c r="KPG13"/>
      <c r="KPH13"/>
      <c r="KPI13"/>
      <c r="KPJ13"/>
      <c r="KPK13"/>
      <c r="KPL13"/>
      <c r="KPM13"/>
      <c r="KPN13"/>
      <c r="KPO13"/>
      <c r="KPP13"/>
      <c r="KPQ13"/>
      <c r="KPR13"/>
      <c r="KPS13"/>
      <c r="KPT13"/>
      <c r="KPU13"/>
      <c r="KPV13"/>
      <c r="KPW13"/>
      <c r="KPX13"/>
      <c r="KPY13"/>
      <c r="KPZ13"/>
      <c r="KQA13"/>
      <c r="KQB13"/>
      <c r="KQC13"/>
      <c r="KQD13"/>
      <c r="KQE13"/>
      <c r="KQF13"/>
      <c r="KQG13"/>
      <c r="KQH13"/>
      <c r="KQI13"/>
      <c r="KQJ13"/>
      <c r="KQK13"/>
      <c r="KQL13"/>
      <c r="KQM13"/>
      <c r="KQN13"/>
      <c r="KQO13"/>
      <c r="KQP13"/>
      <c r="KQQ13"/>
      <c r="KQR13"/>
      <c r="KQS13"/>
      <c r="KQT13"/>
      <c r="KQU13"/>
      <c r="KQV13"/>
      <c r="KQW13"/>
      <c r="KQX13"/>
      <c r="KQY13"/>
      <c r="KQZ13"/>
      <c r="KRA13"/>
      <c r="KRB13"/>
      <c r="KRC13"/>
      <c r="KRD13"/>
      <c r="KRE13"/>
      <c r="KRF13"/>
      <c r="KRG13"/>
      <c r="KRH13"/>
      <c r="KRI13"/>
      <c r="KRJ13"/>
      <c r="KRK13"/>
      <c r="KRL13"/>
      <c r="KRM13"/>
      <c r="KRN13"/>
      <c r="KRO13"/>
      <c r="KRP13"/>
      <c r="KRQ13"/>
      <c r="KRR13"/>
      <c r="KRS13"/>
      <c r="KRT13"/>
      <c r="KRU13"/>
      <c r="KRV13"/>
      <c r="KRW13"/>
      <c r="KRX13"/>
      <c r="KRY13"/>
      <c r="KRZ13"/>
      <c r="KSA13"/>
      <c r="KSB13"/>
      <c r="KSC13"/>
      <c r="KSD13"/>
      <c r="KSE13"/>
      <c r="KSF13"/>
      <c r="KSG13"/>
      <c r="KSH13"/>
      <c r="KSI13"/>
      <c r="KSJ13"/>
      <c r="KSK13"/>
      <c r="KSL13"/>
      <c r="KSM13"/>
      <c r="KSN13"/>
      <c r="KSO13"/>
      <c r="KSP13"/>
      <c r="KSQ13"/>
      <c r="KSR13"/>
      <c r="KSS13"/>
      <c r="KST13"/>
      <c r="KSU13"/>
      <c r="KSV13"/>
      <c r="KSW13"/>
      <c r="KSX13"/>
      <c r="KSY13"/>
      <c r="KSZ13"/>
      <c r="KTA13"/>
      <c r="KTB13"/>
      <c r="KTC13"/>
      <c r="KTD13"/>
      <c r="KTE13"/>
      <c r="KTF13"/>
      <c r="KTG13"/>
      <c r="KTH13"/>
      <c r="KTI13"/>
      <c r="KTJ13"/>
      <c r="KTK13"/>
      <c r="KTL13"/>
      <c r="KTM13"/>
      <c r="KTN13"/>
      <c r="KTO13"/>
      <c r="KTP13"/>
      <c r="KTQ13"/>
      <c r="KTR13"/>
      <c r="KTS13"/>
      <c r="KTT13"/>
      <c r="KTU13"/>
      <c r="KTV13"/>
      <c r="KTW13"/>
      <c r="KTX13"/>
      <c r="KTY13"/>
      <c r="KTZ13"/>
      <c r="KUA13"/>
      <c r="KUB13"/>
      <c r="KUC13"/>
      <c r="KUD13"/>
      <c r="KUE13"/>
      <c r="KUF13"/>
      <c r="KUG13"/>
      <c r="KUH13"/>
      <c r="KUI13"/>
      <c r="KUJ13"/>
      <c r="KUK13"/>
      <c r="KUL13"/>
      <c r="KUM13"/>
      <c r="KUN13"/>
      <c r="KUO13"/>
      <c r="KUP13"/>
      <c r="KUQ13"/>
      <c r="KUR13"/>
      <c r="KUS13"/>
      <c r="KUT13"/>
      <c r="KUU13"/>
      <c r="KUV13"/>
      <c r="KUW13"/>
      <c r="KUX13"/>
      <c r="KUY13"/>
      <c r="KUZ13"/>
      <c r="KVA13"/>
      <c r="KVB13"/>
      <c r="KVC13"/>
      <c r="KVD13"/>
      <c r="KVE13"/>
      <c r="KVF13"/>
      <c r="KVG13"/>
      <c r="KVH13"/>
      <c r="KVI13"/>
      <c r="KVJ13"/>
      <c r="KVK13"/>
      <c r="KVL13"/>
      <c r="KVM13"/>
      <c r="KVN13"/>
      <c r="KVO13"/>
      <c r="KVP13"/>
      <c r="KVQ13"/>
      <c r="KVR13"/>
      <c r="KVS13"/>
      <c r="KVT13"/>
      <c r="KVU13"/>
      <c r="KVV13"/>
      <c r="KVW13"/>
      <c r="KVX13"/>
      <c r="KVY13"/>
      <c r="KVZ13"/>
      <c r="KWA13"/>
      <c r="KWB13"/>
      <c r="KWC13"/>
      <c r="KWD13"/>
      <c r="KWE13"/>
      <c r="KWF13"/>
      <c r="KWG13"/>
      <c r="KWH13"/>
      <c r="KWI13"/>
      <c r="KWJ13"/>
      <c r="KWK13"/>
      <c r="KWL13"/>
      <c r="KWM13"/>
      <c r="KWN13"/>
      <c r="KWO13"/>
      <c r="KWP13"/>
      <c r="KWQ13"/>
      <c r="KWR13"/>
      <c r="KWS13"/>
      <c r="KWT13"/>
      <c r="KWU13"/>
      <c r="KWV13"/>
      <c r="KWW13"/>
      <c r="KWX13"/>
      <c r="KWY13"/>
      <c r="KWZ13"/>
      <c r="KXA13"/>
      <c r="KXB13"/>
      <c r="KXC13"/>
      <c r="KXD13"/>
      <c r="KXE13"/>
      <c r="KXF13"/>
      <c r="KXG13"/>
      <c r="KXH13"/>
      <c r="KXI13"/>
      <c r="KXJ13"/>
      <c r="KXK13"/>
      <c r="KXL13"/>
      <c r="KXM13"/>
      <c r="KXN13"/>
      <c r="KXO13"/>
      <c r="KXP13"/>
      <c r="KXQ13"/>
      <c r="KXR13"/>
      <c r="KXS13"/>
      <c r="KXT13"/>
      <c r="KXU13"/>
      <c r="KXV13"/>
      <c r="KXW13"/>
      <c r="KXX13"/>
      <c r="KXY13"/>
      <c r="KXZ13"/>
      <c r="KYA13"/>
      <c r="KYB13"/>
      <c r="KYC13"/>
      <c r="KYD13"/>
      <c r="KYE13"/>
      <c r="KYF13"/>
      <c r="KYG13"/>
      <c r="KYH13"/>
      <c r="KYI13"/>
      <c r="KYJ13"/>
      <c r="KYK13"/>
      <c r="KYL13"/>
      <c r="KYM13"/>
      <c r="KYN13"/>
      <c r="KYO13"/>
      <c r="KYP13"/>
      <c r="KYQ13"/>
      <c r="KYR13"/>
      <c r="KYS13"/>
      <c r="KYT13"/>
      <c r="KYU13"/>
      <c r="KYV13"/>
      <c r="KYW13"/>
      <c r="KYX13"/>
      <c r="KYY13"/>
      <c r="KYZ13"/>
      <c r="KZA13"/>
      <c r="KZB13"/>
      <c r="KZC13"/>
      <c r="KZD13"/>
      <c r="KZE13"/>
      <c r="KZF13"/>
      <c r="KZG13"/>
      <c r="KZH13"/>
      <c r="KZI13"/>
      <c r="KZJ13"/>
      <c r="KZK13"/>
      <c r="KZL13"/>
      <c r="KZM13"/>
      <c r="KZN13"/>
      <c r="KZO13"/>
      <c r="KZP13"/>
      <c r="KZQ13"/>
      <c r="KZR13"/>
      <c r="KZS13"/>
      <c r="KZT13"/>
      <c r="KZU13"/>
      <c r="KZV13"/>
      <c r="KZW13"/>
      <c r="KZX13"/>
      <c r="KZY13"/>
      <c r="KZZ13"/>
      <c r="LAA13"/>
      <c r="LAB13"/>
      <c r="LAC13"/>
      <c r="LAD13"/>
      <c r="LAE13"/>
      <c r="LAF13"/>
      <c r="LAG13"/>
      <c r="LAH13"/>
      <c r="LAI13"/>
      <c r="LAJ13"/>
      <c r="LAK13"/>
      <c r="LAL13"/>
      <c r="LAM13"/>
      <c r="LAN13"/>
      <c r="LAO13"/>
      <c r="LAP13"/>
      <c r="LAQ13"/>
      <c r="LAR13"/>
      <c r="LAS13"/>
      <c r="LAT13"/>
      <c r="LAU13"/>
      <c r="LAV13"/>
      <c r="LAW13"/>
      <c r="LAX13"/>
      <c r="LAY13"/>
      <c r="LAZ13"/>
      <c r="LBA13"/>
      <c r="LBB13"/>
      <c r="LBC13"/>
      <c r="LBD13"/>
      <c r="LBE13"/>
      <c r="LBF13"/>
      <c r="LBG13"/>
      <c r="LBH13"/>
      <c r="LBI13"/>
      <c r="LBJ13"/>
      <c r="LBK13"/>
      <c r="LBL13"/>
      <c r="LBM13"/>
      <c r="LBN13"/>
      <c r="LBO13"/>
      <c r="LBP13"/>
      <c r="LBQ13"/>
      <c r="LBR13"/>
      <c r="LBS13"/>
      <c r="LBT13"/>
      <c r="LBU13"/>
      <c r="LBV13"/>
      <c r="LBW13"/>
      <c r="LBX13"/>
      <c r="LBY13"/>
      <c r="LBZ13"/>
      <c r="LCA13"/>
      <c r="LCB13"/>
      <c r="LCC13"/>
      <c r="LCD13"/>
      <c r="LCE13"/>
      <c r="LCF13"/>
      <c r="LCG13"/>
      <c r="LCH13"/>
      <c r="LCI13"/>
      <c r="LCJ13"/>
      <c r="LCK13"/>
      <c r="LCL13"/>
      <c r="LCM13"/>
      <c r="LCN13"/>
      <c r="LCO13"/>
      <c r="LCP13"/>
      <c r="LCQ13"/>
      <c r="LCR13"/>
      <c r="LCS13"/>
      <c r="LCT13"/>
      <c r="LCU13"/>
      <c r="LCV13"/>
      <c r="LCW13"/>
      <c r="LCX13"/>
      <c r="LCY13"/>
      <c r="LCZ13"/>
      <c r="LDA13"/>
      <c r="LDB13"/>
      <c r="LDC13"/>
      <c r="LDD13"/>
      <c r="LDE13"/>
      <c r="LDF13"/>
      <c r="LDG13"/>
      <c r="LDH13"/>
      <c r="LDI13"/>
      <c r="LDJ13"/>
      <c r="LDK13"/>
      <c r="LDL13"/>
      <c r="LDM13"/>
      <c r="LDN13"/>
      <c r="LDO13"/>
      <c r="LDP13"/>
      <c r="LDQ13"/>
      <c r="LDR13"/>
      <c r="LDS13"/>
      <c r="LDT13"/>
      <c r="LDU13"/>
      <c r="LDV13"/>
      <c r="LDW13"/>
      <c r="LDX13"/>
      <c r="LDY13"/>
      <c r="LDZ13"/>
      <c r="LEA13"/>
      <c r="LEB13"/>
      <c r="LEC13"/>
      <c r="LED13"/>
      <c r="LEE13"/>
      <c r="LEF13"/>
      <c r="LEG13"/>
      <c r="LEH13"/>
      <c r="LEI13"/>
      <c r="LEJ13"/>
      <c r="LEK13"/>
      <c r="LEL13"/>
      <c r="LEM13"/>
      <c r="LEN13"/>
      <c r="LEO13"/>
      <c r="LEP13"/>
      <c r="LEQ13"/>
      <c r="LER13"/>
      <c r="LES13"/>
      <c r="LET13"/>
      <c r="LEU13"/>
      <c r="LEV13"/>
      <c r="LEW13"/>
      <c r="LEX13"/>
      <c r="LEY13"/>
      <c r="LEZ13"/>
      <c r="LFA13"/>
      <c r="LFB13"/>
      <c r="LFC13"/>
      <c r="LFD13"/>
      <c r="LFE13"/>
      <c r="LFF13"/>
      <c r="LFG13"/>
      <c r="LFH13"/>
      <c r="LFI13"/>
      <c r="LFJ13"/>
      <c r="LFK13"/>
      <c r="LFL13"/>
      <c r="LFM13"/>
      <c r="LFN13"/>
      <c r="LFO13"/>
      <c r="LFP13"/>
      <c r="LFQ13"/>
      <c r="LFR13"/>
      <c r="LFS13"/>
      <c r="LFT13"/>
      <c r="LFU13"/>
      <c r="LFV13"/>
      <c r="LFW13"/>
      <c r="LFX13"/>
      <c r="LFY13"/>
      <c r="LFZ13"/>
      <c r="LGA13"/>
      <c r="LGB13"/>
      <c r="LGC13"/>
      <c r="LGD13"/>
      <c r="LGE13"/>
      <c r="LGF13"/>
      <c r="LGG13"/>
      <c r="LGH13"/>
      <c r="LGI13"/>
      <c r="LGJ13"/>
      <c r="LGK13"/>
      <c r="LGL13"/>
      <c r="LGM13"/>
      <c r="LGN13"/>
      <c r="LGO13"/>
      <c r="LGP13"/>
      <c r="LGQ13"/>
      <c r="LGR13"/>
      <c r="LGS13"/>
      <c r="LGT13"/>
      <c r="LGU13"/>
      <c r="LGV13"/>
      <c r="LGW13"/>
      <c r="LGX13"/>
      <c r="LGY13"/>
      <c r="LGZ13"/>
      <c r="LHA13"/>
      <c r="LHB13"/>
      <c r="LHC13"/>
      <c r="LHD13"/>
      <c r="LHE13"/>
      <c r="LHF13"/>
      <c r="LHG13"/>
      <c r="LHH13"/>
      <c r="LHI13"/>
      <c r="LHJ13"/>
      <c r="LHK13"/>
      <c r="LHL13"/>
      <c r="LHM13"/>
      <c r="LHN13"/>
      <c r="LHO13"/>
      <c r="LHP13"/>
      <c r="LHQ13"/>
      <c r="LHR13"/>
      <c r="LHS13"/>
      <c r="LHT13"/>
      <c r="LHU13"/>
      <c r="LHV13"/>
      <c r="LHW13"/>
      <c r="LHX13"/>
      <c r="LHY13"/>
      <c r="LHZ13"/>
      <c r="LIA13"/>
      <c r="LIB13"/>
      <c r="LIC13"/>
      <c r="LID13"/>
      <c r="LIE13"/>
      <c r="LIF13"/>
      <c r="LIG13"/>
      <c r="LIH13"/>
      <c r="LII13"/>
      <c r="LIJ13"/>
      <c r="LIK13"/>
      <c r="LIL13"/>
      <c r="LIM13"/>
      <c r="LIN13"/>
      <c r="LIO13"/>
      <c r="LIP13"/>
      <c r="LIQ13"/>
      <c r="LIR13"/>
      <c r="LIS13"/>
      <c r="LIT13"/>
      <c r="LIU13"/>
      <c r="LIV13"/>
      <c r="LIW13"/>
      <c r="LIX13"/>
      <c r="LIY13"/>
      <c r="LIZ13"/>
      <c r="LJA13"/>
      <c r="LJB13"/>
      <c r="LJC13"/>
      <c r="LJD13"/>
      <c r="LJE13"/>
      <c r="LJF13"/>
      <c r="LJG13"/>
      <c r="LJH13"/>
      <c r="LJI13"/>
      <c r="LJJ13"/>
      <c r="LJK13"/>
      <c r="LJL13"/>
      <c r="LJM13"/>
      <c r="LJN13"/>
      <c r="LJO13"/>
      <c r="LJP13"/>
      <c r="LJQ13"/>
      <c r="LJR13"/>
      <c r="LJS13"/>
      <c r="LJT13"/>
      <c r="LJU13"/>
      <c r="LJV13"/>
      <c r="LJW13"/>
      <c r="LJX13"/>
      <c r="LJY13"/>
      <c r="LJZ13"/>
      <c r="LKA13"/>
      <c r="LKB13"/>
      <c r="LKC13"/>
      <c r="LKD13"/>
      <c r="LKE13"/>
      <c r="LKF13"/>
      <c r="LKG13"/>
      <c r="LKH13"/>
      <c r="LKI13"/>
      <c r="LKJ13"/>
      <c r="LKK13"/>
      <c r="LKL13"/>
      <c r="LKM13"/>
      <c r="LKN13"/>
      <c r="LKO13"/>
      <c r="LKP13"/>
      <c r="LKQ13"/>
      <c r="LKR13"/>
      <c r="LKS13"/>
      <c r="LKT13"/>
      <c r="LKU13"/>
      <c r="LKV13"/>
      <c r="LKW13"/>
      <c r="LKX13"/>
      <c r="LKY13"/>
      <c r="LKZ13"/>
      <c r="LLA13"/>
      <c r="LLB13"/>
      <c r="LLC13"/>
      <c r="LLD13"/>
      <c r="LLE13"/>
      <c r="LLF13"/>
      <c r="LLG13"/>
      <c r="LLH13"/>
      <c r="LLI13"/>
      <c r="LLJ13"/>
      <c r="LLK13"/>
      <c r="LLL13"/>
      <c r="LLM13"/>
      <c r="LLN13"/>
      <c r="LLO13"/>
      <c r="LLP13"/>
      <c r="LLQ13"/>
      <c r="LLR13"/>
      <c r="LLS13"/>
      <c r="LLT13"/>
      <c r="LLU13"/>
      <c r="LLV13"/>
      <c r="LLW13"/>
      <c r="LLX13"/>
      <c r="LLY13"/>
      <c r="LLZ13"/>
      <c r="LMA13"/>
      <c r="LMB13"/>
      <c r="LMC13"/>
      <c r="LMD13"/>
      <c r="LME13"/>
      <c r="LMF13"/>
      <c r="LMG13"/>
      <c r="LMH13"/>
      <c r="LMI13"/>
      <c r="LMJ13"/>
      <c r="LMK13"/>
      <c r="LML13"/>
      <c r="LMM13"/>
      <c r="LMN13"/>
      <c r="LMO13"/>
      <c r="LMP13"/>
      <c r="LMQ13"/>
      <c r="LMR13"/>
      <c r="LMS13"/>
      <c r="LMT13"/>
      <c r="LMU13"/>
      <c r="LMV13"/>
      <c r="LMW13"/>
      <c r="LMX13"/>
      <c r="LMY13"/>
      <c r="LMZ13"/>
      <c r="LNA13"/>
      <c r="LNB13"/>
      <c r="LNC13"/>
      <c r="LND13"/>
      <c r="LNE13"/>
      <c r="LNF13"/>
      <c r="LNG13"/>
      <c r="LNH13"/>
      <c r="LNI13"/>
      <c r="LNJ13"/>
      <c r="LNK13"/>
      <c r="LNL13"/>
      <c r="LNM13"/>
      <c r="LNN13"/>
      <c r="LNO13"/>
      <c r="LNP13"/>
      <c r="LNQ13"/>
      <c r="LNR13"/>
      <c r="LNS13"/>
      <c r="LNT13"/>
      <c r="LNU13"/>
      <c r="LNV13"/>
      <c r="LNW13"/>
      <c r="LNX13"/>
      <c r="LNY13"/>
      <c r="LNZ13"/>
      <c r="LOA13"/>
      <c r="LOB13"/>
      <c r="LOC13"/>
      <c r="LOD13"/>
      <c r="LOE13"/>
      <c r="LOF13"/>
      <c r="LOG13"/>
      <c r="LOH13"/>
      <c r="LOI13"/>
      <c r="LOJ13"/>
      <c r="LOK13"/>
      <c r="LOL13"/>
      <c r="LOM13"/>
      <c r="LON13"/>
      <c r="LOO13"/>
      <c r="LOP13"/>
      <c r="LOQ13"/>
      <c r="LOR13"/>
      <c r="LOS13"/>
      <c r="LOT13"/>
      <c r="LOU13"/>
      <c r="LOV13"/>
      <c r="LOW13"/>
      <c r="LOX13"/>
      <c r="LOY13"/>
      <c r="LOZ13"/>
      <c r="LPA13"/>
      <c r="LPB13"/>
      <c r="LPC13"/>
      <c r="LPD13"/>
      <c r="LPE13"/>
      <c r="LPF13"/>
      <c r="LPG13"/>
      <c r="LPH13"/>
      <c r="LPI13"/>
      <c r="LPJ13"/>
      <c r="LPK13"/>
      <c r="LPL13"/>
      <c r="LPM13"/>
      <c r="LPN13"/>
      <c r="LPO13"/>
      <c r="LPP13"/>
      <c r="LPQ13"/>
      <c r="LPR13"/>
      <c r="LPS13"/>
      <c r="LPT13"/>
      <c r="LPU13"/>
      <c r="LPV13"/>
      <c r="LPW13"/>
      <c r="LPX13"/>
      <c r="LPY13"/>
      <c r="LPZ13"/>
      <c r="LQA13"/>
      <c r="LQB13"/>
      <c r="LQC13"/>
      <c r="LQD13"/>
      <c r="LQE13"/>
      <c r="LQF13"/>
      <c r="LQG13"/>
      <c r="LQH13"/>
      <c r="LQI13"/>
      <c r="LQJ13"/>
      <c r="LQK13"/>
      <c r="LQL13"/>
      <c r="LQM13"/>
      <c r="LQN13"/>
      <c r="LQO13"/>
      <c r="LQP13"/>
      <c r="LQQ13"/>
      <c r="LQR13"/>
      <c r="LQS13"/>
      <c r="LQT13"/>
      <c r="LQU13"/>
      <c r="LQV13"/>
      <c r="LQW13"/>
      <c r="LQX13"/>
      <c r="LQY13"/>
      <c r="LQZ13"/>
      <c r="LRA13"/>
      <c r="LRB13"/>
      <c r="LRC13"/>
      <c r="LRD13"/>
      <c r="LRE13"/>
      <c r="LRF13"/>
      <c r="LRG13"/>
      <c r="LRH13"/>
      <c r="LRI13"/>
      <c r="LRJ13"/>
      <c r="LRK13"/>
      <c r="LRL13"/>
      <c r="LRM13"/>
      <c r="LRN13"/>
      <c r="LRO13"/>
      <c r="LRP13"/>
      <c r="LRQ13"/>
      <c r="LRR13"/>
      <c r="LRS13"/>
      <c r="LRT13"/>
      <c r="LRU13"/>
      <c r="LRV13"/>
      <c r="LRW13"/>
      <c r="LRX13"/>
      <c r="LRY13"/>
      <c r="LRZ13"/>
      <c r="LSA13"/>
      <c r="LSB13"/>
      <c r="LSC13"/>
      <c r="LSD13"/>
      <c r="LSE13"/>
      <c r="LSF13"/>
      <c r="LSG13"/>
      <c r="LSH13"/>
      <c r="LSI13"/>
      <c r="LSJ13"/>
      <c r="LSK13"/>
      <c r="LSL13"/>
      <c r="LSM13"/>
      <c r="LSN13"/>
      <c r="LSO13"/>
      <c r="LSP13"/>
      <c r="LSQ13"/>
      <c r="LSR13"/>
      <c r="LSS13"/>
      <c r="LST13"/>
      <c r="LSU13"/>
      <c r="LSV13"/>
      <c r="LSW13"/>
      <c r="LSX13"/>
      <c r="LSY13"/>
      <c r="LSZ13"/>
      <c r="LTA13"/>
      <c r="LTB13"/>
      <c r="LTC13"/>
      <c r="LTD13"/>
      <c r="LTE13"/>
      <c r="LTF13"/>
      <c r="LTG13"/>
      <c r="LTH13"/>
      <c r="LTI13"/>
      <c r="LTJ13"/>
      <c r="LTK13"/>
      <c r="LTL13"/>
      <c r="LTM13"/>
      <c r="LTN13"/>
      <c r="LTO13"/>
      <c r="LTP13"/>
      <c r="LTQ13"/>
      <c r="LTR13"/>
      <c r="LTS13"/>
      <c r="LTT13"/>
      <c r="LTU13"/>
      <c r="LTV13"/>
      <c r="LTW13"/>
      <c r="LTX13"/>
      <c r="LTY13"/>
      <c r="LTZ13"/>
      <c r="LUA13"/>
      <c r="LUB13"/>
      <c r="LUC13"/>
      <c r="LUD13"/>
      <c r="LUE13"/>
      <c r="LUF13"/>
      <c r="LUG13"/>
      <c r="LUH13"/>
      <c r="LUI13"/>
      <c r="LUJ13"/>
      <c r="LUK13"/>
      <c r="LUL13"/>
      <c r="LUM13"/>
      <c r="LUN13"/>
      <c r="LUO13"/>
      <c r="LUP13"/>
      <c r="LUQ13"/>
      <c r="LUR13"/>
      <c r="LUS13"/>
      <c r="LUT13"/>
      <c r="LUU13"/>
      <c r="LUV13"/>
      <c r="LUW13"/>
      <c r="LUX13"/>
      <c r="LUY13"/>
      <c r="LUZ13"/>
      <c r="LVA13"/>
      <c r="LVB13"/>
      <c r="LVC13"/>
      <c r="LVD13"/>
      <c r="LVE13"/>
      <c r="LVF13"/>
      <c r="LVG13"/>
      <c r="LVH13"/>
      <c r="LVI13"/>
      <c r="LVJ13"/>
      <c r="LVK13"/>
      <c r="LVL13"/>
      <c r="LVM13"/>
      <c r="LVN13"/>
      <c r="LVO13"/>
      <c r="LVP13"/>
      <c r="LVQ13"/>
      <c r="LVR13"/>
      <c r="LVS13"/>
      <c r="LVT13"/>
      <c r="LVU13"/>
      <c r="LVV13"/>
      <c r="LVW13"/>
      <c r="LVX13"/>
      <c r="LVY13"/>
      <c r="LVZ13"/>
      <c r="LWA13"/>
      <c r="LWB13"/>
      <c r="LWC13"/>
      <c r="LWD13"/>
      <c r="LWE13"/>
      <c r="LWF13"/>
      <c r="LWG13"/>
      <c r="LWH13"/>
      <c r="LWI13"/>
      <c r="LWJ13"/>
      <c r="LWK13"/>
      <c r="LWL13"/>
      <c r="LWM13"/>
      <c r="LWN13"/>
      <c r="LWO13"/>
      <c r="LWP13"/>
      <c r="LWQ13"/>
      <c r="LWR13"/>
      <c r="LWS13"/>
      <c r="LWT13"/>
      <c r="LWU13"/>
      <c r="LWV13"/>
      <c r="LWW13"/>
      <c r="LWX13"/>
      <c r="LWY13"/>
      <c r="LWZ13"/>
      <c r="LXA13"/>
      <c r="LXB13"/>
      <c r="LXC13"/>
      <c r="LXD13"/>
      <c r="LXE13"/>
      <c r="LXF13"/>
      <c r="LXG13"/>
      <c r="LXH13"/>
      <c r="LXI13"/>
      <c r="LXJ13"/>
      <c r="LXK13"/>
      <c r="LXL13"/>
      <c r="LXM13"/>
      <c r="LXN13"/>
      <c r="LXO13"/>
      <c r="LXP13"/>
      <c r="LXQ13"/>
      <c r="LXR13"/>
      <c r="LXS13"/>
      <c r="LXT13"/>
      <c r="LXU13"/>
      <c r="LXV13"/>
      <c r="LXW13"/>
      <c r="LXX13"/>
      <c r="LXY13"/>
      <c r="LXZ13"/>
      <c r="LYA13"/>
      <c r="LYB13"/>
      <c r="LYC13"/>
      <c r="LYD13"/>
      <c r="LYE13"/>
      <c r="LYF13"/>
      <c r="LYG13"/>
      <c r="LYH13"/>
      <c r="LYI13"/>
      <c r="LYJ13"/>
      <c r="LYK13"/>
      <c r="LYL13"/>
      <c r="LYM13"/>
      <c r="LYN13"/>
      <c r="LYO13"/>
      <c r="LYP13"/>
      <c r="LYQ13"/>
      <c r="LYR13"/>
      <c r="LYS13"/>
      <c r="LYT13"/>
      <c r="LYU13"/>
      <c r="LYV13"/>
      <c r="LYW13"/>
      <c r="LYX13"/>
      <c r="LYY13"/>
      <c r="LYZ13"/>
      <c r="LZA13"/>
      <c r="LZB13"/>
      <c r="LZC13"/>
      <c r="LZD13"/>
      <c r="LZE13"/>
      <c r="LZF13"/>
      <c r="LZG13"/>
      <c r="LZH13"/>
      <c r="LZI13"/>
      <c r="LZJ13"/>
      <c r="LZK13"/>
      <c r="LZL13"/>
      <c r="LZM13"/>
      <c r="LZN13"/>
      <c r="LZO13"/>
      <c r="LZP13"/>
      <c r="LZQ13"/>
      <c r="LZR13"/>
      <c r="LZS13"/>
      <c r="LZT13"/>
      <c r="LZU13"/>
      <c r="LZV13"/>
      <c r="LZW13"/>
      <c r="LZX13"/>
      <c r="LZY13"/>
      <c r="LZZ13"/>
      <c r="MAA13"/>
      <c r="MAB13"/>
      <c r="MAC13"/>
      <c r="MAD13"/>
      <c r="MAE13"/>
      <c r="MAF13"/>
      <c r="MAG13"/>
      <c r="MAH13"/>
      <c r="MAI13"/>
      <c r="MAJ13"/>
      <c r="MAK13"/>
      <c r="MAL13"/>
      <c r="MAM13"/>
      <c r="MAN13"/>
      <c r="MAO13"/>
      <c r="MAP13"/>
      <c r="MAQ13"/>
      <c r="MAR13"/>
      <c r="MAS13"/>
      <c r="MAT13"/>
      <c r="MAU13"/>
      <c r="MAV13"/>
      <c r="MAW13"/>
      <c r="MAX13"/>
      <c r="MAY13"/>
      <c r="MAZ13"/>
      <c r="MBA13"/>
      <c r="MBB13"/>
      <c r="MBC13"/>
      <c r="MBD13"/>
      <c r="MBE13"/>
      <c r="MBF13"/>
      <c r="MBG13"/>
      <c r="MBH13"/>
      <c r="MBI13"/>
      <c r="MBJ13"/>
      <c r="MBK13"/>
      <c r="MBL13"/>
      <c r="MBM13"/>
      <c r="MBN13"/>
      <c r="MBO13"/>
      <c r="MBP13"/>
      <c r="MBQ13"/>
      <c r="MBR13"/>
      <c r="MBS13"/>
      <c r="MBT13"/>
      <c r="MBU13"/>
      <c r="MBV13"/>
      <c r="MBW13"/>
      <c r="MBX13"/>
      <c r="MBY13"/>
      <c r="MBZ13"/>
      <c r="MCA13"/>
      <c r="MCB13"/>
      <c r="MCC13"/>
      <c r="MCD13"/>
      <c r="MCE13"/>
      <c r="MCF13"/>
      <c r="MCG13"/>
      <c r="MCH13"/>
      <c r="MCI13"/>
      <c r="MCJ13"/>
      <c r="MCK13"/>
      <c r="MCL13"/>
      <c r="MCM13"/>
      <c r="MCN13"/>
      <c r="MCO13"/>
      <c r="MCP13"/>
      <c r="MCQ13"/>
      <c r="MCR13"/>
      <c r="MCS13"/>
      <c r="MCT13"/>
      <c r="MCU13"/>
      <c r="MCV13"/>
      <c r="MCW13"/>
      <c r="MCX13"/>
      <c r="MCY13"/>
      <c r="MCZ13"/>
      <c r="MDA13"/>
      <c r="MDB13"/>
      <c r="MDC13"/>
      <c r="MDD13"/>
      <c r="MDE13"/>
      <c r="MDF13"/>
      <c r="MDG13"/>
      <c r="MDH13"/>
      <c r="MDI13"/>
      <c r="MDJ13"/>
      <c r="MDK13"/>
      <c r="MDL13"/>
      <c r="MDM13"/>
      <c r="MDN13"/>
      <c r="MDO13"/>
      <c r="MDP13"/>
      <c r="MDQ13"/>
      <c r="MDR13"/>
      <c r="MDS13"/>
      <c r="MDT13"/>
      <c r="MDU13"/>
      <c r="MDV13"/>
      <c r="MDW13"/>
      <c r="MDX13"/>
      <c r="MDY13"/>
      <c r="MDZ13"/>
      <c r="MEA13"/>
      <c r="MEB13"/>
      <c r="MEC13"/>
      <c r="MED13"/>
      <c r="MEE13"/>
      <c r="MEF13"/>
      <c r="MEG13"/>
      <c r="MEH13"/>
      <c r="MEI13"/>
      <c r="MEJ13"/>
      <c r="MEK13"/>
      <c r="MEL13"/>
      <c r="MEM13"/>
      <c r="MEN13"/>
      <c r="MEO13"/>
      <c r="MEP13"/>
      <c r="MEQ13"/>
      <c r="MER13"/>
      <c r="MES13"/>
      <c r="MET13"/>
      <c r="MEU13"/>
      <c r="MEV13"/>
      <c r="MEW13"/>
      <c r="MEX13"/>
      <c r="MEY13"/>
      <c r="MEZ13"/>
      <c r="MFA13"/>
      <c r="MFB13"/>
      <c r="MFC13"/>
      <c r="MFD13"/>
      <c r="MFE13"/>
      <c r="MFF13"/>
      <c r="MFG13"/>
      <c r="MFH13"/>
      <c r="MFI13"/>
      <c r="MFJ13"/>
      <c r="MFK13"/>
      <c r="MFL13"/>
      <c r="MFM13"/>
      <c r="MFN13"/>
      <c r="MFO13"/>
      <c r="MFP13"/>
      <c r="MFQ13"/>
      <c r="MFR13"/>
      <c r="MFS13"/>
      <c r="MFT13"/>
      <c r="MFU13"/>
      <c r="MFV13"/>
      <c r="MFW13"/>
      <c r="MFX13"/>
      <c r="MFY13"/>
      <c r="MFZ13"/>
      <c r="MGA13"/>
      <c r="MGB13"/>
      <c r="MGC13"/>
      <c r="MGD13"/>
      <c r="MGE13"/>
      <c r="MGF13"/>
      <c r="MGG13"/>
      <c r="MGH13"/>
      <c r="MGI13"/>
      <c r="MGJ13"/>
      <c r="MGK13"/>
      <c r="MGL13"/>
      <c r="MGM13"/>
      <c r="MGN13"/>
      <c r="MGO13"/>
      <c r="MGP13"/>
      <c r="MGQ13"/>
      <c r="MGR13"/>
      <c r="MGS13"/>
      <c r="MGT13"/>
      <c r="MGU13"/>
      <c r="MGV13"/>
      <c r="MGW13"/>
      <c r="MGX13"/>
      <c r="MGY13"/>
      <c r="MGZ13"/>
      <c r="MHA13"/>
      <c r="MHB13"/>
      <c r="MHC13"/>
      <c r="MHD13"/>
      <c r="MHE13"/>
      <c r="MHF13"/>
      <c r="MHG13"/>
      <c r="MHH13"/>
      <c r="MHI13"/>
      <c r="MHJ13"/>
      <c r="MHK13"/>
      <c r="MHL13"/>
      <c r="MHM13"/>
      <c r="MHN13"/>
      <c r="MHO13"/>
      <c r="MHP13"/>
      <c r="MHQ13"/>
      <c r="MHR13"/>
      <c r="MHS13"/>
      <c r="MHT13"/>
      <c r="MHU13"/>
      <c r="MHV13"/>
      <c r="MHW13"/>
      <c r="MHX13"/>
      <c r="MHY13"/>
      <c r="MHZ13"/>
      <c r="MIA13"/>
      <c r="MIB13"/>
      <c r="MIC13"/>
      <c r="MID13"/>
      <c r="MIE13"/>
      <c r="MIF13"/>
      <c r="MIG13"/>
      <c r="MIH13"/>
      <c r="MII13"/>
      <c r="MIJ13"/>
      <c r="MIK13"/>
      <c r="MIL13"/>
      <c r="MIM13"/>
      <c r="MIN13"/>
      <c r="MIO13"/>
      <c r="MIP13"/>
      <c r="MIQ13"/>
      <c r="MIR13"/>
      <c r="MIS13"/>
      <c r="MIT13"/>
      <c r="MIU13"/>
      <c r="MIV13"/>
      <c r="MIW13"/>
      <c r="MIX13"/>
      <c r="MIY13"/>
      <c r="MIZ13"/>
      <c r="MJA13"/>
      <c r="MJB13"/>
      <c r="MJC13"/>
      <c r="MJD13"/>
      <c r="MJE13"/>
      <c r="MJF13"/>
      <c r="MJG13"/>
      <c r="MJH13"/>
      <c r="MJI13"/>
      <c r="MJJ13"/>
      <c r="MJK13"/>
      <c r="MJL13"/>
      <c r="MJM13"/>
      <c r="MJN13"/>
      <c r="MJO13"/>
      <c r="MJP13"/>
      <c r="MJQ13"/>
      <c r="MJR13"/>
      <c r="MJS13"/>
      <c r="MJT13"/>
      <c r="MJU13"/>
      <c r="MJV13"/>
      <c r="MJW13"/>
      <c r="MJX13"/>
      <c r="MJY13"/>
      <c r="MJZ13"/>
      <c r="MKA13"/>
      <c r="MKB13"/>
      <c r="MKC13"/>
      <c r="MKD13"/>
      <c r="MKE13"/>
      <c r="MKF13"/>
      <c r="MKG13"/>
      <c r="MKH13"/>
      <c r="MKI13"/>
      <c r="MKJ13"/>
      <c r="MKK13"/>
      <c r="MKL13"/>
      <c r="MKM13"/>
      <c r="MKN13"/>
      <c r="MKO13"/>
      <c r="MKP13"/>
      <c r="MKQ13"/>
      <c r="MKR13"/>
      <c r="MKS13"/>
      <c r="MKT13"/>
      <c r="MKU13"/>
      <c r="MKV13"/>
      <c r="MKW13"/>
      <c r="MKX13"/>
      <c r="MKY13"/>
      <c r="MKZ13"/>
      <c r="MLA13"/>
      <c r="MLB13"/>
      <c r="MLC13"/>
      <c r="MLD13"/>
      <c r="MLE13"/>
      <c r="MLF13"/>
      <c r="MLG13"/>
      <c r="MLH13"/>
      <c r="MLI13"/>
      <c r="MLJ13"/>
      <c r="MLK13"/>
      <c r="MLL13"/>
      <c r="MLM13"/>
      <c r="MLN13"/>
      <c r="MLO13"/>
      <c r="MLP13"/>
      <c r="MLQ13"/>
      <c r="MLR13"/>
      <c r="MLS13"/>
      <c r="MLT13"/>
      <c r="MLU13"/>
      <c r="MLV13"/>
      <c r="MLW13"/>
      <c r="MLX13"/>
      <c r="MLY13"/>
      <c r="MLZ13"/>
      <c r="MMA13"/>
      <c r="MMB13"/>
      <c r="MMC13"/>
      <c r="MMD13"/>
      <c r="MME13"/>
      <c r="MMF13"/>
      <c r="MMG13"/>
      <c r="MMH13"/>
      <c r="MMI13"/>
      <c r="MMJ13"/>
      <c r="MMK13"/>
      <c r="MML13"/>
      <c r="MMM13"/>
      <c r="MMN13"/>
      <c r="MMO13"/>
      <c r="MMP13"/>
      <c r="MMQ13"/>
      <c r="MMR13"/>
      <c r="MMS13"/>
      <c r="MMT13"/>
      <c r="MMU13"/>
      <c r="MMV13"/>
      <c r="MMW13"/>
      <c r="MMX13"/>
      <c r="MMY13"/>
      <c r="MMZ13"/>
      <c r="MNA13"/>
      <c r="MNB13"/>
      <c r="MNC13"/>
      <c r="MND13"/>
      <c r="MNE13"/>
      <c r="MNF13"/>
      <c r="MNG13"/>
      <c r="MNH13"/>
      <c r="MNI13"/>
      <c r="MNJ13"/>
      <c r="MNK13"/>
      <c r="MNL13"/>
      <c r="MNM13"/>
      <c r="MNN13"/>
      <c r="MNO13"/>
      <c r="MNP13"/>
      <c r="MNQ13"/>
      <c r="MNR13"/>
      <c r="MNS13"/>
      <c r="MNT13"/>
      <c r="MNU13"/>
      <c r="MNV13"/>
      <c r="MNW13"/>
      <c r="MNX13"/>
      <c r="MNY13"/>
      <c r="MNZ13"/>
      <c r="MOA13"/>
      <c r="MOB13"/>
      <c r="MOC13"/>
      <c r="MOD13"/>
      <c r="MOE13"/>
      <c r="MOF13"/>
      <c r="MOG13"/>
      <c r="MOH13"/>
      <c r="MOI13"/>
      <c r="MOJ13"/>
      <c r="MOK13"/>
      <c r="MOL13"/>
      <c r="MOM13"/>
      <c r="MON13"/>
      <c r="MOO13"/>
      <c r="MOP13"/>
      <c r="MOQ13"/>
      <c r="MOR13"/>
      <c r="MOS13"/>
      <c r="MOT13"/>
      <c r="MOU13"/>
      <c r="MOV13"/>
      <c r="MOW13"/>
      <c r="MOX13"/>
      <c r="MOY13"/>
      <c r="MOZ13"/>
      <c r="MPA13"/>
      <c r="MPB13"/>
      <c r="MPC13"/>
      <c r="MPD13"/>
      <c r="MPE13"/>
      <c r="MPF13"/>
      <c r="MPG13"/>
      <c r="MPH13"/>
      <c r="MPI13"/>
      <c r="MPJ13"/>
      <c r="MPK13"/>
      <c r="MPL13"/>
      <c r="MPM13"/>
      <c r="MPN13"/>
      <c r="MPO13"/>
      <c r="MPP13"/>
      <c r="MPQ13"/>
      <c r="MPR13"/>
      <c r="MPS13"/>
      <c r="MPT13"/>
      <c r="MPU13"/>
      <c r="MPV13"/>
      <c r="MPW13"/>
      <c r="MPX13"/>
      <c r="MPY13"/>
      <c r="MPZ13"/>
      <c r="MQA13"/>
      <c r="MQB13"/>
      <c r="MQC13"/>
      <c r="MQD13"/>
      <c r="MQE13"/>
      <c r="MQF13"/>
      <c r="MQG13"/>
      <c r="MQH13"/>
      <c r="MQI13"/>
      <c r="MQJ13"/>
      <c r="MQK13"/>
      <c r="MQL13"/>
      <c r="MQM13"/>
      <c r="MQN13"/>
      <c r="MQO13"/>
      <c r="MQP13"/>
      <c r="MQQ13"/>
      <c r="MQR13"/>
      <c r="MQS13"/>
      <c r="MQT13"/>
      <c r="MQU13"/>
      <c r="MQV13"/>
      <c r="MQW13"/>
      <c r="MQX13"/>
      <c r="MQY13"/>
      <c r="MQZ13"/>
      <c r="MRA13"/>
      <c r="MRB13"/>
      <c r="MRC13"/>
      <c r="MRD13"/>
      <c r="MRE13"/>
      <c r="MRF13"/>
      <c r="MRG13"/>
      <c r="MRH13"/>
      <c r="MRI13"/>
      <c r="MRJ13"/>
      <c r="MRK13"/>
      <c r="MRL13"/>
      <c r="MRM13"/>
      <c r="MRN13"/>
      <c r="MRO13"/>
      <c r="MRP13"/>
      <c r="MRQ13"/>
      <c r="MRR13"/>
      <c r="MRS13"/>
      <c r="MRT13"/>
      <c r="MRU13"/>
      <c r="MRV13"/>
      <c r="MRW13"/>
      <c r="MRX13"/>
      <c r="MRY13"/>
      <c r="MRZ13"/>
      <c r="MSA13"/>
      <c r="MSB13"/>
      <c r="MSC13"/>
      <c r="MSD13"/>
      <c r="MSE13"/>
      <c r="MSF13"/>
      <c r="MSG13"/>
      <c r="MSH13"/>
      <c r="MSI13"/>
      <c r="MSJ13"/>
      <c r="MSK13"/>
      <c r="MSL13"/>
      <c r="MSM13"/>
      <c r="MSN13"/>
      <c r="MSO13"/>
      <c r="MSP13"/>
      <c r="MSQ13"/>
      <c r="MSR13"/>
      <c r="MSS13"/>
      <c r="MST13"/>
      <c r="MSU13"/>
      <c r="MSV13"/>
      <c r="MSW13"/>
      <c r="MSX13"/>
      <c r="MSY13"/>
      <c r="MSZ13"/>
      <c r="MTA13"/>
      <c r="MTB13"/>
      <c r="MTC13"/>
      <c r="MTD13"/>
      <c r="MTE13"/>
      <c r="MTF13"/>
      <c r="MTG13"/>
      <c r="MTH13"/>
      <c r="MTI13"/>
      <c r="MTJ13"/>
      <c r="MTK13"/>
      <c r="MTL13"/>
      <c r="MTM13"/>
      <c r="MTN13"/>
      <c r="MTO13"/>
      <c r="MTP13"/>
      <c r="MTQ13"/>
      <c r="MTR13"/>
      <c r="MTS13"/>
      <c r="MTT13"/>
      <c r="MTU13"/>
      <c r="MTV13"/>
      <c r="MTW13"/>
      <c r="MTX13"/>
      <c r="MTY13"/>
      <c r="MTZ13"/>
      <c r="MUA13"/>
      <c r="MUB13"/>
      <c r="MUC13"/>
      <c r="MUD13"/>
      <c r="MUE13"/>
      <c r="MUF13"/>
      <c r="MUG13"/>
      <c r="MUH13"/>
      <c r="MUI13"/>
      <c r="MUJ13"/>
      <c r="MUK13"/>
      <c r="MUL13"/>
      <c r="MUM13"/>
      <c r="MUN13"/>
      <c r="MUO13"/>
      <c r="MUP13"/>
      <c r="MUQ13"/>
      <c r="MUR13"/>
      <c r="MUS13"/>
      <c r="MUT13"/>
      <c r="MUU13"/>
      <c r="MUV13"/>
      <c r="MUW13"/>
      <c r="MUX13"/>
      <c r="MUY13"/>
      <c r="MUZ13"/>
      <c r="MVA13"/>
      <c r="MVB13"/>
      <c r="MVC13"/>
      <c r="MVD13"/>
      <c r="MVE13"/>
      <c r="MVF13"/>
      <c r="MVG13"/>
      <c r="MVH13"/>
      <c r="MVI13"/>
      <c r="MVJ13"/>
      <c r="MVK13"/>
      <c r="MVL13"/>
      <c r="MVM13"/>
      <c r="MVN13"/>
      <c r="MVO13"/>
      <c r="MVP13"/>
      <c r="MVQ13"/>
      <c r="MVR13"/>
      <c r="MVS13"/>
      <c r="MVT13"/>
      <c r="MVU13"/>
      <c r="MVV13"/>
      <c r="MVW13"/>
      <c r="MVX13"/>
      <c r="MVY13"/>
      <c r="MVZ13"/>
      <c r="MWA13"/>
      <c r="MWB13"/>
      <c r="MWC13"/>
      <c r="MWD13"/>
      <c r="MWE13"/>
      <c r="MWF13"/>
      <c r="MWG13"/>
      <c r="MWH13"/>
      <c r="MWI13"/>
      <c r="MWJ13"/>
      <c r="MWK13"/>
      <c r="MWL13"/>
      <c r="MWM13"/>
      <c r="MWN13"/>
      <c r="MWO13"/>
      <c r="MWP13"/>
      <c r="MWQ13"/>
      <c r="MWR13"/>
      <c r="MWS13"/>
      <c r="MWT13"/>
      <c r="MWU13"/>
      <c r="MWV13"/>
      <c r="MWW13"/>
      <c r="MWX13"/>
      <c r="MWY13"/>
      <c r="MWZ13"/>
      <c r="MXA13"/>
      <c r="MXB13"/>
      <c r="MXC13"/>
      <c r="MXD13"/>
      <c r="MXE13"/>
      <c r="MXF13"/>
      <c r="MXG13"/>
      <c r="MXH13"/>
      <c r="MXI13"/>
      <c r="MXJ13"/>
      <c r="MXK13"/>
      <c r="MXL13"/>
      <c r="MXM13"/>
      <c r="MXN13"/>
      <c r="MXO13"/>
      <c r="MXP13"/>
      <c r="MXQ13"/>
      <c r="MXR13"/>
      <c r="MXS13"/>
      <c r="MXT13"/>
      <c r="MXU13"/>
      <c r="MXV13"/>
      <c r="MXW13"/>
      <c r="MXX13"/>
      <c r="MXY13"/>
      <c r="MXZ13"/>
      <c r="MYA13"/>
      <c r="MYB13"/>
      <c r="MYC13"/>
      <c r="MYD13"/>
      <c r="MYE13"/>
      <c r="MYF13"/>
      <c r="MYG13"/>
      <c r="MYH13"/>
      <c r="MYI13"/>
      <c r="MYJ13"/>
      <c r="MYK13"/>
      <c r="MYL13"/>
      <c r="MYM13"/>
      <c r="MYN13"/>
      <c r="MYO13"/>
      <c r="MYP13"/>
      <c r="MYQ13"/>
      <c r="MYR13"/>
      <c r="MYS13"/>
      <c r="MYT13"/>
      <c r="MYU13"/>
      <c r="MYV13"/>
      <c r="MYW13"/>
      <c r="MYX13"/>
      <c r="MYY13"/>
      <c r="MYZ13"/>
      <c r="MZA13"/>
      <c r="MZB13"/>
      <c r="MZC13"/>
      <c r="MZD13"/>
      <c r="MZE13"/>
      <c r="MZF13"/>
      <c r="MZG13"/>
      <c r="MZH13"/>
      <c r="MZI13"/>
      <c r="MZJ13"/>
      <c r="MZK13"/>
      <c r="MZL13"/>
      <c r="MZM13"/>
      <c r="MZN13"/>
      <c r="MZO13"/>
      <c r="MZP13"/>
      <c r="MZQ13"/>
      <c r="MZR13"/>
      <c r="MZS13"/>
      <c r="MZT13"/>
      <c r="MZU13"/>
      <c r="MZV13"/>
      <c r="MZW13"/>
      <c r="MZX13"/>
      <c r="MZY13"/>
      <c r="MZZ13"/>
      <c r="NAA13"/>
      <c r="NAB13"/>
      <c r="NAC13"/>
      <c r="NAD13"/>
      <c r="NAE13"/>
      <c r="NAF13"/>
      <c r="NAG13"/>
      <c r="NAH13"/>
      <c r="NAI13"/>
      <c r="NAJ13"/>
      <c r="NAK13"/>
      <c r="NAL13"/>
      <c r="NAM13"/>
      <c r="NAN13"/>
      <c r="NAO13"/>
      <c r="NAP13"/>
      <c r="NAQ13"/>
      <c r="NAR13"/>
      <c r="NAS13"/>
      <c r="NAT13"/>
      <c r="NAU13"/>
      <c r="NAV13"/>
      <c r="NAW13"/>
      <c r="NAX13"/>
      <c r="NAY13"/>
      <c r="NAZ13"/>
      <c r="NBA13"/>
      <c r="NBB13"/>
      <c r="NBC13"/>
      <c r="NBD13"/>
      <c r="NBE13"/>
      <c r="NBF13"/>
      <c r="NBG13"/>
      <c r="NBH13"/>
      <c r="NBI13"/>
      <c r="NBJ13"/>
      <c r="NBK13"/>
      <c r="NBL13"/>
      <c r="NBM13"/>
      <c r="NBN13"/>
      <c r="NBO13"/>
      <c r="NBP13"/>
      <c r="NBQ13"/>
      <c r="NBR13"/>
      <c r="NBS13"/>
      <c r="NBT13"/>
      <c r="NBU13"/>
      <c r="NBV13"/>
      <c r="NBW13"/>
      <c r="NBX13"/>
      <c r="NBY13"/>
      <c r="NBZ13"/>
      <c r="NCA13"/>
      <c r="NCB13"/>
      <c r="NCC13"/>
      <c r="NCD13"/>
      <c r="NCE13"/>
      <c r="NCF13"/>
      <c r="NCG13"/>
      <c r="NCH13"/>
      <c r="NCI13"/>
      <c r="NCJ13"/>
      <c r="NCK13"/>
      <c r="NCL13"/>
      <c r="NCM13"/>
      <c r="NCN13"/>
      <c r="NCO13"/>
      <c r="NCP13"/>
      <c r="NCQ13"/>
      <c r="NCR13"/>
      <c r="NCS13"/>
      <c r="NCT13"/>
      <c r="NCU13"/>
      <c r="NCV13"/>
      <c r="NCW13"/>
      <c r="NCX13"/>
      <c r="NCY13"/>
      <c r="NCZ13"/>
      <c r="NDA13"/>
      <c r="NDB13"/>
      <c r="NDC13"/>
      <c r="NDD13"/>
      <c r="NDE13"/>
      <c r="NDF13"/>
      <c r="NDG13"/>
      <c r="NDH13"/>
      <c r="NDI13"/>
      <c r="NDJ13"/>
      <c r="NDK13"/>
      <c r="NDL13"/>
      <c r="NDM13"/>
      <c r="NDN13"/>
      <c r="NDO13"/>
      <c r="NDP13"/>
      <c r="NDQ13"/>
      <c r="NDR13"/>
      <c r="NDS13"/>
      <c r="NDT13"/>
      <c r="NDU13"/>
      <c r="NDV13"/>
      <c r="NDW13"/>
      <c r="NDX13"/>
      <c r="NDY13"/>
      <c r="NDZ13"/>
      <c r="NEA13"/>
      <c r="NEB13"/>
      <c r="NEC13"/>
      <c r="NED13"/>
      <c r="NEE13"/>
      <c r="NEF13"/>
      <c r="NEG13"/>
      <c r="NEH13"/>
      <c r="NEI13"/>
      <c r="NEJ13"/>
      <c r="NEK13"/>
      <c r="NEL13"/>
      <c r="NEM13"/>
      <c r="NEN13"/>
      <c r="NEO13"/>
      <c r="NEP13"/>
      <c r="NEQ13"/>
      <c r="NER13"/>
      <c r="NES13"/>
      <c r="NET13"/>
      <c r="NEU13"/>
      <c r="NEV13"/>
      <c r="NEW13"/>
      <c r="NEX13"/>
      <c r="NEY13"/>
      <c r="NEZ13"/>
      <c r="NFA13"/>
      <c r="NFB13"/>
      <c r="NFC13"/>
      <c r="NFD13"/>
      <c r="NFE13"/>
      <c r="NFF13"/>
      <c r="NFG13"/>
      <c r="NFH13"/>
      <c r="NFI13"/>
      <c r="NFJ13"/>
      <c r="NFK13"/>
      <c r="NFL13"/>
      <c r="NFM13"/>
      <c r="NFN13"/>
      <c r="NFO13"/>
      <c r="NFP13"/>
      <c r="NFQ13"/>
      <c r="NFR13"/>
      <c r="NFS13"/>
      <c r="NFT13"/>
      <c r="NFU13"/>
      <c r="NFV13"/>
      <c r="NFW13"/>
      <c r="NFX13"/>
      <c r="NFY13"/>
      <c r="NFZ13"/>
      <c r="NGA13"/>
      <c r="NGB13"/>
      <c r="NGC13"/>
      <c r="NGD13"/>
      <c r="NGE13"/>
      <c r="NGF13"/>
      <c r="NGG13"/>
      <c r="NGH13"/>
      <c r="NGI13"/>
      <c r="NGJ13"/>
      <c r="NGK13"/>
      <c r="NGL13"/>
      <c r="NGM13"/>
      <c r="NGN13"/>
      <c r="NGO13"/>
      <c r="NGP13"/>
      <c r="NGQ13"/>
      <c r="NGR13"/>
      <c r="NGS13"/>
      <c r="NGT13"/>
      <c r="NGU13"/>
      <c r="NGV13"/>
      <c r="NGW13"/>
      <c r="NGX13"/>
      <c r="NGY13"/>
      <c r="NGZ13"/>
      <c r="NHA13"/>
      <c r="NHB13"/>
      <c r="NHC13"/>
      <c r="NHD13"/>
      <c r="NHE13"/>
      <c r="NHF13"/>
      <c r="NHG13"/>
      <c r="NHH13"/>
      <c r="NHI13"/>
      <c r="NHJ13"/>
      <c r="NHK13"/>
      <c r="NHL13"/>
      <c r="NHM13"/>
      <c r="NHN13"/>
      <c r="NHO13"/>
      <c r="NHP13"/>
      <c r="NHQ13"/>
      <c r="NHR13"/>
      <c r="NHS13"/>
      <c r="NHT13"/>
      <c r="NHU13"/>
      <c r="NHV13"/>
      <c r="NHW13"/>
      <c r="NHX13"/>
      <c r="NHY13"/>
      <c r="NHZ13"/>
      <c r="NIA13"/>
      <c r="NIB13"/>
      <c r="NIC13"/>
      <c r="NID13"/>
      <c r="NIE13"/>
      <c r="NIF13"/>
      <c r="NIG13"/>
      <c r="NIH13"/>
      <c r="NII13"/>
      <c r="NIJ13"/>
      <c r="NIK13"/>
      <c r="NIL13"/>
      <c r="NIM13"/>
      <c r="NIN13"/>
      <c r="NIO13"/>
      <c r="NIP13"/>
      <c r="NIQ13"/>
      <c r="NIR13"/>
      <c r="NIS13"/>
      <c r="NIT13"/>
      <c r="NIU13"/>
      <c r="NIV13"/>
      <c r="NIW13"/>
      <c r="NIX13"/>
      <c r="NIY13"/>
      <c r="NIZ13"/>
      <c r="NJA13"/>
      <c r="NJB13"/>
      <c r="NJC13"/>
      <c r="NJD13"/>
      <c r="NJE13"/>
      <c r="NJF13"/>
      <c r="NJG13"/>
      <c r="NJH13"/>
      <c r="NJI13"/>
      <c r="NJJ13"/>
      <c r="NJK13"/>
      <c r="NJL13"/>
      <c r="NJM13"/>
      <c r="NJN13"/>
      <c r="NJO13"/>
      <c r="NJP13"/>
      <c r="NJQ13"/>
      <c r="NJR13"/>
      <c r="NJS13"/>
      <c r="NJT13"/>
      <c r="NJU13"/>
      <c r="NJV13"/>
      <c r="NJW13"/>
      <c r="NJX13"/>
      <c r="NJY13"/>
      <c r="NJZ13"/>
      <c r="NKA13"/>
      <c r="NKB13"/>
      <c r="NKC13"/>
      <c r="NKD13"/>
      <c r="NKE13"/>
      <c r="NKF13"/>
      <c r="NKG13"/>
      <c r="NKH13"/>
      <c r="NKI13"/>
      <c r="NKJ13"/>
      <c r="NKK13"/>
      <c r="NKL13"/>
      <c r="NKM13"/>
      <c r="NKN13"/>
      <c r="NKO13"/>
      <c r="NKP13"/>
      <c r="NKQ13"/>
      <c r="NKR13"/>
      <c r="NKS13"/>
      <c r="NKT13"/>
      <c r="NKU13"/>
      <c r="NKV13"/>
      <c r="NKW13"/>
      <c r="NKX13"/>
      <c r="NKY13"/>
      <c r="NKZ13"/>
      <c r="NLA13"/>
      <c r="NLB13"/>
      <c r="NLC13"/>
      <c r="NLD13"/>
      <c r="NLE13"/>
      <c r="NLF13"/>
      <c r="NLG13"/>
      <c r="NLH13"/>
      <c r="NLI13"/>
      <c r="NLJ13"/>
      <c r="NLK13"/>
      <c r="NLL13"/>
      <c r="NLM13"/>
      <c r="NLN13"/>
      <c r="NLO13"/>
      <c r="NLP13"/>
      <c r="NLQ13"/>
      <c r="NLR13"/>
      <c r="NLS13"/>
      <c r="NLT13"/>
      <c r="NLU13"/>
      <c r="NLV13"/>
      <c r="NLW13"/>
      <c r="NLX13"/>
      <c r="NLY13"/>
      <c r="NLZ13"/>
      <c r="NMA13"/>
      <c r="NMB13"/>
      <c r="NMC13"/>
      <c r="NMD13"/>
      <c r="NME13"/>
      <c r="NMF13"/>
      <c r="NMG13"/>
      <c r="NMH13"/>
      <c r="NMI13"/>
      <c r="NMJ13"/>
      <c r="NMK13"/>
      <c r="NML13"/>
      <c r="NMM13"/>
      <c r="NMN13"/>
      <c r="NMO13"/>
      <c r="NMP13"/>
      <c r="NMQ13"/>
      <c r="NMR13"/>
      <c r="NMS13"/>
      <c r="NMT13"/>
      <c r="NMU13"/>
      <c r="NMV13"/>
      <c r="NMW13"/>
      <c r="NMX13"/>
      <c r="NMY13"/>
      <c r="NMZ13"/>
      <c r="NNA13"/>
      <c r="NNB13"/>
      <c r="NNC13"/>
      <c r="NND13"/>
      <c r="NNE13"/>
      <c r="NNF13"/>
      <c r="NNG13"/>
      <c r="NNH13"/>
      <c r="NNI13"/>
      <c r="NNJ13"/>
      <c r="NNK13"/>
      <c r="NNL13"/>
      <c r="NNM13"/>
      <c r="NNN13"/>
      <c r="NNO13"/>
      <c r="NNP13"/>
      <c r="NNQ13"/>
      <c r="NNR13"/>
      <c r="NNS13"/>
      <c r="NNT13"/>
      <c r="NNU13"/>
      <c r="NNV13"/>
      <c r="NNW13"/>
      <c r="NNX13"/>
      <c r="NNY13"/>
      <c r="NNZ13"/>
      <c r="NOA13"/>
      <c r="NOB13"/>
      <c r="NOC13"/>
      <c r="NOD13"/>
      <c r="NOE13"/>
      <c r="NOF13"/>
      <c r="NOG13"/>
      <c r="NOH13"/>
      <c r="NOI13"/>
      <c r="NOJ13"/>
      <c r="NOK13"/>
      <c r="NOL13"/>
      <c r="NOM13"/>
      <c r="NON13"/>
      <c r="NOO13"/>
      <c r="NOP13"/>
      <c r="NOQ13"/>
      <c r="NOR13"/>
      <c r="NOS13"/>
      <c r="NOT13"/>
      <c r="NOU13"/>
      <c r="NOV13"/>
      <c r="NOW13"/>
      <c r="NOX13"/>
      <c r="NOY13"/>
      <c r="NOZ13"/>
      <c r="NPA13"/>
      <c r="NPB13"/>
      <c r="NPC13"/>
      <c r="NPD13"/>
      <c r="NPE13"/>
      <c r="NPF13"/>
      <c r="NPG13"/>
      <c r="NPH13"/>
      <c r="NPI13"/>
      <c r="NPJ13"/>
      <c r="NPK13"/>
      <c r="NPL13"/>
      <c r="NPM13"/>
      <c r="NPN13"/>
      <c r="NPO13"/>
      <c r="NPP13"/>
      <c r="NPQ13"/>
      <c r="NPR13"/>
      <c r="NPS13"/>
      <c r="NPT13"/>
      <c r="NPU13"/>
      <c r="NPV13"/>
      <c r="NPW13"/>
      <c r="NPX13"/>
      <c r="NPY13"/>
      <c r="NPZ13"/>
      <c r="NQA13"/>
      <c r="NQB13"/>
      <c r="NQC13"/>
      <c r="NQD13"/>
      <c r="NQE13"/>
      <c r="NQF13"/>
      <c r="NQG13"/>
      <c r="NQH13"/>
      <c r="NQI13"/>
      <c r="NQJ13"/>
      <c r="NQK13"/>
      <c r="NQL13"/>
      <c r="NQM13"/>
      <c r="NQN13"/>
      <c r="NQO13"/>
      <c r="NQP13"/>
      <c r="NQQ13"/>
      <c r="NQR13"/>
      <c r="NQS13"/>
      <c r="NQT13"/>
      <c r="NQU13"/>
      <c r="NQV13"/>
      <c r="NQW13"/>
      <c r="NQX13"/>
      <c r="NQY13"/>
      <c r="NQZ13"/>
      <c r="NRA13"/>
      <c r="NRB13"/>
      <c r="NRC13"/>
      <c r="NRD13"/>
      <c r="NRE13"/>
      <c r="NRF13"/>
      <c r="NRG13"/>
      <c r="NRH13"/>
      <c r="NRI13"/>
      <c r="NRJ13"/>
      <c r="NRK13"/>
      <c r="NRL13"/>
      <c r="NRM13"/>
      <c r="NRN13"/>
      <c r="NRO13"/>
      <c r="NRP13"/>
      <c r="NRQ13"/>
      <c r="NRR13"/>
      <c r="NRS13"/>
      <c r="NRT13"/>
      <c r="NRU13"/>
      <c r="NRV13"/>
      <c r="NRW13"/>
      <c r="NRX13"/>
      <c r="NRY13"/>
      <c r="NRZ13"/>
      <c r="NSA13"/>
      <c r="NSB13"/>
      <c r="NSC13"/>
      <c r="NSD13"/>
      <c r="NSE13"/>
      <c r="NSF13"/>
      <c r="NSG13"/>
      <c r="NSH13"/>
      <c r="NSI13"/>
      <c r="NSJ13"/>
      <c r="NSK13"/>
      <c r="NSL13"/>
      <c r="NSM13"/>
      <c r="NSN13"/>
      <c r="NSO13"/>
      <c r="NSP13"/>
      <c r="NSQ13"/>
      <c r="NSR13"/>
      <c r="NSS13"/>
      <c r="NST13"/>
      <c r="NSU13"/>
      <c r="NSV13"/>
      <c r="NSW13"/>
      <c r="NSX13"/>
      <c r="NSY13"/>
      <c r="NSZ13"/>
      <c r="NTA13"/>
      <c r="NTB13"/>
      <c r="NTC13"/>
      <c r="NTD13"/>
      <c r="NTE13"/>
      <c r="NTF13"/>
      <c r="NTG13"/>
      <c r="NTH13"/>
      <c r="NTI13"/>
      <c r="NTJ13"/>
      <c r="NTK13"/>
      <c r="NTL13"/>
      <c r="NTM13"/>
      <c r="NTN13"/>
      <c r="NTO13"/>
      <c r="NTP13"/>
      <c r="NTQ13"/>
      <c r="NTR13"/>
      <c r="NTS13"/>
      <c r="NTT13"/>
      <c r="NTU13"/>
      <c r="NTV13"/>
      <c r="NTW13"/>
      <c r="NTX13"/>
      <c r="NTY13"/>
      <c r="NTZ13"/>
      <c r="NUA13"/>
      <c r="NUB13"/>
      <c r="NUC13"/>
      <c r="NUD13"/>
      <c r="NUE13"/>
      <c r="NUF13"/>
      <c r="NUG13"/>
      <c r="NUH13"/>
      <c r="NUI13"/>
      <c r="NUJ13"/>
      <c r="NUK13"/>
      <c r="NUL13"/>
      <c r="NUM13"/>
      <c r="NUN13"/>
      <c r="NUO13"/>
      <c r="NUP13"/>
      <c r="NUQ13"/>
      <c r="NUR13"/>
      <c r="NUS13"/>
      <c r="NUT13"/>
      <c r="NUU13"/>
      <c r="NUV13"/>
      <c r="NUW13"/>
      <c r="NUX13"/>
      <c r="NUY13"/>
      <c r="NUZ13"/>
      <c r="NVA13"/>
      <c r="NVB13"/>
      <c r="NVC13"/>
      <c r="NVD13"/>
      <c r="NVE13"/>
      <c r="NVF13"/>
      <c r="NVG13"/>
      <c r="NVH13"/>
      <c r="NVI13"/>
      <c r="NVJ13"/>
      <c r="NVK13"/>
      <c r="NVL13"/>
      <c r="NVM13"/>
      <c r="NVN13"/>
      <c r="NVO13"/>
      <c r="NVP13"/>
      <c r="NVQ13"/>
      <c r="NVR13"/>
      <c r="NVS13"/>
      <c r="NVT13"/>
      <c r="NVU13"/>
      <c r="NVV13"/>
      <c r="NVW13"/>
      <c r="NVX13"/>
      <c r="NVY13"/>
      <c r="NVZ13"/>
      <c r="NWA13"/>
      <c r="NWB13"/>
      <c r="NWC13"/>
      <c r="NWD13"/>
      <c r="NWE13"/>
      <c r="NWF13"/>
      <c r="NWG13"/>
      <c r="NWH13"/>
      <c r="NWI13"/>
      <c r="NWJ13"/>
      <c r="NWK13"/>
      <c r="NWL13"/>
      <c r="NWM13"/>
      <c r="NWN13"/>
      <c r="NWO13"/>
      <c r="NWP13"/>
      <c r="NWQ13"/>
      <c r="NWR13"/>
      <c r="NWS13"/>
      <c r="NWT13"/>
      <c r="NWU13"/>
      <c r="NWV13"/>
      <c r="NWW13"/>
      <c r="NWX13"/>
      <c r="NWY13"/>
      <c r="NWZ13"/>
      <c r="NXA13"/>
      <c r="NXB13"/>
      <c r="NXC13"/>
      <c r="NXD13"/>
      <c r="NXE13"/>
      <c r="NXF13"/>
      <c r="NXG13"/>
      <c r="NXH13"/>
      <c r="NXI13"/>
      <c r="NXJ13"/>
      <c r="NXK13"/>
      <c r="NXL13"/>
      <c r="NXM13"/>
      <c r="NXN13"/>
      <c r="NXO13"/>
      <c r="NXP13"/>
      <c r="NXQ13"/>
      <c r="NXR13"/>
      <c r="NXS13"/>
      <c r="NXT13"/>
      <c r="NXU13"/>
      <c r="NXV13"/>
      <c r="NXW13"/>
      <c r="NXX13"/>
      <c r="NXY13"/>
      <c r="NXZ13"/>
      <c r="NYA13"/>
      <c r="NYB13"/>
      <c r="NYC13"/>
      <c r="NYD13"/>
      <c r="NYE13"/>
      <c r="NYF13"/>
      <c r="NYG13"/>
      <c r="NYH13"/>
      <c r="NYI13"/>
      <c r="NYJ13"/>
      <c r="NYK13"/>
      <c r="NYL13"/>
      <c r="NYM13"/>
      <c r="NYN13"/>
      <c r="NYO13"/>
      <c r="NYP13"/>
      <c r="NYQ13"/>
      <c r="NYR13"/>
      <c r="NYS13"/>
      <c r="NYT13"/>
      <c r="NYU13"/>
      <c r="NYV13"/>
      <c r="NYW13"/>
      <c r="NYX13"/>
      <c r="NYY13"/>
      <c r="NYZ13"/>
      <c r="NZA13"/>
      <c r="NZB13"/>
      <c r="NZC13"/>
      <c r="NZD13"/>
      <c r="NZE13"/>
      <c r="NZF13"/>
      <c r="NZG13"/>
      <c r="NZH13"/>
      <c r="NZI13"/>
      <c r="NZJ13"/>
      <c r="NZK13"/>
      <c r="NZL13"/>
      <c r="NZM13"/>
      <c r="NZN13"/>
      <c r="NZO13"/>
      <c r="NZP13"/>
      <c r="NZQ13"/>
      <c r="NZR13"/>
      <c r="NZS13"/>
      <c r="NZT13"/>
      <c r="NZU13"/>
      <c r="NZV13"/>
      <c r="NZW13"/>
      <c r="NZX13"/>
      <c r="NZY13"/>
      <c r="NZZ13"/>
      <c r="OAA13"/>
      <c r="OAB13"/>
      <c r="OAC13"/>
      <c r="OAD13"/>
      <c r="OAE13"/>
      <c r="OAF13"/>
      <c r="OAG13"/>
      <c r="OAH13"/>
      <c r="OAI13"/>
      <c r="OAJ13"/>
      <c r="OAK13"/>
      <c r="OAL13"/>
      <c r="OAM13"/>
      <c r="OAN13"/>
      <c r="OAO13"/>
      <c r="OAP13"/>
      <c r="OAQ13"/>
      <c r="OAR13"/>
      <c r="OAS13"/>
      <c r="OAT13"/>
      <c r="OAU13"/>
      <c r="OAV13"/>
      <c r="OAW13"/>
      <c r="OAX13"/>
      <c r="OAY13"/>
      <c r="OAZ13"/>
      <c r="OBA13"/>
      <c r="OBB13"/>
      <c r="OBC13"/>
      <c r="OBD13"/>
      <c r="OBE13"/>
      <c r="OBF13"/>
      <c r="OBG13"/>
      <c r="OBH13"/>
      <c r="OBI13"/>
      <c r="OBJ13"/>
      <c r="OBK13"/>
      <c r="OBL13"/>
      <c r="OBM13"/>
      <c r="OBN13"/>
      <c r="OBO13"/>
      <c r="OBP13"/>
      <c r="OBQ13"/>
      <c r="OBR13"/>
      <c r="OBS13"/>
      <c r="OBT13"/>
      <c r="OBU13"/>
      <c r="OBV13"/>
      <c r="OBW13"/>
      <c r="OBX13"/>
      <c r="OBY13"/>
      <c r="OBZ13"/>
      <c r="OCA13"/>
      <c r="OCB13"/>
      <c r="OCC13"/>
      <c r="OCD13"/>
      <c r="OCE13"/>
      <c r="OCF13"/>
      <c r="OCG13"/>
      <c r="OCH13"/>
      <c r="OCI13"/>
      <c r="OCJ13"/>
      <c r="OCK13"/>
      <c r="OCL13"/>
      <c r="OCM13"/>
      <c r="OCN13"/>
      <c r="OCO13"/>
      <c r="OCP13"/>
      <c r="OCQ13"/>
      <c r="OCR13"/>
      <c r="OCS13"/>
      <c r="OCT13"/>
      <c r="OCU13"/>
      <c r="OCV13"/>
      <c r="OCW13"/>
      <c r="OCX13"/>
      <c r="OCY13"/>
      <c r="OCZ13"/>
      <c r="ODA13"/>
      <c r="ODB13"/>
      <c r="ODC13"/>
      <c r="ODD13"/>
      <c r="ODE13"/>
      <c r="ODF13"/>
      <c r="ODG13"/>
      <c r="ODH13"/>
      <c r="ODI13"/>
      <c r="ODJ13"/>
      <c r="ODK13"/>
      <c r="ODL13"/>
      <c r="ODM13"/>
      <c r="ODN13"/>
      <c r="ODO13"/>
      <c r="ODP13"/>
      <c r="ODQ13"/>
      <c r="ODR13"/>
      <c r="ODS13"/>
      <c r="ODT13"/>
      <c r="ODU13"/>
      <c r="ODV13"/>
      <c r="ODW13"/>
      <c r="ODX13"/>
      <c r="ODY13"/>
      <c r="ODZ13"/>
      <c r="OEA13"/>
      <c r="OEB13"/>
      <c r="OEC13"/>
      <c r="OED13"/>
      <c r="OEE13"/>
      <c r="OEF13"/>
      <c r="OEG13"/>
      <c r="OEH13"/>
      <c r="OEI13"/>
      <c r="OEJ13"/>
      <c r="OEK13"/>
      <c r="OEL13"/>
      <c r="OEM13"/>
      <c r="OEN13"/>
      <c r="OEO13"/>
      <c r="OEP13"/>
      <c r="OEQ13"/>
      <c r="OER13"/>
      <c r="OES13"/>
      <c r="OET13"/>
      <c r="OEU13"/>
      <c r="OEV13"/>
      <c r="OEW13"/>
      <c r="OEX13"/>
      <c r="OEY13"/>
      <c r="OEZ13"/>
      <c r="OFA13"/>
      <c r="OFB13"/>
      <c r="OFC13"/>
      <c r="OFD13"/>
      <c r="OFE13"/>
      <c r="OFF13"/>
      <c r="OFG13"/>
      <c r="OFH13"/>
      <c r="OFI13"/>
      <c r="OFJ13"/>
      <c r="OFK13"/>
      <c r="OFL13"/>
      <c r="OFM13"/>
      <c r="OFN13"/>
      <c r="OFO13"/>
      <c r="OFP13"/>
      <c r="OFQ13"/>
      <c r="OFR13"/>
      <c r="OFS13"/>
      <c r="OFT13"/>
      <c r="OFU13"/>
      <c r="OFV13"/>
      <c r="OFW13"/>
      <c r="OFX13"/>
      <c r="OFY13"/>
      <c r="OFZ13"/>
      <c r="OGA13"/>
      <c r="OGB13"/>
      <c r="OGC13"/>
      <c r="OGD13"/>
      <c r="OGE13"/>
      <c r="OGF13"/>
      <c r="OGG13"/>
      <c r="OGH13"/>
      <c r="OGI13"/>
      <c r="OGJ13"/>
      <c r="OGK13"/>
      <c r="OGL13"/>
      <c r="OGM13"/>
      <c r="OGN13"/>
      <c r="OGO13"/>
      <c r="OGP13"/>
      <c r="OGQ13"/>
      <c r="OGR13"/>
      <c r="OGS13"/>
      <c r="OGT13"/>
      <c r="OGU13"/>
      <c r="OGV13"/>
      <c r="OGW13"/>
      <c r="OGX13"/>
      <c r="OGY13"/>
      <c r="OGZ13"/>
      <c r="OHA13"/>
      <c r="OHB13"/>
      <c r="OHC13"/>
      <c r="OHD13"/>
      <c r="OHE13"/>
      <c r="OHF13"/>
      <c r="OHG13"/>
      <c r="OHH13"/>
      <c r="OHI13"/>
      <c r="OHJ13"/>
      <c r="OHK13"/>
      <c r="OHL13"/>
      <c r="OHM13"/>
      <c r="OHN13"/>
      <c r="OHO13"/>
      <c r="OHP13"/>
      <c r="OHQ13"/>
      <c r="OHR13"/>
      <c r="OHS13"/>
      <c r="OHT13"/>
      <c r="OHU13"/>
      <c r="OHV13"/>
      <c r="OHW13"/>
      <c r="OHX13"/>
      <c r="OHY13"/>
      <c r="OHZ13"/>
      <c r="OIA13"/>
      <c r="OIB13"/>
      <c r="OIC13"/>
      <c r="OID13"/>
      <c r="OIE13"/>
      <c r="OIF13"/>
      <c r="OIG13"/>
      <c r="OIH13"/>
      <c r="OII13"/>
      <c r="OIJ13"/>
      <c r="OIK13"/>
      <c r="OIL13"/>
      <c r="OIM13"/>
      <c r="OIN13"/>
      <c r="OIO13"/>
      <c r="OIP13"/>
      <c r="OIQ13"/>
      <c r="OIR13"/>
      <c r="OIS13"/>
      <c r="OIT13"/>
      <c r="OIU13"/>
      <c r="OIV13"/>
      <c r="OIW13"/>
      <c r="OIX13"/>
      <c r="OIY13"/>
      <c r="OIZ13"/>
      <c r="OJA13"/>
      <c r="OJB13"/>
      <c r="OJC13"/>
      <c r="OJD13"/>
      <c r="OJE13"/>
      <c r="OJF13"/>
      <c r="OJG13"/>
      <c r="OJH13"/>
      <c r="OJI13"/>
      <c r="OJJ13"/>
      <c r="OJK13"/>
      <c r="OJL13"/>
      <c r="OJM13"/>
      <c r="OJN13"/>
      <c r="OJO13"/>
      <c r="OJP13"/>
      <c r="OJQ13"/>
      <c r="OJR13"/>
      <c r="OJS13"/>
      <c r="OJT13"/>
      <c r="OJU13"/>
      <c r="OJV13"/>
      <c r="OJW13"/>
      <c r="OJX13"/>
      <c r="OJY13"/>
      <c r="OJZ13"/>
      <c r="OKA13"/>
      <c r="OKB13"/>
      <c r="OKC13"/>
      <c r="OKD13"/>
      <c r="OKE13"/>
      <c r="OKF13"/>
      <c r="OKG13"/>
      <c r="OKH13"/>
      <c r="OKI13"/>
      <c r="OKJ13"/>
      <c r="OKK13"/>
      <c r="OKL13"/>
      <c r="OKM13"/>
      <c r="OKN13"/>
      <c r="OKO13"/>
      <c r="OKP13"/>
      <c r="OKQ13"/>
      <c r="OKR13"/>
      <c r="OKS13"/>
      <c r="OKT13"/>
      <c r="OKU13"/>
      <c r="OKV13"/>
      <c r="OKW13"/>
      <c r="OKX13"/>
      <c r="OKY13"/>
      <c r="OKZ13"/>
      <c r="OLA13"/>
      <c r="OLB13"/>
      <c r="OLC13"/>
      <c r="OLD13"/>
      <c r="OLE13"/>
      <c r="OLF13"/>
      <c r="OLG13"/>
      <c r="OLH13"/>
      <c r="OLI13"/>
      <c r="OLJ13"/>
      <c r="OLK13"/>
      <c r="OLL13"/>
      <c r="OLM13"/>
      <c r="OLN13"/>
      <c r="OLO13"/>
      <c r="OLP13"/>
      <c r="OLQ13"/>
      <c r="OLR13"/>
      <c r="OLS13"/>
      <c r="OLT13"/>
      <c r="OLU13"/>
      <c r="OLV13"/>
      <c r="OLW13"/>
      <c r="OLX13"/>
      <c r="OLY13"/>
      <c r="OLZ13"/>
      <c r="OMA13"/>
      <c r="OMB13"/>
      <c r="OMC13"/>
      <c r="OMD13"/>
      <c r="OME13"/>
      <c r="OMF13"/>
      <c r="OMG13"/>
      <c r="OMH13"/>
      <c r="OMI13"/>
      <c r="OMJ13"/>
      <c r="OMK13"/>
      <c r="OML13"/>
      <c r="OMM13"/>
      <c r="OMN13"/>
      <c r="OMO13"/>
      <c r="OMP13"/>
      <c r="OMQ13"/>
      <c r="OMR13"/>
      <c r="OMS13"/>
      <c r="OMT13"/>
      <c r="OMU13"/>
      <c r="OMV13"/>
      <c r="OMW13"/>
      <c r="OMX13"/>
      <c r="OMY13"/>
      <c r="OMZ13"/>
      <c r="ONA13"/>
      <c r="ONB13"/>
      <c r="ONC13"/>
      <c r="OND13"/>
      <c r="ONE13"/>
      <c r="ONF13"/>
      <c r="ONG13"/>
      <c r="ONH13"/>
      <c r="ONI13"/>
      <c r="ONJ13"/>
      <c r="ONK13"/>
      <c r="ONL13"/>
      <c r="ONM13"/>
      <c r="ONN13"/>
      <c r="ONO13"/>
      <c r="ONP13"/>
      <c r="ONQ13"/>
      <c r="ONR13"/>
      <c r="ONS13"/>
      <c r="ONT13"/>
      <c r="ONU13"/>
      <c r="ONV13"/>
      <c r="ONW13"/>
      <c r="ONX13"/>
      <c r="ONY13"/>
      <c r="ONZ13"/>
      <c r="OOA13"/>
      <c r="OOB13"/>
      <c r="OOC13"/>
      <c r="OOD13"/>
      <c r="OOE13"/>
      <c r="OOF13"/>
      <c r="OOG13"/>
      <c r="OOH13"/>
      <c r="OOI13"/>
      <c r="OOJ13"/>
      <c r="OOK13"/>
      <c r="OOL13"/>
      <c r="OOM13"/>
      <c r="OON13"/>
      <c r="OOO13"/>
      <c r="OOP13"/>
      <c r="OOQ13"/>
      <c r="OOR13"/>
      <c r="OOS13"/>
      <c r="OOT13"/>
      <c r="OOU13"/>
      <c r="OOV13"/>
      <c r="OOW13"/>
      <c r="OOX13"/>
      <c r="OOY13"/>
      <c r="OOZ13"/>
      <c r="OPA13"/>
      <c r="OPB13"/>
      <c r="OPC13"/>
      <c r="OPD13"/>
      <c r="OPE13"/>
      <c r="OPF13"/>
      <c r="OPG13"/>
      <c r="OPH13"/>
      <c r="OPI13"/>
      <c r="OPJ13"/>
      <c r="OPK13"/>
      <c r="OPL13"/>
      <c r="OPM13"/>
      <c r="OPN13"/>
      <c r="OPO13"/>
      <c r="OPP13"/>
      <c r="OPQ13"/>
      <c r="OPR13"/>
      <c r="OPS13"/>
      <c r="OPT13"/>
      <c r="OPU13"/>
      <c r="OPV13"/>
      <c r="OPW13"/>
      <c r="OPX13"/>
      <c r="OPY13"/>
      <c r="OPZ13"/>
      <c r="OQA13"/>
      <c r="OQB13"/>
      <c r="OQC13"/>
      <c r="OQD13"/>
      <c r="OQE13"/>
      <c r="OQF13"/>
      <c r="OQG13"/>
      <c r="OQH13"/>
      <c r="OQI13"/>
      <c r="OQJ13"/>
      <c r="OQK13"/>
      <c r="OQL13"/>
      <c r="OQM13"/>
      <c r="OQN13"/>
      <c r="OQO13"/>
      <c r="OQP13"/>
      <c r="OQQ13"/>
      <c r="OQR13"/>
      <c r="OQS13"/>
      <c r="OQT13"/>
      <c r="OQU13"/>
      <c r="OQV13"/>
      <c r="OQW13"/>
      <c r="OQX13"/>
      <c r="OQY13"/>
      <c r="OQZ13"/>
      <c r="ORA13"/>
      <c r="ORB13"/>
      <c r="ORC13"/>
      <c r="ORD13"/>
      <c r="ORE13"/>
      <c r="ORF13"/>
      <c r="ORG13"/>
      <c r="ORH13"/>
      <c r="ORI13"/>
      <c r="ORJ13"/>
      <c r="ORK13"/>
      <c r="ORL13"/>
      <c r="ORM13"/>
      <c r="ORN13"/>
      <c r="ORO13"/>
      <c r="ORP13"/>
      <c r="ORQ13"/>
      <c r="ORR13"/>
      <c r="ORS13"/>
      <c r="ORT13"/>
      <c r="ORU13"/>
      <c r="ORV13"/>
      <c r="ORW13"/>
      <c r="ORX13"/>
      <c r="ORY13"/>
      <c r="ORZ13"/>
      <c r="OSA13"/>
      <c r="OSB13"/>
      <c r="OSC13"/>
      <c r="OSD13"/>
      <c r="OSE13"/>
      <c r="OSF13"/>
      <c r="OSG13"/>
      <c r="OSH13"/>
      <c r="OSI13"/>
      <c r="OSJ13"/>
      <c r="OSK13"/>
      <c r="OSL13"/>
      <c r="OSM13"/>
      <c r="OSN13"/>
      <c r="OSO13"/>
      <c r="OSP13"/>
      <c r="OSQ13"/>
      <c r="OSR13"/>
      <c r="OSS13"/>
      <c r="OST13"/>
      <c r="OSU13"/>
      <c r="OSV13"/>
      <c r="OSW13"/>
      <c r="OSX13"/>
      <c r="OSY13"/>
      <c r="OSZ13"/>
      <c r="OTA13"/>
      <c r="OTB13"/>
      <c r="OTC13"/>
      <c r="OTD13"/>
      <c r="OTE13"/>
      <c r="OTF13"/>
      <c r="OTG13"/>
      <c r="OTH13"/>
      <c r="OTI13"/>
      <c r="OTJ13"/>
      <c r="OTK13"/>
      <c r="OTL13"/>
      <c r="OTM13"/>
      <c r="OTN13"/>
      <c r="OTO13"/>
      <c r="OTP13"/>
      <c r="OTQ13"/>
      <c r="OTR13"/>
      <c r="OTS13"/>
      <c r="OTT13"/>
      <c r="OTU13"/>
      <c r="OTV13"/>
      <c r="OTW13"/>
      <c r="OTX13"/>
      <c r="OTY13"/>
      <c r="OTZ13"/>
      <c r="OUA13"/>
      <c r="OUB13"/>
      <c r="OUC13"/>
      <c r="OUD13"/>
      <c r="OUE13"/>
      <c r="OUF13"/>
      <c r="OUG13"/>
      <c r="OUH13"/>
      <c r="OUI13"/>
      <c r="OUJ13"/>
      <c r="OUK13"/>
      <c r="OUL13"/>
      <c r="OUM13"/>
      <c r="OUN13"/>
      <c r="OUO13"/>
      <c r="OUP13"/>
      <c r="OUQ13"/>
      <c r="OUR13"/>
      <c r="OUS13"/>
      <c r="OUT13"/>
      <c r="OUU13"/>
      <c r="OUV13"/>
      <c r="OUW13"/>
      <c r="OUX13"/>
      <c r="OUY13"/>
      <c r="OUZ13"/>
      <c r="OVA13"/>
      <c r="OVB13"/>
      <c r="OVC13"/>
      <c r="OVD13"/>
      <c r="OVE13"/>
      <c r="OVF13"/>
      <c r="OVG13"/>
      <c r="OVH13"/>
      <c r="OVI13"/>
      <c r="OVJ13"/>
      <c r="OVK13"/>
      <c r="OVL13"/>
      <c r="OVM13"/>
      <c r="OVN13"/>
      <c r="OVO13"/>
      <c r="OVP13"/>
      <c r="OVQ13"/>
      <c r="OVR13"/>
      <c r="OVS13"/>
      <c r="OVT13"/>
      <c r="OVU13"/>
      <c r="OVV13"/>
      <c r="OVW13"/>
      <c r="OVX13"/>
      <c r="OVY13"/>
      <c r="OVZ13"/>
      <c r="OWA13"/>
      <c r="OWB13"/>
      <c r="OWC13"/>
      <c r="OWD13"/>
      <c r="OWE13"/>
      <c r="OWF13"/>
      <c r="OWG13"/>
      <c r="OWH13"/>
      <c r="OWI13"/>
      <c r="OWJ13"/>
      <c r="OWK13"/>
      <c r="OWL13"/>
      <c r="OWM13"/>
      <c r="OWN13"/>
      <c r="OWO13"/>
      <c r="OWP13"/>
      <c r="OWQ13"/>
      <c r="OWR13"/>
      <c r="OWS13"/>
      <c r="OWT13"/>
      <c r="OWU13"/>
      <c r="OWV13"/>
      <c r="OWW13"/>
      <c r="OWX13"/>
      <c r="OWY13"/>
      <c r="OWZ13"/>
      <c r="OXA13"/>
      <c r="OXB13"/>
      <c r="OXC13"/>
      <c r="OXD13"/>
      <c r="OXE13"/>
      <c r="OXF13"/>
      <c r="OXG13"/>
      <c r="OXH13"/>
      <c r="OXI13"/>
      <c r="OXJ13"/>
      <c r="OXK13"/>
      <c r="OXL13"/>
      <c r="OXM13"/>
      <c r="OXN13"/>
      <c r="OXO13"/>
      <c r="OXP13"/>
      <c r="OXQ13"/>
      <c r="OXR13"/>
      <c r="OXS13"/>
      <c r="OXT13"/>
      <c r="OXU13"/>
      <c r="OXV13"/>
      <c r="OXW13"/>
      <c r="OXX13"/>
      <c r="OXY13"/>
      <c r="OXZ13"/>
      <c r="OYA13"/>
      <c r="OYB13"/>
      <c r="OYC13"/>
      <c r="OYD13"/>
      <c r="OYE13"/>
      <c r="OYF13"/>
      <c r="OYG13"/>
      <c r="OYH13"/>
      <c r="OYI13"/>
      <c r="OYJ13"/>
      <c r="OYK13"/>
      <c r="OYL13"/>
      <c r="OYM13"/>
      <c r="OYN13"/>
      <c r="OYO13"/>
      <c r="OYP13"/>
      <c r="OYQ13"/>
      <c r="OYR13"/>
      <c r="OYS13"/>
      <c r="OYT13"/>
      <c r="OYU13"/>
      <c r="OYV13"/>
      <c r="OYW13"/>
      <c r="OYX13"/>
      <c r="OYY13"/>
      <c r="OYZ13"/>
      <c r="OZA13"/>
      <c r="OZB13"/>
      <c r="OZC13"/>
      <c r="OZD13"/>
      <c r="OZE13"/>
      <c r="OZF13"/>
      <c r="OZG13"/>
      <c r="OZH13"/>
      <c r="OZI13"/>
      <c r="OZJ13"/>
      <c r="OZK13"/>
      <c r="OZL13"/>
      <c r="OZM13"/>
      <c r="OZN13"/>
      <c r="OZO13"/>
      <c r="OZP13"/>
      <c r="OZQ13"/>
      <c r="OZR13"/>
      <c r="OZS13"/>
      <c r="OZT13"/>
      <c r="OZU13"/>
      <c r="OZV13"/>
      <c r="OZW13"/>
      <c r="OZX13"/>
      <c r="OZY13"/>
      <c r="OZZ13"/>
      <c r="PAA13"/>
      <c r="PAB13"/>
      <c r="PAC13"/>
      <c r="PAD13"/>
      <c r="PAE13"/>
      <c r="PAF13"/>
      <c r="PAG13"/>
      <c r="PAH13"/>
      <c r="PAI13"/>
      <c r="PAJ13"/>
      <c r="PAK13"/>
      <c r="PAL13"/>
      <c r="PAM13"/>
      <c r="PAN13"/>
      <c r="PAO13"/>
      <c r="PAP13"/>
      <c r="PAQ13"/>
      <c r="PAR13"/>
      <c r="PAS13"/>
      <c r="PAT13"/>
      <c r="PAU13"/>
      <c r="PAV13"/>
      <c r="PAW13"/>
      <c r="PAX13"/>
      <c r="PAY13"/>
      <c r="PAZ13"/>
      <c r="PBA13"/>
      <c r="PBB13"/>
      <c r="PBC13"/>
      <c r="PBD13"/>
      <c r="PBE13"/>
      <c r="PBF13"/>
      <c r="PBG13"/>
      <c r="PBH13"/>
      <c r="PBI13"/>
      <c r="PBJ13"/>
      <c r="PBK13"/>
      <c r="PBL13"/>
      <c r="PBM13"/>
      <c r="PBN13"/>
      <c r="PBO13"/>
      <c r="PBP13"/>
      <c r="PBQ13"/>
      <c r="PBR13"/>
      <c r="PBS13"/>
      <c r="PBT13"/>
      <c r="PBU13"/>
      <c r="PBV13"/>
      <c r="PBW13"/>
      <c r="PBX13"/>
      <c r="PBY13"/>
      <c r="PBZ13"/>
      <c r="PCA13"/>
      <c r="PCB13"/>
      <c r="PCC13"/>
      <c r="PCD13"/>
      <c r="PCE13"/>
      <c r="PCF13"/>
      <c r="PCG13"/>
      <c r="PCH13"/>
      <c r="PCI13"/>
      <c r="PCJ13"/>
      <c r="PCK13"/>
      <c r="PCL13"/>
      <c r="PCM13"/>
      <c r="PCN13"/>
      <c r="PCO13"/>
      <c r="PCP13"/>
      <c r="PCQ13"/>
      <c r="PCR13"/>
      <c r="PCS13"/>
      <c r="PCT13"/>
      <c r="PCU13"/>
      <c r="PCV13"/>
      <c r="PCW13"/>
      <c r="PCX13"/>
      <c r="PCY13"/>
      <c r="PCZ13"/>
      <c r="PDA13"/>
      <c r="PDB13"/>
      <c r="PDC13"/>
      <c r="PDD13"/>
      <c r="PDE13"/>
      <c r="PDF13"/>
      <c r="PDG13"/>
      <c r="PDH13"/>
      <c r="PDI13"/>
      <c r="PDJ13"/>
      <c r="PDK13"/>
      <c r="PDL13"/>
      <c r="PDM13"/>
      <c r="PDN13"/>
      <c r="PDO13"/>
      <c r="PDP13"/>
      <c r="PDQ13"/>
      <c r="PDR13"/>
      <c r="PDS13"/>
      <c r="PDT13"/>
      <c r="PDU13"/>
      <c r="PDV13"/>
      <c r="PDW13"/>
      <c r="PDX13"/>
      <c r="PDY13"/>
      <c r="PDZ13"/>
      <c r="PEA13"/>
      <c r="PEB13"/>
      <c r="PEC13"/>
      <c r="PED13"/>
      <c r="PEE13"/>
      <c r="PEF13"/>
      <c r="PEG13"/>
      <c r="PEH13"/>
      <c r="PEI13"/>
      <c r="PEJ13"/>
      <c r="PEK13"/>
      <c r="PEL13"/>
      <c r="PEM13"/>
      <c r="PEN13"/>
      <c r="PEO13"/>
      <c r="PEP13"/>
      <c r="PEQ13"/>
      <c r="PER13"/>
      <c r="PES13"/>
      <c r="PET13"/>
      <c r="PEU13"/>
      <c r="PEV13"/>
      <c r="PEW13"/>
      <c r="PEX13"/>
      <c r="PEY13"/>
      <c r="PEZ13"/>
      <c r="PFA13"/>
      <c r="PFB13"/>
      <c r="PFC13"/>
      <c r="PFD13"/>
      <c r="PFE13"/>
      <c r="PFF13"/>
      <c r="PFG13"/>
      <c r="PFH13"/>
      <c r="PFI13"/>
      <c r="PFJ13"/>
      <c r="PFK13"/>
      <c r="PFL13"/>
      <c r="PFM13"/>
      <c r="PFN13"/>
      <c r="PFO13"/>
      <c r="PFP13"/>
      <c r="PFQ13"/>
      <c r="PFR13"/>
      <c r="PFS13"/>
      <c r="PFT13"/>
      <c r="PFU13"/>
      <c r="PFV13"/>
      <c r="PFW13"/>
      <c r="PFX13"/>
      <c r="PFY13"/>
      <c r="PFZ13"/>
      <c r="PGA13"/>
      <c r="PGB13"/>
      <c r="PGC13"/>
      <c r="PGD13"/>
      <c r="PGE13"/>
      <c r="PGF13"/>
      <c r="PGG13"/>
      <c r="PGH13"/>
      <c r="PGI13"/>
      <c r="PGJ13"/>
      <c r="PGK13"/>
      <c r="PGL13"/>
      <c r="PGM13"/>
      <c r="PGN13"/>
      <c r="PGO13"/>
      <c r="PGP13"/>
      <c r="PGQ13"/>
      <c r="PGR13"/>
      <c r="PGS13"/>
      <c r="PGT13"/>
      <c r="PGU13"/>
      <c r="PGV13"/>
      <c r="PGW13"/>
      <c r="PGX13"/>
      <c r="PGY13"/>
      <c r="PGZ13"/>
      <c r="PHA13"/>
      <c r="PHB13"/>
      <c r="PHC13"/>
      <c r="PHD13"/>
      <c r="PHE13"/>
      <c r="PHF13"/>
      <c r="PHG13"/>
      <c r="PHH13"/>
      <c r="PHI13"/>
      <c r="PHJ13"/>
      <c r="PHK13"/>
      <c r="PHL13"/>
      <c r="PHM13"/>
      <c r="PHN13"/>
      <c r="PHO13"/>
      <c r="PHP13"/>
      <c r="PHQ13"/>
      <c r="PHR13"/>
      <c r="PHS13"/>
      <c r="PHT13"/>
      <c r="PHU13"/>
      <c r="PHV13"/>
      <c r="PHW13"/>
      <c r="PHX13"/>
      <c r="PHY13"/>
      <c r="PHZ13"/>
      <c r="PIA13"/>
      <c r="PIB13"/>
      <c r="PIC13"/>
      <c r="PID13"/>
      <c r="PIE13"/>
      <c r="PIF13"/>
      <c r="PIG13"/>
      <c r="PIH13"/>
      <c r="PII13"/>
      <c r="PIJ13"/>
      <c r="PIK13"/>
      <c r="PIL13"/>
      <c r="PIM13"/>
      <c r="PIN13"/>
      <c r="PIO13"/>
      <c r="PIP13"/>
      <c r="PIQ13"/>
      <c r="PIR13"/>
      <c r="PIS13"/>
      <c r="PIT13"/>
      <c r="PIU13"/>
      <c r="PIV13"/>
      <c r="PIW13"/>
      <c r="PIX13"/>
      <c r="PIY13"/>
      <c r="PIZ13"/>
      <c r="PJA13"/>
      <c r="PJB13"/>
      <c r="PJC13"/>
      <c r="PJD13"/>
      <c r="PJE13"/>
      <c r="PJF13"/>
      <c r="PJG13"/>
      <c r="PJH13"/>
      <c r="PJI13"/>
      <c r="PJJ13"/>
      <c r="PJK13"/>
      <c r="PJL13"/>
      <c r="PJM13"/>
      <c r="PJN13"/>
      <c r="PJO13"/>
      <c r="PJP13"/>
      <c r="PJQ13"/>
      <c r="PJR13"/>
      <c r="PJS13"/>
      <c r="PJT13"/>
      <c r="PJU13"/>
      <c r="PJV13"/>
      <c r="PJW13"/>
      <c r="PJX13"/>
      <c r="PJY13"/>
      <c r="PJZ13"/>
      <c r="PKA13"/>
      <c r="PKB13"/>
      <c r="PKC13"/>
      <c r="PKD13"/>
      <c r="PKE13"/>
      <c r="PKF13"/>
      <c r="PKG13"/>
      <c r="PKH13"/>
      <c r="PKI13"/>
      <c r="PKJ13"/>
      <c r="PKK13"/>
      <c r="PKL13"/>
      <c r="PKM13"/>
      <c r="PKN13"/>
      <c r="PKO13"/>
      <c r="PKP13"/>
      <c r="PKQ13"/>
      <c r="PKR13"/>
      <c r="PKS13"/>
      <c r="PKT13"/>
      <c r="PKU13"/>
      <c r="PKV13"/>
      <c r="PKW13"/>
      <c r="PKX13"/>
      <c r="PKY13"/>
      <c r="PKZ13"/>
      <c r="PLA13"/>
      <c r="PLB13"/>
      <c r="PLC13"/>
      <c r="PLD13"/>
      <c r="PLE13"/>
      <c r="PLF13"/>
      <c r="PLG13"/>
      <c r="PLH13"/>
      <c r="PLI13"/>
      <c r="PLJ13"/>
      <c r="PLK13"/>
      <c r="PLL13"/>
      <c r="PLM13"/>
      <c r="PLN13"/>
      <c r="PLO13"/>
      <c r="PLP13"/>
      <c r="PLQ13"/>
      <c r="PLR13"/>
      <c r="PLS13"/>
      <c r="PLT13"/>
      <c r="PLU13"/>
      <c r="PLV13"/>
      <c r="PLW13"/>
      <c r="PLX13"/>
      <c r="PLY13"/>
      <c r="PLZ13"/>
      <c r="PMA13"/>
      <c r="PMB13"/>
      <c r="PMC13"/>
      <c r="PMD13"/>
      <c r="PME13"/>
      <c r="PMF13"/>
      <c r="PMG13"/>
      <c r="PMH13"/>
      <c r="PMI13"/>
      <c r="PMJ13"/>
      <c r="PMK13"/>
      <c r="PML13"/>
      <c r="PMM13"/>
      <c r="PMN13"/>
      <c r="PMO13"/>
      <c r="PMP13"/>
      <c r="PMQ13"/>
      <c r="PMR13"/>
      <c r="PMS13"/>
      <c r="PMT13"/>
      <c r="PMU13"/>
      <c r="PMV13"/>
      <c r="PMW13"/>
      <c r="PMX13"/>
      <c r="PMY13"/>
      <c r="PMZ13"/>
      <c r="PNA13"/>
      <c r="PNB13"/>
      <c r="PNC13"/>
      <c r="PND13"/>
      <c r="PNE13"/>
      <c r="PNF13"/>
      <c r="PNG13"/>
      <c r="PNH13"/>
      <c r="PNI13"/>
      <c r="PNJ13"/>
      <c r="PNK13"/>
      <c r="PNL13"/>
      <c r="PNM13"/>
      <c r="PNN13"/>
      <c r="PNO13"/>
      <c r="PNP13"/>
      <c r="PNQ13"/>
      <c r="PNR13"/>
      <c r="PNS13"/>
      <c r="PNT13"/>
      <c r="PNU13"/>
      <c r="PNV13"/>
      <c r="PNW13"/>
      <c r="PNX13"/>
      <c r="PNY13"/>
      <c r="PNZ13"/>
      <c r="POA13"/>
      <c r="POB13"/>
      <c r="POC13"/>
      <c r="POD13"/>
      <c r="POE13"/>
      <c r="POF13"/>
      <c r="POG13"/>
      <c r="POH13"/>
      <c r="POI13"/>
      <c r="POJ13"/>
      <c r="POK13"/>
      <c r="POL13"/>
      <c r="POM13"/>
      <c r="PON13"/>
      <c r="POO13"/>
      <c r="POP13"/>
      <c r="POQ13"/>
      <c r="POR13"/>
      <c r="POS13"/>
      <c r="POT13"/>
      <c r="POU13"/>
      <c r="POV13"/>
      <c r="POW13"/>
      <c r="POX13"/>
      <c r="POY13"/>
      <c r="POZ13"/>
      <c r="PPA13"/>
      <c r="PPB13"/>
      <c r="PPC13"/>
      <c r="PPD13"/>
      <c r="PPE13"/>
      <c r="PPF13"/>
      <c r="PPG13"/>
      <c r="PPH13"/>
      <c r="PPI13"/>
      <c r="PPJ13"/>
      <c r="PPK13"/>
      <c r="PPL13"/>
      <c r="PPM13"/>
      <c r="PPN13"/>
      <c r="PPO13"/>
      <c r="PPP13"/>
      <c r="PPQ13"/>
      <c r="PPR13"/>
      <c r="PPS13"/>
      <c r="PPT13"/>
      <c r="PPU13"/>
      <c r="PPV13"/>
      <c r="PPW13"/>
      <c r="PPX13"/>
      <c r="PPY13"/>
      <c r="PPZ13"/>
      <c r="PQA13"/>
      <c r="PQB13"/>
      <c r="PQC13"/>
      <c r="PQD13"/>
      <c r="PQE13"/>
      <c r="PQF13"/>
      <c r="PQG13"/>
      <c r="PQH13"/>
      <c r="PQI13"/>
      <c r="PQJ13"/>
      <c r="PQK13"/>
      <c r="PQL13"/>
      <c r="PQM13"/>
      <c r="PQN13"/>
      <c r="PQO13"/>
      <c r="PQP13"/>
      <c r="PQQ13"/>
      <c r="PQR13"/>
      <c r="PQS13"/>
      <c r="PQT13"/>
      <c r="PQU13"/>
      <c r="PQV13"/>
      <c r="PQW13"/>
      <c r="PQX13"/>
      <c r="PQY13"/>
      <c r="PQZ13"/>
      <c r="PRA13"/>
      <c r="PRB13"/>
      <c r="PRC13"/>
      <c r="PRD13"/>
      <c r="PRE13"/>
      <c r="PRF13"/>
      <c r="PRG13"/>
      <c r="PRH13"/>
      <c r="PRI13"/>
      <c r="PRJ13"/>
      <c r="PRK13"/>
      <c r="PRL13"/>
      <c r="PRM13"/>
      <c r="PRN13"/>
      <c r="PRO13"/>
      <c r="PRP13"/>
      <c r="PRQ13"/>
      <c r="PRR13"/>
      <c r="PRS13"/>
      <c r="PRT13"/>
      <c r="PRU13"/>
      <c r="PRV13"/>
      <c r="PRW13"/>
      <c r="PRX13"/>
      <c r="PRY13"/>
      <c r="PRZ13"/>
      <c r="PSA13"/>
      <c r="PSB13"/>
      <c r="PSC13"/>
      <c r="PSD13"/>
      <c r="PSE13"/>
      <c r="PSF13"/>
      <c r="PSG13"/>
      <c r="PSH13"/>
      <c r="PSI13"/>
      <c r="PSJ13"/>
      <c r="PSK13"/>
      <c r="PSL13"/>
      <c r="PSM13"/>
      <c r="PSN13"/>
      <c r="PSO13"/>
      <c r="PSP13"/>
      <c r="PSQ13"/>
      <c r="PSR13"/>
      <c r="PSS13"/>
      <c r="PST13"/>
      <c r="PSU13"/>
      <c r="PSV13"/>
      <c r="PSW13"/>
      <c r="PSX13"/>
      <c r="PSY13"/>
      <c r="PSZ13"/>
      <c r="PTA13"/>
      <c r="PTB13"/>
      <c r="PTC13"/>
      <c r="PTD13"/>
      <c r="PTE13"/>
      <c r="PTF13"/>
      <c r="PTG13"/>
      <c r="PTH13"/>
      <c r="PTI13"/>
      <c r="PTJ13"/>
      <c r="PTK13"/>
      <c r="PTL13"/>
      <c r="PTM13"/>
      <c r="PTN13"/>
      <c r="PTO13"/>
      <c r="PTP13"/>
      <c r="PTQ13"/>
      <c r="PTR13"/>
      <c r="PTS13"/>
      <c r="PTT13"/>
      <c r="PTU13"/>
      <c r="PTV13"/>
      <c r="PTW13"/>
      <c r="PTX13"/>
      <c r="PTY13"/>
      <c r="PTZ13"/>
      <c r="PUA13"/>
      <c r="PUB13"/>
      <c r="PUC13"/>
      <c r="PUD13"/>
      <c r="PUE13"/>
      <c r="PUF13"/>
      <c r="PUG13"/>
      <c r="PUH13"/>
      <c r="PUI13"/>
      <c r="PUJ13"/>
      <c r="PUK13"/>
      <c r="PUL13"/>
      <c r="PUM13"/>
      <c r="PUN13"/>
      <c r="PUO13"/>
      <c r="PUP13"/>
      <c r="PUQ13"/>
      <c r="PUR13"/>
      <c r="PUS13"/>
      <c r="PUT13"/>
      <c r="PUU13"/>
      <c r="PUV13"/>
      <c r="PUW13"/>
      <c r="PUX13"/>
      <c r="PUY13"/>
      <c r="PUZ13"/>
      <c r="PVA13"/>
      <c r="PVB13"/>
      <c r="PVC13"/>
      <c r="PVD13"/>
      <c r="PVE13"/>
      <c r="PVF13"/>
      <c r="PVG13"/>
      <c r="PVH13"/>
      <c r="PVI13"/>
      <c r="PVJ13"/>
      <c r="PVK13"/>
      <c r="PVL13"/>
      <c r="PVM13"/>
      <c r="PVN13"/>
      <c r="PVO13"/>
      <c r="PVP13"/>
      <c r="PVQ13"/>
      <c r="PVR13"/>
      <c r="PVS13"/>
      <c r="PVT13"/>
      <c r="PVU13"/>
      <c r="PVV13"/>
      <c r="PVW13"/>
      <c r="PVX13"/>
      <c r="PVY13"/>
      <c r="PVZ13"/>
      <c r="PWA13"/>
      <c r="PWB13"/>
      <c r="PWC13"/>
      <c r="PWD13"/>
      <c r="PWE13"/>
      <c r="PWF13"/>
      <c r="PWG13"/>
      <c r="PWH13"/>
      <c r="PWI13"/>
      <c r="PWJ13"/>
      <c r="PWK13"/>
      <c r="PWL13"/>
      <c r="PWM13"/>
      <c r="PWN13"/>
      <c r="PWO13"/>
      <c r="PWP13"/>
      <c r="PWQ13"/>
      <c r="PWR13"/>
      <c r="PWS13"/>
      <c r="PWT13"/>
      <c r="PWU13"/>
      <c r="PWV13"/>
      <c r="PWW13"/>
      <c r="PWX13"/>
      <c r="PWY13"/>
      <c r="PWZ13"/>
      <c r="PXA13"/>
      <c r="PXB13"/>
      <c r="PXC13"/>
      <c r="PXD13"/>
      <c r="PXE13"/>
      <c r="PXF13"/>
      <c r="PXG13"/>
      <c r="PXH13"/>
      <c r="PXI13"/>
      <c r="PXJ13"/>
      <c r="PXK13"/>
      <c r="PXL13"/>
      <c r="PXM13"/>
      <c r="PXN13"/>
      <c r="PXO13"/>
      <c r="PXP13"/>
      <c r="PXQ13"/>
      <c r="PXR13"/>
      <c r="PXS13"/>
      <c r="PXT13"/>
      <c r="PXU13"/>
      <c r="PXV13"/>
      <c r="PXW13"/>
      <c r="PXX13"/>
      <c r="PXY13"/>
      <c r="PXZ13"/>
      <c r="PYA13"/>
      <c r="PYB13"/>
      <c r="PYC13"/>
      <c r="PYD13"/>
      <c r="PYE13"/>
      <c r="PYF13"/>
      <c r="PYG13"/>
      <c r="PYH13"/>
      <c r="PYI13"/>
      <c r="PYJ13"/>
      <c r="PYK13"/>
      <c r="PYL13"/>
      <c r="PYM13"/>
      <c r="PYN13"/>
      <c r="PYO13"/>
      <c r="PYP13"/>
      <c r="PYQ13"/>
      <c r="PYR13"/>
      <c r="PYS13"/>
      <c r="PYT13"/>
      <c r="PYU13"/>
      <c r="PYV13"/>
      <c r="PYW13"/>
      <c r="PYX13"/>
      <c r="PYY13"/>
      <c r="PYZ13"/>
      <c r="PZA13"/>
      <c r="PZB13"/>
      <c r="PZC13"/>
      <c r="PZD13"/>
      <c r="PZE13"/>
      <c r="PZF13"/>
      <c r="PZG13"/>
      <c r="PZH13"/>
      <c r="PZI13"/>
      <c r="PZJ13"/>
      <c r="PZK13"/>
      <c r="PZL13"/>
      <c r="PZM13"/>
      <c r="PZN13"/>
      <c r="PZO13"/>
      <c r="PZP13"/>
      <c r="PZQ13"/>
      <c r="PZR13"/>
      <c r="PZS13"/>
      <c r="PZT13"/>
      <c r="PZU13"/>
      <c r="PZV13"/>
      <c r="PZW13"/>
      <c r="PZX13"/>
      <c r="PZY13"/>
      <c r="PZZ13"/>
      <c r="QAA13"/>
      <c r="QAB13"/>
      <c r="QAC13"/>
      <c r="QAD13"/>
      <c r="QAE13"/>
      <c r="QAF13"/>
      <c r="QAG13"/>
      <c r="QAH13"/>
      <c r="QAI13"/>
      <c r="QAJ13"/>
      <c r="QAK13"/>
      <c r="QAL13"/>
      <c r="QAM13"/>
      <c r="QAN13"/>
      <c r="QAO13"/>
      <c r="QAP13"/>
      <c r="QAQ13"/>
      <c r="QAR13"/>
      <c r="QAS13"/>
      <c r="QAT13"/>
      <c r="QAU13"/>
      <c r="QAV13"/>
      <c r="QAW13"/>
      <c r="QAX13"/>
      <c r="QAY13"/>
      <c r="QAZ13"/>
      <c r="QBA13"/>
      <c r="QBB13"/>
      <c r="QBC13"/>
      <c r="QBD13"/>
      <c r="QBE13"/>
      <c r="QBF13"/>
      <c r="QBG13"/>
      <c r="QBH13"/>
      <c r="QBI13"/>
      <c r="QBJ13"/>
      <c r="QBK13"/>
      <c r="QBL13"/>
      <c r="QBM13"/>
      <c r="QBN13"/>
      <c r="QBO13"/>
      <c r="QBP13"/>
      <c r="QBQ13"/>
      <c r="QBR13"/>
      <c r="QBS13"/>
      <c r="QBT13"/>
      <c r="QBU13"/>
      <c r="QBV13"/>
      <c r="QBW13"/>
      <c r="QBX13"/>
      <c r="QBY13"/>
      <c r="QBZ13"/>
      <c r="QCA13"/>
      <c r="QCB13"/>
      <c r="QCC13"/>
      <c r="QCD13"/>
      <c r="QCE13"/>
      <c r="QCF13"/>
      <c r="QCG13"/>
      <c r="QCH13"/>
      <c r="QCI13"/>
      <c r="QCJ13"/>
      <c r="QCK13"/>
      <c r="QCL13"/>
      <c r="QCM13"/>
      <c r="QCN13"/>
      <c r="QCO13"/>
      <c r="QCP13"/>
      <c r="QCQ13"/>
      <c r="QCR13"/>
      <c r="QCS13"/>
      <c r="QCT13"/>
      <c r="QCU13"/>
      <c r="QCV13"/>
      <c r="QCW13"/>
      <c r="QCX13"/>
      <c r="QCY13"/>
      <c r="QCZ13"/>
      <c r="QDA13"/>
      <c r="QDB13"/>
      <c r="QDC13"/>
      <c r="QDD13"/>
      <c r="QDE13"/>
      <c r="QDF13"/>
      <c r="QDG13"/>
      <c r="QDH13"/>
      <c r="QDI13"/>
      <c r="QDJ13"/>
      <c r="QDK13"/>
      <c r="QDL13"/>
      <c r="QDM13"/>
      <c r="QDN13"/>
      <c r="QDO13"/>
      <c r="QDP13"/>
      <c r="QDQ13"/>
      <c r="QDR13"/>
      <c r="QDS13"/>
      <c r="QDT13"/>
      <c r="QDU13"/>
      <c r="QDV13"/>
      <c r="QDW13"/>
      <c r="QDX13"/>
      <c r="QDY13"/>
      <c r="QDZ13"/>
      <c r="QEA13"/>
      <c r="QEB13"/>
      <c r="QEC13"/>
      <c r="QED13"/>
      <c r="QEE13"/>
      <c r="QEF13"/>
      <c r="QEG13"/>
      <c r="QEH13"/>
      <c r="QEI13"/>
      <c r="QEJ13"/>
      <c r="QEK13"/>
      <c r="QEL13"/>
      <c r="QEM13"/>
      <c r="QEN13"/>
      <c r="QEO13"/>
      <c r="QEP13"/>
      <c r="QEQ13"/>
      <c r="QER13"/>
      <c r="QES13"/>
      <c r="QET13"/>
      <c r="QEU13"/>
      <c r="QEV13"/>
      <c r="QEW13"/>
      <c r="QEX13"/>
      <c r="QEY13"/>
      <c r="QEZ13"/>
      <c r="QFA13"/>
      <c r="QFB13"/>
      <c r="QFC13"/>
      <c r="QFD13"/>
      <c r="QFE13"/>
      <c r="QFF13"/>
      <c r="QFG13"/>
      <c r="QFH13"/>
      <c r="QFI13"/>
      <c r="QFJ13"/>
      <c r="QFK13"/>
      <c r="QFL13"/>
      <c r="QFM13"/>
      <c r="QFN13"/>
      <c r="QFO13"/>
      <c r="QFP13"/>
      <c r="QFQ13"/>
      <c r="QFR13"/>
      <c r="QFS13"/>
      <c r="QFT13"/>
      <c r="QFU13"/>
      <c r="QFV13"/>
      <c r="QFW13"/>
      <c r="QFX13"/>
      <c r="QFY13"/>
      <c r="QFZ13"/>
      <c r="QGA13"/>
      <c r="QGB13"/>
      <c r="QGC13"/>
      <c r="QGD13"/>
      <c r="QGE13"/>
      <c r="QGF13"/>
      <c r="QGG13"/>
      <c r="QGH13"/>
      <c r="QGI13"/>
      <c r="QGJ13"/>
      <c r="QGK13"/>
      <c r="QGL13"/>
      <c r="QGM13"/>
      <c r="QGN13"/>
      <c r="QGO13"/>
      <c r="QGP13"/>
      <c r="QGQ13"/>
      <c r="QGR13"/>
      <c r="QGS13"/>
      <c r="QGT13"/>
      <c r="QGU13"/>
      <c r="QGV13"/>
      <c r="QGW13"/>
      <c r="QGX13"/>
      <c r="QGY13"/>
      <c r="QGZ13"/>
      <c r="QHA13"/>
      <c r="QHB13"/>
      <c r="QHC13"/>
      <c r="QHD13"/>
      <c r="QHE13"/>
      <c r="QHF13"/>
      <c r="QHG13"/>
      <c r="QHH13"/>
      <c r="QHI13"/>
      <c r="QHJ13"/>
      <c r="QHK13"/>
      <c r="QHL13"/>
      <c r="QHM13"/>
      <c r="QHN13"/>
      <c r="QHO13"/>
      <c r="QHP13"/>
      <c r="QHQ13"/>
      <c r="QHR13"/>
      <c r="QHS13"/>
      <c r="QHT13"/>
      <c r="QHU13"/>
      <c r="QHV13"/>
      <c r="QHW13"/>
      <c r="QHX13"/>
      <c r="QHY13"/>
      <c r="QHZ13"/>
      <c r="QIA13"/>
      <c r="QIB13"/>
      <c r="QIC13"/>
      <c r="QID13"/>
      <c r="QIE13"/>
      <c r="QIF13"/>
      <c r="QIG13"/>
      <c r="QIH13"/>
      <c r="QII13"/>
      <c r="QIJ13"/>
      <c r="QIK13"/>
      <c r="QIL13"/>
      <c r="QIM13"/>
      <c r="QIN13"/>
      <c r="QIO13"/>
      <c r="QIP13"/>
      <c r="QIQ13"/>
      <c r="QIR13"/>
      <c r="QIS13"/>
      <c r="QIT13"/>
      <c r="QIU13"/>
      <c r="QIV13"/>
      <c r="QIW13"/>
      <c r="QIX13"/>
      <c r="QIY13"/>
      <c r="QIZ13"/>
      <c r="QJA13"/>
      <c r="QJB13"/>
      <c r="QJC13"/>
      <c r="QJD13"/>
      <c r="QJE13"/>
      <c r="QJF13"/>
      <c r="QJG13"/>
      <c r="QJH13"/>
      <c r="QJI13"/>
      <c r="QJJ13"/>
      <c r="QJK13"/>
      <c r="QJL13"/>
      <c r="QJM13"/>
      <c r="QJN13"/>
      <c r="QJO13"/>
      <c r="QJP13"/>
      <c r="QJQ13"/>
      <c r="QJR13"/>
      <c r="QJS13"/>
      <c r="QJT13"/>
      <c r="QJU13"/>
      <c r="QJV13"/>
      <c r="QJW13"/>
      <c r="QJX13"/>
      <c r="QJY13"/>
      <c r="QJZ13"/>
      <c r="QKA13"/>
      <c r="QKB13"/>
      <c r="QKC13"/>
      <c r="QKD13"/>
      <c r="QKE13"/>
      <c r="QKF13"/>
      <c r="QKG13"/>
      <c r="QKH13"/>
      <c r="QKI13"/>
      <c r="QKJ13"/>
      <c r="QKK13"/>
      <c r="QKL13"/>
      <c r="QKM13"/>
      <c r="QKN13"/>
      <c r="QKO13"/>
      <c r="QKP13"/>
      <c r="QKQ13"/>
      <c r="QKR13"/>
      <c r="QKS13"/>
      <c r="QKT13"/>
      <c r="QKU13"/>
      <c r="QKV13"/>
      <c r="QKW13"/>
      <c r="QKX13"/>
      <c r="QKY13"/>
      <c r="QKZ13"/>
      <c r="QLA13"/>
      <c r="QLB13"/>
      <c r="QLC13"/>
      <c r="QLD13"/>
      <c r="QLE13"/>
      <c r="QLF13"/>
      <c r="QLG13"/>
      <c r="QLH13"/>
      <c r="QLI13"/>
      <c r="QLJ13"/>
      <c r="QLK13"/>
      <c r="QLL13"/>
      <c r="QLM13"/>
      <c r="QLN13"/>
      <c r="QLO13"/>
      <c r="QLP13"/>
      <c r="QLQ13"/>
      <c r="QLR13"/>
      <c r="QLS13"/>
      <c r="QLT13"/>
      <c r="QLU13"/>
      <c r="QLV13"/>
      <c r="QLW13"/>
      <c r="QLX13"/>
      <c r="QLY13"/>
      <c r="QLZ13"/>
      <c r="QMA13"/>
      <c r="QMB13"/>
      <c r="QMC13"/>
      <c r="QMD13"/>
      <c r="QME13"/>
      <c r="QMF13"/>
      <c r="QMG13"/>
      <c r="QMH13"/>
      <c r="QMI13"/>
      <c r="QMJ13"/>
      <c r="QMK13"/>
      <c r="QML13"/>
      <c r="QMM13"/>
      <c r="QMN13"/>
      <c r="QMO13"/>
      <c r="QMP13"/>
      <c r="QMQ13"/>
      <c r="QMR13"/>
      <c r="QMS13"/>
      <c r="QMT13"/>
      <c r="QMU13"/>
      <c r="QMV13"/>
      <c r="QMW13"/>
      <c r="QMX13"/>
      <c r="QMY13"/>
      <c r="QMZ13"/>
      <c r="QNA13"/>
      <c r="QNB13"/>
      <c r="QNC13"/>
      <c r="QND13"/>
      <c r="QNE13"/>
      <c r="QNF13"/>
      <c r="QNG13"/>
      <c r="QNH13"/>
      <c r="QNI13"/>
      <c r="QNJ13"/>
      <c r="QNK13"/>
      <c r="QNL13"/>
      <c r="QNM13"/>
      <c r="QNN13"/>
      <c r="QNO13"/>
      <c r="QNP13"/>
      <c r="QNQ13"/>
      <c r="QNR13"/>
      <c r="QNS13"/>
      <c r="QNT13"/>
      <c r="QNU13"/>
      <c r="QNV13"/>
      <c r="QNW13"/>
      <c r="QNX13"/>
      <c r="QNY13"/>
      <c r="QNZ13"/>
      <c r="QOA13"/>
      <c r="QOB13"/>
      <c r="QOC13"/>
      <c r="QOD13"/>
      <c r="QOE13"/>
      <c r="QOF13"/>
      <c r="QOG13"/>
      <c r="QOH13"/>
      <c r="QOI13"/>
      <c r="QOJ13"/>
      <c r="QOK13"/>
      <c r="QOL13"/>
      <c r="QOM13"/>
      <c r="QON13"/>
      <c r="QOO13"/>
      <c r="QOP13"/>
      <c r="QOQ13"/>
      <c r="QOR13"/>
      <c r="QOS13"/>
      <c r="QOT13"/>
      <c r="QOU13"/>
      <c r="QOV13"/>
      <c r="QOW13"/>
      <c r="QOX13"/>
      <c r="QOY13"/>
      <c r="QOZ13"/>
      <c r="QPA13"/>
      <c r="QPB13"/>
      <c r="QPC13"/>
      <c r="QPD13"/>
      <c r="QPE13"/>
      <c r="QPF13"/>
      <c r="QPG13"/>
      <c r="QPH13"/>
      <c r="QPI13"/>
      <c r="QPJ13"/>
      <c r="QPK13"/>
      <c r="QPL13"/>
      <c r="QPM13"/>
      <c r="QPN13"/>
      <c r="QPO13"/>
      <c r="QPP13"/>
      <c r="QPQ13"/>
      <c r="QPR13"/>
      <c r="QPS13"/>
      <c r="QPT13"/>
      <c r="QPU13"/>
      <c r="QPV13"/>
      <c r="QPW13"/>
      <c r="QPX13"/>
      <c r="QPY13"/>
      <c r="QPZ13"/>
      <c r="QQA13"/>
      <c r="QQB13"/>
      <c r="QQC13"/>
      <c r="QQD13"/>
      <c r="QQE13"/>
      <c r="QQF13"/>
      <c r="QQG13"/>
      <c r="QQH13"/>
      <c r="QQI13"/>
      <c r="QQJ13"/>
      <c r="QQK13"/>
      <c r="QQL13"/>
      <c r="QQM13"/>
      <c r="QQN13"/>
      <c r="QQO13"/>
      <c r="QQP13"/>
      <c r="QQQ13"/>
      <c r="QQR13"/>
      <c r="QQS13"/>
      <c r="QQT13"/>
      <c r="QQU13"/>
      <c r="QQV13"/>
      <c r="QQW13"/>
      <c r="QQX13"/>
      <c r="QQY13"/>
      <c r="QQZ13"/>
      <c r="QRA13"/>
      <c r="QRB13"/>
      <c r="QRC13"/>
      <c r="QRD13"/>
      <c r="QRE13"/>
      <c r="QRF13"/>
      <c r="QRG13"/>
      <c r="QRH13"/>
      <c r="QRI13"/>
      <c r="QRJ13"/>
      <c r="QRK13"/>
      <c r="QRL13"/>
      <c r="QRM13"/>
      <c r="QRN13"/>
      <c r="QRO13"/>
      <c r="QRP13"/>
      <c r="QRQ13"/>
      <c r="QRR13"/>
      <c r="QRS13"/>
      <c r="QRT13"/>
      <c r="QRU13"/>
      <c r="QRV13"/>
      <c r="QRW13"/>
      <c r="QRX13"/>
      <c r="QRY13"/>
      <c r="QRZ13"/>
      <c r="QSA13"/>
      <c r="QSB13"/>
      <c r="QSC13"/>
      <c r="QSD13"/>
      <c r="QSE13"/>
      <c r="QSF13"/>
      <c r="QSG13"/>
      <c r="QSH13"/>
      <c r="QSI13"/>
      <c r="QSJ13"/>
      <c r="QSK13"/>
      <c r="QSL13"/>
      <c r="QSM13"/>
      <c r="QSN13"/>
      <c r="QSO13"/>
      <c r="QSP13"/>
      <c r="QSQ13"/>
      <c r="QSR13"/>
      <c r="QSS13"/>
      <c r="QST13"/>
      <c r="QSU13"/>
      <c r="QSV13"/>
      <c r="QSW13"/>
      <c r="QSX13"/>
      <c r="QSY13"/>
      <c r="QSZ13"/>
      <c r="QTA13"/>
      <c r="QTB13"/>
      <c r="QTC13"/>
      <c r="QTD13"/>
      <c r="QTE13"/>
      <c r="QTF13"/>
      <c r="QTG13"/>
      <c r="QTH13"/>
      <c r="QTI13"/>
      <c r="QTJ13"/>
      <c r="QTK13"/>
      <c r="QTL13"/>
      <c r="QTM13"/>
      <c r="QTN13"/>
      <c r="QTO13"/>
      <c r="QTP13"/>
      <c r="QTQ13"/>
      <c r="QTR13"/>
      <c r="QTS13"/>
      <c r="QTT13"/>
      <c r="QTU13"/>
      <c r="QTV13"/>
      <c r="QTW13"/>
      <c r="QTX13"/>
      <c r="QTY13"/>
      <c r="QTZ13"/>
      <c r="QUA13"/>
      <c r="QUB13"/>
      <c r="QUC13"/>
      <c r="QUD13"/>
      <c r="QUE13"/>
      <c r="QUF13"/>
      <c r="QUG13"/>
      <c r="QUH13"/>
      <c r="QUI13"/>
      <c r="QUJ13"/>
      <c r="QUK13"/>
      <c r="QUL13"/>
      <c r="QUM13"/>
      <c r="QUN13"/>
      <c r="QUO13"/>
      <c r="QUP13"/>
      <c r="QUQ13"/>
      <c r="QUR13"/>
      <c r="QUS13"/>
      <c r="QUT13"/>
      <c r="QUU13"/>
      <c r="QUV13"/>
      <c r="QUW13"/>
      <c r="QUX13"/>
      <c r="QUY13"/>
      <c r="QUZ13"/>
      <c r="QVA13"/>
      <c r="QVB13"/>
      <c r="QVC13"/>
      <c r="QVD13"/>
      <c r="QVE13"/>
      <c r="QVF13"/>
      <c r="QVG13"/>
      <c r="QVH13"/>
      <c r="QVI13"/>
      <c r="QVJ13"/>
      <c r="QVK13"/>
      <c r="QVL13"/>
      <c r="QVM13"/>
      <c r="QVN13"/>
      <c r="QVO13"/>
      <c r="QVP13"/>
      <c r="QVQ13"/>
      <c r="QVR13"/>
      <c r="QVS13"/>
      <c r="QVT13"/>
      <c r="QVU13"/>
      <c r="QVV13"/>
      <c r="QVW13"/>
      <c r="QVX13"/>
      <c r="QVY13"/>
      <c r="QVZ13"/>
      <c r="QWA13"/>
      <c r="QWB13"/>
      <c r="QWC13"/>
      <c r="QWD13"/>
      <c r="QWE13"/>
      <c r="QWF13"/>
      <c r="QWG13"/>
      <c r="QWH13"/>
      <c r="QWI13"/>
      <c r="QWJ13"/>
      <c r="QWK13"/>
      <c r="QWL13"/>
      <c r="QWM13"/>
      <c r="QWN13"/>
      <c r="QWO13"/>
      <c r="QWP13"/>
      <c r="QWQ13"/>
      <c r="QWR13"/>
      <c r="QWS13"/>
      <c r="QWT13"/>
      <c r="QWU13"/>
      <c r="QWV13"/>
      <c r="QWW13"/>
      <c r="QWX13"/>
      <c r="QWY13"/>
      <c r="QWZ13"/>
      <c r="QXA13"/>
      <c r="QXB13"/>
      <c r="QXC13"/>
      <c r="QXD13"/>
      <c r="QXE13"/>
      <c r="QXF13"/>
      <c r="QXG13"/>
      <c r="QXH13"/>
      <c r="QXI13"/>
      <c r="QXJ13"/>
      <c r="QXK13"/>
      <c r="QXL13"/>
      <c r="QXM13"/>
      <c r="QXN13"/>
      <c r="QXO13"/>
      <c r="QXP13"/>
      <c r="QXQ13"/>
      <c r="QXR13"/>
      <c r="QXS13"/>
      <c r="QXT13"/>
      <c r="QXU13"/>
      <c r="QXV13"/>
      <c r="QXW13"/>
      <c r="QXX13"/>
      <c r="QXY13"/>
      <c r="QXZ13"/>
      <c r="QYA13"/>
      <c r="QYB13"/>
      <c r="QYC13"/>
      <c r="QYD13"/>
      <c r="QYE13"/>
      <c r="QYF13"/>
      <c r="QYG13"/>
      <c r="QYH13"/>
      <c r="QYI13"/>
      <c r="QYJ13"/>
      <c r="QYK13"/>
      <c r="QYL13"/>
      <c r="QYM13"/>
      <c r="QYN13"/>
      <c r="QYO13"/>
      <c r="QYP13"/>
      <c r="QYQ13"/>
      <c r="QYR13"/>
      <c r="QYS13"/>
      <c r="QYT13"/>
      <c r="QYU13"/>
      <c r="QYV13"/>
      <c r="QYW13"/>
      <c r="QYX13"/>
      <c r="QYY13"/>
      <c r="QYZ13"/>
      <c r="QZA13"/>
      <c r="QZB13"/>
      <c r="QZC13"/>
      <c r="QZD13"/>
      <c r="QZE13"/>
      <c r="QZF13"/>
      <c r="QZG13"/>
      <c r="QZH13"/>
      <c r="QZI13"/>
      <c r="QZJ13"/>
      <c r="QZK13"/>
      <c r="QZL13"/>
      <c r="QZM13"/>
      <c r="QZN13"/>
      <c r="QZO13"/>
      <c r="QZP13"/>
      <c r="QZQ13"/>
      <c r="QZR13"/>
      <c r="QZS13"/>
      <c r="QZT13"/>
      <c r="QZU13"/>
      <c r="QZV13"/>
      <c r="QZW13"/>
      <c r="QZX13"/>
      <c r="QZY13"/>
      <c r="QZZ13"/>
      <c r="RAA13"/>
      <c r="RAB13"/>
      <c r="RAC13"/>
      <c r="RAD13"/>
      <c r="RAE13"/>
      <c r="RAF13"/>
      <c r="RAG13"/>
      <c r="RAH13"/>
      <c r="RAI13"/>
      <c r="RAJ13"/>
      <c r="RAK13"/>
      <c r="RAL13"/>
      <c r="RAM13"/>
      <c r="RAN13"/>
      <c r="RAO13"/>
      <c r="RAP13"/>
      <c r="RAQ13"/>
      <c r="RAR13"/>
      <c r="RAS13"/>
      <c r="RAT13"/>
      <c r="RAU13"/>
      <c r="RAV13"/>
      <c r="RAW13"/>
      <c r="RAX13"/>
      <c r="RAY13"/>
      <c r="RAZ13"/>
      <c r="RBA13"/>
      <c r="RBB13"/>
      <c r="RBC13"/>
      <c r="RBD13"/>
      <c r="RBE13"/>
      <c r="RBF13"/>
      <c r="RBG13"/>
      <c r="RBH13"/>
      <c r="RBI13"/>
      <c r="RBJ13"/>
      <c r="RBK13"/>
      <c r="RBL13"/>
      <c r="RBM13"/>
      <c r="RBN13"/>
      <c r="RBO13"/>
      <c r="RBP13"/>
      <c r="RBQ13"/>
      <c r="RBR13"/>
      <c r="RBS13"/>
      <c r="RBT13"/>
      <c r="RBU13"/>
      <c r="RBV13"/>
      <c r="RBW13"/>
      <c r="RBX13"/>
      <c r="RBY13"/>
      <c r="RBZ13"/>
      <c r="RCA13"/>
      <c r="RCB13"/>
      <c r="RCC13"/>
      <c r="RCD13"/>
      <c r="RCE13"/>
      <c r="RCF13"/>
      <c r="RCG13"/>
      <c r="RCH13"/>
      <c r="RCI13"/>
      <c r="RCJ13"/>
      <c r="RCK13"/>
      <c r="RCL13"/>
      <c r="RCM13"/>
      <c r="RCN13"/>
      <c r="RCO13"/>
      <c r="RCP13"/>
      <c r="RCQ13"/>
      <c r="RCR13"/>
      <c r="RCS13"/>
      <c r="RCT13"/>
      <c r="RCU13"/>
      <c r="RCV13"/>
      <c r="RCW13"/>
      <c r="RCX13"/>
      <c r="RCY13"/>
      <c r="RCZ13"/>
      <c r="RDA13"/>
      <c r="RDB13"/>
      <c r="RDC13"/>
      <c r="RDD13"/>
      <c r="RDE13"/>
      <c r="RDF13"/>
      <c r="RDG13"/>
      <c r="RDH13"/>
      <c r="RDI13"/>
      <c r="RDJ13"/>
      <c r="RDK13"/>
      <c r="RDL13"/>
      <c r="RDM13"/>
      <c r="RDN13"/>
      <c r="RDO13"/>
      <c r="RDP13"/>
      <c r="RDQ13"/>
      <c r="RDR13"/>
      <c r="RDS13"/>
      <c r="RDT13"/>
      <c r="RDU13"/>
      <c r="RDV13"/>
      <c r="RDW13"/>
      <c r="RDX13"/>
      <c r="RDY13"/>
      <c r="RDZ13"/>
      <c r="REA13"/>
      <c r="REB13"/>
      <c r="REC13"/>
      <c r="RED13"/>
      <c r="REE13"/>
      <c r="REF13"/>
      <c r="REG13"/>
      <c r="REH13"/>
      <c r="REI13"/>
      <c r="REJ13"/>
      <c r="REK13"/>
      <c r="REL13"/>
      <c r="REM13"/>
      <c r="REN13"/>
      <c r="REO13"/>
      <c r="REP13"/>
      <c r="REQ13"/>
      <c r="RER13"/>
      <c r="RES13"/>
      <c r="RET13"/>
      <c r="REU13"/>
      <c r="REV13"/>
      <c r="REW13"/>
      <c r="REX13"/>
      <c r="REY13"/>
      <c r="REZ13"/>
      <c r="RFA13"/>
      <c r="RFB13"/>
      <c r="RFC13"/>
      <c r="RFD13"/>
      <c r="RFE13"/>
      <c r="RFF13"/>
      <c r="RFG13"/>
      <c r="RFH13"/>
      <c r="RFI13"/>
      <c r="RFJ13"/>
      <c r="RFK13"/>
      <c r="RFL13"/>
      <c r="RFM13"/>
      <c r="RFN13"/>
      <c r="RFO13"/>
      <c r="RFP13"/>
      <c r="RFQ13"/>
      <c r="RFR13"/>
      <c r="RFS13"/>
      <c r="RFT13"/>
      <c r="RFU13"/>
      <c r="RFV13"/>
      <c r="RFW13"/>
      <c r="RFX13"/>
      <c r="RFY13"/>
      <c r="RFZ13"/>
      <c r="RGA13"/>
      <c r="RGB13"/>
      <c r="RGC13"/>
      <c r="RGD13"/>
      <c r="RGE13"/>
      <c r="RGF13"/>
      <c r="RGG13"/>
      <c r="RGH13"/>
      <c r="RGI13"/>
      <c r="RGJ13"/>
      <c r="RGK13"/>
      <c r="RGL13"/>
      <c r="RGM13"/>
      <c r="RGN13"/>
      <c r="RGO13"/>
      <c r="RGP13"/>
      <c r="RGQ13"/>
      <c r="RGR13"/>
      <c r="RGS13"/>
      <c r="RGT13"/>
      <c r="RGU13"/>
      <c r="RGV13"/>
      <c r="RGW13"/>
      <c r="RGX13"/>
      <c r="RGY13"/>
      <c r="RGZ13"/>
      <c r="RHA13"/>
      <c r="RHB13"/>
      <c r="RHC13"/>
      <c r="RHD13"/>
      <c r="RHE13"/>
      <c r="RHF13"/>
      <c r="RHG13"/>
      <c r="RHH13"/>
      <c r="RHI13"/>
      <c r="RHJ13"/>
      <c r="RHK13"/>
      <c r="RHL13"/>
      <c r="RHM13"/>
      <c r="RHN13"/>
      <c r="RHO13"/>
      <c r="RHP13"/>
      <c r="RHQ13"/>
      <c r="RHR13"/>
      <c r="RHS13"/>
      <c r="RHT13"/>
      <c r="RHU13"/>
      <c r="RHV13"/>
      <c r="RHW13"/>
      <c r="RHX13"/>
      <c r="RHY13"/>
      <c r="RHZ13"/>
      <c r="RIA13"/>
      <c r="RIB13"/>
      <c r="RIC13"/>
      <c r="RID13"/>
      <c r="RIE13"/>
      <c r="RIF13"/>
      <c r="RIG13"/>
      <c r="RIH13"/>
      <c r="RII13"/>
      <c r="RIJ13"/>
      <c r="RIK13"/>
      <c r="RIL13"/>
      <c r="RIM13"/>
      <c r="RIN13"/>
      <c r="RIO13"/>
      <c r="RIP13"/>
      <c r="RIQ13"/>
      <c r="RIR13"/>
      <c r="RIS13"/>
      <c r="RIT13"/>
      <c r="RIU13"/>
      <c r="RIV13"/>
      <c r="RIW13"/>
      <c r="RIX13"/>
      <c r="RIY13"/>
      <c r="RIZ13"/>
      <c r="RJA13"/>
      <c r="RJB13"/>
      <c r="RJC13"/>
      <c r="RJD13"/>
      <c r="RJE13"/>
      <c r="RJF13"/>
      <c r="RJG13"/>
      <c r="RJH13"/>
      <c r="RJI13"/>
      <c r="RJJ13"/>
      <c r="RJK13"/>
      <c r="RJL13"/>
      <c r="RJM13"/>
      <c r="RJN13"/>
      <c r="RJO13"/>
      <c r="RJP13"/>
      <c r="RJQ13"/>
      <c r="RJR13"/>
      <c r="RJS13"/>
      <c r="RJT13"/>
      <c r="RJU13"/>
      <c r="RJV13"/>
      <c r="RJW13"/>
      <c r="RJX13"/>
      <c r="RJY13"/>
      <c r="RJZ13"/>
      <c r="RKA13"/>
      <c r="RKB13"/>
      <c r="RKC13"/>
      <c r="RKD13"/>
      <c r="RKE13"/>
      <c r="RKF13"/>
      <c r="RKG13"/>
      <c r="RKH13"/>
      <c r="RKI13"/>
      <c r="RKJ13"/>
      <c r="RKK13"/>
      <c r="RKL13"/>
      <c r="RKM13"/>
      <c r="RKN13"/>
      <c r="RKO13"/>
      <c r="RKP13"/>
      <c r="RKQ13"/>
      <c r="RKR13"/>
      <c r="RKS13"/>
      <c r="RKT13"/>
      <c r="RKU13"/>
      <c r="RKV13"/>
      <c r="RKW13"/>
      <c r="RKX13"/>
      <c r="RKY13"/>
      <c r="RKZ13"/>
      <c r="RLA13"/>
      <c r="RLB13"/>
      <c r="RLC13"/>
      <c r="RLD13"/>
      <c r="RLE13"/>
      <c r="RLF13"/>
      <c r="RLG13"/>
      <c r="RLH13"/>
      <c r="RLI13"/>
      <c r="RLJ13"/>
      <c r="RLK13"/>
      <c r="RLL13"/>
      <c r="RLM13"/>
      <c r="RLN13"/>
      <c r="RLO13"/>
      <c r="RLP13"/>
      <c r="RLQ13"/>
      <c r="RLR13"/>
      <c r="RLS13"/>
      <c r="RLT13"/>
      <c r="RLU13"/>
      <c r="RLV13"/>
      <c r="RLW13"/>
      <c r="RLX13"/>
      <c r="RLY13"/>
      <c r="RLZ13"/>
      <c r="RMA13"/>
      <c r="RMB13"/>
      <c r="RMC13"/>
      <c r="RMD13"/>
      <c r="RME13"/>
      <c r="RMF13"/>
      <c r="RMG13"/>
      <c r="RMH13"/>
      <c r="RMI13"/>
      <c r="RMJ13"/>
      <c r="RMK13"/>
      <c r="RML13"/>
      <c r="RMM13"/>
      <c r="RMN13"/>
      <c r="RMO13"/>
      <c r="RMP13"/>
      <c r="RMQ13"/>
      <c r="RMR13"/>
      <c r="RMS13"/>
      <c r="RMT13"/>
      <c r="RMU13"/>
      <c r="RMV13"/>
      <c r="RMW13"/>
      <c r="RMX13"/>
      <c r="RMY13"/>
      <c r="RMZ13"/>
      <c r="RNA13"/>
      <c r="RNB13"/>
      <c r="RNC13"/>
      <c r="RND13"/>
      <c r="RNE13"/>
      <c r="RNF13"/>
      <c r="RNG13"/>
      <c r="RNH13"/>
      <c r="RNI13"/>
      <c r="RNJ13"/>
      <c r="RNK13"/>
      <c r="RNL13"/>
      <c r="RNM13"/>
      <c r="RNN13"/>
      <c r="RNO13"/>
      <c r="RNP13"/>
      <c r="RNQ13"/>
      <c r="RNR13"/>
      <c r="RNS13"/>
      <c r="RNT13"/>
      <c r="RNU13"/>
      <c r="RNV13"/>
      <c r="RNW13"/>
      <c r="RNX13"/>
      <c r="RNY13"/>
      <c r="RNZ13"/>
      <c r="ROA13"/>
      <c r="ROB13"/>
      <c r="ROC13"/>
      <c r="ROD13"/>
      <c r="ROE13"/>
      <c r="ROF13"/>
      <c r="ROG13"/>
      <c r="ROH13"/>
      <c r="ROI13"/>
      <c r="ROJ13"/>
      <c r="ROK13"/>
      <c r="ROL13"/>
      <c r="ROM13"/>
      <c r="RON13"/>
      <c r="ROO13"/>
      <c r="ROP13"/>
      <c r="ROQ13"/>
      <c r="ROR13"/>
      <c r="ROS13"/>
      <c r="ROT13"/>
      <c r="ROU13"/>
      <c r="ROV13"/>
      <c r="ROW13"/>
      <c r="ROX13"/>
      <c r="ROY13"/>
      <c r="ROZ13"/>
      <c r="RPA13"/>
      <c r="RPB13"/>
      <c r="RPC13"/>
      <c r="RPD13"/>
      <c r="RPE13"/>
      <c r="RPF13"/>
      <c r="RPG13"/>
      <c r="RPH13"/>
      <c r="RPI13"/>
      <c r="RPJ13"/>
      <c r="RPK13"/>
      <c r="RPL13"/>
      <c r="RPM13"/>
      <c r="RPN13"/>
      <c r="RPO13"/>
      <c r="RPP13"/>
      <c r="RPQ13"/>
      <c r="RPR13"/>
      <c r="RPS13"/>
      <c r="RPT13"/>
      <c r="RPU13"/>
      <c r="RPV13"/>
      <c r="RPW13"/>
      <c r="RPX13"/>
      <c r="RPY13"/>
      <c r="RPZ13"/>
      <c r="RQA13"/>
      <c r="RQB13"/>
      <c r="RQC13"/>
      <c r="RQD13"/>
      <c r="RQE13"/>
      <c r="RQF13"/>
      <c r="RQG13"/>
      <c r="RQH13"/>
      <c r="RQI13"/>
      <c r="RQJ13"/>
      <c r="RQK13"/>
      <c r="RQL13"/>
      <c r="RQM13"/>
      <c r="RQN13"/>
      <c r="RQO13"/>
      <c r="RQP13"/>
      <c r="RQQ13"/>
      <c r="RQR13"/>
      <c r="RQS13"/>
      <c r="RQT13"/>
      <c r="RQU13"/>
      <c r="RQV13"/>
      <c r="RQW13"/>
      <c r="RQX13"/>
      <c r="RQY13"/>
      <c r="RQZ13"/>
      <c r="RRA13"/>
      <c r="RRB13"/>
      <c r="RRC13"/>
      <c r="RRD13"/>
      <c r="RRE13"/>
      <c r="RRF13"/>
      <c r="RRG13"/>
      <c r="RRH13"/>
      <c r="RRI13"/>
      <c r="RRJ13"/>
      <c r="RRK13"/>
      <c r="RRL13"/>
      <c r="RRM13"/>
      <c r="RRN13"/>
      <c r="RRO13"/>
      <c r="RRP13"/>
      <c r="RRQ13"/>
      <c r="RRR13"/>
      <c r="RRS13"/>
      <c r="RRT13"/>
      <c r="RRU13"/>
      <c r="RRV13"/>
      <c r="RRW13"/>
      <c r="RRX13"/>
      <c r="RRY13"/>
      <c r="RRZ13"/>
      <c r="RSA13"/>
      <c r="RSB13"/>
      <c r="RSC13"/>
      <c r="RSD13"/>
      <c r="RSE13"/>
      <c r="RSF13"/>
      <c r="RSG13"/>
      <c r="RSH13"/>
      <c r="RSI13"/>
      <c r="RSJ13"/>
      <c r="RSK13"/>
      <c r="RSL13"/>
      <c r="RSM13"/>
      <c r="RSN13"/>
      <c r="RSO13"/>
      <c r="RSP13"/>
      <c r="RSQ13"/>
      <c r="RSR13"/>
      <c r="RSS13"/>
      <c r="RST13"/>
      <c r="RSU13"/>
      <c r="RSV13"/>
      <c r="RSW13"/>
      <c r="RSX13"/>
      <c r="RSY13"/>
      <c r="RSZ13"/>
      <c r="RTA13"/>
      <c r="RTB13"/>
      <c r="RTC13"/>
      <c r="RTD13"/>
      <c r="RTE13"/>
      <c r="RTF13"/>
      <c r="RTG13"/>
      <c r="RTH13"/>
      <c r="RTI13"/>
      <c r="RTJ13"/>
      <c r="RTK13"/>
      <c r="RTL13"/>
      <c r="RTM13"/>
      <c r="RTN13"/>
      <c r="RTO13"/>
      <c r="RTP13"/>
      <c r="RTQ13"/>
      <c r="RTR13"/>
      <c r="RTS13"/>
      <c r="RTT13"/>
      <c r="RTU13"/>
      <c r="RTV13"/>
      <c r="RTW13"/>
      <c r="RTX13"/>
      <c r="RTY13"/>
      <c r="RTZ13"/>
      <c r="RUA13"/>
      <c r="RUB13"/>
      <c r="RUC13"/>
      <c r="RUD13"/>
      <c r="RUE13"/>
      <c r="RUF13"/>
      <c r="RUG13"/>
      <c r="RUH13"/>
      <c r="RUI13"/>
      <c r="RUJ13"/>
      <c r="RUK13"/>
      <c r="RUL13"/>
      <c r="RUM13"/>
      <c r="RUN13"/>
      <c r="RUO13"/>
      <c r="RUP13"/>
      <c r="RUQ13"/>
      <c r="RUR13"/>
      <c r="RUS13"/>
      <c r="RUT13"/>
      <c r="RUU13"/>
      <c r="RUV13"/>
      <c r="RUW13"/>
      <c r="RUX13"/>
      <c r="RUY13"/>
      <c r="RUZ13"/>
      <c r="RVA13"/>
      <c r="RVB13"/>
      <c r="RVC13"/>
      <c r="RVD13"/>
      <c r="RVE13"/>
      <c r="RVF13"/>
      <c r="RVG13"/>
      <c r="RVH13"/>
      <c r="RVI13"/>
      <c r="RVJ13"/>
      <c r="RVK13"/>
      <c r="RVL13"/>
      <c r="RVM13"/>
      <c r="RVN13"/>
      <c r="RVO13"/>
      <c r="RVP13"/>
      <c r="RVQ13"/>
      <c r="RVR13"/>
      <c r="RVS13"/>
      <c r="RVT13"/>
      <c r="RVU13"/>
      <c r="RVV13"/>
      <c r="RVW13"/>
      <c r="RVX13"/>
      <c r="RVY13"/>
      <c r="RVZ13"/>
      <c r="RWA13"/>
      <c r="RWB13"/>
      <c r="RWC13"/>
      <c r="RWD13"/>
      <c r="RWE13"/>
      <c r="RWF13"/>
      <c r="RWG13"/>
      <c r="RWH13"/>
      <c r="RWI13"/>
      <c r="RWJ13"/>
      <c r="RWK13"/>
      <c r="RWL13"/>
      <c r="RWM13"/>
      <c r="RWN13"/>
      <c r="RWO13"/>
      <c r="RWP13"/>
      <c r="RWQ13"/>
      <c r="RWR13"/>
      <c r="RWS13"/>
      <c r="RWT13"/>
      <c r="RWU13"/>
      <c r="RWV13"/>
      <c r="RWW13"/>
      <c r="RWX13"/>
      <c r="RWY13"/>
      <c r="RWZ13"/>
      <c r="RXA13"/>
      <c r="RXB13"/>
      <c r="RXC13"/>
      <c r="RXD13"/>
      <c r="RXE13"/>
      <c r="RXF13"/>
      <c r="RXG13"/>
      <c r="RXH13"/>
      <c r="RXI13"/>
      <c r="RXJ13"/>
      <c r="RXK13"/>
      <c r="RXL13"/>
      <c r="RXM13"/>
      <c r="RXN13"/>
      <c r="RXO13"/>
      <c r="RXP13"/>
      <c r="RXQ13"/>
      <c r="RXR13"/>
      <c r="RXS13"/>
      <c r="RXT13"/>
      <c r="RXU13"/>
      <c r="RXV13"/>
      <c r="RXW13"/>
      <c r="RXX13"/>
      <c r="RXY13"/>
      <c r="RXZ13"/>
      <c r="RYA13"/>
      <c r="RYB13"/>
      <c r="RYC13"/>
      <c r="RYD13"/>
      <c r="RYE13"/>
      <c r="RYF13"/>
      <c r="RYG13"/>
      <c r="RYH13"/>
      <c r="RYI13"/>
      <c r="RYJ13"/>
      <c r="RYK13"/>
      <c r="RYL13"/>
      <c r="RYM13"/>
      <c r="RYN13"/>
      <c r="RYO13"/>
      <c r="RYP13"/>
      <c r="RYQ13"/>
      <c r="RYR13"/>
      <c r="RYS13"/>
      <c r="RYT13"/>
      <c r="RYU13"/>
      <c r="RYV13"/>
      <c r="RYW13"/>
      <c r="RYX13"/>
      <c r="RYY13"/>
      <c r="RYZ13"/>
      <c r="RZA13"/>
      <c r="RZB13"/>
      <c r="RZC13"/>
      <c r="RZD13"/>
      <c r="RZE13"/>
      <c r="RZF13"/>
      <c r="RZG13"/>
      <c r="RZH13"/>
      <c r="RZI13"/>
      <c r="RZJ13"/>
      <c r="RZK13"/>
      <c r="RZL13"/>
      <c r="RZM13"/>
      <c r="RZN13"/>
      <c r="RZO13"/>
      <c r="RZP13"/>
      <c r="RZQ13"/>
      <c r="RZR13"/>
      <c r="RZS13"/>
      <c r="RZT13"/>
      <c r="RZU13"/>
      <c r="RZV13"/>
      <c r="RZW13"/>
      <c r="RZX13"/>
      <c r="RZY13"/>
      <c r="RZZ13"/>
      <c r="SAA13"/>
      <c r="SAB13"/>
      <c r="SAC13"/>
      <c r="SAD13"/>
      <c r="SAE13"/>
      <c r="SAF13"/>
      <c r="SAG13"/>
      <c r="SAH13"/>
      <c r="SAI13"/>
      <c r="SAJ13"/>
      <c r="SAK13"/>
      <c r="SAL13"/>
      <c r="SAM13"/>
      <c r="SAN13"/>
      <c r="SAO13"/>
      <c r="SAP13"/>
      <c r="SAQ13"/>
      <c r="SAR13"/>
      <c r="SAS13"/>
      <c r="SAT13"/>
      <c r="SAU13"/>
      <c r="SAV13"/>
      <c r="SAW13"/>
      <c r="SAX13"/>
      <c r="SAY13"/>
      <c r="SAZ13"/>
      <c r="SBA13"/>
      <c r="SBB13"/>
      <c r="SBC13"/>
      <c r="SBD13"/>
      <c r="SBE13"/>
      <c r="SBF13"/>
      <c r="SBG13"/>
      <c r="SBH13"/>
      <c r="SBI13"/>
      <c r="SBJ13"/>
      <c r="SBK13"/>
      <c r="SBL13"/>
      <c r="SBM13"/>
      <c r="SBN13"/>
      <c r="SBO13"/>
      <c r="SBP13"/>
      <c r="SBQ13"/>
      <c r="SBR13"/>
      <c r="SBS13"/>
      <c r="SBT13"/>
      <c r="SBU13"/>
      <c r="SBV13"/>
      <c r="SBW13"/>
      <c r="SBX13"/>
      <c r="SBY13"/>
      <c r="SBZ13"/>
      <c r="SCA13"/>
      <c r="SCB13"/>
      <c r="SCC13"/>
      <c r="SCD13"/>
      <c r="SCE13"/>
      <c r="SCF13"/>
      <c r="SCG13"/>
      <c r="SCH13"/>
      <c r="SCI13"/>
      <c r="SCJ13"/>
      <c r="SCK13"/>
      <c r="SCL13"/>
      <c r="SCM13"/>
      <c r="SCN13"/>
      <c r="SCO13"/>
      <c r="SCP13"/>
      <c r="SCQ13"/>
      <c r="SCR13"/>
      <c r="SCS13"/>
      <c r="SCT13"/>
      <c r="SCU13"/>
      <c r="SCV13"/>
      <c r="SCW13"/>
      <c r="SCX13"/>
      <c r="SCY13"/>
      <c r="SCZ13"/>
      <c r="SDA13"/>
      <c r="SDB13"/>
      <c r="SDC13"/>
      <c r="SDD13"/>
      <c r="SDE13"/>
      <c r="SDF13"/>
      <c r="SDG13"/>
      <c r="SDH13"/>
      <c r="SDI13"/>
      <c r="SDJ13"/>
      <c r="SDK13"/>
      <c r="SDL13"/>
      <c r="SDM13"/>
      <c r="SDN13"/>
      <c r="SDO13"/>
      <c r="SDP13"/>
      <c r="SDQ13"/>
      <c r="SDR13"/>
      <c r="SDS13"/>
      <c r="SDT13"/>
      <c r="SDU13"/>
      <c r="SDV13"/>
      <c r="SDW13"/>
      <c r="SDX13"/>
      <c r="SDY13"/>
      <c r="SDZ13"/>
      <c r="SEA13"/>
      <c r="SEB13"/>
      <c r="SEC13"/>
      <c r="SED13"/>
      <c r="SEE13"/>
      <c r="SEF13"/>
      <c r="SEG13"/>
      <c r="SEH13"/>
      <c r="SEI13"/>
      <c r="SEJ13"/>
      <c r="SEK13"/>
      <c r="SEL13"/>
      <c r="SEM13"/>
      <c r="SEN13"/>
      <c r="SEO13"/>
      <c r="SEP13"/>
      <c r="SEQ13"/>
      <c r="SER13"/>
      <c r="SES13"/>
      <c r="SET13"/>
      <c r="SEU13"/>
      <c r="SEV13"/>
      <c r="SEW13"/>
      <c r="SEX13"/>
      <c r="SEY13"/>
      <c r="SEZ13"/>
      <c r="SFA13"/>
      <c r="SFB13"/>
      <c r="SFC13"/>
      <c r="SFD13"/>
      <c r="SFE13"/>
      <c r="SFF13"/>
      <c r="SFG13"/>
      <c r="SFH13"/>
      <c r="SFI13"/>
      <c r="SFJ13"/>
      <c r="SFK13"/>
      <c r="SFL13"/>
      <c r="SFM13"/>
      <c r="SFN13"/>
      <c r="SFO13"/>
      <c r="SFP13"/>
      <c r="SFQ13"/>
      <c r="SFR13"/>
      <c r="SFS13"/>
      <c r="SFT13"/>
      <c r="SFU13"/>
      <c r="SFV13"/>
      <c r="SFW13"/>
      <c r="SFX13"/>
      <c r="SFY13"/>
      <c r="SFZ13"/>
      <c r="SGA13"/>
      <c r="SGB13"/>
      <c r="SGC13"/>
      <c r="SGD13"/>
      <c r="SGE13"/>
      <c r="SGF13"/>
      <c r="SGG13"/>
      <c r="SGH13"/>
      <c r="SGI13"/>
      <c r="SGJ13"/>
      <c r="SGK13"/>
      <c r="SGL13"/>
      <c r="SGM13"/>
      <c r="SGN13"/>
      <c r="SGO13"/>
      <c r="SGP13"/>
      <c r="SGQ13"/>
      <c r="SGR13"/>
      <c r="SGS13"/>
      <c r="SGT13"/>
      <c r="SGU13"/>
      <c r="SGV13"/>
      <c r="SGW13"/>
      <c r="SGX13"/>
      <c r="SGY13"/>
      <c r="SGZ13"/>
      <c r="SHA13"/>
      <c r="SHB13"/>
      <c r="SHC13"/>
      <c r="SHD13"/>
      <c r="SHE13"/>
      <c r="SHF13"/>
      <c r="SHG13"/>
      <c r="SHH13"/>
      <c r="SHI13"/>
      <c r="SHJ13"/>
      <c r="SHK13"/>
      <c r="SHL13"/>
      <c r="SHM13"/>
      <c r="SHN13"/>
      <c r="SHO13"/>
      <c r="SHP13"/>
      <c r="SHQ13"/>
      <c r="SHR13"/>
      <c r="SHS13"/>
      <c r="SHT13"/>
      <c r="SHU13"/>
      <c r="SHV13"/>
      <c r="SHW13"/>
      <c r="SHX13"/>
      <c r="SHY13"/>
      <c r="SHZ13"/>
      <c r="SIA13"/>
      <c r="SIB13"/>
      <c r="SIC13"/>
      <c r="SID13"/>
      <c r="SIE13"/>
      <c r="SIF13"/>
      <c r="SIG13"/>
      <c r="SIH13"/>
      <c r="SII13"/>
      <c r="SIJ13"/>
      <c r="SIK13"/>
      <c r="SIL13"/>
      <c r="SIM13"/>
      <c r="SIN13"/>
      <c r="SIO13"/>
      <c r="SIP13"/>
      <c r="SIQ13"/>
      <c r="SIR13"/>
      <c r="SIS13"/>
      <c r="SIT13"/>
      <c r="SIU13"/>
      <c r="SIV13"/>
      <c r="SIW13"/>
      <c r="SIX13"/>
      <c r="SIY13"/>
      <c r="SIZ13"/>
      <c r="SJA13"/>
      <c r="SJB13"/>
      <c r="SJC13"/>
      <c r="SJD13"/>
      <c r="SJE13"/>
      <c r="SJF13"/>
      <c r="SJG13"/>
      <c r="SJH13"/>
      <c r="SJI13"/>
      <c r="SJJ13"/>
      <c r="SJK13"/>
      <c r="SJL13"/>
      <c r="SJM13"/>
      <c r="SJN13"/>
      <c r="SJO13"/>
      <c r="SJP13"/>
      <c r="SJQ13"/>
      <c r="SJR13"/>
      <c r="SJS13"/>
      <c r="SJT13"/>
      <c r="SJU13"/>
      <c r="SJV13"/>
      <c r="SJW13"/>
      <c r="SJX13"/>
      <c r="SJY13"/>
      <c r="SJZ13"/>
      <c r="SKA13"/>
      <c r="SKB13"/>
      <c r="SKC13"/>
      <c r="SKD13"/>
      <c r="SKE13"/>
      <c r="SKF13"/>
      <c r="SKG13"/>
      <c r="SKH13"/>
      <c r="SKI13"/>
      <c r="SKJ13"/>
      <c r="SKK13"/>
      <c r="SKL13"/>
      <c r="SKM13"/>
      <c r="SKN13"/>
      <c r="SKO13"/>
      <c r="SKP13"/>
      <c r="SKQ13"/>
      <c r="SKR13"/>
      <c r="SKS13"/>
      <c r="SKT13"/>
      <c r="SKU13"/>
      <c r="SKV13"/>
      <c r="SKW13"/>
      <c r="SKX13"/>
      <c r="SKY13"/>
      <c r="SKZ13"/>
      <c r="SLA13"/>
      <c r="SLB13"/>
      <c r="SLC13"/>
      <c r="SLD13"/>
      <c r="SLE13"/>
      <c r="SLF13"/>
      <c r="SLG13"/>
      <c r="SLH13"/>
      <c r="SLI13"/>
      <c r="SLJ13"/>
      <c r="SLK13"/>
      <c r="SLL13"/>
      <c r="SLM13"/>
      <c r="SLN13"/>
      <c r="SLO13"/>
      <c r="SLP13"/>
      <c r="SLQ13"/>
      <c r="SLR13"/>
      <c r="SLS13"/>
      <c r="SLT13"/>
      <c r="SLU13"/>
      <c r="SLV13"/>
      <c r="SLW13"/>
      <c r="SLX13"/>
      <c r="SLY13"/>
      <c r="SLZ13"/>
      <c r="SMA13"/>
      <c r="SMB13"/>
      <c r="SMC13"/>
      <c r="SMD13"/>
      <c r="SME13"/>
      <c r="SMF13"/>
      <c r="SMG13"/>
      <c r="SMH13"/>
      <c r="SMI13"/>
      <c r="SMJ13"/>
      <c r="SMK13"/>
      <c r="SML13"/>
      <c r="SMM13"/>
      <c r="SMN13"/>
      <c r="SMO13"/>
      <c r="SMP13"/>
      <c r="SMQ13"/>
      <c r="SMR13"/>
      <c r="SMS13"/>
      <c r="SMT13"/>
      <c r="SMU13"/>
      <c r="SMV13"/>
      <c r="SMW13"/>
      <c r="SMX13"/>
      <c r="SMY13"/>
      <c r="SMZ13"/>
      <c r="SNA13"/>
      <c r="SNB13"/>
      <c r="SNC13"/>
      <c r="SND13"/>
      <c r="SNE13"/>
      <c r="SNF13"/>
      <c r="SNG13"/>
      <c r="SNH13"/>
      <c r="SNI13"/>
      <c r="SNJ13"/>
      <c r="SNK13"/>
      <c r="SNL13"/>
      <c r="SNM13"/>
      <c r="SNN13"/>
      <c r="SNO13"/>
      <c r="SNP13"/>
      <c r="SNQ13"/>
      <c r="SNR13"/>
      <c r="SNS13"/>
      <c r="SNT13"/>
      <c r="SNU13"/>
      <c r="SNV13"/>
      <c r="SNW13"/>
      <c r="SNX13"/>
      <c r="SNY13"/>
      <c r="SNZ13"/>
      <c r="SOA13"/>
      <c r="SOB13"/>
      <c r="SOC13"/>
      <c r="SOD13"/>
      <c r="SOE13"/>
      <c r="SOF13"/>
      <c r="SOG13"/>
      <c r="SOH13"/>
      <c r="SOI13"/>
      <c r="SOJ13"/>
      <c r="SOK13"/>
      <c r="SOL13"/>
      <c r="SOM13"/>
      <c r="SON13"/>
      <c r="SOO13"/>
      <c r="SOP13"/>
      <c r="SOQ13"/>
      <c r="SOR13"/>
      <c r="SOS13"/>
      <c r="SOT13"/>
      <c r="SOU13"/>
      <c r="SOV13"/>
      <c r="SOW13"/>
      <c r="SOX13"/>
      <c r="SOY13"/>
      <c r="SOZ13"/>
      <c r="SPA13"/>
      <c r="SPB13"/>
      <c r="SPC13"/>
      <c r="SPD13"/>
      <c r="SPE13"/>
      <c r="SPF13"/>
      <c r="SPG13"/>
      <c r="SPH13"/>
      <c r="SPI13"/>
      <c r="SPJ13"/>
      <c r="SPK13"/>
      <c r="SPL13"/>
      <c r="SPM13"/>
      <c r="SPN13"/>
      <c r="SPO13"/>
      <c r="SPP13"/>
      <c r="SPQ13"/>
      <c r="SPR13"/>
      <c r="SPS13"/>
      <c r="SPT13"/>
      <c r="SPU13"/>
      <c r="SPV13"/>
      <c r="SPW13"/>
      <c r="SPX13"/>
      <c r="SPY13"/>
      <c r="SPZ13"/>
      <c r="SQA13"/>
      <c r="SQB13"/>
      <c r="SQC13"/>
      <c r="SQD13"/>
      <c r="SQE13"/>
      <c r="SQF13"/>
      <c r="SQG13"/>
      <c r="SQH13"/>
      <c r="SQI13"/>
      <c r="SQJ13"/>
      <c r="SQK13"/>
      <c r="SQL13"/>
      <c r="SQM13"/>
      <c r="SQN13"/>
      <c r="SQO13"/>
      <c r="SQP13"/>
      <c r="SQQ13"/>
      <c r="SQR13"/>
      <c r="SQS13"/>
      <c r="SQT13"/>
      <c r="SQU13"/>
      <c r="SQV13"/>
      <c r="SQW13"/>
      <c r="SQX13"/>
      <c r="SQY13"/>
      <c r="SQZ13"/>
      <c r="SRA13"/>
      <c r="SRB13"/>
      <c r="SRC13"/>
      <c r="SRD13"/>
      <c r="SRE13"/>
      <c r="SRF13"/>
      <c r="SRG13"/>
      <c r="SRH13"/>
      <c r="SRI13"/>
      <c r="SRJ13"/>
      <c r="SRK13"/>
      <c r="SRL13"/>
      <c r="SRM13"/>
      <c r="SRN13"/>
      <c r="SRO13"/>
      <c r="SRP13"/>
      <c r="SRQ13"/>
      <c r="SRR13"/>
      <c r="SRS13"/>
      <c r="SRT13"/>
      <c r="SRU13"/>
      <c r="SRV13"/>
      <c r="SRW13"/>
      <c r="SRX13"/>
      <c r="SRY13"/>
      <c r="SRZ13"/>
      <c r="SSA13"/>
      <c r="SSB13"/>
      <c r="SSC13"/>
      <c r="SSD13"/>
      <c r="SSE13"/>
      <c r="SSF13"/>
      <c r="SSG13"/>
      <c r="SSH13"/>
      <c r="SSI13"/>
      <c r="SSJ13"/>
      <c r="SSK13"/>
      <c r="SSL13"/>
      <c r="SSM13"/>
      <c r="SSN13"/>
      <c r="SSO13"/>
      <c r="SSP13"/>
      <c r="SSQ13"/>
      <c r="SSR13"/>
      <c r="SSS13"/>
      <c r="SST13"/>
      <c r="SSU13"/>
      <c r="SSV13"/>
      <c r="SSW13"/>
      <c r="SSX13"/>
      <c r="SSY13"/>
      <c r="SSZ13"/>
      <c r="STA13"/>
      <c r="STB13"/>
      <c r="STC13"/>
      <c r="STD13"/>
      <c r="STE13"/>
      <c r="STF13"/>
      <c r="STG13"/>
      <c r="STH13"/>
      <c r="STI13"/>
      <c r="STJ13"/>
      <c r="STK13"/>
      <c r="STL13"/>
      <c r="STM13"/>
      <c r="STN13"/>
      <c r="STO13"/>
      <c r="STP13"/>
      <c r="STQ13"/>
      <c r="STR13"/>
      <c r="STS13"/>
      <c r="STT13"/>
      <c r="STU13"/>
      <c r="STV13"/>
      <c r="STW13"/>
      <c r="STX13"/>
      <c r="STY13"/>
      <c r="STZ13"/>
      <c r="SUA13"/>
      <c r="SUB13"/>
      <c r="SUC13"/>
      <c r="SUD13"/>
      <c r="SUE13"/>
      <c r="SUF13"/>
      <c r="SUG13"/>
      <c r="SUH13"/>
      <c r="SUI13"/>
      <c r="SUJ13"/>
      <c r="SUK13"/>
      <c r="SUL13"/>
      <c r="SUM13"/>
      <c r="SUN13"/>
      <c r="SUO13"/>
      <c r="SUP13"/>
      <c r="SUQ13"/>
      <c r="SUR13"/>
      <c r="SUS13"/>
      <c r="SUT13"/>
      <c r="SUU13"/>
      <c r="SUV13"/>
      <c r="SUW13"/>
      <c r="SUX13"/>
      <c r="SUY13"/>
      <c r="SUZ13"/>
      <c r="SVA13"/>
      <c r="SVB13"/>
      <c r="SVC13"/>
      <c r="SVD13"/>
      <c r="SVE13"/>
      <c r="SVF13"/>
      <c r="SVG13"/>
      <c r="SVH13"/>
      <c r="SVI13"/>
      <c r="SVJ13"/>
      <c r="SVK13"/>
      <c r="SVL13"/>
      <c r="SVM13"/>
      <c r="SVN13"/>
      <c r="SVO13"/>
      <c r="SVP13"/>
      <c r="SVQ13"/>
      <c r="SVR13"/>
      <c r="SVS13"/>
      <c r="SVT13"/>
      <c r="SVU13"/>
      <c r="SVV13"/>
      <c r="SVW13"/>
      <c r="SVX13"/>
      <c r="SVY13"/>
      <c r="SVZ13"/>
      <c r="SWA13"/>
      <c r="SWB13"/>
      <c r="SWC13"/>
      <c r="SWD13"/>
      <c r="SWE13"/>
      <c r="SWF13"/>
      <c r="SWG13"/>
      <c r="SWH13"/>
      <c r="SWI13"/>
      <c r="SWJ13"/>
      <c r="SWK13"/>
      <c r="SWL13"/>
      <c r="SWM13"/>
      <c r="SWN13"/>
      <c r="SWO13"/>
      <c r="SWP13"/>
      <c r="SWQ13"/>
      <c r="SWR13"/>
      <c r="SWS13"/>
      <c r="SWT13"/>
      <c r="SWU13"/>
      <c r="SWV13"/>
      <c r="SWW13"/>
      <c r="SWX13"/>
      <c r="SWY13"/>
      <c r="SWZ13"/>
      <c r="SXA13"/>
      <c r="SXB13"/>
      <c r="SXC13"/>
      <c r="SXD13"/>
      <c r="SXE13"/>
      <c r="SXF13"/>
      <c r="SXG13"/>
      <c r="SXH13"/>
      <c r="SXI13"/>
      <c r="SXJ13"/>
      <c r="SXK13"/>
      <c r="SXL13"/>
      <c r="SXM13"/>
      <c r="SXN13"/>
      <c r="SXO13"/>
      <c r="SXP13"/>
      <c r="SXQ13"/>
      <c r="SXR13"/>
      <c r="SXS13"/>
      <c r="SXT13"/>
      <c r="SXU13"/>
      <c r="SXV13"/>
      <c r="SXW13"/>
      <c r="SXX13"/>
      <c r="SXY13"/>
      <c r="SXZ13"/>
      <c r="SYA13"/>
      <c r="SYB13"/>
      <c r="SYC13"/>
      <c r="SYD13"/>
      <c r="SYE13"/>
      <c r="SYF13"/>
      <c r="SYG13"/>
      <c r="SYH13"/>
      <c r="SYI13"/>
      <c r="SYJ13"/>
      <c r="SYK13"/>
      <c r="SYL13"/>
      <c r="SYM13"/>
      <c r="SYN13"/>
      <c r="SYO13"/>
      <c r="SYP13"/>
      <c r="SYQ13"/>
      <c r="SYR13"/>
      <c r="SYS13"/>
      <c r="SYT13"/>
      <c r="SYU13"/>
      <c r="SYV13"/>
      <c r="SYW13"/>
      <c r="SYX13"/>
      <c r="SYY13"/>
      <c r="SYZ13"/>
      <c r="SZA13"/>
      <c r="SZB13"/>
      <c r="SZC13"/>
      <c r="SZD13"/>
      <c r="SZE13"/>
      <c r="SZF13"/>
      <c r="SZG13"/>
      <c r="SZH13"/>
      <c r="SZI13"/>
      <c r="SZJ13"/>
      <c r="SZK13"/>
      <c r="SZL13"/>
      <c r="SZM13"/>
      <c r="SZN13"/>
      <c r="SZO13"/>
      <c r="SZP13"/>
      <c r="SZQ13"/>
      <c r="SZR13"/>
      <c r="SZS13"/>
      <c r="SZT13"/>
      <c r="SZU13"/>
      <c r="SZV13"/>
      <c r="SZW13"/>
      <c r="SZX13"/>
      <c r="SZY13"/>
      <c r="SZZ13"/>
      <c r="TAA13"/>
      <c r="TAB13"/>
      <c r="TAC13"/>
      <c r="TAD13"/>
      <c r="TAE13"/>
      <c r="TAF13"/>
      <c r="TAG13"/>
      <c r="TAH13"/>
      <c r="TAI13"/>
      <c r="TAJ13"/>
      <c r="TAK13"/>
      <c r="TAL13"/>
      <c r="TAM13"/>
      <c r="TAN13"/>
      <c r="TAO13"/>
      <c r="TAP13"/>
      <c r="TAQ13"/>
      <c r="TAR13"/>
      <c r="TAS13"/>
      <c r="TAT13"/>
      <c r="TAU13"/>
      <c r="TAV13"/>
      <c r="TAW13"/>
      <c r="TAX13"/>
      <c r="TAY13"/>
      <c r="TAZ13"/>
      <c r="TBA13"/>
      <c r="TBB13"/>
      <c r="TBC13"/>
      <c r="TBD13"/>
      <c r="TBE13"/>
      <c r="TBF13"/>
      <c r="TBG13"/>
      <c r="TBH13"/>
      <c r="TBI13"/>
      <c r="TBJ13"/>
      <c r="TBK13"/>
      <c r="TBL13"/>
      <c r="TBM13"/>
      <c r="TBN13"/>
      <c r="TBO13"/>
      <c r="TBP13"/>
      <c r="TBQ13"/>
      <c r="TBR13"/>
      <c r="TBS13"/>
      <c r="TBT13"/>
      <c r="TBU13"/>
      <c r="TBV13"/>
      <c r="TBW13"/>
      <c r="TBX13"/>
      <c r="TBY13"/>
      <c r="TBZ13"/>
      <c r="TCA13"/>
      <c r="TCB13"/>
      <c r="TCC13"/>
      <c r="TCD13"/>
      <c r="TCE13"/>
      <c r="TCF13"/>
      <c r="TCG13"/>
      <c r="TCH13"/>
      <c r="TCI13"/>
      <c r="TCJ13"/>
      <c r="TCK13"/>
      <c r="TCL13"/>
      <c r="TCM13"/>
      <c r="TCN13"/>
      <c r="TCO13"/>
      <c r="TCP13"/>
      <c r="TCQ13"/>
      <c r="TCR13"/>
      <c r="TCS13"/>
      <c r="TCT13"/>
      <c r="TCU13"/>
      <c r="TCV13"/>
      <c r="TCW13"/>
      <c r="TCX13"/>
      <c r="TCY13"/>
      <c r="TCZ13"/>
      <c r="TDA13"/>
      <c r="TDB13"/>
      <c r="TDC13"/>
      <c r="TDD13"/>
      <c r="TDE13"/>
      <c r="TDF13"/>
      <c r="TDG13"/>
      <c r="TDH13"/>
      <c r="TDI13"/>
      <c r="TDJ13"/>
      <c r="TDK13"/>
      <c r="TDL13"/>
      <c r="TDM13"/>
      <c r="TDN13"/>
      <c r="TDO13"/>
      <c r="TDP13"/>
      <c r="TDQ13"/>
      <c r="TDR13"/>
      <c r="TDS13"/>
      <c r="TDT13"/>
      <c r="TDU13"/>
      <c r="TDV13"/>
      <c r="TDW13"/>
      <c r="TDX13"/>
      <c r="TDY13"/>
      <c r="TDZ13"/>
      <c r="TEA13"/>
      <c r="TEB13"/>
      <c r="TEC13"/>
      <c r="TED13"/>
      <c r="TEE13"/>
      <c r="TEF13"/>
      <c r="TEG13"/>
      <c r="TEH13"/>
      <c r="TEI13"/>
      <c r="TEJ13"/>
      <c r="TEK13"/>
      <c r="TEL13"/>
      <c r="TEM13"/>
      <c r="TEN13"/>
      <c r="TEO13"/>
      <c r="TEP13"/>
      <c r="TEQ13"/>
      <c r="TER13"/>
      <c r="TES13"/>
      <c r="TET13"/>
      <c r="TEU13"/>
      <c r="TEV13"/>
      <c r="TEW13"/>
      <c r="TEX13"/>
      <c r="TEY13"/>
      <c r="TEZ13"/>
      <c r="TFA13"/>
      <c r="TFB13"/>
      <c r="TFC13"/>
      <c r="TFD13"/>
      <c r="TFE13"/>
      <c r="TFF13"/>
      <c r="TFG13"/>
      <c r="TFH13"/>
      <c r="TFI13"/>
      <c r="TFJ13"/>
      <c r="TFK13"/>
      <c r="TFL13"/>
      <c r="TFM13"/>
      <c r="TFN13"/>
      <c r="TFO13"/>
      <c r="TFP13"/>
      <c r="TFQ13"/>
      <c r="TFR13"/>
      <c r="TFS13"/>
      <c r="TFT13"/>
      <c r="TFU13"/>
      <c r="TFV13"/>
      <c r="TFW13"/>
      <c r="TFX13"/>
      <c r="TFY13"/>
      <c r="TFZ13"/>
      <c r="TGA13"/>
      <c r="TGB13"/>
      <c r="TGC13"/>
      <c r="TGD13"/>
      <c r="TGE13"/>
      <c r="TGF13"/>
      <c r="TGG13"/>
      <c r="TGH13"/>
      <c r="TGI13"/>
      <c r="TGJ13"/>
      <c r="TGK13"/>
      <c r="TGL13"/>
      <c r="TGM13"/>
      <c r="TGN13"/>
      <c r="TGO13"/>
      <c r="TGP13"/>
      <c r="TGQ13"/>
      <c r="TGR13"/>
      <c r="TGS13"/>
      <c r="TGT13"/>
      <c r="TGU13"/>
      <c r="TGV13"/>
      <c r="TGW13"/>
      <c r="TGX13"/>
      <c r="TGY13"/>
      <c r="TGZ13"/>
      <c r="THA13"/>
      <c r="THB13"/>
      <c r="THC13"/>
      <c r="THD13"/>
      <c r="THE13"/>
      <c r="THF13"/>
      <c r="THG13"/>
      <c r="THH13"/>
      <c r="THI13"/>
      <c r="THJ13"/>
      <c r="THK13"/>
      <c r="THL13"/>
      <c r="THM13"/>
      <c r="THN13"/>
      <c r="THO13"/>
      <c r="THP13"/>
      <c r="THQ13"/>
      <c r="THR13"/>
      <c r="THS13"/>
      <c r="THT13"/>
      <c r="THU13"/>
      <c r="THV13"/>
      <c r="THW13"/>
      <c r="THX13"/>
      <c r="THY13"/>
      <c r="THZ13"/>
      <c r="TIA13"/>
      <c r="TIB13"/>
      <c r="TIC13"/>
      <c r="TID13"/>
      <c r="TIE13"/>
      <c r="TIF13"/>
      <c r="TIG13"/>
      <c r="TIH13"/>
      <c r="TII13"/>
      <c r="TIJ13"/>
      <c r="TIK13"/>
      <c r="TIL13"/>
      <c r="TIM13"/>
      <c r="TIN13"/>
      <c r="TIO13"/>
      <c r="TIP13"/>
      <c r="TIQ13"/>
      <c r="TIR13"/>
      <c r="TIS13"/>
      <c r="TIT13"/>
      <c r="TIU13"/>
      <c r="TIV13"/>
      <c r="TIW13"/>
      <c r="TIX13"/>
      <c r="TIY13"/>
      <c r="TIZ13"/>
      <c r="TJA13"/>
      <c r="TJB13"/>
      <c r="TJC13"/>
      <c r="TJD13"/>
      <c r="TJE13"/>
      <c r="TJF13"/>
      <c r="TJG13"/>
      <c r="TJH13"/>
      <c r="TJI13"/>
      <c r="TJJ13"/>
      <c r="TJK13"/>
      <c r="TJL13"/>
      <c r="TJM13"/>
      <c r="TJN13"/>
      <c r="TJO13"/>
      <c r="TJP13"/>
      <c r="TJQ13"/>
      <c r="TJR13"/>
      <c r="TJS13"/>
      <c r="TJT13"/>
      <c r="TJU13"/>
      <c r="TJV13"/>
      <c r="TJW13"/>
      <c r="TJX13"/>
      <c r="TJY13"/>
      <c r="TJZ13"/>
      <c r="TKA13"/>
      <c r="TKB13"/>
      <c r="TKC13"/>
      <c r="TKD13"/>
      <c r="TKE13"/>
      <c r="TKF13"/>
      <c r="TKG13"/>
      <c r="TKH13"/>
      <c r="TKI13"/>
      <c r="TKJ13"/>
      <c r="TKK13"/>
      <c r="TKL13"/>
      <c r="TKM13"/>
      <c r="TKN13"/>
      <c r="TKO13"/>
      <c r="TKP13"/>
      <c r="TKQ13"/>
      <c r="TKR13"/>
      <c r="TKS13"/>
      <c r="TKT13"/>
      <c r="TKU13"/>
      <c r="TKV13"/>
      <c r="TKW13"/>
      <c r="TKX13"/>
      <c r="TKY13"/>
      <c r="TKZ13"/>
      <c r="TLA13"/>
      <c r="TLB13"/>
      <c r="TLC13"/>
      <c r="TLD13"/>
      <c r="TLE13"/>
      <c r="TLF13"/>
      <c r="TLG13"/>
      <c r="TLH13"/>
      <c r="TLI13"/>
      <c r="TLJ13"/>
      <c r="TLK13"/>
      <c r="TLL13"/>
      <c r="TLM13"/>
      <c r="TLN13"/>
      <c r="TLO13"/>
      <c r="TLP13"/>
      <c r="TLQ13"/>
      <c r="TLR13"/>
      <c r="TLS13"/>
      <c r="TLT13"/>
      <c r="TLU13"/>
      <c r="TLV13"/>
      <c r="TLW13"/>
      <c r="TLX13"/>
      <c r="TLY13"/>
      <c r="TLZ13"/>
      <c r="TMA13"/>
      <c r="TMB13"/>
      <c r="TMC13"/>
      <c r="TMD13"/>
      <c r="TME13"/>
      <c r="TMF13"/>
      <c r="TMG13"/>
      <c r="TMH13"/>
      <c r="TMI13"/>
      <c r="TMJ13"/>
      <c r="TMK13"/>
      <c r="TML13"/>
      <c r="TMM13"/>
      <c r="TMN13"/>
      <c r="TMO13"/>
      <c r="TMP13"/>
      <c r="TMQ13"/>
      <c r="TMR13"/>
      <c r="TMS13"/>
      <c r="TMT13"/>
      <c r="TMU13"/>
      <c r="TMV13"/>
      <c r="TMW13"/>
      <c r="TMX13"/>
      <c r="TMY13"/>
      <c r="TMZ13"/>
      <c r="TNA13"/>
      <c r="TNB13"/>
      <c r="TNC13"/>
      <c r="TND13"/>
      <c r="TNE13"/>
      <c r="TNF13"/>
      <c r="TNG13"/>
      <c r="TNH13"/>
      <c r="TNI13"/>
      <c r="TNJ13"/>
      <c r="TNK13"/>
      <c r="TNL13"/>
      <c r="TNM13"/>
      <c r="TNN13"/>
      <c r="TNO13"/>
      <c r="TNP13"/>
      <c r="TNQ13"/>
      <c r="TNR13"/>
      <c r="TNS13"/>
      <c r="TNT13"/>
      <c r="TNU13"/>
      <c r="TNV13"/>
      <c r="TNW13"/>
      <c r="TNX13"/>
      <c r="TNY13"/>
      <c r="TNZ13"/>
      <c r="TOA13"/>
      <c r="TOB13"/>
      <c r="TOC13"/>
      <c r="TOD13"/>
      <c r="TOE13"/>
      <c r="TOF13"/>
      <c r="TOG13"/>
      <c r="TOH13"/>
      <c r="TOI13"/>
      <c r="TOJ13"/>
      <c r="TOK13"/>
      <c r="TOL13"/>
      <c r="TOM13"/>
      <c r="TON13"/>
      <c r="TOO13"/>
      <c r="TOP13"/>
      <c r="TOQ13"/>
      <c r="TOR13"/>
      <c r="TOS13"/>
      <c r="TOT13"/>
      <c r="TOU13"/>
      <c r="TOV13"/>
      <c r="TOW13"/>
      <c r="TOX13"/>
      <c r="TOY13"/>
      <c r="TOZ13"/>
      <c r="TPA13"/>
      <c r="TPB13"/>
      <c r="TPC13"/>
      <c r="TPD13"/>
      <c r="TPE13"/>
      <c r="TPF13"/>
      <c r="TPG13"/>
      <c r="TPH13"/>
      <c r="TPI13"/>
      <c r="TPJ13"/>
      <c r="TPK13"/>
      <c r="TPL13"/>
      <c r="TPM13"/>
      <c r="TPN13"/>
      <c r="TPO13"/>
      <c r="TPP13"/>
      <c r="TPQ13"/>
      <c r="TPR13"/>
      <c r="TPS13"/>
      <c r="TPT13"/>
      <c r="TPU13"/>
      <c r="TPV13"/>
      <c r="TPW13"/>
      <c r="TPX13"/>
      <c r="TPY13"/>
      <c r="TPZ13"/>
      <c r="TQA13"/>
      <c r="TQB13"/>
      <c r="TQC13"/>
      <c r="TQD13"/>
      <c r="TQE13"/>
      <c r="TQF13"/>
      <c r="TQG13"/>
      <c r="TQH13"/>
      <c r="TQI13"/>
      <c r="TQJ13"/>
      <c r="TQK13"/>
      <c r="TQL13"/>
      <c r="TQM13"/>
      <c r="TQN13"/>
      <c r="TQO13"/>
      <c r="TQP13"/>
      <c r="TQQ13"/>
      <c r="TQR13"/>
      <c r="TQS13"/>
      <c r="TQT13"/>
      <c r="TQU13"/>
      <c r="TQV13"/>
      <c r="TQW13"/>
      <c r="TQX13"/>
      <c r="TQY13"/>
      <c r="TQZ13"/>
      <c r="TRA13"/>
      <c r="TRB13"/>
      <c r="TRC13"/>
      <c r="TRD13"/>
      <c r="TRE13"/>
      <c r="TRF13"/>
      <c r="TRG13"/>
      <c r="TRH13"/>
      <c r="TRI13"/>
      <c r="TRJ13"/>
      <c r="TRK13"/>
      <c r="TRL13"/>
      <c r="TRM13"/>
      <c r="TRN13"/>
      <c r="TRO13"/>
      <c r="TRP13"/>
      <c r="TRQ13"/>
      <c r="TRR13"/>
      <c r="TRS13"/>
      <c r="TRT13"/>
      <c r="TRU13"/>
      <c r="TRV13"/>
      <c r="TRW13"/>
      <c r="TRX13"/>
      <c r="TRY13"/>
      <c r="TRZ13"/>
      <c r="TSA13"/>
      <c r="TSB13"/>
      <c r="TSC13"/>
      <c r="TSD13"/>
      <c r="TSE13"/>
      <c r="TSF13"/>
      <c r="TSG13"/>
      <c r="TSH13"/>
      <c r="TSI13"/>
      <c r="TSJ13"/>
      <c r="TSK13"/>
      <c r="TSL13"/>
      <c r="TSM13"/>
      <c r="TSN13"/>
      <c r="TSO13"/>
      <c r="TSP13"/>
      <c r="TSQ13"/>
      <c r="TSR13"/>
      <c r="TSS13"/>
      <c r="TST13"/>
      <c r="TSU13"/>
      <c r="TSV13"/>
      <c r="TSW13"/>
      <c r="TSX13"/>
      <c r="TSY13"/>
      <c r="TSZ13"/>
      <c r="TTA13"/>
      <c r="TTB13"/>
      <c r="TTC13"/>
      <c r="TTD13"/>
      <c r="TTE13"/>
      <c r="TTF13"/>
      <c r="TTG13"/>
      <c r="TTH13"/>
      <c r="TTI13"/>
      <c r="TTJ13"/>
      <c r="TTK13"/>
      <c r="TTL13"/>
      <c r="TTM13"/>
      <c r="TTN13"/>
      <c r="TTO13"/>
      <c r="TTP13"/>
      <c r="TTQ13"/>
      <c r="TTR13"/>
      <c r="TTS13"/>
      <c r="TTT13"/>
      <c r="TTU13"/>
      <c r="TTV13"/>
      <c r="TTW13"/>
      <c r="TTX13"/>
      <c r="TTY13"/>
      <c r="TTZ13"/>
      <c r="TUA13"/>
      <c r="TUB13"/>
      <c r="TUC13"/>
      <c r="TUD13"/>
      <c r="TUE13"/>
      <c r="TUF13"/>
      <c r="TUG13"/>
      <c r="TUH13"/>
      <c r="TUI13"/>
      <c r="TUJ13"/>
      <c r="TUK13"/>
      <c r="TUL13"/>
      <c r="TUM13"/>
      <c r="TUN13"/>
      <c r="TUO13"/>
      <c r="TUP13"/>
      <c r="TUQ13"/>
      <c r="TUR13"/>
      <c r="TUS13"/>
      <c r="TUT13"/>
      <c r="TUU13"/>
      <c r="TUV13"/>
      <c r="TUW13"/>
      <c r="TUX13"/>
      <c r="TUY13"/>
      <c r="TUZ13"/>
      <c r="TVA13"/>
      <c r="TVB13"/>
      <c r="TVC13"/>
      <c r="TVD13"/>
      <c r="TVE13"/>
      <c r="TVF13"/>
      <c r="TVG13"/>
      <c r="TVH13"/>
      <c r="TVI13"/>
      <c r="TVJ13"/>
      <c r="TVK13"/>
      <c r="TVL13"/>
      <c r="TVM13"/>
      <c r="TVN13"/>
      <c r="TVO13"/>
      <c r="TVP13"/>
      <c r="TVQ13"/>
      <c r="TVR13"/>
      <c r="TVS13"/>
      <c r="TVT13"/>
      <c r="TVU13"/>
      <c r="TVV13"/>
      <c r="TVW13"/>
      <c r="TVX13"/>
      <c r="TVY13"/>
      <c r="TVZ13"/>
      <c r="TWA13"/>
      <c r="TWB13"/>
      <c r="TWC13"/>
      <c r="TWD13"/>
      <c r="TWE13"/>
      <c r="TWF13"/>
      <c r="TWG13"/>
      <c r="TWH13"/>
      <c r="TWI13"/>
      <c r="TWJ13"/>
      <c r="TWK13"/>
      <c r="TWL13"/>
      <c r="TWM13"/>
      <c r="TWN13"/>
      <c r="TWO13"/>
      <c r="TWP13"/>
      <c r="TWQ13"/>
      <c r="TWR13"/>
      <c r="TWS13"/>
      <c r="TWT13"/>
      <c r="TWU13"/>
      <c r="TWV13"/>
      <c r="TWW13"/>
      <c r="TWX13"/>
      <c r="TWY13"/>
      <c r="TWZ13"/>
      <c r="TXA13"/>
      <c r="TXB13"/>
      <c r="TXC13"/>
      <c r="TXD13"/>
      <c r="TXE13"/>
      <c r="TXF13"/>
      <c r="TXG13"/>
      <c r="TXH13"/>
      <c r="TXI13"/>
      <c r="TXJ13"/>
      <c r="TXK13"/>
      <c r="TXL13"/>
      <c r="TXM13"/>
      <c r="TXN13"/>
      <c r="TXO13"/>
      <c r="TXP13"/>
      <c r="TXQ13"/>
      <c r="TXR13"/>
      <c r="TXS13"/>
      <c r="TXT13"/>
      <c r="TXU13"/>
      <c r="TXV13"/>
      <c r="TXW13"/>
      <c r="TXX13"/>
      <c r="TXY13"/>
      <c r="TXZ13"/>
      <c r="TYA13"/>
      <c r="TYB13"/>
      <c r="TYC13"/>
      <c r="TYD13"/>
      <c r="TYE13"/>
      <c r="TYF13"/>
      <c r="TYG13"/>
      <c r="TYH13"/>
      <c r="TYI13"/>
      <c r="TYJ13"/>
      <c r="TYK13"/>
      <c r="TYL13"/>
      <c r="TYM13"/>
      <c r="TYN13"/>
      <c r="TYO13"/>
      <c r="TYP13"/>
      <c r="TYQ13"/>
      <c r="TYR13"/>
      <c r="TYS13"/>
      <c r="TYT13"/>
      <c r="TYU13"/>
      <c r="TYV13"/>
      <c r="TYW13"/>
      <c r="TYX13"/>
      <c r="TYY13"/>
      <c r="TYZ13"/>
      <c r="TZA13"/>
      <c r="TZB13"/>
      <c r="TZC13"/>
      <c r="TZD13"/>
      <c r="TZE13"/>
      <c r="TZF13"/>
      <c r="TZG13"/>
      <c r="TZH13"/>
      <c r="TZI13"/>
      <c r="TZJ13"/>
      <c r="TZK13"/>
      <c r="TZL13"/>
      <c r="TZM13"/>
      <c r="TZN13"/>
      <c r="TZO13"/>
      <c r="TZP13"/>
      <c r="TZQ13"/>
      <c r="TZR13"/>
      <c r="TZS13"/>
      <c r="TZT13"/>
      <c r="TZU13"/>
      <c r="TZV13"/>
      <c r="TZW13"/>
      <c r="TZX13"/>
      <c r="TZY13"/>
      <c r="TZZ13"/>
      <c r="UAA13"/>
      <c r="UAB13"/>
      <c r="UAC13"/>
      <c r="UAD13"/>
      <c r="UAE13"/>
      <c r="UAF13"/>
      <c r="UAG13"/>
      <c r="UAH13"/>
      <c r="UAI13"/>
      <c r="UAJ13"/>
      <c r="UAK13"/>
      <c r="UAL13"/>
      <c r="UAM13"/>
      <c r="UAN13"/>
      <c r="UAO13"/>
      <c r="UAP13"/>
      <c r="UAQ13"/>
      <c r="UAR13"/>
      <c r="UAS13"/>
      <c r="UAT13"/>
      <c r="UAU13"/>
      <c r="UAV13"/>
      <c r="UAW13"/>
      <c r="UAX13"/>
      <c r="UAY13"/>
      <c r="UAZ13"/>
      <c r="UBA13"/>
      <c r="UBB13"/>
      <c r="UBC13"/>
      <c r="UBD13"/>
      <c r="UBE13"/>
      <c r="UBF13"/>
      <c r="UBG13"/>
      <c r="UBH13"/>
      <c r="UBI13"/>
      <c r="UBJ13"/>
      <c r="UBK13"/>
      <c r="UBL13"/>
      <c r="UBM13"/>
      <c r="UBN13"/>
      <c r="UBO13"/>
      <c r="UBP13"/>
      <c r="UBQ13"/>
      <c r="UBR13"/>
      <c r="UBS13"/>
      <c r="UBT13"/>
      <c r="UBU13"/>
      <c r="UBV13"/>
      <c r="UBW13"/>
      <c r="UBX13"/>
      <c r="UBY13"/>
      <c r="UBZ13"/>
      <c r="UCA13"/>
      <c r="UCB13"/>
      <c r="UCC13"/>
      <c r="UCD13"/>
      <c r="UCE13"/>
      <c r="UCF13"/>
      <c r="UCG13"/>
      <c r="UCH13"/>
      <c r="UCI13"/>
      <c r="UCJ13"/>
      <c r="UCK13"/>
      <c r="UCL13"/>
      <c r="UCM13"/>
      <c r="UCN13"/>
      <c r="UCO13"/>
      <c r="UCP13"/>
      <c r="UCQ13"/>
      <c r="UCR13"/>
      <c r="UCS13"/>
      <c r="UCT13"/>
      <c r="UCU13"/>
      <c r="UCV13"/>
      <c r="UCW13"/>
      <c r="UCX13"/>
      <c r="UCY13"/>
      <c r="UCZ13"/>
      <c r="UDA13"/>
      <c r="UDB13"/>
      <c r="UDC13"/>
      <c r="UDD13"/>
      <c r="UDE13"/>
      <c r="UDF13"/>
      <c r="UDG13"/>
      <c r="UDH13"/>
      <c r="UDI13"/>
      <c r="UDJ13"/>
      <c r="UDK13"/>
      <c r="UDL13"/>
      <c r="UDM13"/>
      <c r="UDN13"/>
      <c r="UDO13"/>
      <c r="UDP13"/>
      <c r="UDQ13"/>
      <c r="UDR13"/>
      <c r="UDS13"/>
      <c r="UDT13"/>
      <c r="UDU13"/>
      <c r="UDV13"/>
      <c r="UDW13"/>
      <c r="UDX13"/>
      <c r="UDY13"/>
      <c r="UDZ13"/>
      <c r="UEA13"/>
      <c r="UEB13"/>
      <c r="UEC13"/>
      <c r="UED13"/>
      <c r="UEE13"/>
      <c r="UEF13"/>
      <c r="UEG13"/>
      <c r="UEH13"/>
      <c r="UEI13"/>
      <c r="UEJ13"/>
      <c r="UEK13"/>
      <c r="UEL13"/>
      <c r="UEM13"/>
      <c r="UEN13"/>
      <c r="UEO13"/>
      <c r="UEP13"/>
      <c r="UEQ13"/>
      <c r="UER13"/>
      <c r="UES13"/>
      <c r="UET13"/>
      <c r="UEU13"/>
      <c r="UEV13"/>
      <c r="UEW13"/>
      <c r="UEX13"/>
      <c r="UEY13"/>
      <c r="UEZ13"/>
      <c r="UFA13"/>
      <c r="UFB13"/>
      <c r="UFC13"/>
      <c r="UFD13"/>
      <c r="UFE13"/>
      <c r="UFF13"/>
      <c r="UFG13"/>
      <c r="UFH13"/>
      <c r="UFI13"/>
      <c r="UFJ13"/>
      <c r="UFK13"/>
      <c r="UFL13"/>
      <c r="UFM13"/>
      <c r="UFN13"/>
      <c r="UFO13"/>
      <c r="UFP13"/>
      <c r="UFQ13"/>
      <c r="UFR13"/>
      <c r="UFS13"/>
      <c r="UFT13"/>
      <c r="UFU13"/>
      <c r="UFV13"/>
      <c r="UFW13"/>
      <c r="UFX13"/>
      <c r="UFY13"/>
      <c r="UFZ13"/>
      <c r="UGA13"/>
      <c r="UGB13"/>
      <c r="UGC13"/>
      <c r="UGD13"/>
      <c r="UGE13"/>
      <c r="UGF13"/>
      <c r="UGG13"/>
      <c r="UGH13"/>
      <c r="UGI13"/>
      <c r="UGJ13"/>
      <c r="UGK13"/>
      <c r="UGL13"/>
      <c r="UGM13"/>
      <c r="UGN13"/>
      <c r="UGO13"/>
      <c r="UGP13"/>
      <c r="UGQ13"/>
      <c r="UGR13"/>
      <c r="UGS13"/>
      <c r="UGT13"/>
      <c r="UGU13"/>
      <c r="UGV13"/>
      <c r="UGW13"/>
      <c r="UGX13"/>
      <c r="UGY13"/>
      <c r="UGZ13"/>
      <c r="UHA13"/>
      <c r="UHB13"/>
      <c r="UHC13"/>
      <c r="UHD13"/>
      <c r="UHE13"/>
      <c r="UHF13"/>
      <c r="UHG13"/>
      <c r="UHH13"/>
      <c r="UHI13"/>
      <c r="UHJ13"/>
      <c r="UHK13"/>
      <c r="UHL13"/>
      <c r="UHM13"/>
      <c r="UHN13"/>
      <c r="UHO13"/>
      <c r="UHP13"/>
      <c r="UHQ13"/>
      <c r="UHR13"/>
      <c r="UHS13"/>
      <c r="UHT13"/>
      <c r="UHU13"/>
      <c r="UHV13"/>
      <c r="UHW13"/>
      <c r="UHX13"/>
      <c r="UHY13"/>
      <c r="UHZ13"/>
      <c r="UIA13"/>
      <c r="UIB13"/>
      <c r="UIC13"/>
      <c r="UID13"/>
      <c r="UIE13"/>
      <c r="UIF13"/>
      <c r="UIG13"/>
      <c r="UIH13"/>
      <c r="UII13"/>
      <c r="UIJ13"/>
      <c r="UIK13"/>
      <c r="UIL13"/>
      <c r="UIM13"/>
      <c r="UIN13"/>
      <c r="UIO13"/>
      <c r="UIP13"/>
      <c r="UIQ13"/>
      <c r="UIR13"/>
      <c r="UIS13"/>
      <c r="UIT13"/>
      <c r="UIU13"/>
      <c r="UIV13"/>
      <c r="UIW13"/>
      <c r="UIX13"/>
      <c r="UIY13"/>
      <c r="UIZ13"/>
      <c r="UJA13"/>
      <c r="UJB13"/>
      <c r="UJC13"/>
      <c r="UJD13"/>
      <c r="UJE13"/>
      <c r="UJF13"/>
      <c r="UJG13"/>
      <c r="UJH13"/>
      <c r="UJI13"/>
      <c r="UJJ13"/>
      <c r="UJK13"/>
      <c r="UJL13"/>
      <c r="UJM13"/>
      <c r="UJN13"/>
      <c r="UJO13"/>
      <c r="UJP13"/>
      <c r="UJQ13"/>
      <c r="UJR13"/>
      <c r="UJS13"/>
      <c r="UJT13"/>
      <c r="UJU13"/>
      <c r="UJV13"/>
      <c r="UJW13"/>
      <c r="UJX13"/>
      <c r="UJY13"/>
      <c r="UJZ13"/>
      <c r="UKA13"/>
      <c r="UKB13"/>
      <c r="UKC13"/>
      <c r="UKD13"/>
      <c r="UKE13"/>
      <c r="UKF13"/>
      <c r="UKG13"/>
      <c r="UKH13"/>
      <c r="UKI13"/>
      <c r="UKJ13"/>
      <c r="UKK13"/>
      <c r="UKL13"/>
      <c r="UKM13"/>
      <c r="UKN13"/>
      <c r="UKO13"/>
      <c r="UKP13"/>
      <c r="UKQ13"/>
      <c r="UKR13"/>
      <c r="UKS13"/>
      <c r="UKT13"/>
      <c r="UKU13"/>
      <c r="UKV13"/>
      <c r="UKW13"/>
      <c r="UKX13"/>
      <c r="UKY13"/>
      <c r="UKZ13"/>
      <c r="ULA13"/>
      <c r="ULB13"/>
      <c r="ULC13"/>
      <c r="ULD13"/>
      <c r="ULE13"/>
      <c r="ULF13"/>
      <c r="ULG13"/>
      <c r="ULH13"/>
      <c r="ULI13"/>
      <c r="ULJ13"/>
      <c r="ULK13"/>
      <c r="ULL13"/>
      <c r="ULM13"/>
      <c r="ULN13"/>
      <c r="ULO13"/>
      <c r="ULP13"/>
      <c r="ULQ13"/>
      <c r="ULR13"/>
      <c r="ULS13"/>
      <c r="ULT13"/>
      <c r="ULU13"/>
      <c r="ULV13"/>
      <c r="ULW13"/>
      <c r="ULX13"/>
      <c r="ULY13"/>
      <c r="ULZ13"/>
      <c r="UMA13"/>
      <c r="UMB13"/>
      <c r="UMC13"/>
      <c r="UMD13"/>
      <c r="UME13"/>
      <c r="UMF13"/>
      <c r="UMG13"/>
      <c r="UMH13"/>
      <c r="UMI13"/>
      <c r="UMJ13"/>
      <c r="UMK13"/>
      <c r="UML13"/>
      <c r="UMM13"/>
      <c r="UMN13"/>
      <c r="UMO13"/>
      <c r="UMP13"/>
      <c r="UMQ13"/>
      <c r="UMR13"/>
      <c r="UMS13"/>
      <c r="UMT13"/>
      <c r="UMU13"/>
      <c r="UMV13"/>
      <c r="UMW13"/>
      <c r="UMX13"/>
      <c r="UMY13"/>
      <c r="UMZ13"/>
      <c r="UNA13"/>
      <c r="UNB13"/>
      <c r="UNC13"/>
      <c r="UND13"/>
      <c r="UNE13"/>
      <c r="UNF13"/>
      <c r="UNG13"/>
      <c r="UNH13"/>
      <c r="UNI13"/>
      <c r="UNJ13"/>
      <c r="UNK13"/>
      <c r="UNL13"/>
      <c r="UNM13"/>
      <c r="UNN13"/>
      <c r="UNO13"/>
      <c r="UNP13"/>
      <c r="UNQ13"/>
      <c r="UNR13"/>
      <c r="UNS13"/>
      <c r="UNT13"/>
      <c r="UNU13"/>
      <c r="UNV13"/>
      <c r="UNW13"/>
      <c r="UNX13"/>
      <c r="UNY13"/>
      <c r="UNZ13"/>
      <c r="UOA13"/>
      <c r="UOB13"/>
      <c r="UOC13"/>
      <c r="UOD13"/>
      <c r="UOE13"/>
      <c r="UOF13"/>
      <c r="UOG13"/>
      <c r="UOH13"/>
      <c r="UOI13"/>
      <c r="UOJ13"/>
      <c r="UOK13"/>
      <c r="UOL13"/>
      <c r="UOM13"/>
      <c r="UON13"/>
      <c r="UOO13"/>
      <c r="UOP13"/>
      <c r="UOQ13"/>
      <c r="UOR13"/>
      <c r="UOS13"/>
      <c r="UOT13"/>
      <c r="UOU13"/>
      <c r="UOV13"/>
      <c r="UOW13"/>
      <c r="UOX13"/>
      <c r="UOY13"/>
      <c r="UOZ13"/>
      <c r="UPA13"/>
      <c r="UPB13"/>
      <c r="UPC13"/>
      <c r="UPD13"/>
      <c r="UPE13"/>
      <c r="UPF13"/>
      <c r="UPG13"/>
      <c r="UPH13"/>
      <c r="UPI13"/>
      <c r="UPJ13"/>
      <c r="UPK13"/>
      <c r="UPL13"/>
      <c r="UPM13"/>
      <c r="UPN13"/>
      <c r="UPO13"/>
      <c r="UPP13"/>
      <c r="UPQ13"/>
      <c r="UPR13"/>
      <c r="UPS13"/>
      <c r="UPT13"/>
      <c r="UPU13"/>
      <c r="UPV13"/>
      <c r="UPW13"/>
      <c r="UPX13"/>
      <c r="UPY13"/>
      <c r="UPZ13"/>
      <c r="UQA13"/>
      <c r="UQB13"/>
      <c r="UQC13"/>
      <c r="UQD13"/>
      <c r="UQE13"/>
      <c r="UQF13"/>
      <c r="UQG13"/>
      <c r="UQH13"/>
      <c r="UQI13"/>
      <c r="UQJ13"/>
      <c r="UQK13"/>
      <c r="UQL13"/>
      <c r="UQM13"/>
      <c r="UQN13"/>
      <c r="UQO13"/>
      <c r="UQP13"/>
      <c r="UQQ13"/>
      <c r="UQR13"/>
      <c r="UQS13"/>
      <c r="UQT13"/>
      <c r="UQU13"/>
      <c r="UQV13"/>
      <c r="UQW13"/>
      <c r="UQX13"/>
      <c r="UQY13"/>
      <c r="UQZ13"/>
      <c r="URA13"/>
      <c r="URB13"/>
      <c r="URC13"/>
      <c r="URD13"/>
      <c r="URE13"/>
      <c r="URF13"/>
      <c r="URG13"/>
      <c r="URH13"/>
      <c r="URI13"/>
      <c r="URJ13"/>
      <c r="URK13"/>
      <c r="URL13"/>
      <c r="URM13"/>
      <c r="URN13"/>
      <c r="URO13"/>
      <c r="URP13"/>
      <c r="URQ13"/>
      <c r="URR13"/>
      <c r="URS13"/>
      <c r="URT13"/>
      <c r="URU13"/>
      <c r="URV13"/>
      <c r="URW13"/>
      <c r="URX13"/>
      <c r="URY13"/>
      <c r="URZ13"/>
      <c r="USA13"/>
      <c r="USB13"/>
      <c r="USC13"/>
      <c r="USD13"/>
      <c r="USE13"/>
      <c r="USF13"/>
      <c r="USG13"/>
      <c r="USH13"/>
      <c r="USI13"/>
      <c r="USJ13"/>
      <c r="USK13"/>
      <c r="USL13"/>
      <c r="USM13"/>
      <c r="USN13"/>
      <c r="USO13"/>
      <c r="USP13"/>
      <c r="USQ13"/>
      <c r="USR13"/>
      <c r="USS13"/>
      <c r="UST13"/>
      <c r="USU13"/>
      <c r="USV13"/>
      <c r="USW13"/>
      <c r="USX13"/>
      <c r="USY13"/>
      <c r="USZ13"/>
      <c r="UTA13"/>
      <c r="UTB13"/>
      <c r="UTC13"/>
      <c r="UTD13"/>
      <c r="UTE13"/>
      <c r="UTF13"/>
      <c r="UTG13"/>
      <c r="UTH13"/>
      <c r="UTI13"/>
      <c r="UTJ13"/>
      <c r="UTK13"/>
      <c r="UTL13"/>
      <c r="UTM13"/>
      <c r="UTN13"/>
      <c r="UTO13"/>
      <c r="UTP13"/>
      <c r="UTQ13"/>
      <c r="UTR13"/>
      <c r="UTS13"/>
      <c r="UTT13"/>
      <c r="UTU13"/>
      <c r="UTV13"/>
      <c r="UTW13"/>
      <c r="UTX13"/>
      <c r="UTY13"/>
      <c r="UTZ13"/>
      <c r="UUA13"/>
      <c r="UUB13"/>
      <c r="UUC13"/>
      <c r="UUD13"/>
      <c r="UUE13"/>
      <c r="UUF13"/>
      <c r="UUG13"/>
      <c r="UUH13"/>
      <c r="UUI13"/>
      <c r="UUJ13"/>
      <c r="UUK13"/>
      <c r="UUL13"/>
      <c r="UUM13"/>
      <c r="UUN13"/>
      <c r="UUO13"/>
      <c r="UUP13"/>
      <c r="UUQ13"/>
      <c r="UUR13"/>
      <c r="UUS13"/>
      <c r="UUT13"/>
      <c r="UUU13"/>
      <c r="UUV13"/>
      <c r="UUW13"/>
      <c r="UUX13"/>
      <c r="UUY13"/>
      <c r="UUZ13"/>
      <c r="UVA13"/>
      <c r="UVB13"/>
      <c r="UVC13"/>
      <c r="UVD13"/>
      <c r="UVE13"/>
      <c r="UVF13"/>
      <c r="UVG13"/>
      <c r="UVH13"/>
      <c r="UVI13"/>
      <c r="UVJ13"/>
      <c r="UVK13"/>
      <c r="UVL13"/>
      <c r="UVM13"/>
      <c r="UVN13"/>
      <c r="UVO13"/>
      <c r="UVP13"/>
      <c r="UVQ13"/>
      <c r="UVR13"/>
      <c r="UVS13"/>
      <c r="UVT13"/>
      <c r="UVU13"/>
      <c r="UVV13"/>
      <c r="UVW13"/>
      <c r="UVX13"/>
      <c r="UVY13"/>
      <c r="UVZ13"/>
      <c r="UWA13"/>
      <c r="UWB13"/>
      <c r="UWC13"/>
      <c r="UWD13"/>
      <c r="UWE13"/>
      <c r="UWF13"/>
      <c r="UWG13"/>
      <c r="UWH13"/>
      <c r="UWI13"/>
      <c r="UWJ13"/>
      <c r="UWK13"/>
      <c r="UWL13"/>
      <c r="UWM13"/>
      <c r="UWN13"/>
      <c r="UWO13"/>
      <c r="UWP13"/>
      <c r="UWQ13"/>
      <c r="UWR13"/>
      <c r="UWS13"/>
      <c r="UWT13"/>
      <c r="UWU13"/>
      <c r="UWV13"/>
      <c r="UWW13"/>
      <c r="UWX13"/>
      <c r="UWY13"/>
      <c r="UWZ13"/>
      <c r="UXA13"/>
      <c r="UXB13"/>
      <c r="UXC13"/>
      <c r="UXD13"/>
      <c r="UXE13"/>
      <c r="UXF13"/>
      <c r="UXG13"/>
      <c r="UXH13"/>
      <c r="UXI13"/>
      <c r="UXJ13"/>
      <c r="UXK13"/>
      <c r="UXL13"/>
      <c r="UXM13"/>
      <c r="UXN13"/>
      <c r="UXO13"/>
      <c r="UXP13"/>
      <c r="UXQ13"/>
      <c r="UXR13"/>
      <c r="UXS13"/>
      <c r="UXT13"/>
      <c r="UXU13"/>
      <c r="UXV13"/>
      <c r="UXW13"/>
      <c r="UXX13"/>
      <c r="UXY13"/>
      <c r="UXZ13"/>
      <c r="UYA13"/>
      <c r="UYB13"/>
      <c r="UYC13"/>
      <c r="UYD13"/>
      <c r="UYE13"/>
      <c r="UYF13"/>
      <c r="UYG13"/>
      <c r="UYH13"/>
      <c r="UYI13"/>
      <c r="UYJ13"/>
      <c r="UYK13"/>
      <c r="UYL13"/>
      <c r="UYM13"/>
      <c r="UYN13"/>
      <c r="UYO13"/>
      <c r="UYP13"/>
      <c r="UYQ13"/>
      <c r="UYR13"/>
      <c r="UYS13"/>
      <c r="UYT13"/>
      <c r="UYU13"/>
      <c r="UYV13"/>
      <c r="UYW13"/>
      <c r="UYX13"/>
      <c r="UYY13"/>
      <c r="UYZ13"/>
      <c r="UZA13"/>
      <c r="UZB13"/>
      <c r="UZC13"/>
      <c r="UZD13"/>
      <c r="UZE13"/>
      <c r="UZF13"/>
      <c r="UZG13"/>
      <c r="UZH13"/>
      <c r="UZI13"/>
      <c r="UZJ13"/>
      <c r="UZK13"/>
      <c r="UZL13"/>
      <c r="UZM13"/>
      <c r="UZN13"/>
      <c r="UZO13"/>
      <c r="UZP13"/>
      <c r="UZQ13"/>
      <c r="UZR13"/>
      <c r="UZS13"/>
      <c r="UZT13"/>
      <c r="UZU13"/>
      <c r="UZV13"/>
      <c r="UZW13"/>
      <c r="UZX13"/>
      <c r="UZY13"/>
      <c r="UZZ13"/>
      <c r="VAA13"/>
      <c r="VAB13"/>
      <c r="VAC13"/>
      <c r="VAD13"/>
      <c r="VAE13"/>
      <c r="VAF13"/>
      <c r="VAG13"/>
      <c r="VAH13"/>
      <c r="VAI13"/>
      <c r="VAJ13"/>
      <c r="VAK13"/>
      <c r="VAL13"/>
      <c r="VAM13"/>
      <c r="VAN13"/>
      <c r="VAO13"/>
      <c r="VAP13"/>
      <c r="VAQ13"/>
      <c r="VAR13"/>
      <c r="VAS13"/>
      <c r="VAT13"/>
      <c r="VAU13"/>
      <c r="VAV13"/>
      <c r="VAW13"/>
      <c r="VAX13"/>
      <c r="VAY13"/>
      <c r="VAZ13"/>
      <c r="VBA13"/>
      <c r="VBB13"/>
      <c r="VBC13"/>
      <c r="VBD13"/>
      <c r="VBE13"/>
      <c r="VBF13"/>
      <c r="VBG13"/>
      <c r="VBH13"/>
      <c r="VBI13"/>
      <c r="VBJ13"/>
      <c r="VBK13"/>
      <c r="VBL13"/>
      <c r="VBM13"/>
      <c r="VBN13"/>
      <c r="VBO13"/>
      <c r="VBP13"/>
      <c r="VBQ13"/>
      <c r="VBR13"/>
      <c r="VBS13"/>
      <c r="VBT13"/>
      <c r="VBU13"/>
      <c r="VBV13"/>
      <c r="VBW13"/>
      <c r="VBX13"/>
      <c r="VBY13"/>
      <c r="VBZ13"/>
      <c r="VCA13"/>
      <c r="VCB13"/>
      <c r="VCC13"/>
      <c r="VCD13"/>
      <c r="VCE13"/>
      <c r="VCF13"/>
      <c r="VCG13"/>
      <c r="VCH13"/>
      <c r="VCI13"/>
      <c r="VCJ13"/>
      <c r="VCK13"/>
      <c r="VCL13"/>
      <c r="VCM13"/>
      <c r="VCN13"/>
      <c r="VCO13"/>
      <c r="VCP13"/>
      <c r="VCQ13"/>
      <c r="VCR13"/>
      <c r="VCS13"/>
      <c r="VCT13"/>
      <c r="VCU13"/>
      <c r="VCV13"/>
      <c r="VCW13"/>
      <c r="VCX13"/>
      <c r="VCY13"/>
      <c r="VCZ13"/>
      <c r="VDA13"/>
      <c r="VDB13"/>
      <c r="VDC13"/>
      <c r="VDD13"/>
      <c r="VDE13"/>
      <c r="VDF13"/>
      <c r="VDG13"/>
      <c r="VDH13"/>
      <c r="VDI13"/>
      <c r="VDJ13"/>
      <c r="VDK13"/>
      <c r="VDL13"/>
      <c r="VDM13"/>
      <c r="VDN13"/>
      <c r="VDO13"/>
      <c r="VDP13"/>
      <c r="VDQ13"/>
      <c r="VDR13"/>
      <c r="VDS13"/>
      <c r="VDT13"/>
      <c r="VDU13"/>
      <c r="VDV13"/>
      <c r="VDW13"/>
      <c r="VDX13"/>
      <c r="VDY13"/>
      <c r="VDZ13"/>
      <c r="VEA13"/>
      <c r="VEB13"/>
      <c r="VEC13"/>
      <c r="VED13"/>
      <c r="VEE13"/>
      <c r="VEF13"/>
      <c r="VEG13"/>
      <c r="VEH13"/>
      <c r="VEI13"/>
      <c r="VEJ13"/>
      <c r="VEK13"/>
      <c r="VEL13"/>
      <c r="VEM13"/>
      <c r="VEN13"/>
      <c r="VEO13"/>
      <c r="VEP13"/>
      <c r="VEQ13"/>
      <c r="VER13"/>
      <c r="VES13"/>
      <c r="VET13"/>
      <c r="VEU13"/>
      <c r="VEV13"/>
      <c r="VEW13"/>
      <c r="VEX13"/>
      <c r="VEY13"/>
      <c r="VEZ13"/>
      <c r="VFA13"/>
      <c r="VFB13"/>
      <c r="VFC13"/>
      <c r="VFD13"/>
      <c r="VFE13"/>
      <c r="VFF13"/>
      <c r="VFG13"/>
      <c r="VFH13"/>
      <c r="VFI13"/>
      <c r="VFJ13"/>
      <c r="VFK13"/>
      <c r="VFL13"/>
      <c r="VFM13"/>
      <c r="VFN13"/>
      <c r="VFO13"/>
      <c r="VFP13"/>
      <c r="VFQ13"/>
      <c r="VFR13"/>
      <c r="VFS13"/>
      <c r="VFT13"/>
      <c r="VFU13"/>
      <c r="VFV13"/>
      <c r="VFW13"/>
      <c r="VFX13"/>
      <c r="VFY13"/>
      <c r="VFZ13"/>
      <c r="VGA13"/>
      <c r="VGB13"/>
      <c r="VGC13"/>
      <c r="VGD13"/>
      <c r="VGE13"/>
      <c r="VGF13"/>
      <c r="VGG13"/>
      <c r="VGH13"/>
      <c r="VGI13"/>
      <c r="VGJ13"/>
      <c r="VGK13"/>
      <c r="VGL13"/>
      <c r="VGM13"/>
      <c r="VGN13"/>
      <c r="VGO13"/>
      <c r="VGP13"/>
      <c r="VGQ13"/>
      <c r="VGR13"/>
      <c r="VGS13"/>
      <c r="VGT13"/>
      <c r="VGU13"/>
      <c r="VGV13"/>
      <c r="VGW13"/>
      <c r="VGX13"/>
      <c r="VGY13"/>
      <c r="VGZ13"/>
      <c r="VHA13"/>
      <c r="VHB13"/>
      <c r="VHC13"/>
      <c r="VHD13"/>
      <c r="VHE13"/>
      <c r="VHF13"/>
      <c r="VHG13"/>
      <c r="VHH13"/>
      <c r="VHI13"/>
      <c r="VHJ13"/>
      <c r="VHK13"/>
      <c r="VHL13"/>
      <c r="VHM13"/>
      <c r="VHN13"/>
      <c r="VHO13"/>
      <c r="VHP13"/>
      <c r="VHQ13"/>
      <c r="VHR13"/>
      <c r="VHS13"/>
      <c r="VHT13"/>
      <c r="VHU13"/>
      <c r="VHV13"/>
      <c r="VHW13"/>
      <c r="VHX13"/>
      <c r="VHY13"/>
      <c r="VHZ13"/>
      <c r="VIA13"/>
      <c r="VIB13"/>
      <c r="VIC13"/>
      <c r="VID13"/>
      <c r="VIE13"/>
      <c r="VIF13"/>
      <c r="VIG13"/>
      <c r="VIH13"/>
      <c r="VII13"/>
      <c r="VIJ13"/>
      <c r="VIK13"/>
      <c r="VIL13"/>
      <c r="VIM13"/>
      <c r="VIN13"/>
      <c r="VIO13"/>
      <c r="VIP13"/>
      <c r="VIQ13"/>
      <c r="VIR13"/>
      <c r="VIS13"/>
      <c r="VIT13"/>
      <c r="VIU13"/>
      <c r="VIV13"/>
      <c r="VIW13"/>
      <c r="VIX13"/>
      <c r="VIY13"/>
      <c r="VIZ13"/>
      <c r="VJA13"/>
      <c r="VJB13"/>
      <c r="VJC13"/>
      <c r="VJD13"/>
      <c r="VJE13"/>
      <c r="VJF13"/>
      <c r="VJG13"/>
      <c r="VJH13"/>
      <c r="VJI13"/>
      <c r="VJJ13"/>
      <c r="VJK13"/>
      <c r="VJL13"/>
      <c r="VJM13"/>
      <c r="VJN13"/>
      <c r="VJO13"/>
      <c r="VJP13"/>
      <c r="VJQ13"/>
      <c r="VJR13"/>
      <c r="VJS13"/>
      <c r="VJT13"/>
      <c r="VJU13"/>
      <c r="VJV13"/>
      <c r="VJW13"/>
      <c r="VJX13"/>
      <c r="VJY13"/>
      <c r="VJZ13"/>
      <c r="VKA13"/>
      <c r="VKB13"/>
      <c r="VKC13"/>
      <c r="VKD13"/>
      <c r="VKE13"/>
      <c r="VKF13"/>
      <c r="VKG13"/>
      <c r="VKH13"/>
      <c r="VKI13"/>
      <c r="VKJ13"/>
      <c r="VKK13"/>
      <c r="VKL13"/>
      <c r="VKM13"/>
      <c r="VKN13"/>
      <c r="VKO13"/>
      <c r="VKP13"/>
      <c r="VKQ13"/>
      <c r="VKR13"/>
      <c r="VKS13"/>
      <c r="VKT13"/>
      <c r="VKU13"/>
      <c r="VKV13"/>
      <c r="VKW13"/>
      <c r="VKX13"/>
      <c r="VKY13"/>
      <c r="VKZ13"/>
      <c r="VLA13"/>
      <c r="VLB13"/>
      <c r="VLC13"/>
      <c r="VLD13"/>
      <c r="VLE13"/>
      <c r="VLF13"/>
      <c r="VLG13"/>
      <c r="VLH13"/>
      <c r="VLI13"/>
      <c r="VLJ13"/>
      <c r="VLK13"/>
      <c r="VLL13"/>
      <c r="VLM13"/>
      <c r="VLN13"/>
      <c r="VLO13"/>
      <c r="VLP13"/>
      <c r="VLQ13"/>
      <c r="VLR13"/>
      <c r="VLS13"/>
      <c r="VLT13"/>
      <c r="VLU13"/>
      <c r="VLV13"/>
      <c r="VLW13"/>
      <c r="VLX13"/>
      <c r="VLY13"/>
      <c r="VLZ13"/>
      <c r="VMA13"/>
      <c r="VMB13"/>
      <c r="VMC13"/>
      <c r="VMD13"/>
      <c r="VME13"/>
      <c r="VMF13"/>
      <c r="VMG13"/>
      <c r="VMH13"/>
      <c r="VMI13"/>
      <c r="VMJ13"/>
      <c r="VMK13"/>
      <c r="VML13"/>
      <c r="VMM13"/>
      <c r="VMN13"/>
      <c r="VMO13"/>
      <c r="VMP13"/>
      <c r="VMQ13"/>
      <c r="VMR13"/>
      <c r="VMS13"/>
      <c r="VMT13"/>
      <c r="VMU13"/>
      <c r="VMV13"/>
      <c r="VMW13"/>
      <c r="VMX13"/>
      <c r="VMY13"/>
      <c r="VMZ13"/>
      <c r="VNA13"/>
      <c r="VNB13"/>
      <c r="VNC13"/>
      <c r="VND13"/>
      <c r="VNE13"/>
      <c r="VNF13"/>
      <c r="VNG13"/>
      <c r="VNH13"/>
      <c r="VNI13"/>
      <c r="VNJ13"/>
      <c r="VNK13"/>
      <c r="VNL13"/>
      <c r="VNM13"/>
      <c r="VNN13"/>
      <c r="VNO13"/>
      <c r="VNP13"/>
      <c r="VNQ13"/>
      <c r="VNR13"/>
      <c r="VNS13"/>
      <c r="VNT13"/>
      <c r="VNU13"/>
      <c r="VNV13"/>
      <c r="VNW13"/>
      <c r="VNX13"/>
      <c r="VNY13"/>
      <c r="VNZ13"/>
      <c r="VOA13"/>
      <c r="VOB13"/>
      <c r="VOC13"/>
      <c r="VOD13"/>
      <c r="VOE13"/>
      <c r="VOF13"/>
      <c r="VOG13"/>
      <c r="VOH13"/>
      <c r="VOI13"/>
      <c r="VOJ13"/>
      <c r="VOK13"/>
      <c r="VOL13"/>
      <c r="VOM13"/>
      <c r="VON13"/>
      <c r="VOO13"/>
      <c r="VOP13"/>
      <c r="VOQ13"/>
      <c r="VOR13"/>
      <c r="VOS13"/>
      <c r="VOT13"/>
      <c r="VOU13"/>
      <c r="VOV13"/>
      <c r="VOW13"/>
      <c r="VOX13"/>
      <c r="VOY13"/>
      <c r="VOZ13"/>
      <c r="VPA13"/>
      <c r="VPB13"/>
      <c r="VPC13"/>
      <c r="VPD13"/>
      <c r="VPE13"/>
      <c r="VPF13"/>
      <c r="VPG13"/>
      <c r="VPH13"/>
      <c r="VPI13"/>
      <c r="VPJ13"/>
      <c r="VPK13"/>
      <c r="VPL13"/>
      <c r="VPM13"/>
      <c r="VPN13"/>
      <c r="VPO13"/>
      <c r="VPP13"/>
      <c r="VPQ13"/>
      <c r="VPR13"/>
      <c r="VPS13"/>
      <c r="VPT13"/>
      <c r="VPU13"/>
      <c r="VPV13"/>
      <c r="VPW13"/>
      <c r="VPX13"/>
      <c r="VPY13"/>
      <c r="VPZ13"/>
      <c r="VQA13"/>
      <c r="VQB13"/>
      <c r="VQC13"/>
      <c r="VQD13"/>
      <c r="VQE13"/>
      <c r="VQF13"/>
      <c r="VQG13"/>
      <c r="VQH13"/>
      <c r="VQI13"/>
      <c r="VQJ13"/>
      <c r="VQK13"/>
      <c r="VQL13"/>
      <c r="VQM13"/>
      <c r="VQN13"/>
      <c r="VQO13"/>
      <c r="VQP13"/>
      <c r="VQQ13"/>
      <c r="VQR13"/>
      <c r="VQS13"/>
      <c r="VQT13"/>
      <c r="VQU13"/>
      <c r="VQV13"/>
      <c r="VQW13"/>
      <c r="VQX13"/>
      <c r="VQY13"/>
      <c r="VQZ13"/>
      <c r="VRA13"/>
      <c r="VRB13"/>
      <c r="VRC13"/>
      <c r="VRD13"/>
      <c r="VRE13"/>
      <c r="VRF13"/>
      <c r="VRG13"/>
      <c r="VRH13"/>
      <c r="VRI13"/>
      <c r="VRJ13"/>
      <c r="VRK13"/>
      <c r="VRL13"/>
      <c r="VRM13"/>
      <c r="VRN13"/>
      <c r="VRO13"/>
      <c r="VRP13"/>
      <c r="VRQ13"/>
      <c r="VRR13"/>
      <c r="VRS13"/>
      <c r="VRT13"/>
      <c r="VRU13"/>
      <c r="VRV13"/>
      <c r="VRW13"/>
      <c r="VRX13"/>
      <c r="VRY13"/>
      <c r="VRZ13"/>
      <c r="VSA13"/>
      <c r="VSB13"/>
      <c r="VSC13"/>
      <c r="VSD13"/>
      <c r="VSE13"/>
      <c r="VSF13"/>
      <c r="VSG13"/>
      <c r="VSH13"/>
      <c r="VSI13"/>
      <c r="VSJ13"/>
      <c r="VSK13"/>
      <c r="VSL13"/>
      <c r="VSM13"/>
      <c r="VSN13"/>
      <c r="VSO13"/>
      <c r="VSP13"/>
      <c r="VSQ13"/>
      <c r="VSR13"/>
      <c r="VSS13"/>
      <c r="VST13"/>
      <c r="VSU13"/>
      <c r="VSV13"/>
      <c r="VSW13"/>
      <c r="VSX13"/>
      <c r="VSY13"/>
      <c r="VSZ13"/>
      <c r="VTA13"/>
      <c r="VTB13"/>
      <c r="VTC13"/>
      <c r="VTD13"/>
      <c r="VTE13"/>
      <c r="VTF13"/>
      <c r="VTG13"/>
      <c r="VTH13"/>
      <c r="VTI13"/>
      <c r="VTJ13"/>
      <c r="VTK13"/>
      <c r="VTL13"/>
      <c r="VTM13"/>
      <c r="VTN13"/>
      <c r="VTO13"/>
      <c r="VTP13"/>
      <c r="VTQ13"/>
      <c r="VTR13"/>
      <c r="VTS13"/>
      <c r="VTT13"/>
      <c r="VTU13"/>
      <c r="VTV13"/>
      <c r="VTW13"/>
      <c r="VTX13"/>
      <c r="VTY13"/>
      <c r="VTZ13"/>
      <c r="VUA13"/>
      <c r="VUB13"/>
      <c r="VUC13"/>
      <c r="VUD13"/>
      <c r="VUE13"/>
      <c r="VUF13"/>
      <c r="VUG13"/>
      <c r="VUH13"/>
      <c r="VUI13"/>
      <c r="VUJ13"/>
      <c r="VUK13"/>
      <c r="VUL13"/>
      <c r="VUM13"/>
      <c r="VUN13"/>
      <c r="VUO13"/>
      <c r="VUP13"/>
      <c r="VUQ13"/>
      <c r="VUR13"/>
      <c r="VUS13"/>
      <c r="VUT13"/>
      <c r="VUU13"/>
      <c r="VUV13"/>
      <c r="VUW13"/>
      <c r="VUX13"/>
      <c r="VUY13"/>
      <c r="VUZ13"/>
      <c r="VVA13"/>
      <c r="VVB13"/>
      <c r="VVC13"/>
      <c r="VVD13"/>
      <c r="VVE13"/>
      <c r="VVF13"/>
      <c r="VVG13"/>
      <c r="VVH13"/>
      <c r="VVI13"/>
      <c r="VVJ13"/>
      <c r="VVK13"/>
      <c r="VVL13"/>
      <c r="VVM13"/>
      <c r="VVN13"/>
      <c r="VVO13"/>
      <c r="VVP13"/>
      <c r="VVQ13"/>
      <c r="VVR13"/>
      <c r="VVS13"/>
      <c r="VVT13"/>
      <c r="VVU13"/>
      <c r="VVV13"/>
      <c r="VVW13"/>
      <c r="VVX13"/>
      <c r="VVY13"/>
      <c r="VVZ13"/>
      <c r="VWA13"/>
      <c r="VWB13"/>
      <c r="VWC13"/>
      <c r="VWD13"/>
      <c r="VWE13"/>
      <c r="VWF13"/>
      <c r="VWG13"/>
      <c r="VWH13"/>
      <c r="VWI13"/>
      <c r="VWJ13"/>
      <c r="VWK13"/>
      <c r="VWL13"/>
      <c r="VWM13"/>
      <c r="VWN13"/>
      <c r="VWO13"/>
      <c r="VWP13"/>
      <c r="VWQ13"/>
      <c r="VWR13"/>
      <c r="VWS13"/>
      <c r="VWT13"/>
      <c r="VWU13"/>
      <c r="VWV13"/>
      <c r="VWW13"/>
      <c r="VWX13"/>
      <c r="VWY13"/>
      <c r="VWZ13"/>
      <c r="VXA13"/>
      <c r="VXB13"/>
      <c r="VXC13"/>
      <c r="VXD13"/>
      <c r="VXE13"/>
      <c r="VXF13"/>
      <c r="VXG13"/>
      <c r="VXH13"/>
      <c r="VXI13"/>
      <c r="VXJ13"/>
      <c r="VXK13"/>
      <c r="VXL13"/>
      <c r="VXM13"/>
      <c r="VXN13"/>
      <c r="VXO13"/>
      <c r="VXP13"/>
      <c r="VXQ13"/>
      <c r="VXR13"/>
      <c r="VXS13"/>
      <c r="VXT13"/>
      <c r="VXU13"/>
      <c r="VXV13"/>
      <c r="VXW13"/>
      <c r="VXX13"/>
      <c r="VXY13"/>
      <c r="VXZ13"/>
      <c r="VYA13"/>
      <c r="VYB13"/>
      <c r="VYC13"/>
      <c r="VYD13"/>
      <c r="VYE13"/>
      <c r="VYF13"/>
      <c r="VYG13"/>
      <c r="VYH13"/>
      <c r="VYI13"/>
      <c r="VYJ13"/>
      <c r="VYK13"/>
      <c r="VYL13"/>
      <c r="VYM13"/>
      <c r="VYN13"/>
      <c r="VYO13"/>
      <c r="VYP13"/>
      <c r="VYQ13"/>
      <c r="VYR13"/>
      <c r="VYS13"/>
      <c r="VYT13"/>
      <c r="VYU13"/>
      <c r="VYV13"/>
      <c r="VYW13"/>
      <c r="VYX13"/>
      <c r="VYY13"/>
      <c r="VYZ13"/>
      <c r="VZA13"/>
      <c r="VZB13"/>
      <c r="VZC13"/>
      <c r="VZD13"/>
      <c r="VZE13"/>
      <c r="VZF13"/>
      <c r="VZG13"/>
      <c r="VZH13"/>
      <c r="VZI13"/>
      <c r="VZJ13"/>
      <c r="VZK13"/>
      <c r="VZL13"/>
      <c r="VZM13"/>
      <c r="VZN13"/>
      <c r="VZO13"/>
      <c r="VZP13"/>
      <c r="VZQ13"/>
      <c r="VZR13"/>
      <c r="VZS13"/>
      <c r="VZT13"/>
      <c r="VZU13"/>
      <c r="VZV13"/>
      <c r="VZW13"/>
      <c r="VZX13"/>
      <c r="VZY13"/>
      <c r="VZZ13"/>
      <c r="WAA13"/>
      <c r="WAB13"/>
      <c r="WAC13"/>
      <c r="WAD13"/>
      <c r="WAE13"/>
      <c r="WAF13"/>
      <c r="WAG13"/>
      <c r="WAH13"/>
      <c r="WAI13"/>
      <c r="WAJ13"/>
      <c r="WAK13"/>
      <c r="WAL13"/>
      <c r="WAM13"/>
      <c r="WAN13"/>
      <c r="WAO13"/>
      <c r="WAP13"/>
      <c r="WAQ13"/>
      <c r="WAR13"/>
      <c r="WAS13"/>
      <c r="WAT13"/>
      <c r="WAU13"/>
      <c r="WAV13"/>
      <c r="WAW13"/>
      <c r="WAX13"/>
      <c r="WAY13"/>
      <c r="WAZ13"/>
      <c r="WBA13"/>
      <c r="WBB13"/>
      <c r="WBC13"/>
      <c r="WBD13"/>
      <c r="WBE13"/>
      <c r="WBF13"/>
      <c r="WBG13"/>
      <c r="WBH13"/>
      <c r="WBI13"/>
      <c r="WBJ13"/>
      <c r="WBK13"/>
      <c r="WBL13"/>
      <c r="WBM13"/>
      <c r="WBN13"/>
      <c r="WBO13"/>
      <c r="WBP13"/>
      <c r="WBQ13"/>
      <c r="WBR13"/>
      <c r="WBS13"/>
      <c r="WBT13"/>
      <c r="WBU13"/>
      <c r="WBV13"/>
      <c r="WBW13"/>
      <c r="WBX13"/>
      <c r="WBY13"/>
      <c r="WBZ13"/>
      <c r="WCA13"/>
      <c r="WCB13"/>
      <c r="WCC13"/>
      <c r="WCD13"/>
      <c r="WCE13"/>
      <c r="WCF13"/>
      <c r="WCG13"/>
      <c r="WCH13"/>
      <c r="WCI13"/>
      <c r="WCJ13"/>
      <c r="WCK13"/>
      <c r="WCL13"/>
      <c r="WCM13"/>
      <c r="WCN13"/>
      <c r="WCO13"/>
      <c r="WCP13"/>
      <c r="WCQ13"/>
      <c r="WCR13"/>
      <c r="WCS13"/>
      <c r="WCT13"/>
      <c r="WCU13"/>
      <c r="WCV13"/>
      <c r="WCW13"/>
      <c r="WCX13"/>
      <c r="WCY13"/>
      <c r="WCZ13"/>
      <c r="WDA13"/>
      <c r="WDB13"/>
      <c r="WDC13"/>
      <c r="WDD13"/>
      <c r="WDE13"/>
      <c r="WDF13"/>
      <c r="WDG13"/>
      <c r="WDH13"/>
      <c r="WDI13"/>
      <c r="WDJ13"/>
      <c r="WDK13"/>
      <c r="WDL13"/>
      <c r="WDM13"/>
      <c r="WDN13"/>
      <c r="WDO13"/>
      <c r="WDP13"/>
      <c r="WDQ13"/>
      <c r="WDR13"/>
      <c r="WDS13"/>
      <c r="WDT13"/>
      <c r="WDU13"/>
      <c r="WDV13"/>
      <c r="WDW13"/>
      <c r="WDX13"/>
      <c r="WDY13"/>
      <c r="WDZ13"/>
      <c r="WEA13"/>
      <c r="WEB13"/>
      <c r="WEC13"/>
      <c r="WED13"/>
      <c r="WEE13"/>
      <c r="WEF13"/>
      <c r="WEG13"/>
      <c r="WEH13"/>
      <c r="WEI13"/>
      <c r="WEJ13"/>
      <c r="WEK13"/>
      <c r="WEL13"/>
      <c r="WEM13"/>
      <c r="WEN13"/>
      <c r="WEO13"/>
      <c r="WEP13"/>
      <c r="WEQ13"/>
      <c r="WER13"/>
      <c r="WES13"/>
      <c r="WET13"/>
      <c r="WEU13"/>
      <c r="WEV13"/>
      <c r="WEW13"/>
      <c r="WEX13"/>
      <c r="WEY13"/>
      <c r="WEZ13"/>
      <c r="WFA13"/>
      <c r="WFB13"/>
      <c r="WFC13"/>
      <c r="WFD13"/>
      <c r="WFE13"/>
      <c r="WFF13"/>
      <c r="WFG13"/>
      <c r="WFH13"/>
      <c r="WFI13"/>
      <c r="WFJ13"/>
      <c r="WFK13"/>
      <c r="WFL13"/>
      <c r="WFM13"/>
      <c r="WFN13"/>
      <c r="WFO13"/>
      <c r="WFP13"/>
      <c r="WFQ13"/>
      <c r="WFR13"/>
      <c r="WFS13"/>
      <c r="WFT13"/>
      <c r="WFU13"/>
      <c r="WFV13"/>
      <c r="WFW13"/>
      <c r="WFX13"/>
      <c r="WFY13"/>
      <c r="WFZ13"/>
      <c r="WGA13"/>
      <c r="WGB13"/>
      <c r="WGC13"/>
      <c r="WGD13"/>
      <c r="WGE13"/>
      <c r="WGF13"/>
      <c r="WGG13"/>
      <c r="WGH13"/>
      <c r="WGI13"/>
      <c r="WGJ13"/>
      <c r="WGK13"/>
      <c r="WGL13"/>
      <c r="WGM13"/>
      <c r="WGN13"/>
      <c r="WGO13"/>
      <c r="WGP13"/>
      <c r="WGQ13"/>
      <c r="WGR13"/>
      <c r="WGS13"/>
      <c r="WGT13"/>
      <c r="WGU13"/>
      <c r="WGV13"/>
      <c r="WGW13"/>
      <c r="WGX13"/>
      <c r="WGY13"/>
      <c r="WGZ13"/>
      <c r="WHA13"/>
      <c r="WHB13"/>
      <c r="WHC13"/>
      <c r="WHD13"/>
      <c r="WHE13"/>
      <c r="WHF13"/>
      <c r="WHG13"/>
      <c r="WHH13"/>
      <c r="WHI13"/>
      <c r="WHJ13"/>
      <c r="WHK13"/>
      <c r="WHL13"/>
      <c r="WHM13"/>
      <c r="WHN13"/>
      <c r="WHO13"/>
      <c r="WHP13"/>
      <c r="WHQ13"/>
      <c r="WHR13"/>
      <c r="WHS13"/>
      <c r="WHT13"/>
      <c r="WHU13"/>
      <c r="WHV13"/>
      <c r="WHW13"/>
      <c r="WHX13"/>
      <c r="WHY13"/>
      <c r="WHZ13"/>
      <c r="WIA13"/>
      <c r="WIB13"/>
      <c r="WIC13"/>
      <c r="WID13"/>
      <c r="WIE13"/>
      <c r="WIF13"/>
      <c r="WIG13"/>
      <c r="WIH13"/>
      <c r="WII13"/>
      <c r="WIJ13"/>
      <c r="WIK13"/>
      <c r="WIL13"/>
      <c r="WIM13"/>
      <c r="WIN13"/>
      <c r="WIO13"/>
      <c r="WIP13"/>
      <c r="WIQ13"/>
      <c r="WIR13"/>
      <c r="WIS13"/>
      <c r="WIT13"/>
      <c r="WIU13"/>
      <c r="WIV13"/>
      <c r="WIW13"/>
      <c r="WIX13"/>
      <c r="WIY13"/>
      <c r="WIZ13"/>
      <c r="WJA13"/>
      <c r="WJB13"/>
      <c r="WJC13"/>
      <c r="WJD13"/>
      <c r="WJE13"/>
      <c r="WJF13"/>
      <c r="WJG13"/>
      <c r="WJH13"/>
      <c r="WJI13"/>
      <c r="WJJ13"/>
      <c r="WJK13"/>
      <c r="WJL13"/>
      <c r="WJM13"/>
      <c r="WJN13"/>
      <c r="WJO13"/>
      <c r="WJP13"/>
      <c r="WJQ13"/>
      <c r="WJR13"/>
      <c r="WJS13"/>
      <c r="WJT13"/>
      <c r="WJU13"/>
      <c r="WJV13"/>
      <c r="WJW13"/>
      <c r="WJX13"/>
      <c r="WJY13"/>
      <c r="WJZ13"/>
      <c r="WKA13"/>
      <c r="WKB13"/>
      <c r="WKC13"/>
      <c r="WKD13"/>
      <c r="WKE13"/>
      <c r="WKF13"/>
      <c r="WKG13"/>
      <c r="WKH13"/>
      <c r="WKI13"/>
      <c r="WKJ13"/>
      <c r="WKK13"/>
      <c r="WKL13"/>
      <c r="WKM13"/>
      <c r="WKN13"/>
      <c r="WKO13"/>
      <c r="WKP13"/>
      <c r="WKQ13"/>
      <c r="WKR13"/>
      <c r="WKS13"/>
      <c r="WKT13"/>
      <c r="WKU13"/>
      <c r="WKV13"/>
      <c r="WKW13"/>
      <c r="WKX13"/>
      <c r="WKY13"/>
      <c r="WKZ13"/>
      <c r="WLA13"/>
      <c r="WLB13"/>
      <c r="WLC13"/>
      <c r="WLD13"/>
      <c r="WLE13"/>
      <c r="WLF13"/>
      <c r="WLG13"/>
      <c r="WLH13"/>
      <c r="WLI13"/>
      <c r="WLJ13"/>
      <c r="WLK13"/>
      <c r="WLL13"/>
      <c r="WLM13"/>
      <c r="WLN13"/>
      <c r="WLO13"/>
      <c r="WLP13"/>
      <c r="WLQ13"/>
      <c r="WLR13"/>
      <c r="WLS13"/>
      <c r="WLT13"/>
      <c r="WLU13"/>
      <c r="WLV13"/>
      <c r="WLW13"/>
      <c r="WLX13"/>
      <c r="WLY13"/>
      <c r="WLZ13"/>
      <c r="WMA13"/>
      <c r="WMB13"/>
      <c r="WMC13"/>
      <c r="WMD13"/>
      <c r="WME13"/>
      <c r="WMF13"/>
      <c r="WMG13"/>
      <c r="WMH13"/>
      <c r="WMI13"/>
      <c r="WMJ13"/>
      <c r="WMK13"/>
      <c r="WML13"/>
      <c r="WMM13"/>
      <c r="WMN13"/>
      <c r="WMO13"/>
      <c r="WMP13"/>
      <c r="WMQ13"/>
      <c r="WMR13"/>
      <c r="WMS13"/>
      <c r="WMT13"/>
      <c r="WMU13"/>
      <c r="WMV13"/>
      <c r="WMW13"/>
      <c r="WMX13"/>
      <c r="WMY13"/>
      <c r="WMZ13"/>
      <c r="WNA13"/>
      <c r="WNB13"/>
      <c r="WNC13"/>
      <c r="WND13"/>
      <c r="WNE13"/>
      <c r="WNF13"/>
      <c r="WNG13"/>
      <c r="WNH13"/>
      <c r="WNI13"/>
      <c r="WNJ13"/>
      <c r="WNK13"/>
      <c r="WNL13"/>
      <c r="WNM13"/>
      <c r="WNN13"/>
      <c r="WNO13"/>
      <c r="WNP13"/>
      <c r="WNQ13"/>
      <c r="WNR13"/>
      <c r="WNS13"/>
      <c r="WNT13"/>
      <c r="WNU13"/>
      <c r="WNV13"/>
      <c r="WNW13"/>
      <c r="WNX13"/>
      <c r="WNY13"/>
      <c r="WNZ13"/>
      <c r="WOA13"/>
      <c r="WOB13"/>
      <c r="WOC13"/>
      <c r="WOD13"/>
      <c r="WOE13"/>
      <c r="WOF13"/>
      <c r="WOG13"/>
      <c r="WOH13"/>
      <c r="WOI13"/>
      <c r="WOJ13"/>
      <c r="WOK13"/>
      <c r="WOL13"/>
      <c r="WOM13"/>
      <c r="WON13"/>
      <c r="WOO13"/>
      <c r="WOP13"/>
      <c r="WOQ13"/>
      <c r="WOR13"/>
      <c r="WOS13"/>
      <c r="WOT13"/>
      <c r="WOU13"/>
      <c r="WOV13"/>
      <c r="WOW13"/>
      <c r="WOX13"/>
      <c r="WOY13"/>
      <c r="WOZ13"/>
      <c r="WPA13"/>
      <c r="WPB13"/>
      <c r="WPC13"/>
      <c r="WPD13"/>
      <c r="WPE13"/>
      <c r="WPF13"/>
      <c r="WPG13"/>
      <c r="WPH13"/>
      <c r="WPI13"/>
      <c r="WPJ13"/>
      <c r="WPK13"/>
      <c r="WPL13"/>
      <c r="WPM13"/>
      <c r="WPN13"/>
      <c r="WPO13"/>
      <c r="WPP13"/>
      <c r="WPQ13"/>
      <c r="WPR13"/>
      <c r="WPS13"/>
      <c r="WPT13"/>
      <c r="WPU13"/>
      <c r="WPV13"/>
      <c r="WPW13"/>
      <c r="WPX13"/>
      <c r="WPY13"/>
      <c r="WPZ13"/>
      <c r="WQA13"/>
      <c r="WQB13"/>
      <c r="WQC13"/>
      <c r="WQD13"/>
      <c r="WQE13"/>
      <c r="WQF13"/>
      <c r="WQG13"/>
      <c r="WQH13"/>
      <c r="WQI13"/>
      <c r="WQJ13"/>
      <c r="WQK13"/>
      <c r="WQL13"/>
      <c r="WQM13"/>
      <c r="WQN13"/>
      <c r="WQO13"/>
      <c r="WQP13"/>
      <c r="WQQ13"/>
      <c r="WQR13"/>
      <c r="WQS13"/>
      <c r="WQT13"/>
      <c r="WQU13"/>
      <c r="WQV13"/>
      <c r="WQW13"/>
      <c r="WQX13"/>
      <c r="WQY13"/>
      <c r="WQZ13"/>
      <c r="WRA13"/>
      <c r="WRB13"/>
      <c r="WRC13"/>
      <c r="WRD13"/>
      <c r="WRE13"/>
      <c r="WRF13"/>
      <c r="WRG13"/>
      <c r="WRH13"/>
      <c r="WRI13"/>
      <c r="WRJ13"/>
      <c r="WRK13"/>
      <c r="WRL13"/>
      <c r="WRM13"/>
      <c r="WRN13"/>
      <c r="WRO13"/>
      <c r="WRP13"/>
      <c r="WRQ13"/>
      <c r="WRR13"/>
      <c r="WRS13"/>
      <c r="WRT13"/>
      <c r="WRU13"/>
      <c r="WRV13"/>
      <c r="WRW13"/>
      <c r="WRX13"/>
      <c r="WRY13"/>
      <c r="WRZ13"/>
      <c r="WSA13"/>
      <c r="WSB13"/>
      <c r="WSC13"/>
      <c r="WSD13"/>
      <c r="WSE13"/>
      <c r="WSF13"/>
      <c r="WSG13"/>
      <c r="WSH13"/>
      <c r="WSI13"/>
      <c r="WSJ13"/>
      <c r="WSK13"/>
      <c r="WSL13"/>
      <c r="WSM13"/>
      <c r="WSN13"/>
      <c r="WSO13"/>
      <c r="WSP13"/>
      <c r="WSQ13"/>
      <c r="WSR13"/>
      <c r="WSS13"/>
      <c r="WST13"/>
      <c r="WSU13"/>
      <c r="WSV13"/>
      <c r="WSW13"/>
      <c r="WSX13"/>
      <c r="WSY13"/>
      <c r="WSZ13"/>
      <c r="WTA13"/>
      <c r="WTB13"/>
      <c r="WTC13"/>
      <c r="WTD13"/>
      <c r="WTE13"/>
      <c r="WTF13"/>
      <c r="WTG13"/>
      <c r="WTH13"/>
      <c r="WTI13"/>
      <c r="WTJ13"/>
      <c r="WTK13"/>
      <c r="WTL13"/>
      <c r="WTM13"/>
      <c r="WTN13"/>
      <c r="WTO13"/>
      <c r="WTP13"/>
      <c r="WTQ13"/>
      <c r="WTR13"/>
      <c r="WTS13"/>
      <c r="WTT13"/>
      <c r="WTU13"/>
      <c r="WTV13"/>
      <c r="WTW13"/>
      <c r="WTX13"/>
      <c r="WTY13"/>
      <c r="WTZ13"/>
      <c r="WUA13"/>
      <c r="WUB13"/>
      <c r="WUC13"/>
      <c r="WUD13"/>
      <c r="WUE13"/>
      <c r="WUF13"/>
      <c r="WUG13"/>
      <c r="WUH13"/>
      <c r="WUI13"/>
      <c r="WUJ13"/>
      <c r="WUK13"/>
      <c r="WUL13"/>
      <c r="WUM13"/>
      <c r="WUN13"/>
      <c r="WUO13"/>
      <c r="WUP13"/>
      <c r="WUQ13"/>
      <c r="WUR13"/>
      <c r="WUS13"/>
      <c r="WUT13"/>
      <c r="WUU13"/>
      <c r="WUV13"/>
      <c r="WUW13"/>
      <c r="WUX13"/>
      <c r="WUY13"/>
      <c r="WUZ13"/>
      <c r="WVA13"/>
      <c r="WVB13"/>
      <c r="WVC13"/>
      <c r="WVD13"/>
      <c r="WVE13"/>
      <c r="WVF13"/>
      <c r="WVG13"/>
      <c r="WVH13"/>
      <c r="WVI13"/>
      <c r="WVJ13"/>
      <c r="WVK13"/>
      <c r="WVL13"/>
      <c r="WVM13"/>
      <c r="WVN13"/>
      <c r="WVO13"/>
      <c r="WVP13"/>
      <c r="WVQ13"/>
      <c r="WVR13"/>
      <c r="WVS13"/>
      <c r="WVT13"/>
      <c r="WVU13"/>
      <c r="WVV13"/>
      <c r="WVW13"/>
      <c r="WVX13"/>
      <c r="WVY13"/>
      <c r="WVZ13"/>
      <c r="WWA13"/>
      <c r="WWB13"/>
      <c r="WWC13"/>
      <c r="WWD13"/>
      <c r="WWE13"/>
      <c r="WWF13"/>
      <c r="WWG13"/>
      <c r="WWH13"/>
      <c r="WWI13"/>
      <c r="WWJ13"/>
      <c r="WWK13"/>
      <c r="WWL13"/>
      <c r="WWM13"/>
      <c r="WWN13"/>
      <c r="WWO13"/>
      <c r="WWP13"/>
      <c r="WWQ13"/>
      <c r="WWR13"/>
      <c r="WWS13"/>
      <c r="WWT13"/>
      <c r="WWU13"/>
      <c r="WWV13"/>
      <c r="WWW13"/>
      <c r="WWX13"/>
      <c r="WWY13"/>
      <c r="WWZ13"/>
      <c r="WXA13"/>
      <c r="WXB13"/>
      <c r="WXC13"/>
      <c r="WXD13"/>
      <c r="WXE13"/>
      <c r="WXF13"/>
      <c r="WXG13"/>
      <c r="WXH13"/>
      <c r="WXI13"/>
      <c r="WXJ13"/>
      <c r="WXK13"/>
      <c r="WXL13"/>
      <c r="WXM13"/>
      <c r="WXN13"/>
      <c r="WXO13"/>
      <c r="WXP13"/>
      <c r="WXQ13"/>
      <c r="WXR13"/>
      <c r="WXS13"/>
      <c r="WXT13"/>
      <c r="WXU13"/>
      <c r="WXV13"/>
      <c r="WXW13"/>
      <c r="WXX13"/>
      <c r="WXY13"/>
      <c r="WXZ13"/>
      <c r="WYA13"/>
      <c r="WYB13"/>
      <c r="WYC13"/>
      <c r="WYD13"/>
      <c r="WYE13"/>
      <c r="WYF13"/>
      <c r="WYG13"/>
      <c r="WYH13"/>
      <c r="WYI13"/>
      <c r="WYJ13"/>
      <c r="WYK13"/>
      <c r="WYL13"/>
      <c r="WYM13"/>
      <c r="WYN13"/>
      <c r="WYO13"/>
      <c r="WYP13"/>
      <c r="WYQ13"/>
      <c r="WYR13"/>
      <c r="WYS13"/>
      <c r="WYT13"/>
      <c r="WYU13"/>
      <c r="WYV13"/>
      <c r="WYW13"/>
      <c r="WYX13"/>
      <c r="WYY13"/>
      <c r="WYZ13"/>
      <c r="WZA13"/>
      <c r="WZB13"/>
      <c r="WZC13"/>
      <c r="WZD13"/>
      <c r="WZE13"/>
      <c r="WZF13"/>
      <c r="WZG13"/>
      <c r="WZH13"/>
      <c r="WZI13"/>
      <c r="WZJ13"/>
      <c r="WZK13"/>
      <c r="WZL13"/>
      <c r="WZM13"/>
      <c r="WZN13"/>
      <c r="WZO13"/>
      <c r="WZP13"/>
      <c r="WZQ13"/>
      <c r="WZR13"/>
      <c r="WZS13"/>
      <c r="WZT13"/>
      <c r="WZU13"/>
      <c r="WZV13"/>
      <c r="WZW13"/>
      <c r="WZX13"/>
      <c r="WZY13"/>
      <c r="WZZ13"/>
      <c r="XAA13"/>
      <c r="XAB13"/>
      <c r="XAC13"/>
      <c r="XAD13"/>
      <c r="XAE13"/>
      <c r="XAF13"/>
      <c r="XAG13"/>
      <c r="XAH13"/>
      <c r="XAI13"/>
      <c r="XAJ13"/>
      <c r="XAK13"/>
      <c r="XAL13"/>
      <c r="XAM13"/>
      <c r="XAN13"/>
      <c r="XAO13"/>
      <c r="XAP13"/>
      <c r="XAQ13"/>
      <c r="XAR13"/>
      <c r="XAS13"/>
      <c r="XAT13"/>
      <c r="XAU13"/>
      <c r="XAV13"/>
      <c r="XAW13"/>
      <c r="XAX13"/>
      <c r="XAY13"/>
      <c r="XAZ13"/>
      <c r="XBA13"/>
      <c r="XBB13"/>
      <c r="XBC13"/>
      <c r="XBD13"/>
      <c r="XBE13"/>
      <c r="XBF13"/>
      <c r="XBG13"/>
      <c r="XBH13"/>
      <c r="XBI13"/>
      <c r="XBJ13"/>
      <c r="XBK13"/>
      <c r="XBL13"/>
      <c r="XBM13"/>
      <c r="XBN13"/>
      <c r="XBO13"/>
      <c r="XBP13"/>
      <c r="XBQ13"/>
      <c r="XBR13"/>
      <c r="XBS13"/>
      <c r="XBT13"/>
      <c r="XBU13"/>
      <c r="XBV13"/>
      <c r="XBW13"/>
      <c r="XBX13"/>
      <c r="XBY13"/>
      <c r="XBZ13"/>
      <c r="XCA13"/>
      <c r="XCB13"/>
      <c r="XCC13"/>
      <c r="XCD13"/>
      <c r="XCE13"/>
      <c r="XCF13"/>
      <c r="XCG13"/>
      <c r="XCH13"/>
      <c r="XCI13"/>
      <c r="XCJ13"/>
      <c r="XCK13"/>
      <c r="XCL13"/>
      <c r="XCM13"/>
      <c r="XCN13"/>
      <c r="XCO13"/>
      <c r="XCP13"/>
      <c r="XCQ13"/>
      <c r="XCR13"/>
      <c r="XCS13"/>
      <c r="XCT13"/>
      <c r="XCU13"/>
      <c r="XCV13"/>
      <c r="XCW13"/>
      <c r="XCX13"/>
      <c r="XCY13"/>
      <c r="XCZ13"/>
      <c r="XDA13"/>
      <c r="XDB13"/>
      <c r="XDC13"/>
      <c r="XDD13"/>
      <c r="XDE13"/>
      <c r="XDF13"/>
      <c r="XDG13"/>
      <c r="XDH13"/>
      <c r="XDI13"/>
      <c r="XDJ13"/>
      <c r="XDK13"/>
      <c r="XDL13"/>
      <c r="XDM13"/>
      <c r="XDN13"/>
      <c r="XDO13"/>
      <c r="XDP13"/>
      <c r="XDQ13"/>
      <c r="XDR13"/>
      <c r="XDS13"/>
      <c r="XDT13"/>
      <c r="XDU13"/>
      <c r="XDV13"/>
      <c r="XDW13"/>
      <c r="XDX13"/>
      <c r="XDY13"/>
      <c r="XDZ13"/>
      <c r="XEA13"/>
      <c r="XEB13"/>
      <c r="XEC13"/>
      <c r="XED13"/>
      <c r="XEE13"/>
      <c r="XEF13"/>
      <c r="XEG13"/>
      <c r="XEH13"/>
      <c r="XEI13"/>
      <c r="XEJ13"/>
      <c r="XEK13"/>
      <c r="XEL13"/>
      <c r="XEM13"/>
      <c r="XEN13"/>
      <c r="XEO13"/>
      <c r="XEP13"/>
      <c r="XEQ13"/>
      <c r="XER13"/>
      <c r="XES13"/>
      <c r="XET13"/>
      <c r="XEU13"/>
      <c r="XEV13"/>
      <c r="XEW13"/>
      <c r="XEX13"/>
      <c r="XEY13"/>
      <c r="XEZ13"/>
      <c r="XFA13"/>
      <c r="XFB13"/>
    </row>
    <row r="14" spans="1:16382" s="44" customFormat="1" x14ac:dyDescent="0.35">
      <c r="A14"/>
      <c r="B14" t="s">
        <v>914</v>
      </c>
      <c r="C14" s="28" t="s">
        <v>353</v>
      </c>
      <c r="D14" s="29" t="s">
        <v>354</v>
      </c>
      <c r="E14" s="29" t="s">
        <v>355</v>
      </c>
      <c r="F14" s="29" t="s">
        <v>356</v>
      </c>
      <c r="G14" s="29" t="s">
        <v>357</v>
      </c>
      <c r="H14" s="29" t="s">
        <v>358</v>
      </c>
      <c r="I14" s="29" t="s">
        <v>160</v>
      </c>
      <c r="J14" s="30" t="s">
        <v>359</v>
      </c>
      <c r="K14" s="29" t="s">
        <v>82</v>
      </c>
      <c r="L14" s="35">
        <v>1000</v>
      </c>
      <c r="M14" s="35">
        <v>1000</v>
      </c>
      <c r="N14" s="16">
        <f t="shared" si="0"/>
        <v>3928.6153846153848</v>
      </c>
      <c r="O14" s="35">
        <v>500</v>
      </c>
      <c r="P14" s="35">
        <v>500</v>
      </c>
      <c r="Q14" s="16">
        <f t="shared" si="1"/>
        <v>652.17391304347825</v>
      </c>
      <c r="R14" s="35">
        <v>1000</v>
      </c>
      <c r="S14" s="35">
        <v>1000</v>
      </c>
      <c r="T14" s="16">
        <f t="shared" si="2"/>
        <v>944.2622950819673</v>
      </c>
      <c r="U14" s="35">
        <v>0</v>
      </c>
      <c r="V14" s="35">
        <v>0</v>
      </c>
      <c r="W14" s="16">
        <f t="shared" si="3"/>
        <v>0</v>
      </c>
      <c r="X14" s="35">
        <v>0</v>
      </c>
      <c r="Y14" s="35">
        <v>0</v>
      </c>
      <c r="Z14" s="16">
        <f t="shared" si="4"/>
        <v>0</v>
      </c>
      <c r="AA14" s="35">
        <v>0</v>
      </c>
      <c r="AB14" s="35">
        <v>0</v>
      </c>
      <c r="AC14" s="16">
        <f t="shared" si="5"/>
        <v>0</v>
      </c>
      <c r="AD14" s="32" t="s">
        <v>82</v>
      </c>
      <c r="AE14" s="5">
        <v>1</v>
      </c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  <c r="AJY14"/>
      <c r="AJZ14"/>
      <c r="AKA14"/>
      <c r="AKB14"/>
      <c r="AKC14"/>
      <c r="AKD14"/>
      <c r="AKE14"/>
      <c r="AKF14"/>
      <c r="AKG14"/>
      <c r="AKH14"/>
      <c r="AKI14"/>
      <c r="AKJ14"/>
      <c r="AKK14"/>
      <c r="AKL14"/>
      <c r="AKM14"/>
      <c r="AKN14"/>
      <c r="AKO14"/>
      <c r="AKP14"/>
      <c r="AKQ14"/>
      <c r="AKR14"/>
      <c r="AKS14"/>
      <c r="AKT14"/>
      <c r="AKU14"/>
      <c r="AKV14"/>
      <c r="AKW14"/>
      <c r="AKX14"/>
      <c r="AKY14"/>
      <c r="AKZ14"/>
      <c r="ALA14"/>
      <c r="ALB14"/>
      <c r="ALC14"/>
      <c r="ALD14"/>
      <c r="ALE14"/>
      <c r="ALF14"/>
      <c r="ALG14"/>
      <c r="ALH14"/>
      <c r="ALI14"/>
      <c r="ALJ14"/>
      <c r="ALK14"/>
      <c r="ALL14"/>
      <c r="ALM14"/>
      <c r="ALN14"/>
      <c r="ALO14"/>
      <c r="ALP14"/>
      <c r="ALQ14"/>
      <c r="ALR14"/>
      <c r="ALS14"/>
      <c r="ALT14"/>
      <c r="ALU14"/>
      <c r="ALV14"/>
      <c r="ALW14"/>
      <c r="ALX14"/>
      <c r="ALY14"/>
      <c r="ALZ14"/>
      <c r="AMA14"/>
      <c r="AMB14"/>
      <c r="AMC14"/>
      <c r="AMD14"/>
      <c r="AME14"/>
      <c r="AMF14"/>
      <c r="AMG14"/>
      <c r="AMH14"/>
      <c r="AMI14"/>
      <c r="AMJ14"/>
      <c r="AMK14"/>
      <c r="AML14"/>
      <c r="AMM14"/>
      <c r="AMN14"/>
      <c r="AMO14"/>
      <c r="AMP14"/>
      <c r="AMQ14"/>
      <c r="AMR14"/>
      <c r="AMS14"/>
      <c r="AMT14"/>
      <c r="AMU14"/>
      <c r="AMV14"/>
      <c r="AMW14"/>
      <c r="AMX14"/>
      <c r="AMY14"/>
      <c r="AMZ14"/>
      <c r="ANA14"/>
      <c r="ANB14"/>
      <c r="ANC14"/>
      <c r="AND14"/>
      <c r="ANE14"/>
      <c r="ANF14"/>
      <c r="ANG14"/>
      <c r="ANH14"/>
      <c r="ANI14"/>
      <c r="ANJ14"/>
      <c r="ANK14"/>
      <c r="ANL14"/>
      <c r="ANM14"/>
      <c r="ANN14"/>
      <c r="ANO14"/>
      <c r="ANP14"/>
      <c r="ANQ14"/>
      <c r="ANR14"/>
      <c r="ANS14"/>
      <c r="ANT14"/>
      <c r="ANU14"/>
      <c r="ANV14"/>
      <c r="ANW14"/>
      <c r="ANX14"/>
      <c r="ANY14"/>
      <c r="ANZ14"/>
      <c r="AOA14"/>
      <c r="AOB14"/>
      <c r="AOC14"/>
      <c r="AOD14"/>
      <c r="AOE14"/>
      <c r="AOF14"/>
      <c r="AOG14"/>
      <c r="AOH14"/>
      <c r="AOI14"/>
      <c r="AOJ14"/>
      <c r="AOK14"/>
      <c r="AOL14"/>
      <c r="AOM14"/>
      <c r="AON14"/>
      <c r="AOO14"/>
      <c r="AOP14"/>
      <c r="AOQ14"/>
      <c r="AOR14"/>
      <c r="AOS14"/>
      <c r="AOT14"/>
      <c r="AOU14"/>
      <c r="AOV14"/>
      <c r="AOW14"/>
      <c r="AOX14"/>
      <c r="AOY14"/>
      <c r="AOZ14"/>
      <c r="APA14"/>
      <c r="APB14"/>
      <c r="APC14"/>
      <c r="APD14"/>
      <c r="APE14"/>
      <c r="APF14"/>
      <c r="APG14"/>
      <c r="APH14"/>
      <c r="API14"/>
      <c r="APJ14"/>
      <c r="APK14"/>
      <c r="APL14"/>
      <c r="APM14"/>
      <c r="APN14"/>
      <c r="APO14"/>
      <c r="APP14"/>
      <c r="APQ14"/>
      <c r="APR14"/>
      <c r="APS14"/>
      <c r="APT14"/>
      <c r="APU14"/>
      <c r="APV14"/>
      <c r="APW14"/>
      <c r="APX14"/>
      <c r="APY14"/>
      <c r="APZ14"/>
      <c r="AQA14"/>
      <c r="AQB14"/>
      <c r="AQC14"/>
      <c r="AQD14"/>
      <c r="AQE14"/>
      <c r="AQF14"/>
      <c r="AQG14"/>
      <c r="AQH14"/>
      <c r="AQI14"/>
      <c r="AQJ14"/>
      <c r="AQK14"/>
      <c r="AQL14"/>
      <c r="AQM14"/>
      <c r="AQN14"/>
      <c r="AQO14"/>
      <c r="AQP14"/>
      <c r="AQQ14"/>
      <c r="AQR14"/>
      <c r="AQS14"/>
      <c r="AQT14"/>
      <c r="AQU14"/>
      <c r="AQV14"/>
      <c r="AQW14"/>
      <c r="AQX14"/>
      <c r="AQY14"/>
      <c r="AQZ14"/>
      <c r="ARA14"/>
      <c r="ARB14"/>
      <c r="ARC14"/>
      <c r="ARD14"/>
      <c r="ARE14"/>
      <c r="ARF14"/>
      <c r="ARG14"/>
      <c r="ARH14"/>
      <c r="ARI14"/>
      <c r="ARJ14"/>
      <c r="ARK14"/>
      <c r="ARL14"/>
      <c r="ARM14"/>
      <c r="ARN14"/>
      <c r="ARO14"/>
      <c r="ARP14"/>
      <c r="ARQ14"/>
      <c r="ARR14"/>
      <c r="ARS14"/>
      <c r="ART14"/>
      <c r="ARU14"/>
      <c r="ARV14"/>
      <c r="ARW14"/>
      <c r="ARX14"/>
      <c r="ARY14"/>
      <c r="ARZ14"/>
      <c r="ASA14"/>
      <c r="ASB14"/>
      <c r="ASC14"/>
      <c r="ASD14"/>
      <c r="ASE14"/>
      <c r="ASF14"/>
      <c r="ASG14"/>
      <c r="ASH14"/>
      <c r="ASI14"/>
      <c r="ASJ14"/>
      <c r="ASK14"/>
      <c r="ASL14"/>
      <c r="ASM14"/>
      <c r="ASN14"/>
      <c r="ASO14"/>
      <c r="ASP14"/>
      <c r="ASQ14"/>
      <c r="ASR14"/>
      <c r="ASS14"/>
      <c r="AST14"/>
      <c r="ASU14"/>
      <c r="ASV14"/>
      <c r="ASW14"/>
      <c r="ASX14"/>
      <c r="ASY14"/>
      <c r="ASZ14"/>
      <c r="ATA14"/>
      <c r="ATB14"/>
      <c r="ATC14"/>
      <c r="ATD14"/>
      <c r="ATE14"/>
      <c r="ATF14"/>
      <c r="ATG14"/>
      <c r="ATH14"/>
      <c r="ATI14"/>
      <c r="ATJ14"/>
      <c r="ATK14"/>
      <c r="ATL14"/>
      <c r="ATM14"/>
      <c r="ATN14"/>
      <c r="ATO14"/>
      <c r="ATP14"/>
      <c r="ATQ14"/>
      <c r="ATR14"/>
      <c r="ATS14"/>
      <c r="ATT14"/>
      <c r="ATU14"/>
      <c r="ATV14"/>
      <c r="ATW14"/>
      <c r="ATX14"/>
      <c r="ATY14"/>
      <c r="ATZ14"/>
      <c r="AUA14"/>
      <c r="AUB14"/>
      <c r="AUC14"/>
      <c r="AUD14"/>
      <c r="AUE14"/>
      <c r="AUF14"/>
      <c r="AUG14"/>
      <c r="AUH14"/>
      <c r="AUI14"/>
      <c r="AUJ14"/>
      <c r="AUK14"/>
      <c r="AUL14"/>
      <c r="AUM14"/>
      <c r="AUN14"/>
      <c r="AUO14"/>
      <c r="AUP14"/>
      <c r="AUQ14"/>
      <c r="AUR14"/>
      <c r="AUS14"/>
      <c r="AUT14"/>
      <c r="AUU14"/>
      <c r="AUV14"/>
      <c r="AUW14"/>
      <c r="AUX14"/>
      <c r="AUY14"/>
      <c r="AUZ14"/>
      <c r="AVA14"/>
      <c r="AVB14"/>
      <c r="AVC14"/>
      <c r="AVD14"/>
      <c r="AVE14"/>
      <c r="AVF14"/>
      <c r="AVG14"/>
      <c r="AVH14"/>
      <c r="AVI14"/>
      <c r="AVJ14"/>
      <c r="AVK14"/>
      <c r="AVL14"/>
      <c r="AVM14"/>
      <c r="AVN14"/>
      <c r="AVO14"/>
      <c r="AVP14"/>
      <c r="AVQ14"/>
      <c r="AVR14"/>
      <c r="AVS14"/>
      <c r="AVT14"/>
      <c r="AVU14"/>
      <c r="AVV14"/>
      <c r="AVW14"/>
      <c r="AVX14"/>
      <c r="AVY14"/>
      <c r="AVZ14"/>
      <c r="AWA14"/>
      <c r="AWB14"/>
      <c r="AWC14"/>
      <c r="AWD14"/>
      <c r="AWE14"/>
      <c r="AWF14"/>
      <c r="AWG14"/>
      <c r="AWH14"/>
      <c r="AWI14"/>
      <c r="AWJ14"/>
      <c r="AWK14"/>
      <c r="AWL14"/>
      <c r="AWM14"/>
      <c r="AWN14"/>
      <c r="AWO14"/>
      <c r="AWP14"/>
      <c r="AWQ14"/>
      <c r="AWR14"/>
      <c r="AWS14"/>
      <c r="AWT14"/>
      <c r="AWU14"/>
      <c r="AWV14"/>
      <c r="AWW14"/>
      <c r="AWX14"/>
      <c r="AWY14"/>
      <c r="AWZ14"/>
      <c r="AXA14"/>
      <c r="AXB14"/>
      <c r="AXC14"/>
      <c r="AXD14"/>
      <c r="AXE14"/>
      <c r="AXF14"/>
      <c r="AXG14"/>
      <c r="AXH14"/>
      <c r="AXI14"/>
      <c r="AXJ14"/>
      <c r="AXK14"/>
      <c r="AXL14"/>
      <c r="AXM14"/>
      <c r="AXN14"/>
      <c r="AXO14"/>
      <c r="AXP14"/>
      <c r="AXQ14"/>
      <c r="AXR14"/>
      <c r="AXS14"/>
      <c r="AXT14"/>
      <c r="AXU14"/>
      <c r="AXV14"/>
      <c r="AXW14"/>
      <c r="AXX14"/>
      <c r="AXY14"/>
      <c r="AXZ14"/>
      <c r="AYA14"/>
      <c r="AYB14"/>
      <c r="AYC14"/>
      <c r="AYD14"/>
      <c r="AYE14"/>
      <c r="AYF14"/>
      <c r="AYG14"/>
      <c r="AYH14"/>
      <c r="AYI14"/>
      <c r="AYJ14"/>
      <c r="AYK14"/>
      <c r="AYL14"/>
      <c r="AYM14"/>
      <c r="AYN14"/>
      <c r="AYO14"/>
      <c r="AYP14"/>
      <c r="AYQ14"/>
      <c r="AYR14"/>
      <c r="AYS14"/>
      <c r="AYT14"/>
      <c r="AYU14"/>
      <c r="AYV14"/>
      <c r="AYW14"/>
      <c r="AYX14"/>
      <c r="AYY14"/>
      <c r="AYZ14"/>
      <c r="AZA14"/>
      <c r="AZB14"/>
      <c r="AZC14"/>
      <c r="AZD14"/>
      <c r="AZE14"/>
      <c r="AZF14"/>
      <c r="AZG14"/>
      <c r="AZH14"/>
      <c r="AZI14"/>
      <c r="AZJ14"/>
      <c r="AZK14"/>
      <c r="AZL14"/>
      <c r="AZM14"/>
      <c r="AZN14"/>
      <c r="AZO14"/>
      <c r="AZP14"/>
      <c r="AZQ14"/>
      <c r="AZR14"/>
      <c r="AZS14"/>
      <c r="AZT14"/>
      <c r="AZU14"/>
      <c r="AZV14"/>
      <c r="AZW14"/>
      <c r="AZX14"/>
      <c r="AZY14"/>
      <c r="AZZ14"/>
      <c r="BAA14"/>
      <c r="BAB14"/>
      <c r="BAC14"/>
      <c r="BAD14"/>
      <c r="BAE14"/>
      <c r="BAF14"/>
      <c r="BAG14"/>
      <c r="BAH14"/>
      <c r="BAI14"/>
      <c r="BAJ14"/>
      <c r="BAK14"/>
      <c r="BAL14"/>
      <c r="BAM14"/>
      <c r="BAN14"/>
      <c r="BAO14"/>
      <c r="BAP14"/>
      <c r="BAQ14"/>
      <c r="BAR14"/>
      <c r="BAS14"/>
      <c r="BAT14"/>
      <c r="BAU14"/>
      <c r="BAV14"/>
      <c r="BAW14"/>
      <c r="BAX14"/>
      <c r="BAY14"/>
      <c r="BAZ14"/>
      <c r="BBA14"/>
      <c r="BBB14"/>
      <c r="BBC14"/>
      <c r="BBD14"/>
      <c r="BBE14"/>
      <c r="BBF14"/>
      <c r="BBG14"/>
      <c r="BBH14"/>
      <c r="BBI14"/>
      <c r="BBJ14"/>
      <c r="BBK14"/>
      <c r="BBL14"/>
      <c r="BBM14"/>
      <c r="BBN14"/>
      <c r="BBO14"/>
      <c r="BBP14"/>
      <c r="BBQ14"/>
      <c r="BBR14"/>
      <c r="BBS14"/>
      <c r="BBT14"/>
      <c r="BBU14"/>
      <c r="BBV14"/>
      <c r="BBW14"/>
      <c r="BBX14"/>
      <c r="BBY14"/>
      <c r="BBZ14"/>
      <c r="BCA14"/>
      <c r="BCB14"/>
      <c r="BCC14"/>
      <c r="BCD14"/>
      <c r="BCE14"/>
      <c r="BCF14"/>
      <c r="BCG14"/>
      <c r="BCH14"/>
      <c r="BCI14"/>
      <c r="BCJ14"/>
      <c r="BCK14"/>
      <c r="BCL14"/>
      <c r="BCM14"/>
      <c r="BCN14"/>
      <c r="BCO14"/>
      <c r="BCP14"/>
      <c r="BCQ14"/>
      <c r="BCR14"/>
      <c r="BCS14"/>
      <c r="BCT14"/>
      <c r="BCU14"/>
      <c r="BCV14"/>
      <c r="BCW14"/>
      <c r="BCX14"/>
      <c r="BCY14"/>
      <c r="BCZ14"/>
      <c r="BDA14"/>
      <c r="BDB14"/>
      <c r="BDC14"/>
      <c r="BDD14"/>
      <c r="BDE14"/>
      <c r="BDF14"/>
      <c r="BDG14"/>
      <c r="BDH14"/>
      <c r="BDI14"/>
      <c r="BDJ14"/>
      <c r="BDK14"/>
      <c r="BDL14"/>
      <c r="BDM14"/>
      <c r="BDN14"/>
      <c r="BDO14"/>
      <c r="BDP14"/>
      <c r="BDQ14"/>
      <c r="BDR14"/>
      <c r="BDS14"/>
      <c r="BDT14"/>
      <c r="BDU14"/>
      <c r="BDV14"/>
      <c r="BDW14"/>
      <c r="BDX14"/>
      <c r="BDY14"/>
      <c r="BDZ14"/>
      <c r="BEA14"/>
      <c r="BEB14"/>
      <c r="BEC14"/>
      <c r="BED14"/>
      <c r="BEE14"/>
      <c r="BEF14"/>
      <c r="BEG14"/>
      <c r="BEH14"/>
      <c r="BEI14"/>
      <c r="BEJ14"/>
      <c r="BEK14"/>
      <c r="BEL14"/>
      <c r="BEM14"/>
      <c r="BEN14"/>
      <c r="BEO14"/>
      <c r="BEP14"/>
      <c r="BEQ14"/>
      <c r="BER14"/>
      <c r="BES14"/>
      <c r="BET14"/>
      <c r="BEU14"/>
      <c r="BEV14"/>
      <c r="BEW14"/>
      <c r="BEX14"/>
      <c r="BEY14"/>
      <c r="BEZ14"/>
      <c r="BFA14"/>
      <c r="BFB14"/>
      <c r="BFC14"/>
      <c r="BFD14"/>
      <c r="BFE14"/>
      <c r="BFF14"/>
      <c r="BFG14"/>
      <c r="BFH14"/>
      <c r="BFI14"/>
      <c r="BFJ14"/>
      <c r="BFK14"/>
      <c r="BFL14"/>
      <c r="BFM14"/>
      <c r="BFN14"/>
      <c r="BFO14"/>
      <c r="BFP14"/>
      <c r="BFQ14"/>
      <c r="BFR14"/>
      <c r="BFS14"/>
      <c r="BFT14"/>
      <c r="BFU14"/>
      <c r="BFV14"/>
      <c r="BFW14"/>
      <c r="BFX14"/>
      <c r="BFY14"/>
      <c r="BFZ14"/>
      <c r="BGA14"/>
      <c r="BGB14"/>
      <c r="BGC14"/>
      <c r="BGD14"/>
      <c r="BGE14"/>
      <c r="BGF14"/>
      <c r="BGG14"/>
      <c r="BGH14"/>
      <c r="BGI14"/>
      <c r="BGJ14"/>
      <c r="BGK14"/>
      <c r="BGL14"/>
      <c r="BGM14"/>
      <c r="BGN14"/>
      <c r="BGO14"/>
      <c r="BGP14"/>
      <c r="BGQ14"/>
      <c r="BGR14"/>
      <c r="BGS14"/>
      <c r="BGT14"/>
      <c r="BGU14"/>
      <c r="BGV14"/>
      <c r="BGW14"/>
      <c r="BGX14"/>
      <c r="BGY14"/>
      <c r="BGZ14"/>
      <c r="BHA14"/>
      <c r="BHB14"/>
      <c r="BHC14"/>
      <c r="BHD14"/>
      <c r="BHE14"/>
      <c r="BHF14"/>
      <c r="BHG14"/>
      <c r="BHH14"/>
      <c r="BHI14"/>
      <c r="BHJ14"/>
      <c r="BHK14"/>
      <c r="BHL14"/>
      <c r="BHM14"/>
      <c r="BHN14"/>
      <c r="BHO14"/>
      <c r="BHP14"/>
      <c r="BHQ14"/>
      <c r="BHR14"/>
      <c r="BHS14"/>
      <c r="BHT14"/>
      <c r="BHU14"/>
      <c r="BHV14"/>
      <c r="BHW14"/>
      <c r="BHX14"/>
      <c r="BHY14"/>
      <c r="BHZ14"/>
      <c r="BIA14"/>
      <c r="BIB14"/>
      <c r="BIC14"/>
      <c r="BID14"/>
      <c r="BIE14"/>
      <c r="BIF14"/>
      <c r="BIG14"/>
      <c r="BIH14"/>
      <c r="BII14"/>
      <c r="BIJ14"/>
      <c r="BIK14"/>
      <c r="BIL14"/>
      <c r="BIM14"/>
      <c r="BIN14"/>
      <c r="BIO14"/>
      <c r="BIP14"/>
      <c r="BIQ14"/>
      <c r="BIR14"/>
      <c r="BIS14"/>
      <c r="BIT14"/>
      <c r="BIU14"/>
      <c r="BIV14"/>
      <c r="BIW14"/>
      <c r="BIX14"/>
      <c r="BIY14"/>
      <c r="BIZ14"/>
      <c r="BJA14"/>
      <c r="BJB14"/>
      <c r="BJC14"/>
      <c r="BJD14"/>
      <c r="BJE14"/>
      <c r="BJF14"/>
      <c r="BJG14"/>
      <c r="BJH14"/>
      <c r="BJI14"/>
      <c r="BJJ14"/>
      <c r="BJK14"/>
      <c r="BJL14"/>
      <c r="BJM14"/>
      <c r="BJN14"/>
      <c r="BJO14"/>
      <c r="BJP14"/>
      <c r="BJQ14"/>
      <c r="BJR14"/>
      <c r="BJS14"/>
      <c r="BJT14"/>
      <c r="BJU14"/>
      <c r="BJV14"/>
      <c r="BJW14"/>
      <c r="BJX14"/>
      <c r="BJY14"/>
      <c r="BJZ14"/>
      <c r="BKA14"/>
      <c r="BKB14"/>
      <c r="BKC14"/>
      <c r="BKD14"/>
      <c r="BKE14"/>
      <c r="BKF14"/>
      <c r="BKG14"/>
      <c r="BKH14"/>
      <c r="BKI14"/>
      <c r="BKJ14"/>
      <c r="BKK14"/>
      <c r="BKL14"/>
      <c r="BKM14"/>
      <c r="BKN14"/>
      <c r="BKO14"/>
      <c r="BKP14"/>
      <c r="BKQ14"/>
      <c r="BKR14"/>
      <c r="BKS14"/>
      <c r="BKT14"/>
      <c r="BKU14"/>
      <c r="BKV14"/>
      <c r="BKW14"/>
      <c r="BKX14"/>
      <c r="BKY14"/>
      <c r="BKZ14"/>
      <c r="BLA14"/>
      <c r="BLB14"/>
      <c r="BLC14"/>
      <c r="BLD14"/>
      <c r="BLE14"/>
      <c r="BLF14"/>
      <c r="BLG14"/>
      <c r="BLH14"/>
      <c r="BLI14"/>
      <c r="BLJ14"/>
      <c r="BLK14"/>
      <c r="BLL14"/>
      <c r="BLM14"/>
      <c r="BLN14"/>
      <c r="BLO14"/>
      <c r="BLP14"/>
      <c r="BLQ14"/>
      <c r="BLR14"/>
      <c r="BLS14"/>
      <c r="BLT14"/>
      <c r="BLU14"/>
      <c r="BLV14"/>
      <c r="BLW14"/>
      <c r="BLX14"/>
      <c r="BLY14"/>
      <c r="BLZ14"/>
      <c r="BMA14"/>
      <c r="BMB14"/>
      <c r="BMC14"/>
      <c r="BMD14"/>
      <c r="BME14"/>
      <c r="BMF14"/>
      <c r="BMG14"/>
      <c r="BMH14"/>
      <c r="BMI14"/>
      <c r="BMJ14"/>
      <c r="BMK14"/>
      <c r="BML14"/>
      <c r="BMM14"/>
      <c r="BMN14"/>
      <c r="BMO14"/>
      <c r="BMP14"/>
      <c r="BMQ14"/>
      <c r="BMR14"/>
      <c r="BMS14"/>
      <c r="BMT14"/>
      <c r="BMU14"/>
      <c r="BMV14"/>
      <c r="BMW14"/>
      <c r="BMX14"/>
      <c r="BMY14"/>
      <c r="BMZ14"/>
      <c r="BNA14"/>
      <c r="BNB14"/>
      <c r="BNC14"/>
      <c r="BND14"/>
      <c r="BNE14"/>
      <c r="BNF14"/>
      <c r="BNG14"/>
      <c r="BNH14"/>
      <c r="BNI14"/>
      <c r="BNJ14"/>
      <c r="BNK14"/>
      <c r="BNL14"/>
      <c r="BNM14"/>
      <c r="BNN14"/>
      <c r="BNO14"/>
      <c r="BNP14"/>
      <c r="BNQ14"/>
      <c r="BNR14"/>
      <c r="BNS14"/>
      <c r="BNT14"/>
      <c r="BNU14"/>
      <c r="BNV14"/>
      <c r="BNW14"/>
      <c r="BNX14"/>
      <c r="BNY14"/>
      <c r="BNZ14"/>
      <c r="BOA14"/>
      <c r="BOB14"/>
      <c r="BOC14"/>
      <c r="BOD14"/>
      <c r="BOE14"/>
      <c r="BOF14"/>
      <c r="BOG14"/>
      <c r="BOH14"/>
      <c r="BOI14"/>
      <c r="BOJ14"/>
      <c r="BOK14"/>
      <c r="BOL14"/>
      <c r="BOM14"/>
      <c r="BON14"/>
      <c r="BOO14"/>
      <c r="BOP14"/>
      <c r="BOQ14"/>
      <c r="BOR14"/>
      <c r="BOS14"/>
      <c r="BOT14"/>
      <c r="BOU14"/>
      <c r="BOV14"/>
      <c r="BOW14"/>
      <c r="BOX14"/>
      <c r="BOY14"/>
      <c r="BOZ14"/>
      <c r="BPA14"/>
      <c r="BPB14"/>
      <c r="BPC14"/>
      <c r="BPD14"/>
      <c r="BPE14"/>
      <c r="BPF14"/>
      <c r="BPG14"/>
      <c r="BPH14"/>
      <c r="BPI14"/>
      <c r="BPJ14"/>
      <c r="BPK14"/>
      <c r="BPL14"/>
      <c r="BPM14"/>
      <c r="BPN14"/>
      <c r="BPO14"/>
      <c r="BPP14"/>
      <c r="BPQ14"/>
      <c r="BPR14"/>
      <c r="BPS14"/>
      <c r="BPT14"/>
      <c r="BPU14"/>
      <c r="BPV14"/>
      <c r="BPW14"/>
      <c r="BPX14"/>
      <c r="BPY14"/>
      <c r="BPZ14"/>
      <c r="BQA14"/>
      <c r="BQB14"/>
      <c r="BQC14"/>
      <c r="BQD14"/>
      <c r="BQE14"/>
      <c r="BQF14"/>
      <c r="BQG14"/>
      <c r="BQH14"/>
      <c r="BQI14"/>
      <c r="BQJ14"/>
      <c r="BQK14"/>
      <c r="BQL14"/>
      <c r="BQM14"/>
      <c r="BQN14"/>
      <c r="BQO14"/>
      <c r="BQP14"/>
      <c r="BQQ14"/>
      <c r="BQR14"/>
      <c r="BQS14"/>
      <c r="BQT14"/>
      <c r="BQU14"/>
      <c r="BQV14"/>
      <c r="BQW14"/>
      <c r="BQX14"/>
      <c r="BQY14"/>
      <c r="BQZ14"/>
      <c r="BRA14"/>
      <c r="BRB14"/>
      <c r="BRC14"/>
      <c r="BRD14"/>
      <c r="BRE14"/>
      <c r="BRF14"/>
      <c r="BRG14"/>
      <c r="BRH14"/>
      <c r="BRI14"/>
      <c r="BRJ14"/>
      <c r="BRK14"/>
      <c r="BRL14"/>
      <c r="BRM14"/>
      <c r="BRN14"/>
      <c r="BRO14"/>
      <c r="BRP14"/>
      <c r="BRQ14"/>
      <c r="BRR14"/>
      <c r="BRS14"/>
      <c r="BRT14"/>
      <c r="BRU14"/>
      <c r="BRV14"/>
      <c r="BRW14"/>
      <c r="BRX14"/>
      <c r="BRY14"/>
      <c r="BRZ14"/>
      <c r="BSA14"/>
      <c r="BSB14"/>
      <c r="BSC14"/>
      <c r="BSD14"/>
      <c r="BSE14"/>
      <c r="BSF14"/>
      <c r="BSG14"/>
      <c r="BSH14"/>
      <c r="BSI14"/>
      <c r="BSJ14"/>
      <c r="BSK14"/>
      <c r="BSL14"/>
      <c r="BSM14"/>
      <c r="BSN14"/>
      <c r="BSO14"/>
      <c r="BSP14"/>
      <c r="BSQ14"/>
      <c r="BSR14"/>
      <c r="BSS14"/>
      <c r="BST14"/>
      <c r="BSU14"/>
      <c r="BSV14"/>
      <c r="BSW14"/>
      <c r="BSX14"/>
      <c r="BSY14"/>
      <c r="BSZ14"/>
      <c r="BTA14"/>
      <c r="BTB14"/>
      <c r="BTC14"/>
      <c r="BTD14"/>
      <c r="BTE14"/>
      <c r="BTF14"/>
      <c r="BTG14"/>
      <c r="BTH14"/>
      <c r="BTI14"/>
      <c r="BTJ14"/>
      <c r="BTK14"/>
      <c r="BTL14"/>
      <c r="BTM14"/>
      <c r="BTN14"/>
      <c r="BTO14"/>
      <c r="BTP14"/>
      <c r="BTQ14"/>
      <c r="BTR14"/>
      <c r="BTS14"/>
      <c r="BTT14"/>
      <c r="BTU14"/>
      <c r="BTV14"/>
      <c r="BTW14"/>
      <c r="BTX14"/>
      <c r="BTY14"/>
      <c r="BTZ14"/>
      <c r="BUA14"/>
      <c r="BUB14"/>
      <c r="BUC14"/>
      <c r="BUD14"/>
      <c r="BUE14"/>
      <c r="BUF14"/>
      <c r="BUG14"/>
      <c r="BUH14"/>
      <c r="BUI14"/>
      <c r="BUJ14"/>
      <c r="BUK14"/>
      <c r="BUL14"/>
      <c r="BUM14"/>
      <c r="BUN14"/>
      <c r="BUO14"/>
      <c r="BUP14"/>
      <c r="BUQ14"/>
      <c r="BUR14"/>
      <c r="BUS14"/>
      <c r="BUT14"/>
      <c r="BUU14"/>
      <c r="BUV14"/>
      <c r="BUW14"/>
      <c r="BUX14"/>
      <c r="BUY14"/>
      <c r="BUZ14"/>
      <c r="BVA14"/>
      <c r="BVB14"/>
      <c r="BVC14"/>
      <c r="BVD14"/>
      <c r="BVE14"/>
      <c r="BVF14"/>
      <c r="BVG14"/>
      <c r="BVH14"/>
      <c r="BVI14"/>
      <c r="BVJ14"/>
      <c r="BVK14"/>
      <c r="BVL14"/>
      <c r="BVM14"/>
      <c r="BVN14"/>
      <c r="BVO14"/>
      <c r="BVP14"/>
      <c r="BVQ14"/>
      <c r="BVR14"/>
      <c r="BVS14"/>
      <c r="BVT14"/>
      <c r="BVU14"/>
      <c r="BVV14"/>
      <c r="BVW14"/>
      <c r="BVX14"/>
      <c r="BVY14"/>
      <c r="BVZ14"/>
      <c r="BWA14"/>
      <c r="BWB14"/>
      <c r="BWC14"/>
      <c r="BWD14"/>
      <c r="BWE14"/>
      <c r="BWF14"/>
      <c r="BWG14"/>
      <c r="BWH14"/>
      <c r="BWI14"/>
      <c r="BWJ14"/>
      <c r="BWK14"/>
      <c r="BWL14"/>
      <c r="BWM14"/>
      <c r="BWN14"/>
      <c r="BWO14"/>
      <c r="BWP14"/>
      <c r="BWQ14"/>
      <c r="BWR14"/>
      <c r="BWS14"/>
      <c r="BWT14"/>
      <c r="BWU14"/>
      <c r="BWV14"/>
      <c r="BWW14"/>
      <c r="BWX14"/>
      <c r="BWY14"/>
      <c r="BWZ14"/>
      <c r="BXA14"/>
      <c r="BXB14"/>
      <c r="BXC14"/>
      <c r="BXD14"/>
      <c r="BXE14"/>
      <c r="BXF14"/>
      <c r="BXG14"/>
      <c r="BXH14"/>
      <c r="BXI14"/>
      <c r="BXJ14"/>
      <c r="BXK14"/>
      <c r="BXL14"/>
      <c r="BXM14"/>
      <c r="BXN14"/>
      <c r="BXO14"/>
      <c r="BXP14"/>
      <c r="BXQ14"/>
      <c r="BXR14"/>
      <c r="BXS14"/>
      <c r="BXT14"/>
      <c r="BXU14"/>
      <c r="BXV14"/>
      <c r="BXW14"/>
      <c r="BXX14"/>
      <c r="BXY14"/>
      <c r="BXZ14"/>
      <c r="BYA14"/>
      <c r="BYB14"/>
      <c r="BYC14"/>
      <c r="BYD14"/>
      <c r="BYE14"/>
      <c r="BYF14"/>
      <c r="BYG14"/>
      <c r="BYH14"/>
      <c r="BYI14"/>
      <c r="BYJ14"/>
      <c r="BYK14"/>
      <c r="BYL14"/>
      <c r="BYM14"/>
      <c r="BYN14"/>
      <c r="BYO14"/>
      <c r="BYP14"/>
      <c r="BYQ14"/>
      <c r="BYR14"/>
      <c r="BYS14"/>
      <c r="BYT14"/>
      <c r="BYU14"/>
      <c r="BYV14"/>
      <c r="BYW14"/>
      <c r="BYX14"/>
      <c r="BYY14"/>
      <c r="BYZ14"/>
      <c r="BZA14"/>
      <c r="BZB14"/>
      <c r="BZC14"/>
      <c r="BZD14"/>
      <c r="BZE14"/>
      <c r="BZF14"/>
      <c r="BZG14"/>
      <c r="BZH14"/>
      <c r="BZI14"/>
      <c r="BZJ14"/>
      <c r="BZK14"/>
      <c r="BZL14"/>
      <c r="BZM14"/>
      <c r="BZN14"/>
      <c r="BZO14"/>
      <c r="BZP14"/>
      <c r="BZQ14"/>
      <c r="BZR14"/>
      <c r="BZS14"/>
      <c r="BZT14"/>
      <c r="BZU14"/>
      <c r="BZV14"/>
      <c r="BZW14"/>
      <c r="BZX14"/>
      <c r="BZY14"/>
      <c r="BZZ14"/>
      <c r="CAA14"/>
      <c r="CAB14"/>
      <c r="CAC14"/>
      <c r="CAD14"/>
      <c r="CAE14"/>
      <c r="CAF14"/>
      <c r="CAG14"/>
      <c r="CAH14"/>
      <c r="CAI14"/>
      <c r="CAJ14"/>
      <c r="CAK14"/>
      <c r="CAL14"/>
      <c r="CAM14"/>
      <c r="CAN14"/>
      <c r="CAO14"/>
      <c r="CAP14"/>
      <c r="CAQ14"/>
      <c r="CAR14"/>
      <c r="CAS14"/>
      <c r="CAT14"/>
      <c r="CAU14"/>
      <c r="CAV14"/>
      <c r="CAW14"/>
      <c r="CAX14"/>
      <c r="CAY14"/>
      <c r="CAZ14"/>
      <c r="CBA14"/>
      <c r="CBB14"/>
      <c r="CBC14"/>
      <c r="CBD14"/>
      <c r="CBE14"/>
      <c r="CBF14"/>
      <c r="CBG14"/>
      <c r="CBH14"/>
      <c r="CBI14"/>
      <c r="CBJ14"/>
      <c r="CBK14"/>
      <c r="CBL14"/>
      <c r="CBM14"/>
      <c r="CBN14"/>
      <c r="CBO14"/>
      <c r="CBP14"/>
      <c r="CBQ14"/>
      <c r="CBR14"/>
      <c r="CBS14"/>
      <c r="CBT14"/>
      <c r="CBU14"/>
      <c r="CBV14"/>
      <c r="CBW14"/>
      <c r="CBX14"/>
      <c r="CBY14"/>
      <c r="CBZ14"/>
      <c r="CCA14"/>
      <c r="CCB14"/>
      <c r="CCC14"/>
      <c r="CCD14"/>
      <c r="CCE14"/>
      <c r="CCF14"/>
      <c r="CCG14"/>
      <c r="CCH14"/>
      <c r="CCI14"/>
      <c r="CCJ14"/>
      <c r="CCK14"/>
      <c r="CCL14"/>
      <c r="CCM14"/>
      <c r="CCN14"/>
      <c r="CCO14"/>
      <c r="CCP14"/>
      <c r="CCQ14"/>
      <c r="CCR14"/>
      <c r="CCS14"/>
      <c r="CCT14"/>
      <c r="CCU14"/>
      <c r="CCV14"/>
      <c r="CCW14"/>
      <c r="CCX14"/>
      <c r="CCY14"/>
      <c r="CCZ14"/>
      <c r="CDA14"/>
      <c r="CDB14"/>
      <c r="CDC14"/>
      <c r="CDD14"/>
      <c r="CDE14"/>
      <c r="CDF14"/>
      <c r="CDG14"/>
      <c r="CDH14"/>
      <c r="CDI14"/>
      <c r="CDJ14"/>
      <c r="CDK14"/>
      <c r="CDL14"/>
      <c r="CDM14"/>
      <c r="CDN14"/>
      <c r="CDO14"/>
      <c r="CDP14"/>
      <c r="CDQ14"/>
      <c r="CDR14"/>
      <c r="CDS14"/>
      <c r="CDT14"/>
      <c r="CDU14"/>
      <c r="CDV14"/>
      <c r="CDW14"/>
      <c r="CDX14"/>
      <c r="CDY14"/>
      <c r="CDZ14"/>
      <c r="CEA14"/>
      <c r="CEB14"/>
      <c r="CEC14"/>
      <c r="CED14"/>
      <c r="CEE14"/>
      <c r="CEF14"/>
      <c r="CEG14"/>
      <c r="CEH14"/>
      <c r="CEI14"/>
      <c r="CEJ14"/>
      <c r="CEK14"/>
      <c r="CEL14"/>
      <c r="CEM14"/>
      <c r="CEN14"/>
      <c r="CEO14"/>
      <c r="CEP14"/>
      <c r="CEQ14"/>
      <c r="CER14"/>
      <c r="CES14"/>
      <c r="CET14"/>
      <c r="CEU14"/>
      <c r="CEV14"/>
      <c r="CEW14"/>
      <c r="CEX14"/>
      <c r="CEY14"/>
      <c r="CEZ14"/>
      <c r="CFA14"/>
      <c r="CFB14"/>
      <c r="CFC14"/>
      <c r="CFD14"/>
      <c r="CFE14"/>
      <c r="CFF14"/>
      <c r="CFG14"/>
      <c r="CFH14"/>
      <c r="CFI14"/>
      <c r="CFJ14"/>
      <c r="CFK14"/>
      <c r="CFL14"/>
      <c r="CFM14"/>
      <c r="CFN14"/>
      <c r="CFO14"/>
      <c r="CFP14"/>
      <c r="CFQ14"/>
      <c r="CFR14"/>
      <c r="CFS14"/>
      <c r="CFT14"/>
      <c r="CFU14"/>
      <c r="CFV14"/>
      <c r="CFW14"/>
      <c r="CFX14"/>
      <c r="CFY14"/>
      <c r="CFZ14"/>
      <c r="CGA14"/>
      <c r="CGB14"/>
      <c r="CGC14"/>
      <c r="CGD14"/>
      <c r="CGE14"/>
      <c r="CGF14"/>
      <c r="CGG14"/>
      <c r="CGH14"/>
      <c r="CGI14"/>
      <c r="CGJ14"/>
      <c r="CGK14"/>
      <c r="CGL14"/>
      <c r="CGM14"/>
      <c r="CGN14"/>
      <c r="CGO14"/>
      <c r="CGP14"/>
      <c r="CGQ14"/>
      <c r="CGR14"/>
      <c r="CGS14"/>
      <c r="CGT14"/>
      <c r="CGU14"/>
      <c r="CGV14"/>
      <c r="CGW14"/>
      <c r="CGX14"/>
      <c r="CGY14"/>
      <c r="CGZ14"/>
      <c r="CHA14"/>
      <c r="CHB14"/>
      <c r="CHC14"/>
      <c r="CHD14"/>
      <c r="CHE14"/>
      <c r="CHF14"/>
      <c r="CHG14"/>
      <c r="CHH14"/>
      <c r="CHI14"/>
      <c r="CHJ14"/>
      <c r="CHK14"/>
      <c r="CHL14"/>
      <c r="CHM14"/>
      <c r="CHN14"/>
      <c r="CHO14"/>
      <c r="CHP14"/>
      <c r="CHQ14"/>
      <c r="CHR14"/>
      <c r="CHS14"/>
      <c r="CHT14"/>
      <c r="CHU14"/>
      <c r="CHV14"/>
      <c r="CHW14"/>
      <c r="CHX14"/>
      <c r="CHY14"/>
      <c r="CHZ14"/>
      <c r="CIA14"/>
      <c r="CIB14"/>
      <c r="CIC14"/>
      <c r="CID14"/>
      <c r="CIE14"/>
      <c r="CIF14"/>
      <c r="CIG14"/>
      <c r="CIH14"/>
      <c r="CII14"/>
      <c r="CIJ14"/>
      <c r="CIK14"/>
      <c r="CIL14"/>
      <c r="CIM14"/>
      <c r="CIN14"/>
      <c r="CIO14"/>
      <c r="CIP14"/>
      <c r="CIQ14"/>
      <c r="CIR14"/>
      <c r="CIS14"/>
      <c r="CIT14"/>
      <c r="CIU14"/>
      <c r="CIV14"/>
      <c r="CIW14"/>
      <c r="CIX14"/>
      <c r="CIY14"/>
      <c r="CIZ14"/>
      <c r="CJA14"/>
      <c r="CJB14"/>
      <c r="CJC14"/>
      <c r="CJD14"/>
      <c r="CJE14"/>
      <c r="CJF14"/>
      <c r="CJG14"/>
      <c r="CJH14"/>
      <c r="CJI14"/>
      <c r="CJJ14"/>
      <c r="CJK14"/>
      <c r="CJL14"/>
      <c r="CJM14"/>
      <c r="CJN14"/>
      <c r="CJO14"/>
      <c r="CJP14"/>
      <c r="CJQ14"/>
      <c r="CJR14"/>
      <c r="CJS14"/>
      <c r="CJT14"/>
      <c r="CJU14"/>
      <c r="CJV14"/>
      <c r="CJW14"/>
      <c r="CJX14"/>
      <c r="CJY14"/>
      <c r="CJZ14"/>
      <c r="CKA14"/>
      <c r="CKB14"/>
      <c r="CKC14"/>
      <c r="CKD14"/>
      <c r="CKE14"/>
      <c r="CKF14"/>
      <c r="CKG14"/>
      <c r="CKH14"/>
      <c r="CKI14"/>
      <c r="CKJ14"/>
      <c r="CKK14"/>
      <c r="CKL14"/>
      <c r="CKM14"/>
      <c r="CKN14"/>
      <c r="CKO14"/>
      <c r="CKP14"/>
      <c r="CKQ14"/>
      <c r="CKR14"/>
      <c r="CKS14"/>
      <c r="CKT14"/>
      <c r="CKU14"/>
      <c r="CKV14"/>
      <c r="CKW14"/>
      <c r="CKX14"/>
      <c r="CKY14"/>
      <c r="CKZ14"/>
      <c r="CLA14"/>
      <c r="CLB14"/>
      <c r="CLC14"/>
      <c r="CLD14"/>
      <c r="CLE14"/>
      <c r="CLF14"/>
      <c r="CLG14"/>
      <c r="CLH14"/>
      <c r="CLI14"/>
      <c r="CLJ14"/>
      <c r="CLK14"/>
      <c r="CLL14"/>
      <c r="CLM14"/>
      <c r="CLN14"/>
      <c r="CLO14"/>
      <c r="CLP14"/>
      <c r="CLQ14"/>
      <c r="CLR14"/>
      <c r="CLS14"/>
      <c r="CLT14"/>
      <c r="CLU14"/>
      <c r="CLV14"/>
      <c r="CLW14"/>
      <c r="CLX14"/>
      <c r="CLY14"/>
      <c r="CLZ14"/>
      <c r="CMA14"/>
      <c r="CMB14"/>
      <c r="CMC14"/>
      <c r="CMD14"/>
      <c r="CME14"/>
      <c r="CMF14"/>
      <c r="CMG14"/>
      <c r="CMH14"/>
      <c r="CMI14"/>
      <c r="CMJ14"/>
      <c r="CMK14"/>
      <c r="CML14"/>
      <c r="CMM14"/>
      <c r="CMN14"/>
      <c r="CMO14"/>
      <c r="CMP14"/>
      <c r="CMQ14"/>
      <c r="CMR14"/>
      <c r="CMS14"/>
      <c r="CMT14"/>
      <c r="CMU14"/>
      <c r="CMV14"/>
      <c r="CMW14"/>
      <c r="CMX14"/>
      <c r="CMY14"/>
      <c r="CMZ14"/>
      <c r="CNA14"/>
      <c r="CNB14"/>
      <c r="CNC14"/>
      <c r="CND14"/>
      <c r="CNE14"/>
      <c r="CNF14"/>
      <c r="CNG14"/>
      <c r="CNH14"/>
      <c r="CNI14"/>
      <c r="CNJ14"/>
      <c r="CNK14"/>
      <c r="CNL14"/>
      <c r="CNM14"/>
      <c r="CNN14"/>
      <c r="CNO14"/>
      <c r="CNP14"/>
      <c r="CNQ14"/>
      <c r="CNR14"/>
      <c r="CNS14"/>
      <c r="CNT14"/>
      <c r="CNU14"/>
      <c r="CNV14"/>
      <c r="CNW14"/>
      <c r="CNX14"/>
      <c r="CNY14"/>
      <c r="CNZ14"/>
      <c r="COA14"/>
      <c r="COB14"/>
      <c r="COC14"/>
      <c r="COD14"/>
      <c r="COE14"/>
      <c r="COF14"/>
      <c r="COG14"/>
      <c r="COH14"/>
      <c r="COI14"/>
      <c r="COJ14"/>
      <c r="COK14"/>
      <c r="COL14"/>
      <c r="COM14"/>
      <c r="CON14"/>
      <c r="COO14"/>
      <c r="COP14"/>
      <c r="COQ14"/>
      <c r="COR14"/>
      <c r="COS14"/>
      <c r="COT14"/>
      <c r="COU14"/>
      <c r="COV14"/>
      <c r="COW14"/>
      <c r="COX14"/>
      <c r="COY14"/>
      <c r="COZ14"/>
      <c r="CPA14"/>
      <c r="CPB14"/>
      <c r="CPC14"/>
      <c r="CPD14"/>
      <c r="CPE14"/>
      <c r="CPF14"/>
      <c r="CPG14"/>
      <c r="CPH14"/>
      <c r="CPI14"/>
      <c r="CPJ14"/>
      <c r="CPK14"/>
      <c r="CPL14"/>
      <c r="CPM14"/>
      <c r="CPN14"/>
      <c r="CPO14"/>
      <c r="CPP14"/>
      <c r="CPQ14"/>
      <c r="CPR14"/>
      <c r="CPS14"/>
      <c r="CPT14"/>
      <c r="CPU14"/>
      <c r="CPV14"/>
      <c r="CPW14"/>
      <c r="CPX14"/>
      <c r="CPY14"/>
      <c r="CPZ14"/>
      <c r="CQA14"/>
      <c r="CQB14"/>
      <c r="CQC14"/>
      <c r="CQD14"/>
      <c r="CQE14"/>
      <c r="CQF14"/>
      <c r="CQG14"/>
      <c r="CQH14"/>
      <c r="CQI14"/>
      <c r="CQJ14"/>
      <c r="CQK14"/>
      <c r="CQL14"/>
      <c r="CQM14"/>
      <c r="CQN14"/>
      <c r="CQO14"/>
      <c r="CQP14"/>
      <c r="CQQ14"/>
      <c r="CQR14"/>
      <c r="CQS14"/>
      <c r="CQT14"/>
      <c r="CQU14"/>
      <c r="CQV14"/>
      <c r="CQW14"/>
      <c r="CQX14"/>
      <c r="CQY14"/>
      <c r="CQZ14"/>
      <c r="CRA14"/>
      <c r="CRB14"/>
      <c r="CRC14"/>
      <c r="CRD14"/>
      <c r="CRE14"/>
      <c r="CRF14"/>
      <c r="CRG14"/>
      <c r="CRH14"/>
      <c r="CRI14"/>
      <c r="CRJ14"/>
      <c r="CRK14"/>
      <c r="CRL14"/>
      <c r="CRM14"/>
      <c r="CRN14"/>
      <c r="CRO14"/>
      <c r="CRP14"/>
      <c r="CRQ14"/>
      <c r="CRR14"/>
      <c r="CRS14"/>
      <c r="CRT14"/>
      <c r="CRU14"/>
      <c r="CRV14"/>
      <c r="CRW14"/>
      <c r="CRX14"/>
      <c r="CRY14"/>
      <c r="CRZ14"/>
      <c r="CSA14"/>
      <c r="CSB14"/>
      <c r="CSC14"/>
      <c r="CSD14"/>
      <c r="CSE14"/>
      <c r="CSF14"/>
      <c r="CSG14"/>
      <c r="CSH14"/>
      <c r="CSI14"/>
      <c r="CSJ14"/>
      <c r="CSK14"/>
      <c r="CSL14"/>
      <c r="CSM14"/>
      <c r="CSN14"/>
      <c r="CSO14"/>
      <c r="CSP14"/>
      <c r="CSQ14"/>
      <c r="CSR14"/>
      <c r="CSS14"/>
      <c r="CST14"/>
      <c r="CSU14"/>
      <c r="CSV14"/>
      <c r="CSW14"/>
      <c r="CSX14"/>
      <c r="CSY14"/>
      <c r="CSZ14"/>
      <c r="CTA14"/>
      <c r="CTB14"/>
      <c r="CTC14"/>
      <c r="CTD14"/>
      <c r="CTE14"/>
      <c r="CTF14"/>
      <c r="CTG14"/>
      <c r="CTH14"/>
      <c r="CTI14"/>
      <c r="CTJ14"/>
      <c r="CTK14"/>
      <c r="CTL14"/>
      <c r="CTM14"/>
      <c r="CTN14"/>
      <c r="CTO14"/>
      <c r="CTP14"/>
      <c r="CTQ14"/>
      <c r="CTR14"/>
      <c r="CTS14"/>
      <c r="CTT14"/>
      <c r="CTU14"/>
      <c r="CTV14"/>
      <c r="CTW14"/>
      <c r="CTX14"/>
      <c r="CTY14"/>
      <c r="CTZ14"/>
      <c r="CUA14"/>
      <c r="CUB14"/>
      <c r="CUC14"/>
      <c r="CUD14"/>
      <c r="CUE14"/>
      <c r="CUF14"/>
      <c r="CUG14"/>
      <c r="CUH14"/>
      <c r="CUI14"/>
      <c r="CUJ14"/>
      <c r="CUK14"/>
      <c r="CUL14"/>
      <c r="CUM14"/>
      <c r="CUN14"/>
      <c r="CUO14"/>
      <c r="CUP14"/>
      <c r="CUQ14"/>
      <c r="CUR14"/>
      <c r="CUS14"/>
      <c r="CUT14"/>
      <c r="CUU14"/>
      <c r="CUV14"/>
      <c r="CUW14"/>
      <c r="CUX14"/>
      <c r="CUY14"/>
      <c r="CUZ14"/>
      <c r="CVA14"/>
      <c r="CVB14"/>
      <c r="CVC14"/>
      <c r="CVD14"/>
      <c r="CVE14"/>
      <c r="CVF14"/>
      <c r="CVG14"/>
      <c r="CVH14"/>
      <c r="CVI14"/>
      <c r="CVJ14"/>
      <c r="CVK14"/>
      <c r="CVL14"/>
      <c r="CVM14"/>
      <c r="CVN14"/>
      <c r="CVO14"/>
      <c r="CVP14"/>
      <c r="CVQ14"/>
      <c r="CVR14"/>
      <c r="CVS14"/>
      <c r="CVT14"/>
      <c r="CVU14"/>
      <c r="CVV14"/>
      <c r="CVW14"/>
      <c r="CVX14"/>
      <c r="CVY14"/>
      <c r="CVZ14"/>
      <c r="CWA14"/>
      <c r="CWB14"/>
      <c r="CWC14"/>
      <c r="CWD14"/>
      <c r="CWE14"/>
      <c r="CWF14"/>
      <c r="CWG14"/>
      <c r="CWH14"/>
      <c r="CWI14"/>
      <c r="CWJ14"/>
      <c r="CWK14"/>
      <c r="CWL14"/>
      <c r="CWM14"/>
      <c r="CWN14"/>
      <c r="CWO14"/>
      <c r="CWP14"/>
      <c r="CWQ14"/>
      <c r="CWR14"/>
      <c r="CWS14"/>
      <c r="CWT14"/>
      <c r="CWU14"/>
      <c r="CWV14"/>
      <c r="CWW14"/>
      <c r="CWX14"/>
      <c r="CWY14"/>
      <c r="CWZ14"/>
      <c r="CXA14"/>
      <c r="CXB14"/>
      <c r="CXC14"/>
      <c r="CXD14"/>
      <c r="CXE14"/>
      <c r="CXF14"/>
      <c r="CXG14"/>
      <c r="CXH14"/>
      <c r="CXI14"/>
      <c r="CXJ14"/>
      <c r="CXK14"/>
      <c r="CXL14"/>
      <c r="CXM14"/>
      <c r="CXN14"/>
      <c r="CXO14"/>
      <c r="CXP14"/>
      <c r="CXQ14"/>
      <c r="CXR14"/>
      <c r="CXS14"/>
      <c r="CXT14"/>
      <c r="CXU14"/>
      <c r="CXV14"/>
      <c r="CXW14"/>
      <c r="CXX14"/>
      <c r="CXY14"/>
      <c r="CXZ14"/>
      <c r="CYA14"/>
      <c r="CYB14"/>
      <c r="CYC14"/>
      <c r="CYD14"/>
      <c r="CYE14"/>
      <c r="CYF14"/>
      <c r="CYG14"/>
      <c r="CYH14"/>
      <c r="CYI14"/>
      <c r="CYJ14"/>
      <c r="CYK14"/>
      <c r="CYL14"/>
      <c r="CYM14"/>
      <c r="CYN14"/>
      <c r="CYO14"/>
      <c r="CYP14"/>
      <c r="CYQ14"/>
      <c r="CYR14"/>
      <c r="CYS14"/>
      <c r="CYT14"/>
      <c r="CYU14"/>
      <c r="CYV14"/>
      <c r="CYW14"/>
      <c r="CYX14"/>
      <c r="CYY14"/>
      <c r="CYZ14"/>
      <c r="CZA14"/>
      <c r="CZB14"/>
      <c r="CZC14"/>
      <c r="CZD14"/>
      <c r="CZE14"/>
      <c r="CZF14"/>
      <c r="CZG14"/>
      <c r="CZH14"/>
      <c r="CZI14"/>
      <c r="CZJ14"/>
      <c r="CZK14"/>
      <c r="CZL14"/>
      <c r="CZM14"/>
      <c r="CZN14"/>
      <c r="CZO14"/>
      <c r="CZP14"/>
      <c r="CZQ14"/>
      <c r="CZR14"/>
      <c r="CZS14"/>
      <c r="CZT14"/>
      <c r="CZU14"/>
      <c r="CZV14"/>
      <c r="CZW14"/>
      <c r="CZX14"/>
      <c r="CZY14"/>
      <c r="CZZ14"/>
      <c r="DAA14"/>
      <c r="DAB14"/>
      <c r="DAC14"/>
      <c r="DAD14"/>
      <c r="DAE14"/>
      <c r="DAF14"/>
      <c r="DAG14"/>
      <c r="DAH14"/>
      <c r="DAI14"/>
      <c r="DAJ14"/>
      <c r="DAK14"/>
      <c r="DAL14"/>
      <c r="DAM14"/>
      <c r="DAN14"/>
      <c r="DAO14"/>
      <c r="DAP14"/>
      <c r="DAQ14"/>
      <c r="DAR14"/>
      <c r="DAS14"/>
      <c r="DAT14"/>
      <c r="DAU14"/>
      <c r="DAV14"/>
      <c r="DAW14"/>
      <c r="DAX14"/>
      <c r="DAY14"/>
      <c r="DAZ14"/>
      <c r="DBA14"/>
      <c r="DBB14"/>
      <c r="DBC14"/>
      <c r="DBD14"/>
      <c r="DBE14"/>
      <c r="DBF14"/>
      <c r="DBG14"/>
      <c r="DBH14"/>
      <c r="DBI14"/>
      <c r="DBJ14"/>
      <c r="DBK14"/>
      <c r="DBL14"/>
      <c r="DBM14"/>
      <c r="DBN14"/>
      <c r="DBO14"/>
      <c r="DBP14"/>
      <c r="DBQ14"/>
      <c r="DBR14"/>
      <c r="DBS14"/>
      <c r="DBT14"/>
      <c r="DBU14"/>
      <c r="DBV14"/>
      <c r="DBW14"/>
      <c r="DBX14"/>
      <c r="DBY14"/>
      <c r="DBZ14"/>
      <c r="DCA14"/>
      <c r="DCB14"/>
      <c r="DCC14"/>
      <c r="DCD14"/>
      <c r="DCE14"/>
      <c r="DCF14"/>
      <c r="DCG14"/>
      <c r="DCH14"/>
      <c r="DCI14"/>
      <c r="DCJ14"/>
      <c r="DCK14"/>
      <c r="DCL14"/>
      <c r="DCM14"/>
      <c r="DCN14"/>
      <c r="DCO14"/>
      <c r="DCP14"/>
      <c r="DCQ14"/>
      <c r="DCR14"/>
      <c r="DCS14"/>
      <c r="DCT14"/>
      <c r="DCU14"/>
      <c r="DCV14"/>
      <c r="DCW14"/>
      <c r="DCX14"/>
      <c r="DCY14"/>
      <c r="DCZ14"/>
      <c r="DDA14"/>
      <c r="DDB14"/>
      <c r="DDC14"/>
      <c r="DDD14"/>
      <c r="DDE14"/>
      <c r="DDF14"/>
      <c r="DDG14"/>
      <c r="DDH14"/>
      <c r="DDI14"/>
      <c r="DDJ14"/>
      <c r="DDK14"/>
      <c r="DDL14"/>
      <c r="DDM14"/>
      <c r="DDN14"/>
      <c r="DDO14"/>
      <c r="DDP14"/>
      <c r="DDQ14"/>
      <c r="DDR14"/>
      <c r="DDS14"/>
      <c r="DDT14"/>
      <c r="DDU14"/>
      <c r="DDV14"/>
      <c r="DDW14"/>
      <c r="DDX14"/>
      <c r="DDY14"/>
      <c r="DDZ14"/>
      <c r="DEA14"/>
      <c r="DEB14"/>
      <c r="DEC14"/>
      <c r="DED14"/>
      <c r="DEE14"/>
      <c r="DEF14"/>
      <c r="DEG14"/>
      <c r="DEH14"/>
      <c r="DEI14"/>
      <c r="DEJ14"/>
      <c r="DEK14"/>
      <c r="DEL14"/>
      <c r="DEM14"/>
      <c r="DEN14"/>
      <c r="DEO14"/>
      <c r="DEP14"/>
      <c r="DEQ14"/>
      <c r="DER14"/>
      <c r="DES14"/>
      <c r="DET14"/>
      <c r="DEU14"/>
      <c r="DEV14"/>
      <c r="DEW14"/>
      <c r="DEX14"/>
      <c r="DEY14"/>
      <c r="DEZ14"/>
      <c r="DFA14"/>
      <c r="DFB14"/>
      <c r="DFC14"/>
      <c r="DFD14"/>
      <c r="DFE14"/>
      <c r="DFF14"/>
      <c r="DFG14"/>
      <c r="DFH14"/>
      <c r="DFI14"/>
      <c r="DFJ14"/>
      <c r="DFK14"/>
      <c r="DFL14"/>
      <c r="DFM14"/>
      <c r="DFN14"/>
      <c r="DFO14"/>
      <c r="DFP14"/>
      <c r="DFQ14"/>
      <c r="DFR14"/>
      <c r="DFS14"/>
      <c r="DFT14"/>
      <c r="DFU14"/>
      <c r="DFV14"/>
      <c r="DFW14"/>
      <c r="DFX14"/>
      <c r="DFY14"/>
      <c r="DFZ14"/>
      <c r="DGA14"/>
      <c r="DGB14"/>
      <c r="DGC14"/>
      <c r="DGD14"/>
      <c r="DGE14"/>
      <c r="DGF14"/>
      <c r="DGG14"/>
      <c r="DGH14"/>
      <c r="DGI14"/>
      <c r="DGJ14"/>
      <c r="DGK14"/>
      <c r="DGL14"/>
      <c r="DGM14"/>
      <c r="DGN14"/>
      <c r="DGO14"/>
      <c r="DGP14"/>
      <c r="DGQ14"/>
      <c r="DGR14"/>
      <c r="DGS14"/>
      <c r="DGT14"/>
      <c r="DGU14"/>
      <c r="DGV14"/>
      <c r="DGW14"/>
      <c r="DGX14"/>
      <c r="DGY14"/>
      <c r="DGZ14"/>
      <c r="DHA14"/>
      <c r="DHB14"/>
      <c r="DHC14"/>
      <c r="DHD14"/>
      <c r="DHE14"/>
      <c r="DHF14"/>
      <c r="DHG14"/>
      <c r="DHH14"/>
      <c r="DHI14"/>
      <c r="DHJ14"/>
      <c r="DHK14"/>
      <c r="DHL14"/>
      <c r="DHM14"/>
      <c r="DHN14"/>
      <c r="DHO14"/>
      <c r="DHP14"/>
      <c r="DHQ14"/>
      <c r="DHR14"/>
      <c r="DHS14"/>
      <c r="DHT14"/>
      <c r="DHU14"/>
      <c r="DHV14"/>
      <c r="DHW14"/>
      <c r="DHX14"/>
      <c r="DHY14"/>
      <c r="DHZ14"/>
      <c r="DIA14"/>
      <c r="DIB14"/>
      <c r="DIC14"/>
      <c r="DID14"/>
      <c r="DIE14"/>
      <c r="DIF14"/>
      <c r="DIG14"/>
      <c r="DIH14"/>
      <c r="DII14"/>
      <c r="DIJ14"/>
      <c r="DIK14"/>
      <c r="DIL14"/>
      <c r="DIM14"/>
      <c r="DIN14"/>
      <c r="DIO14"/>
      <c r="DIP14"/>
      <c r="DIQ14"/>
      <c r="DIR14"/>
      <c r="DIS14"/>
      <c r="DIT14"/>
      <c r="DIU14"/>
      <c r="DIV14"/>
      <c r="DIW14"/>
      <c r="DIX14"/>
      <c r="DIY14"/>
      <c r="DIZ14"/>
      <c r="DJA14"/>
      <c r="DJB14"/>
      <c r="DJC14"/>
      <c r="DJD14"/>
      <c r="DJE14"/>
      <c r="DJF14"/>
      <c r="DJG14"/>
      <c r="DJH14"/>
      <c r="DJI14"/>
      <c r="DJJ14"/>
      <c r="DJK14"/>
      <c r="DJL14"/>
      <c r="DJM14"/>
      <c r="DJN14"/>
      <c r="DJO14"/>
      <c r="DJP14"/>
      <c r="DJQ14"/>
      <c r="DJR14"/>
      <c r="DJS14"/>
      <c r="DJT14"/>
      <c r="DJU14"/>
      <c r="DJV14"/>
      <c r="DJW14"/>
      <c r="DJX14"/>
      <c r="DJY14"/>
      <c r="DJZ14"/>
      <c r="DKA14"/>
      <c r="DKB14"/>
      <c r="DKC14"/>
      <c r="DKD14"/>
      <c r="DKE14"/>
      <c r="DKF14"/>
      <c r="DKG14"/>
      <c r="DKH14"/>
      <c r="DKI14"/>
      <c r="DKJ14"/>
      <c r="DKK14"/>
      <c r="DKL14"/>
      <c r="DKM14"/>
      <c r="DKN14"/>
      <c r="DKO14"/>
      <c r="DKP14"/>
      <c r="DKQ14"/>
      <c r="DKR14"/>
      <c r="DKS14"/>
      <c r="DKT14"/>
      <c r="DKU14"/>
      <c r="DKV14"/>
      <c r="DKW14"/>
      <c r="DKX14"/>
      <c r="DKY14"/>
      <c r="DKZ14"/>
      <c r="DLA14"/>
      <c r="DLB14"/>
      <c r="DLC14"/>
      <c r="DLD14"/>
      <c r="DLE14"/>
      <c r="DLF14"/>
      <c r="DLG14"/>
      <c r="DLH14"/>
      <c r="DLI14"/>
      <c r="DLJ14"/>
      <c r="DLK14"/>
      <c r="DLL14"/>
      <c r="DLM14"/>
      <c r="DLN14"/>
      <c r="DLO14"/>
      <c r="DLP14"/>
      <c r="DLQ14"/>
      <c r="DLR14"/>
      <c r="DLS14"/>
      <c r="DLT14"/>
      <c r="DLU14"/>
      <c r="DLV14"/>
      <c r="DLW14"/>
      <c r="DLX14"/>
      <c r="DLY14"/>
      <c r="DLZ14"/>
      <c r="DMA14"/>
      <c r="DMB14"/>
      <c r="DMC14"/>
      <c r="DMD14"/>
      <c r="DME14"/>
      <c r="DMF14"/>
      <c r="DMG14"/>
      <c r="DMH14"/>
      <c r="DMI14"/>
      <c r="DMJ14"/>
      <c r="DMK14"/>
      <c r="DML14"/>
      <c r="DMM14"/>
      <c r="DMN14"/>
      <c r="DMO14"/>
      <c r="DMP14"/>
      <c r="DMQ14"/>
      <c r="DMR14"/>
      <c r="DMS14"/>
      <c r="DMT14"/>
      <c r="DMU14"/>
      <c r="DMV14"/>
      <c r="DMW14"/>
      <c r="DMX14"/>
      <c r="DMY14"/>
      <c r="DMZ14"/>
      <c r="DNA14"/>
      <c r="DNB14"/>
      <c r="DNC14"/>
      <c r="DND14"/>
      <c r="DNE14"/>
      <c r="DNF14"/>
      <c r="DNG14"/>
      <c r="DNH14"/>
      <c r="DNI14"/>
      <c r="DNJ14"/>
      <c r="DNK14"/>
      <c r="DNL14"/>
      <c r="DNM14"/>
      <c r="DNN14"/>
      <c r="DNO14"/>
      <c r="DNP14"/>
      <c r="DNQ14"/>
      <c r="DNR14"/>
      <c r="DNS14"/>
      <c r="DNT14"/>
      <c r="DNU14"/>
      <c r="DNV14"/>
      <c r="DNW14"/>
      <c r="DNX14"/>
      <c r="DNY14"/>
      <c r="DNZ14"/>
      <c r="DOA14"/>
      <c r="DOB14"/>
      <c r="DOC14"/>
      <c r="DOD14"/>
      <c r="DOE14"/>
      <c r="DOF14"/>
      <c r="DOG14"/>
      <c r="DOH14"/>
      <c r="DOI14"/>
      <c r="DOJ14"/>
      <c r="DOK14"/>
      <c r="DOL14"/>
      <c r="DOM14"/>
      <c r="DON14"/>
      <c r="DOO14"/>
      <c r="DOP14"/>
      <c r="DOQ14"/>
      <c r="DOR14"/>
      <c r="DOS14"/>
      <c r="DOT14"/>
      <c r="DOU14"/>
      <c r="DOV14"/>
      <c r="DOW14"/>
      <c r="DOX14"/>
      <c r="DOY14"/>
      <c r="DOZ14"/>
      <c r="DPA14"/>
      <c r="DPB14"/>
      <c r="DPC14"/>
      <c r="DPD14"/>
      <c r="DPE14"/>
      <c r="DPF14"/>
      <c r="DPG14"/>
      <c r="DPH14"/>
      <c r="DPI14"/>
      <c r="DPJ14"/>
      <c r="DPK14"/>
      <c r="DPL14"/>
      <c r="DPM14"/>
      <c r="DPN14"/>
      <c r="DPO14"/>
      <c r="DPP14"/>
      <c r="DPQ14"/>
      <c r="DPR14"/>
      <c r="DPS14"/>
      <c r="DPT14"/>
      <c r="DPU14"/>
      <c r="DPV14"/>
      <c r="DPW14"/>
      <c r="DPX14"/>
      <c r="DPY14"/>
      <c r="DPZ14"/>
      <c r="DQA14"/>
      <c r="DQB14"/>
      <c r="DQC14"/>
      <c r="DQD14"/>
      <c r="DQE14"/>
      <c r="DQF14"/>
      <c r="DQG14"/>
      <c r="DQH14"/>
      <c r="DQI14"/>
      <c r="DQJ14"/>
      <c r="DQK14"/>
      <c r="DQL14"/>
      <c r="DQM14"/>
      <c r="DQN14"/>
      <c r="DQO14"/>
      <c r="DQP14"/>
      <c r="DQQ14"/>
      <c r="DQR14"/>
      <c r="DQS14"/>
      <c r="DQT14"/>
      <c r="DQU14"/>
      <c r="DQV14"/>
      <c r="DQW14"/>
      <c r="DQX14"/>
      <c r="DQY14"/>
      <c r="DQZ14"/>
      <c r="DRA14"/>
      <c r="DRB14"/>
      <c r="DRC14"/>
      <c r="DRD14"/>
      <c r="DRE14"/>
      <c r="DRF14"/>
      <c r="DRG14"/>
      <c r="DRH14"/>
      <c r="DRI14"/>
      <c r="DRJ14"/>
      <c r="DRK14"/>
      <c r="DRL14"/>
      <c r="DRM14"/>
      <c r="DRN14"/>
      <c r="DRO14"/>
      <c r="DRP14"/>
      <c r="DRQ14"/>
      <c r="DRR14"/>
      <c r="DRS14"/>
      <c r="DRT14"/>
      <c r="DRU14"/>
      <c r="DRV14"/>
      <c r="DRW14"/>
      <c r="DRX14"/>
      <c r="DRY14"/>
      <c r="DRZ14"/>
      <c r="DSA14"/>
      <c r="DSB14"/>
      <c r="DSC14"/>
      <c r="DSD14"/>
      <c r="DSE14"/>
      <c r="DSF14"/>
      <c r="DSG14"/>
      <c r="DSH14"/>
      <c r="DSI14"/>
      <c r="DSJ14"/>
      <c r="DSK14"/>
      <c r="DSL14"/>
      <c r="DSM14"/>
      <c r="DSN14"/>
      <c r="DSO14"/>
      <c r="DSP14"/>
      <c r="DSQ14"/>
      <c r="DSR14"/>
      <c r="DSS14"/>
      <c r="DST14"/>
      <c r="DSU14"/>
      <c r="DSV14"/>
      <c r="DSW14"/>
      <c r="DSX14"/>
      <c r="DSY14"/>
      <c r="DSZ14"/>
      <c r="DTA14"/>
      <c r="DTB14"/>
      <c r="DTC14"/>
      <c r="DTD14"/>
      <c r="DTE14"/>
      <c r="DTF14"/>
      <c r="DTG14"/>
      <c r="DTH14"/>
      <c r="DTI14"/>
      <c r="DTJ14"/>
      <c r="DTK14"/>
      <c r="DTL14"/>
      <c r="DTM14"/>
      <c r="DTN14"/>
      <c r="DTO14"/>
      <c r="DTP14"/>
      <c r="DTQ14"/>
      <c r="DTR14"/>
      <c r="DTS14"/>
      <c r="DTT14"/>
      <c r="DTU14"/>
      <c r="DTV14"/>
      <c r="DTW14"/>
      <c r="DTX14"/>
      <c r="DTY14"/>
      <c r="DTZ14"/>
      <c r="DUA14"/>
      <c r="DUB14"/>
      <c r="DUC14"/>
      <c r="DUD14"/>
      <c r="DUE14"/>
      <c r="DUF14"/>
      <c r="DUG14"/>
      <c r="DUH14"/>
      <c r="DUI14"/>
      <c r="DUJ14"/>
      <c r="DUK14"/>
      <c r="DUL14"/>
      <c r="DUM14"/>
      <c r="DUN14"/>
      <c r="DUO14"/>
      <c r="DUP14"/>
      <c r="DUQ14"/>
      <c r="DUR14"/>
      <c r="DUS14"/>
      <c r="DUT14"/>
      <c r="DUU14"/>
      <c r="DUV14"/>
      <c r="DUW14"/>
      <c r="DUX14"/>
      <c r="DUY14"/>
      <c r="DUZ14"/>
      <c r="DVA14"/>
      <c r="DVB14"/>
      <c r="DVC14"/>
      <c r="DVD14"/>
      <c r="DVE14"/>
      <c r="DVF14"/>
      <c r="DVG14"/>
      <c r="DVH14"/>
      <c r="DVI14"/>
      <c r="DVJ14"/>
      <c r="DVK14"/>
      <c r="DVL14"/>
      <c r="DVM14"/>
      <c r="DVN14"/>
      <c r="DVO14"/>
      <c r="DVP14"/>
      <c r="DVQ14"/>
      <c r="DVR14"/>
      <c r="DVS14"/>
      <c r="DVT14"/>
      <c r="DVU14"/>
      <c r="DVV14"/>
      <c r="DVW14"/>
      <c r="DVX14"/>
      <c r="DVY14"/>
      <c r="DVZ14"/>
      <c r="DWA14"/>
      <c r="DWB14"/>
      <c r="DWC14"/>
      <c r="DWD14"/>
      <c r="DWE14"/>
      <c r="DWF14"/>
      <c r="DWG14"/>
      <c r="DWH14"/>
      <c r="DWI14"/>
      <c r="DWJ14"/>
      <c r="DWK14"/>
      <c r="DWL14"/>
      <c r="DWM14"/>
      <c r="DWN14"/>
      <c r="DWO14"/>
      <c r="DWP14"/>
      <c r="DWQ14"/>
      <c r="DWR14"/>
      <c r="DWS14"/>
      <c r="DWT14"/>
      <c r="DWU14"/>
      <c r="DWV14"/>
      <c r="DWW14"/>
      <c r="DWX14"/>
      <c r="DWY14"/>
      <c r="DWZ14"/>
      <c r="DXA14"/>
      <c r="DXB14"/>
      <c r="DXC14"/>
      <c r="DXD14"/>
      <c r="DXE14"/>
      <c r="DXF14"/>
      <c r="DXG14"/>
      <c r="DXH14"/>
      <c r="DXI14"/>
      <c r="DXJ14"/>
      <c r="DXK14"/>
      <c r="DXL14"/>
      <c r="DXM14"/>
      <c r="DXN14"/>
      <c r="DXO14"/>
      <c r="DXP14"/>
      <c r="DXQ14"/>
      <c r="DXR14"/>
      <c r="DXS14"/>
      <c r="DXT14"/>
      <c r="DXU14"/>
      <c r="DXV14"/>
      <c r="DXW14"/>
      <c r="DXX14"/>
      <c r="DXY14"/>
      <c r="DXZ14"/>
      <c r="DYA14"/>
      <c r="DYB14"/>
      <c r="DYC14"/>
      <c r="DYD14"/>
      <c r="DYE14"/>
      <c r="DYF14"/>
      <c r="DYG14"/>
      <c r="DYH14"/>
      <c r="DYI14"/>
      <c r="DYJ14"/>
      <c r="DYK14"/>
      <c r="DYL14"/>
      <c r="DYM14"/>
      <c r="DYN14"/>
      <c r="DYO14"/>
      <c r="DYP14"/>
      <c r="DYQ14"/>
      <c r="DYR14"/>
      <c r="DYS14"/>
      <c r="DYT14"/>
      <c r="DYU14"/>
      <c r="DYV14"/>
      <c r="DYW14"/>
      <c r="DYX14"/>
      <c r="DYY14"/>
      <c r="DYZ14"/>
      <c r="DZA14"/>
      <c r="DZB14"/>
      <c r="DZC14"/>
      <c r="DZD14"/>
      <c r="DZE14"/>
      <c r="DZF14"/>
      <c r="DZG14"/>
      <c r="DZH14"/>
      <c r="DZI14"/>
      <c r="DZJ14"/>
      <c r="DZK14"/>
      <c r="DZL14"/>
      <c r="DZM14"/>
      <c r="DZN14"/>
      <c r="DZO14"/>
      <c r="DZP14"/>
      <c r="DZQ14"/>
      <c r="DZR14"/>
      <c r="DZS14"/>
      <c r="DZT14"/>
      <c r="DZU14"/>
      <c r="DZV14"/>
      <c r="DZW14"/>
      <c r="DZX14"/>
      <c r="DZY14"/>
      <c r="DZZ14"/>
      <c r="EAA14"/>
      <c r="EAB14"/>
      <c r="EAC14"/>
      <c r="EAD14"/>
      <c r="EAE14"/>
      <c r="EAF14"/>
      <c r="EAG14"/>
      <c r="EAH14"/>
      <c r="EAI14"/>
      <c r="EAJ14"/>
      <c r="EAK14"/>
      <c r="EAL14"/>
      <c r="EAM14"/>
      <c r="EAN14"/>
      <c r="EAO14"/>
      <c r="EAP14"/>
      <c r="EAQ14"/>
      <c r="EAR14"/>
      <c r="EAS14"/>
      <c r="EAT14"/>
      <c r="EAU14"/>
      <c r="EAV14"/>
      <c r="EAW14"/>
      <c r="EAX14"/>
      <c r="EAY14"/>
      <c r="EAZ14"/>
      <c r="EBA14"/>
      <c r="EBB14"/>
      <c r="EBC14"/>
      <c r="EBD14"/>
      <c r="EBE14"/>
      <c r="EBF14"/>
      <c r="EBG14"/>
      <c r="EBH14"/>
      <c r="EBI14"/>
      <c r="EBJ14"/>
      <c r="EBK14"/>
      <c r="EBL14"/>
      <c r="EBM14"/>
      <c r="EBN14"/>
      <c r="EBO14"/>
      <c r="EBP14"/>
      <c r="EBQ14"/>
      <c r="EBR14"/>
      <c r="EBS14"/>
      <c r="EBT14"/>
      <c r="EBU14"/>
      <c r="EBV14"/>
      <c r="EBW14"/>
      <c r="EBX14"/>
      <c r="EBY14"/>
      <c r="EBZ14"/>
      <c r="ECA14"/>
      <c r="ECB14"/>
      <c r="ECC14"/>
      <c r="ECD14"/>
      <c r="ECE14"/>
      <c r="ECF14"/>
      <c r="ECG14"/>
      <c r="ECH14"/>
      <c r="ECI14"/>
      <c r="ECJ14"/>
      <c r="ECK14"/>
      <c r="ECL14"/>
      <c r="ECM14"/>
      <c r="ECN14"/>
      <c r="ECO14"/>
      <c r="ECP14"/>
      <c r="ECQ14"/>
      <c r="ECR14"/>
      <c r="ECS14"/>
      <c r="ECT14"/>
      <c r="ECU14"/>
      <c r="ECV14"/>
      <c r="ECW14"/>
      <c r="ECX14"/>
      <c r="ECY14"/>
      <c r="ECZ14"/>
      <c r="EDA14"/>
      <c r="EDB14"/>
      <c r="EDC14"/>
      <c r="EDD14"/>
      <c r="EDE14"/>
      <c r="EDF14"/>
      <c r="EDG14"/>
      <c r="EDH14"/>
      <c r="EDI14"/>
      <c r="EDJ14"/>
      <c r="EDK14"/>
      <c r="EDL14"/>
      <c r="EDM14"/>
      <c r="EDN14"/>
      <c r="EDO14"/>
      <c r="EDP14"/>
      <c r="EDQ14"/>
      <c r="EDR14"/>
      <c r="EDS14"/>
      <c r="EDT14"/>
      <c r="EDU14"/>
      <c r="EDV14"/>
      <c r="EDW14"/>
      <c r="EDX14"/>
      <c r="EDY14"/>
      <c r="EDZ14"/>
      <c r="EEA14"/>
      <c r="EEB14"/>
      <c r="EEC14"/>
      <c r="EED14"/>
      <c r="EEE14"/>
      <c r="EEF14"/>
      <c r="EEG14"/>
      <c r="EEH14"/>
      <c r="EEI14"/>
      <c r="EEJ14"/>
      <c r="EEK14"/>
      <c r="EEL14"/>
      <c r="EEM14"/>
      <c r="EEN14"/>
      <c r="EEO14"/>
      <c r="EEP14"/>
      <c r="EEQ14"/>
      <c r="EER14"/>
      <c r="EES14"/>
      <c r="EET14"/>
      <c r="EEU14"/>
      <c r="EEV14"/>
      <c r="EEW14"/>
      <c r="EEX14"/>
      <c r="EEY14"/>
      <c r="EEZ14"/>
      <c r="EFA14"/>
      <c r="EFB14"/>
      <c r="EFC14"/>
      <c r="EFD14"/>
      <c r="EFE14"/>
      <c r="EFF14"/>
      <c r="EFG14"/>
      <c r="EFH14"/>
      <c r="EFI14"/>
      <c r="EFJ14"/>
      <c r="EFK14"/>
      <c r="EFL14"/>
      <c r="EFM14"/>
      <c r="EFN14"/>
      <c r="EFO14"/>
      <c r="EFP14"/>
      <c r="EFQ14"/>
      <c r="EFR14"/>
      <c r="EFS14"/>
      <c r="EFT14"/>
      <c r="EFU14"/>
      <c r="EFV14"/>
      <c r="EFW14"/>
      <c r="EFX14"/>
      <c r="EFY14"/>
      <c r="EFZ14"/>
      <c r="EGA14"/>
      <c r="EGB14"/>
      <c r="EGC14"/>
      <c r="EGD14"/>
      <c r="EGE14"/>
      <c r="EGF14"/>
      <c r="EGG14"/>
      <c r="EGH14"/>
      <c r="EGI14"/>
      <c r="EGJ14"/>
      <c r="EGK14"/>
      <c r="EGL14"/>
      <c r="EGM14"/>
      <c r="EGN14"/>
      <c r="EGO14"/>
      <c r="EGP14"/>
      <c r="EGQ14"/>
      <c r="EGR14"/>
      <c r="EGS14"/>
      <c r="EGT14"/>
      <c r="EGU14"/>
      <c r="EGV14"/>
      <c r="EGW14"/>
      <c r="EGX14"/>
      <c r="EGY14"/>
      <c r="EGZ14"/>
      <c r="EHA14"/>
      <c r="EHB14"/>
      <c r="EHC14"/>
      <c r="EHD14"/>
      <c r="EHE14"/>
      <c r="EHF14"/>
      <c r="EHG14"/>
      <c r="EHH14"/>
      <c r="EHI14"/>
      <c r="EHJ14"/>
      <c r="EHK14"/>
      <c r="EHL14"/>
      <c r="EHM14"/>
      <c r="EHN14"/>
      <c r="EHO14"/>
      <c r="EHP14"/>
      <c r="EHQ14"/>
      <c r="EHR14"/>
      <c r="EHS14"/>
      <c r="EHT14"/>
      <c r="EHU14"/>
      <c r="EHV14"/>
      <c r="EHW14"/>
      <c r="EHX14"/>
      <c r="EHY14"/>
      <c r="EHZ14"/>
      <c r="EIA14"/>
      <c r="EIB14"/>
      <c r="EIC14"/>
      <c r="EID14"/>
      <c r="EIE14"/>
      <c r="EIF14"/>
      <c r="EIG14"/>
      <c r="EIH14"/>
      <c r="EII14"/>
      <c r="EIJ14"/>
      <c r="EIK14"/>
      <c r="EIL14"/>
      <c r="EIM14"/>
      <c r="EIN14"/>
      <c r="EIO14"/>
      <c r="EIP14"/>
      <c r="EIQ14"/>
      <c r="EIR14"/>
      <c r="EIS14"/>
      <c r="EIT14"/>
      <c r="EIU14"/>
      <c r="EIV14"/>
      <c r="EIW14"/>
      <c r="EIX14"/>
      <c r="EIY14"/>
      <c r="EIZ14"/>
      <c r="EJA14"/>
      <c r="EJB14"/>
      <c r="EJC14"/>
      <c r="EJD14"/>
      <c r="EJE14"/>
      <c r="EJF14"/>
      <c r="EJG14"/>
      <c r="EJH14"/>
      <c r="EJI14"/>
      <c r="EJJ14"/>
      <c r="EJK14"/>
      <c r="EJL14"/>
      <c r="EJM14"/>
      <c r="EJN14"/>
      <c r="EJO14"/>
      <c r="EJP14"/>
      <c r="EJQ14"/>
      <c r="EJR14"/>
      <c r="EJS14"/>
      <c r="EJT14"/>
      <c r="EJU14"/>
      <c r="EJV14"/>
      <c r="EJW14"/>
      <c r="EJX14"/>
      <c r="EJY14"/>
      <c r="EJZ14"/>
      <c r="EKA14"/>
      <c r="EKB14"/>
      <c r="EKC14"/>
      <c r="EKD14"/>
      <c r="EKE14"/>
      <c r="EKF14"/>
      <c r="EKG14"/>
      <c r="EKH14"/>
      <c r="EKI14"/>
      <c r="EKJ14"/>
      <c r="EKK14"/>
      <c r="EKL14"/>
      <c r="EKM14"/>
      <c r="EKN14"/>
      <c r="EKO14"/>
      <c r="EKP14"/>
      <c r="EKQ14"/>
      <c r="EKR14"/>
      <c r="EKS14"/>
      <c r="EKT14"/>
      <c r="EKU14"/>
      <c r="EKV14"/>
      <c r="EKW14"/>
      <c r="EKX14"/>
      <c r="EKY14"/>
      <c r="EKZ14"/>
      <c r="ELA14"/>
      <c r="ELB14"/>
      <c r="ELC14"/>
      <c r="ELD14"/>
      <c r="ELE14"/>
      <c r="ELF14"/>
      <c r="ELG14"/>
      <c r="ELH14"/>
      <c r="ELI14"/>
      <c r="ELJ14"/>
      <c r="ELK14"/>
      <c r="ELL14"/>
      <c r="ELM14"/>
      <c r="ELN14"/>
      <c r="ELO14"/>
      <c r="ELP14"/>
      <c r="ELQ14"/>
      <c r="ELR14"/>
      <c r="ELS14"/>
      <c r="ELT14"/>
      <c r="ELU14"/>
      <c r="ELV14"/>
      <c r="ELW14"/>
      <c r="ELX14"/>
      <c r="ELY14"/>
      <c r="ELZ14"/>
      <c r="EMA14"/>
      <c r="EMB14"/>
      <c r="EMC14"/>
      <c r="EMD14"/>
      <c r="EME14"/>
      <c r="EMF14"/>
      <c r="EMG14"/>
      <c r="EMH14"/>
      <c r="EMI14"/>
      <c r="EMJ14"/>
      <c r="EMK14"/>
      <c r="EML14"/>
      <c r="EMM14"/>
      <c r="EMN14"/>
      <c r="EMO14"/>
      <c r="EMP14"/>
      <c r="EMQ14"/>
      <c r="EMR14"/>
      <c r="EMS14"/>
      <c r="EMT14"/>
      <c r="EMU14"/>
      <c r="EMV14"/>
      <c r="EMW14"/>
      <c r="EMX14"/>
      <c r="EMY14"/>
      <c r="EMZ14"/>
      <c r="ENA14"/>
      <c r="ENB14"/>
      <c r="ENC14"/>
      <c r="END14"/>
      <c r="ENE14"/>
      <c r="ENF14"/>
      <c r="ENG14"/>
      <c r="ENH14"/>
      <c r="ENI14"/>
      <c r="ENJ14"/>
      <c r="ENK14"/>
      <c r="ENL14"/>
      <c r="ENM14"/>
      <c r="ENN14"/>
      <c r="ENO14"/>
      <c r="ENP14"/>
      <c r="ENQ14"/>
      <c r="ENR14"/>
      <c r="ENS14"/>
      <c r="ENT14"/>
      <c r="ENU14"/>
      <c r="ENV14"/>
      <c r="ENW14"/>
      <c r="ENX14"/>
      <c r="ENY14"/>
      <c r="ENZ14"/>
      <c r="EOA14"/>
      <c r="EOB14"/>
      <c r="EOC14"/>
      <c r="EOD14"/>
      <c r="EOE14"/>
      <c r="EOF14"/>
      <c r="EOG14"/>
      <c r="EOH14"/>
      <c r="EOI14"/>
      <c r="EOJ14"/>
      <c r="EOK14"/>
      <c r="EOL14"/>
      <c r="EOM14"/>
      <c r="EON14"/>
      <c r="EOO14"/>
      <c r="EOP14"/>
      <c r="EOQ14"/>
      <c r="EOR14"/>
      <c r="EOS14"/>
      <c r="EOT14"/>
      <c r="EOU14"/>
      <c r="EOV14"/>
      <c r="EOW14"/>
      <c r="EOX14"/>
      <c r="EOY14"/>
      <c r="EOZ14"/>
      <c r="EPA14"/>
      <c r="EPB14"/>
      <c r="EPC14"/>
      <c r="EPD14"/>
      <c r="EPE14"/>
      <c r="EPF14"/>
      <c r="EPG14"/>
      <c r="EPH14"/>
      <c r="EPI14"/>
      <c r="EPJ14"/>
      <c r="EPK14"/>
      <c r="EPL14"/>
      <c r="EPM14"/>
      <c r="EPN14"/>
      <c r="EPO14"/>
      <c r="EPP14"/>
      <c r="EPQ14"/>
      <c r="EPR14"/>
      <c r="EPS14"/>
      <c r="EPT14"/>
      <c r="EPU14"/>
      <c r="EPV14"/>
      <c r="EPW14"/>
      <c r="EPX14"/>
      <c r="EPY14"/>
      <c r="EPZ14"/>
      <c r="EQA14"/>
      <c r="EQB14"/>
      <c r="EQC14"/>
      <c r="EQD14"/>
      <c r="EQE14"/>
      <c r="EQF14"/>
      <c r="EQG14"/>
      <c r="EQH14"/>
      <c r="EQI14"/>
      <c r="EQJ14"/>
      <c r="EQK14"/>
      <c r="EQL14"/>
      <c r="EQM14"/>
      <c r="EQN14"/>
      <c r="EQO14"/>
      <c r="EQP14"/>
      <c r="EQQ14"/>
      <c r="EQR14"/>
      <c r="EQS14"/>
      <c r="EQT14"/>
      <c r="EQU14"/>
      <c r="EQV14"/>
      <c r="EQW14"/>
      <c r="EQX14"/>
      <c r="EQY14"/>
      <c r="EQZ14"/>
      <c r="ERA14"/>
      <c r="ERB14"/>
      <c r="ERC14"/>
      <c r="ERD14"/>
      <c r="ERE14"/>
      <c r="ERF14"/>
      <c r="ERG14"/>
      <c r="ERH14"/>
      <c r="ERI14"/>
      <c r="ERJ14"/>
      <c r="ERK14"/>
      <c r="ERL14"/>
      <c r="ERM14"/>
      <c r="ERN14"/>
      <c r="ERO14"/>
      <c r="ERP14"/>
      <c r="ERQ14"/>
      <c r="ERR14"/>
      <c r="ERS14"/>
      <c r="ERT14"/>
      <c r="ERU14"/>
      <c r="ERV14"/>
      <c r="ERW14"/>
      <c r="ERX14"/>
      <c r="ERY14"/>
      <c r="ERZ14"/>
      <c r="ESA14"/>
      <c r="ESB14"/>
      <c r="ESC14"/>
      <c r="ESD14"/>
      <c r="ESE14"/>
      <c r="ESF14"/>
      <c r="ESG14"/>
      <c r="ESH14"/>
      <c r="ESI14"/>
      <c r="ESJ14"/>
      <c r="ESK14"/>
      <c r="ESL14"/>
      <c r="ESM14"/>
      <c r="ESN14"/>
      <c r="ESO14"/>
      <c r="ESP14"/>
      <c r="ESQ14"/>
      <c r="ESR14"/>
      <c r="ESS14"/>
      <c r="EST14"/>
      <c r="ESU14"/>
      <c r="ESV14"/>
      <c r="ESW14"/>
      <c r="ESX14"/>
      <c r="ESY14"/>
      <c r="ESZ14"/>
      <c r="ETA14"/>
      <c r="ETB14"/>
      <c r="ETC14"/>
      <c r="ETD14"/>
      <c r="ETE14"/>
      <c r="ETF14"/>
      <c r="ETG14"/>
      <c r="ETH14"/>
      <c r="ETI14"/>
      <c r="ETJ14"/>
      <c r="ETK14"/>
      <c r="ETL14"/>
      <c r="ETM14"/>
      <c r="ETN14"/>
      <c r="ETO14"/>
      <c r="ETP14"/>
      <c r="ETQ14"/>
      <c r="ETR14"/>
      <c r="ETS14"/>
      <c r="ETT14"/>
      <c r="ETU14"/>
      <c r="ETV14"/>
      <c r="ETW14"/>
      <c r="ETX14"/>
      <c r="ETY14"/>
      <c r="ETZ14"/>
      <c r="EUA14"/>
      <c r="EUB14"/>
      <c r="EUC14"/>
      <c r="EUD14"/>
      <c r="EUE14"/>
      <c r="EUF14"/>
      <c r="EUG14"/>
      <c r="EUH14"/>
      <c r="EUI14"/>
      <c r="EUJ14"/>
      <c r="EUK14"/>
      <c r="EUL14"/>
      <c r="EUM14"/>
      <c r="EUN14"/>
      <c r="EUO14"/>
      <c r="EUP14"/>
      <c r="EUQ14"/>
      <c r="EUR14"/>
      <c r="EUS14"/>
      <c r="EUT14"/>
      <c r="EUU14"/>
      <c r="EUV14"/>
      <c r="EUW14"/>
      <c r="EUX14"/>
      <c r="EUY14"/>
      <c r="EUZ14"/>
      <c r="EVA14"/>
      <c r="EVB14"/>
      <c r="EVC14"/>
      <c r="EVD14"/>
      <c r="EVE14"/>
      <c r="EVF14"/>
      <c r="EVG14"/>
      <c r="EVH14"/>
      <c r="EVI14"/>
      <c r="EVJ14"/>
      <c r="EVK14"/>
      <c r="EVL14"/>
      <c r="EVM14"/>
      <c r="EVN14"/>
      <c r="EVO14"/>
      <c r="EVP14"/>
      <c r="EVQ14"/>
      <c r="EVR14"/>
      <c r="EVS14"/>
      <c r="EVT14"/>
      <c r="EVU14"/>
      <c r="EVV14"/>
      <c r="EVW14"/>
      <c r="EVX14"/>
      <c r="EVY14"/>
      <c r="EVZ14"/>
      <c r="EWA14"/>
      <c r="EWB14"/>
      <c r="EWC14"/>
      <c r="EWD14"/>
      <c r="EWE14"/>
      <c r="EWF14"/>
      <c r="EWG14"/>
      <c r="EWH14"/>
      <c r="EWI14"/>
      <c r="EWJ14"/>
      <c r="EWK14"/>
      <c r="EWL14"/>
      <c r="EWM14"/>
      <c r="EWN14"/>
      <c r="EWO14"/>
      <c r="EWP14"/>
      <c r="EWQ14"/>
      <c r="EWR14"/>
      <c r="EWS14"/>
      <c r="EWT14"/>
      <c r="EWU14"/>
      <c r="EWV14"/>
      <c r="EWW14"/>
      <c r="EWX14"/>
      <c r="EWY14"/>
      <c r="EWZ14"/>
      <c r="EXA14"/>
      <c r="EXB14"/>
      <c r="EXC14"/>
      <c r="EXD14"/>
      <c r="EXE14"/>
      <c r="EXF14"/>
      <c r="EXG14"/>
      <c r="EXH14"/>
      <c r="EXI14"/>
      <c r="EXJ14"/>
      <c r="EXK14"/>
      <c r="EXL14"/>
      <c r="EXM14"/>
      <c r="EXN14"/>
      <c r="EXO14"/>
      <c r="EXP14"/>
      <c r="EXQ14"/>
      <c r="EXR14"/>
      <c r="EXS14"/>
      <c r="EXT14"/>
      <c r="EXU14"/>
      <c r="EXV14"/>
      <c r="EXW14"/>
      <c r="EXX14"/>
      <c r="EXY14"/>
      <c r="EXZ14"/>
      <c r="EYA14"/>
      <c r="EYB14"/>
      <c r="EYC14"/>
      <c r="EYD14"/>
      <c r="EYE14"/>
      <c r="EYF14"/>
      <c r="EYG14"/>
      <c r="EYH14"/>
      <c r="EYI14"/>
      <c r="EYJ14"/>
      <c r="EYK14"/>
      <c r="EYL14"/>
      <c r="EYM14"/>
      <c r="EYN14"/>
      <c r="EYO14"/>
      <c r="EYP14"/>
      <c r="EYQ14"/>
      <c r="EYR14"/>
      <c r="EYS14"/>
      <c r="EYT14"/>
      <c r="EYU14"/>
      <c r="EYV14"/>
      <c r="EYW14"/>
      <c r="EYX14"/>
      <c r="EYY14"/>
      <c r="EYZ14"/>
      <c r="EZA14"/>
      <c r="EZB14"/>
      <c r="EZC14"/>
      <c r="EZD14"/>
      <c r="EZE14"/>
      <c r="EZF14"/>
      <c r="EZG14"/>
      <c r="EZH14"/>
      <c r="EZI14"/>
      <c r="EZJ14"/>
      <c r="EZK14"/>
      <c r="EZL14"/>
      <c r="EZM14"/>
      <c r="EZN14"/>
      <c r="EZO14"/>
      <c r="EZP14"/>
      <c r="EZQ14"/>
      <c r="EZR14"/>
      <c r="EZS14"/>
      <c r="EZT14"/>
      <c r="EZU14"/>
      <c r="EZV14"/>
      <c r="EZW14"/>
      <c r="EZX14"/>
      <c r="EZY14"/>
      <c r="EZZ14"/>
      <c r="FAA14"/>
      <c r="FAB14"/>
      <c r="FAC14"/>
      <c r="FAD14"/>
      <c r="FAE14"/>
      <c r="FAF14"/>
      <c r="FAG14"/>
      <c r="FAH14"/>
      <c r="FAI14"/>
      <c r="FAJ14"/>
      <c r="FAK14"/>
      <c r="FAL14"/>
      <c r="FAM14"/>
      <c r="FAN14"/>
      <c r="FAO14"/>
      <c r="FAP14"/>
      <c r="FAQ14"/>
      <c r="FAR14"/>
      <c r="FAS14"/>
      <c r="FAT14"/>
      <c r="FAU14"/>
      <c r="FAV14"/>
      <c r="FAW14"/>
      <c r="FAX14"/>
      <c r="FAY14"/>
      <c r="FAZ14"/>
      <c r="FBA14"/>
      <c r="FBB14"/>
      <c r="FBC14"/>
      <c r="FBD14"/>
      <c r="FBE14"/>
      <c r="FBF14"/>
      <c r="FBG14"/>
      <c r="FBH14"/>
      <c r="FBI14"/>
      <c r="FBJ14"/>
      <c r="FBK14"/>
      <c r="FBL14"/>
      <c r="FBM14"/>
      <c r="FBN14"/>
      <c r="FBO14"/>
      <c r="FBP14"/>
      <c r="FBQ14"/>
      <c r="FBR14"/>
      <c r="FBS14"/>
      <c r="FBT14"/>
      <c r="FBU14"/>
      <c r="FBV14"/>
      <c r="FBW14"/>
      <c r="FBX14"/>
      <c r="FBY14"/>
      <c r="FBZ14"/>
      <c r="FCA14"/>
      <c r="FCB14"/>
      <c r="FCC14"/>
      <c r="FCD14"/>
      <c r="FCE14"/>
      <c r="FCF14"/>
      <c r="FCG14"/>
      <c r="FCH14"/>
      <c r="FCI14"/>
      <c r="FCJ14"/>
      <c r="FCK14"/>
      <c r="FCL14"/>
      <c r="FCM14"/>
      <c r="FCN14"/>
      <c r="FCO14"/>
      <c r="FCP14"/>
      <c r="FCQ14"/>
      <c r="FCR14"/>
      <c r="FCS14"/>
      <c r="FCT14"/>
      <c r="FCU14"/>
      <c r="FCV14"/>
      <c r="FCW14"/>
      <c r="FCX14"/>
      <c r="FCY14"/>
      <c r="FCZ14"/>
      <c r="FDA14"/>
      <c r="FDB14"/>
      <c r="FDC14"/>
      <c r="FDD14"/>
      <c r="FDE14"/>
      <c r="FDF14"/>
      <c r="FDG14"/>
      <c r="FDH14"/>
      <c r="FDI14"/>
      <c r="FDJ14"/>
      <c r="FDK14"/>
      <c r="FDL14"/>
      <c r="FDM14"/>
      <c r="FDN14"/>
      <c r="FDO14"/>
      <c r="FDP14"/>
      <c r="FDQ14"/>
      <c r="FDR14"/>
      <c r="FDS14"/>
      <c r="FDT14"/>
      <c r="FDU14"/>
      <c r="FDV14"/>
      <c r="FDW14"/>
      <c r="FDX14"/>
      <c r="FDY14"/>
      <c r="FDZ14"/>
      <c r="FEA14"/>
      <c r="FEB14"/>
      <c r="FEC14"/>
      <c r="FED14"/>
      <c r="FEE14"/>
      <c r="FEF14"/>
      <c r="FEG14"/>
      <c r="FEH14"/>
      <c r="FEI14"/>
      <c r="FEJ14"/>
      <c r="FEK14"/>
      <c r="FEL14"/>
      <c r="FEM14"/>
      <c r="FEN14"/>
      <c r="FEO14"/>
      <c r="FEP14"/>
      <c r="FEQ14"/>
      <c r="FER14"/>
      <c r="FES14"/>
      <c r="FET14"/>
      <c r="FEU14"/>
      <c r="FEV14"/>
      <c r="FEW14"/>
      <c r="FEX14"/>
      <c r="FEY14"/>
      <c r="FEZ14"/>
      <c r="FFA14"/>
      <c r="FFB14"/>
      <c r="FFC14"/>
      <c r="FFD14"/>
      <c r="FFE14"/>
      <c r="FFF14"/>
      <c r="FFG14"/>
      <c r="FFH14"/>
      <c r="FFI14"/>
      <c r="FFJ14"/>
      <c r="FFK14"/>
      <c r="FFL14"/>
      <c r="FFM14"/>
      <c r="FFN14"/>
      <c r="FFO14"/>
      <c r="FFP14"/>
      <c r="FFQ14"/>
      <c r="FFR14"/>
      <c r="FFS14"/>
      <c r="FFT14"/>
      <c r="FFU14"/>
      <c r="FFV14"/>
      <c r="FFW14"/>
      <c r="FFX14"/>
      <c r="FFY14"/>
      <c r="FFZ14"/>
      <c r="FGA14"/>
      <c r="FGB14"/>
      <c r="FGC14"/>
      <c r="FGD14"/>
      <c r="FGE14"/>
      <c r="FGF14"/>
      <c r="FGG14"/>
      <c r="FGH14"/>
      <c r="FGI14"/>
      <c r="FGJ14"/>
      <c r="FGK14"/>
      <c r="FGL14"/>
      <c r="FGM14"/>
      <c r="FGN14"/>
      <c r="FGO14"/>
      <c r="FGP14"/>
      <c r="FGQ14"/>
      <c r="FGR14"/>
      <c r="FGS14"/>
      <c r="FGT14"/>
      <c r="FGU14"/>
      <c r="FGV14"/>
      <c r="FGW14"/>
      <c r="FGX14"/>
      <c r="FGY14"/>
      <c r="FGZ14"/>
      <c r="FHA14"/>
      <c r="FHB14"/>
      <c r="FHC14"/>
      <c r="FHD14"/>
      <c r="FHE14"/>
      <c r="FHF14"/>
      <c r="FHG14"/>
      <c r="FHH14"/>
      <c r="FHI14"/>
      <c r="FHJ14"/>
      <c r="FHK14"/>
      <c r="FHL14"/>
      <c r="FHM14"/>
      <c r="FHN14"/>
      <c r="FHO14"/>
      <c r="FHP14"/>
      <c r="FHQ14"/>
      <c r="FHR14"/>
      <c r="FHS14"/>
      <c r="FHT14"/>
      <c r="FHU14"/>
      <c r="FHV14"/>
      <c r="FHW14"/>
      <c r="FHX14"/>
      <c r="FHY14"/>
      <c r="FHZ14"/>
      <c r="FIA14"/>
      <c r="FIB14"/>
      <c r="FIC14"/>
      <c r="FID14"/>
      <c r="FIE14"/>
      <c r="FIF14"/>
      <c r="FIG14"/>
      <c r="FIH14"/>
      <c r="FII14"/>
      <c r="FIJ14"/>
      <c r="FIK14"/>
      <c r="FIL14"/>
      <c r="FIM14"/>
      <c r="FIN14"/>
      <c r="FIO14"/>
      <c r="FIP14"/>
      <c r="FIQ14"/>
      <c r="FIR14"/>
      <c r="FIS14"/>
      <c r="FIT14"/>
      <c r="FIU14"/>
      <c r="FIV14"/>
      <c r="FIW14"/>
      <c r="FIX14"/>
      <c r="FIY14"/>
      <c r="FIZ14"/>
      <c r="FJA14"/>
      <c r="FJB14"/>
      <c r="FJC14"/>
      <c r="FJD14"/>
      <c r="FJE14"/>
      <c r="FJF14"/>
      <c r="FJG14"/>
      <c r="FJH14"/>
      <c r="FJI14"/>
      <c r="FJJ14"/>
      <c r="FJK14"/>
      <c r="FJL14"/>
      <c r="FJM14"/>
      <c r="FJN14"/>
      <c r="FJO14"/>
      <c r="FJP14"/>
      <c r="FJQ14"/>
      <c r="FJR14"/>
      <c r="FJS14"/>
      <c r="FJT14"/>
      <c r="FJU14"/>
      <c r="FJV14"/>
      <c r="FJW14"/>
      <c r="FJX14"/>
      <c r="FJY14"/>
      <c r="FJZ14"/>
      <c r="FKA14"/>
      <c r="FKB14"/>
      <c r="FKC14"/>
      <c r="FKD14"/>
      <c r="FKE14"/>
      <c r="FKF14"/>
      <c r="FKG14"/>
      <c r="FKH14"/>
      <c r="FKI14"/>
      <c r="FKJ14"/>
      <c r="FKK14"/>
      <c r="FKL14"/>
      <c r="FKM14"/>
      <c r="FKN14"/>
      <c r="FKO14"/>
      <c r="FKP14"/>
      <c r="FKQ14"/>
      <c r="FKR14"/>
      <c r="FKS14"/>
      <c r="FKT14"/>
      <c r="FKU14"/>
      <c r="FKV14"/>
      <c r="FKW14"/>
      <c r="FKX14"/>
      <c r="FKY14"/>
      <c r="FKZ14"/>
      <c r="FLA14"/>
      <c r="FLB14"/>
      <c r="FLC14"/>
      <c r="FLD14"/>
      <c r="FLE14"/>
      <c r="FLF14"/>
      <c r="FLG14"/>
      <c r="FLH14"/>
      <c r="FLI14"/>
      <c r="FLJ14"/>
      <c r="FLK14"/>
      <c r="FLL14"/>
      <c r="FLM14"/>
      <c r="FLN14"/>
      <c r="FLO14"/>
      <c r="FLP14"/>
      <c r="FLQ14"/>
      <c r="FLR14"/>
      <c r="FLS14"/>
      <c r="FLT14"/>
      <c r="FLU14"/>
      <c r="FLV14"/>
      <c r="FLW14"/>
      <c r="FLX14"/>
      <c r="FLY14"/>
      <c r="FLZ14"/>
      <c r="FMA14"/>
      <c r="FMB14"/>
      <c r="FMC14"/>
      <c r="FMD14"/>
      <c r="FME14"/>
      <c r="FMF14"/>
      <c r="FMG14"/>
      <c r="FMH14"/>
      <c r="FMI14"/>
      <c r="FMJ14"/>
      <c r="FMK14"/>
      <c r="FML14"/>
      <c r="FMM14"/>
      <c r="FMN14"/>
      <c r="FMO14"/>
      <c r="FMP14"/>
      <c r="FMQ14"/>
      <c r="FMR14"/>
      <c r="FMS14"/>
      <c r="FMT14"/>
      <c r="FMU14"/>
      <c r="FMV14"/>
      <c r="FMW14"/>
      <c r="FMX14"/>
      <c r="FMY14"/>
      <c r="FMZ14"/>
      <c r="FNA14"/>
      <c r="FNB14"/>
      <c r="FNC14"/>
      <c r="FND14"/>
      <c r="FNE14"/>
      <c r="FNF14"/>
      <c r="FNG14"/>
      <c r="FNH14"/>
      <c r="FNI14"/>
      <c r="FNJ14"/>
      <c r="FNK14"/>
      <c r="FNL14"/>
      <c r="FNM14"/>
      <c r="FNN14"/>
      <c r="FNO14"/>
      <c r="FNP14"/>
      <c r="FNQ14"/>
      <c r="FNR14"/>
      <c r="FNS14"/>
      <c r="FNT14"/>
      <c r="FNU14"/>
      <c r="FNV14"/>
      <c r="FNW14"/>
      <c r="FNX14"/>
      <c r="FNY14"/>
      <c r="FNZ14"/>
      <c r="FOA14"/>
      <c r="FOB14"/>
      <c r="FOC14"/>
      <c r="FOD14"/>
      <c r="FOE14"/>
      <c r="FOF14"/>
      <c r="FOG14"/>
      <c r="FOH14"/>
      <c r="FOI14"/>
      <c r="FOJ14"/>
      <c r="FOK14"/>
      <c r="FOL14"/>
      <c r="FOM14"/>
      <c r="FON14"/>
      <c r="FOO14"/>
      <c r="FOP14"/>
      <c r="FOQ14"/>
      <c r="FOR14"/>
      <c r="FOS14"/>
      <c r="FOT14"/>
      <c r="FOU14"/>
      <c r="FOV14"/>
      <c r="FOW14"/>
      <c r="FOX14"/>
      <c r="FOY14"/>
      <c r="FOZ14"/>
      <c r="FPA14"/>
      <c r="FPB14"/>
      <c r="FPC14"/>
      <c r="FPD14"/>
      <c r="FPE14"/>
      <c r="FPF14"/>
      <c r="FPG14"/>
      <c r="FPH14"/>
      <c r="FPI14"/>
      <c r="FPJ14"/>
      <c r="FPK14"/>
      <c r="FPL14"/>
      <c r="FPM14"/>
      <c r="FPN14"/>
      <c r="FPO14"/>
      <c r="FPP14"/>
      <c r="FPQ14"/>
      <c r="FPR14"/>
      <c r="FPS14"/>
      <c r="FPT14"/>
      <c r="FPU14"/>
      <c r="FPV14"/>
      <c r="FPW14"/>
      <c r="FPX14"/>
      <c r="FPY14"/>
      <c r="FPZ14"/>
      <c r="FQA14"/>
      <c r="FQB14"/>
      <c r="FQC14"/>
      <c r="FQD14"/>
      <c r="FQE14"/>
      <c r="FQF14"/>
      <c r="FQG14"/>
      <c r="FQH14"/>
      <c r="FQI14"/>
      <c r="FQJ14"/>
      <c r="FQK14"/>
      <c r="FQL14"/>
      <c r="FQM14"/>
      <c r="FQN14"/>
      <c r="FQO14"/>
      <c r="FQP14"/>
      <c r="FQQ14"/>
      <c r="FQR14"/>
      <c r="FQS14"/>
      <c r="FQT14"/>
      <c r="FQU14"/>
      <c r="FQV14"/>
      <c r="FQW14"/>
      <c r="FQX14"/>
      <c r="FQY14"/>
      <c r="FQZ14"/>
      <c r="FRA14"/>
      <c r="FRB14"/>
      <c r="FRC14"/>
      <c r="FRD14"/>
      <c r="FRE14"/>
      <c r="FRF14"/>
      <c r="FRG14"/>
      <c r="FRH14"/>
      <c r="FRI14"/>
      <c r="FRJ14"/>
      <c r="FRK14"/>
      <c r="FRL14"/>
      <c r="FRM14"/>
      <c r="FRN14"/>
      <c r="FRO14"/>
      <c r="FRP14"/>
      <c r="FRQ14"/>
      <c r="FRR14"/>
      <c r="FRS14"/>
      <c r="FRT14"/>
      <c r="FRU14"/>
      <c r="FRV14"/>
      <c r="FRW14"/>
      <c r="FRX14"/>
      <c r="FRY14"/>
      <c r="FRZ14"/>
      <c r="FSA14"/>
      <c r="FSB14"/>
      <c r="FSC14"/>
      <c r="FSD14"/>
      <c r="FSE14"/>
      <c r="FSF14"/>
      <c r="FSG14"/>
      <c r="FSH14"/>
      <c r="FSI14"/>
      <c r="FSJ14"/>
      <c r="FSK14"/>
      <c r="FSL14"/>
      <c r="FSM14"/>
      <c r="FSN14"/>
      <c r="FSO14"/>
      <c r="FSP14"/>
      <c r="FSQ14"/>
      <c r="FSR14"/>
      <c r="FSS14"/>
      <c r="FST14"/>
      <c r="FSU14"/>
      <c r="FSV14"/>
      <c r="FSW14"/>
      <c r="FSX14"/>
      <c r="FSY14"/>
      <c r="FSZ14"/>
      <c r="FTA14"/>
      <c r="FTB14"/>
      <c r="FTC14"/>
      <c r="FTD14"/>
      <c r="FTE14"/>
      <c r="FTF14"/>
      <c r="FTG14"/>
      <c r="FTH14"/>
      <c r="FTI14"/>
      <c r="FTJ14"/>
      <c r="FTK14"/>
      <c r="FTL14"/>
      <c r="FTM14"/>
      <c r="FTN14"/>
      <c r="FTO14"/>
      <c r="FTP14"/>
      <c r="FTQ14"/>
      <c r="FTR14"/>
      <c r="FTS14"/>
      <c r="FTT14"/>
      <c r="FTU14"/>
      <c r="FTV14"/>
      <c r="FTW14"/>
      <c r="FTX14"/>
      <c r="FTY14"/>
      <c r="FTZ14"/>
      <c r="FUA14"/>
      <c r="FUB14"/>
      <c r="FUC14"/>
      <c r="FUD14"/>
      <c r="FUE14"/>
      <c r="FUF14"/>
      <c r="FUG14"/>
      <c r="FUH14"/>
      <c r="FUI14"/>
      <c r="FUJ14"/>
      <c r="FUK14"/>
      <c r="FUL14"/>
      <c r="FUM14"/>
      <c r="FUN14"/>
      <c r="FUO14"/>
      <c r="FUP14"/>
      <c r="FUQ14"/>
      <c r="FUR14"/>
      <c r="FUS14"/>
      <c r="FUT14"/>
      <c r="FUU14"/>
      <c r="FUV14"/>
      <c r="FUW14"/>
      <c r="FUX14"/>
      <c r="FUY14"/>
      <c r="FUZ14"/>
      <c r="FVA14"/>
      <c r="FVB14"/>
      <c r="FVC14"/>
      <c r="FVD14"/>
      <c r="FVE14"/>
      <c r="FVF14"/>
      <c r="FVG14"/>
      <c r="FVH14"/>
      <c r="FVI14"/>
      <c r="FVJ14"/>
      <c r="FVK14"/>
      <c r="FVL14"/>
      <c r="FVM14"/>
      <c r="FVN14"/>
      <c r="FVO14"/>
      <c r="FVP14"/>
      <c r="FVQ14"/>
      <c r="FVR14"/>
      <c r="FVS14"/>
      <c r="FVT14"/>
      <c r="FVU14"/>
      <c r="FVV14"/>
      <c r="FVW14"/>
      <c r="FVX14"/>
      <c r="FVY14"/>
      <c r="FVZ14"/>
      <c r="FWA14"/>
      <c r="FWB14"/>
      <c r="FWC14"/>
      <c r="FWD14"/>
      <c r="FWE14"/>
      <c r="FWF14"/>
      <c r="FWG14"/>
      <c r="FWH14"/>
      <c r="FWI14"/>
      <c r="FWJ14"/>
      <c r="FWK14"/>
      <c r="FWL14"/>
      <c r="FWM14"/>
      <c r="FWN14"/>
      <c r="FWO14"/>
      <c r="FWP14"/>
      <c r="FWQ14"/>
      <c r="FWR14"/>
      <c r="FWS14"/>
      <c r="FWT14"/>
      <c r="FWU14"/>
      <c r="FWV14"/>
      <c r="FWW14"/>
      <c r="FWX14"/>
      <c r="FWY14"/>
      <c r="FWZ14"/>
      <c r="FXA14"/>
      <c r="FXB14"/>
      <c r="FXC14"/>
      <c r="FXD14"/>
      <c r="FXE14"/>
      <c r="FXF14"/>
      <c r="FXG14"/>
      <c r="FXH14"/>
      <c r="FXI14"/>
      <c r="FXJ14"/>
      <c r="FXK14"/>
      <c r="FXL14"/>
      <c r="FXM14"/>
      <c r="FXN14"/>
      <c r="FXO14"/>
      <c r="FXP14"/>
      <c r="FXQ14"/>
      <c r="FXR14"/>
      <c r="FXS14"/>
      <c r="FXT14"/>
      <c r="FXU14"/>
      <c r="FXV14"/>
      <c r="FXW14"/>
      <c r="FXX14"/>
      <c r="FXY14"/>
      <c r="FXZ14"/>
      <c r="FYA14"/>
      <c r="FYB14"/>
      <c r="FYC14"/>
      <c r="FYD14"/>
      <c r="FYE14"/>
      <c r="FYF14"/>
      <c r="FYG14"/>
      <c r="FYH14"/>
      <c r="FYI14"/>
      <c r="FYJ14"/>
      <c r="FYK14"/>
      <c r="FYL14"/>
      <c r="FYM14"/>
      <c r="FYN14"/>
      <c r="FYO14"/>
      <c r="FYP14"/>
      <c r="FYQ14"/>
      <c r="FYR14"/>
      <c r="FYS14"/>
      <c r="FYT14"/>
      <c r="FYU14"/>
      <c r="FYV14"/>
      <c r="FYW14"/>
      <c r="FYX14"/>
      <c r="FYY14"/>
      <c r="FYZ14"/>
      <c r="FZA14"/>
      <c r="FZB14"/>
      <c r="FZC14"/>
      <c r="FZD14"/>
      <c r="FZE14"/>
      <c r="FZF14"/>
      <c r="FZG14"/>
      <c r="FZH14"/>
      <c r="FZI14"/>
      <c r="FZJ14"/>
      <c r="FZK14"/>
      <c r="FZL14"/>
      <c r="FZM14"/>
      <c r="FZN14"/>
      <c r="FZO14"/>
      <c r="FZP14"/>
      <c r="FZQ14"/>
      <c r="FZR14"/>
      <c r="FZS14"/>
      <c r="FZT14"/>
      <c r="FZU14"/>
      <c r="FZV14"/>
      <c r="FZW14"/>
      <c r="FZX14"/>
      <c r="FZY14"/>
      <c r="FZZ14"/>
      <c r="GAA14"/>
      <c r="GAB14"/>
      <c r="GAC14"/>
      <c r="GAD14"/>
      <c r="GAE14"/>
      <c r="GAF14"/>
      <c r="GAG14"/>
      <c r="GAH14"/>
      <c r="GAI14"/>
      <c r="GAJ14"/>
      <c r="GAK14"/>
      <c r="GAL14"/>
      <c r="GAM14"/>
      <c r="GAN14"/>
      <c r="GAO14"/>
      <c r="GAP14"/>
      <c r="GAQ14"/>
      <c r="GAR14"/>
      <c r="GAS14"/>
      <c r="GAT14"/>
      <c r="GAU14"/>
      <c r="GAV14"/>
      <c r="GAW14"/>
      <c r="GAX14"/>
      <c r="GAY14"/>
      <c r="GAZ14"/>
      <c r="GBA14"/>
      <c r="GBB14"/>
      <c r="GBC14"/>
      <c r="GBD14"/>
      <c r="GBE14"/>
      <c r="GBF14"/>
      <c r="GBG14"/>
      <c r="GBH14"/>
      <c r="GBI14"/>
      <c r="GBJ14"/>
      <c r="GBK14"/>
      <c r="GBL14"/>
      <c r="GBM14"/>
      <c r="GBN14"/>
      <c r="GBO14"/>
      <c r="GBP14"/>
      <c r="GBQ14"/>
      <c r="GBR14"/>
      <c r="GBS14"/>
      <c r="GBT14"/>
      <c r="GBU14"/>
      <c r="GBV14"/>
      <c r="GBW14"/>
      <c r="GBX14"/>
      <c r="GBY14"/>
      <c r="GBZ14"/>
      <c r="GCA14"/>
      <c r="GCB14"/>
      <c r="GCC14"/>
      <c r="GCD14"/>
      <c r="GCE14"/>
      <c r="GCF14"/>
      <c r="GCG14"/>
      <c r="GCH14"/>
      <c r="GCI14"/>
      <c r="GCJ14"/>
      <c r="GCK14"/>
      <c r="GCL14"/>
      <c r="GCM14"/>
      <c r="GCN14"/>
      <c r="GCO14"/>
      <c r="GCP14"/>
      <c r="GCQ14"/>
      <c r="GCR14"/>
      <c r="GCS14"/>
      <c r="GCT14"/>
      <c r="GCU14"/>
      <c r="GCV14"/>
      <c r="GCW14"/>
      <c r="GCX14"/>
      <c r="GCY14"/>
      <c r="GCZ14"/>
      <c r="GDA14"/>
      <c r="GDB14"/>
      <c r="GDC14"/>
      <c r="GDD14"/>
      <c r="GDE14"/>
      <c r="GDF14"/>
      <c r="GDG14"/>
      <c r="GDH14"/>
      <c r="GDI14"/>
      <c r="GDJ14"/>
      <c r="GDK14"/>
      <c r="GDL14"/>
      <c r="GDM14"/>
      <c r="GDN14"/>
      <c r="GDO14"/>
      <c r="GDP14"/>
      <c r="GDQ14"/>
      <c r="GDR14"/>
      <c r="GDS14"/>
      <c r="GDT14"/>
      <c r="GDU14"/>
      <c r="GDV14"/>
      <c r="GDW14"/>
      <c r="GDX14"/>
      <c r="GDY14"/>
      <c r="GDZ14"/>
      <c r="GEA14"/>
      <c r="GEB14"/>
      <c r="GEC14"/>
      <c r="GED14"/>
      <c r="GEE14"/>
      <c r="GEF14"/>
      <c r="GEG14"/>
      <c r="GEH14"/>
      <c r="GEI14"/>
      <c r="GEJ14"/>
      <c r="GEK14"/>
      <c r="GEL14"/>
      <c r="GEM14"/>
      <c r="GEN14"/>
      <c r="GEO14"/>
      <c r="GEP14"/>
      <c r="GEQ14"/>
      <c r="GER14"/>
      <c r="GES14"/>
      <c r="GET14"/>
      <c r="GEU14"/>
      <c r="GEV14"/>
      <c r="GEW14"/>
      <c r="GEX14"/>
      <c r="GEY14"/>
      <c r="GEZ14"/>
      <c r="GFA14"/>
      <c r="GFB14"/>
      <c r="GFC14"/>
      <c r="GFD14"/>
      <c r="GFE14"/>
      <c r="GFF14"/>
      <c r="GFG14"/>
      <c r="GFH14"/>
      <c r="GFI14"/>
      <c r="GFJ14"/>
      <c r="GFK14"/>
      <c r="GFL14"/>
      <c r="GFM14"/>
      <c r="GFN14"/>
      <c r="GFO14"/>
      <c r="GFP14"/>
      <c r="GFQ14"/>
      <c r="GFR14"/>
      <c r="GFS14"/>
      <c r="GFT14"/>
      <c r="GFU14"/>
      <c r="GFV14"/>
      <c r="GFW14"/>
      <c r="GFX14"/>
      <c r="GFY14"/>
      <c r="GFZ14"/>
      <c r="GGA14"/>
      <c r="GGB14"/>
      <c r="GGC14"/>
      <c r="GGD14"/>
      <c r="GGE14"/>
      <c r="GGF14"/>
      <c r="GGG14"/>
      <c r="GGH14"/>
      <c r="GGI14"/>
      <c r="GGJ14"/>
      <c r="GGK14"/>
      <c r="GGL14"/>
      <c r="GGM14"/>
      <c r="GGN14"/>
      <c r="GGO14"/>
      <c r="GGP14"/>
      <c r="GGQ14"/>
      <c r="GGR14"/>
      <c r="GGS14"/>
      <c r="GGT14"/>
      <c r="GGU14"/>
      <c r="GGV14"/>
      <c r="GGW14"/>
      <c r="GGX14"/>
      <c r="GGY14"/>
      <c r="GGZ14"/>
      <c r="GHA14"/>
      <c r="GHB14"/>
      <c r="GHC14"/>
      <c r="GHD14"/>
      <c r="GHE14"/>
      <c r="GHF14"/>
      <c r="GHG14"/>
      <c r="GHH14"/>
      <c r="GHI14"/>
      <c r="GHJ14"/>
      <c r="GHK14"/>
      <c r="GHL14"/>
      <c r="GHM14"/>
      <c r="GHN14"/>
      <c r="GHO14"/>
      <c r="GHP14"/>
      <c r="GHQ14"/>
      <c r="GHR14"/>
      <c r="GHS14"/>
      <c r="GHT14"/>
      <c r="GHU14"/>
      <c r="GHV14"/>
      <c r="GHW14"/>
      <c r="GHX14"/>
      <c r="GHY14"/>
      <c r="GHZ14"/>
      <c r="GIA14"/>
      <c r="GIB14"/>
      <c r="GIC14"/>
      <c r="GID14"/>
      <c r="GIE14"/>
      <c r="GIF14"/>
      <c r="GIG14"/>
      <c r="GIH14"/>
      <c r="GII14"/>
      <c r="GIJ14"/>
      <c r="GIK14"/>
      <c r="GIL14"/>
      <c r="GIM14"/>
      <c r="GIN14"/>
      <c r="GIO14"/>
      <c r="GIP14"/>
      <c r="GIQ14"/>
      <c r="GIR14"/>
      <c r="GIS14"/>
      <c r="GIT14"/>
      <c r="GIU14"/>
      <c r="GIV14"/>
      <c r="GIW14"/>
      <c r="GIX14"/>
      <c r="GIY14"/>
      <c r="GIZ14"/>
      <c r="GJA14"/>
      <c r="GJB14"/>
      <c r="GJC14"/>
      <c r="GJD14"/>
      <c r="GJE14"/>
      <c r="GJF14"/>
      <c r="GJG14"/>
      <c r="GJH14"/>
      <c r="GJI14"/>
      <c r="GJJ14"/>
      <c r="GJK14"/>
      <c r="GJL14"/>
      <c r="GJM14"/>
      <c r="GJN14"/>
      <c r="GJO14"/>
      <c r="GJP14"/>
      <c r="GJQ14"/>
      <c r="GJR14"/>
      <c r="GJS14"/>
      <c r="GJT14"/>
      <c r="GJU14"/>
      <c r="GJV14"/>
      <c r="GJW14"/>
      <c r="GJX14"/>
      <c r="GJY14"/>
      <c r="GJZ14"/>
      <c r="GKA14"/>
      <c r="GKB14"/>
      <c r="GKC14"/>
      <c r="GKD14"/>
      <c r="GKE14"/>
      <c r="GKF14"/>
      <c r="GKG14"/>
      <c r="GKH14"/>
      <c r="GKI14"/>
      <c r="GKJ14"/>
      <c r="GKK14"/>
      <c r="GKL14"/>
      <c r="GKM14"/>
      <c r="GKN14"/>
      <c r="GKO14"/>
      <c r="GKP14"/>
      <c r="GKQ14"/>
      <c r="GKR14"/>
      <c r="GKS14"/>
      <c r="GKT14"/>
      <c r="GKU14"/>
      <c r="GKV14"/>
      <c r="GKW14"/>
      <c r="GKX14"/>
      <c r="GKY14"/>
      <c r="GKZ14"/>
      <c r="GLA14"/>
      <c r="GLB14"/>
      <c r="GLC14"/>
      <c r="GLD14"/>
      <c r="GLE14"/>
      <c r="GLF14"/>
      <c r="GLG14"/>
      <c r="GLH14"/>
      <c r="GLI14"/>
      <c r="GLJ14"/>
      <c r="GLK14"/>
      <c r="GLL14"/>
      <c r="GLM14"/>
      <c r="GLN14"/>
      <c r="GLO14"/>
      <c r="GLP14"/>
      <c r="GLQ14"/>
      <c r="GLR14"/>
      <c r="GLS14"/>
      <c r="GLT14"/>
      <c r="GLU14"/>
      <c r="GLV14"/>
      <c r="GLW14"/>
      <c r="GLX14"/>
      <c r="GLY14"/>
      <c r="GLZ14"/>
      <c r="GMA14"/>
      <c r="GMB14"/>
      <c r="GMC14"/>
      <c r="GMD14"/>
      <c r="GME14"/>
      <c r="GMF14"/>
      <c r="GMG14"/>
      <c r="GMH14"/>
      <c r="GMI14"/>
      <c r="GMJ14"/>
      <c r="GMK14"/>
      <c r="GML14"/>
      <c r="GMM14"/>
      <c r="GMN14"/>
      <c r="GMO14"/>
      <c r="GMP14"/>
      <c r="GMQ14"/>
      <c r="GMR14"/>
      <c r="GMS14"/>
      <c r="GMT14"/>
      <c r="GMU14"/>
      <c r="GMV14"/>
      <c r="GMW14"/>
      <c r="GMX14"/>
      <c r="GMY14"/>
      <c r="GMZ14"/>
      <c r="GNA14"/>
      <c r="GNB14"/>
      <c r="GNC14"/>
      <c r="GND14"/>
      <c r="GNE14"/>
      <c r="GNF14"/>
      <c r="GNG14"/>
      <c r="GNH14"/>
      <c r="GNI14"/>
      <c r="GNJ14"/>
      <c r="GNK14"/>
      <c r="GNL14"/>
      <c r="GNM14"/>
      <c r="GNN14"/>
      <c r="GNO14"/>
      <c r="GNP14"/>
      <c r="GNQ14"/>
      <c r="GNR14"/>
      <c r="GNS14"/>
      <c r="GNT14"/>
      <c r="GNU14"/>
      <c r="GNV14"/>
      <c r="GNW14"/>
      <c r="GNX14"/>
      <c r="GNY14"/>
      <c r="GNZ14"/>
      <c r="GOA14"/>
      <c r="GOB14"/>
      <c r="GOC14"/>
      <c r="GOD14"/>
      <c r="GOE14"/>
      <c r="GOF14"/>
      <c r="GOG14"/>
      <c r="GOH14"/>
      <c r="GOI14"/>
      <c r="GOJ14"/>
      <c r="GOK14"/>
      <c r="GOL14"/>
      <c r="GOM14"/>
      <c r="GON14"/>
      <c r="GOO14"/>
      <c r="GOP14"/>
      <c r="GOQ14"/>
      <c r="GOR14"/>
      <c r="GOS14"/>
      <c r="GOT14"/>
      <c r="GOU14"/>
      <c r="GOV14"/>
      <c r="GOW14"/>
      <c r="GOX14"/>
      <c r="GOY14"/>
      <c r="GOZ14"/>
      <c r="GPA14"/>
      <c r="GPB14"/>
      <c r="GPC14"/>
      <c r="GPD14"/>
      <c r="GPE14"/>
      <c r="GPF14"/>
      <c r="GPG14"/>
      <c r="GPH14"/>
      <c r="GPI14"/>
      <c r="GPJ14"/>
      <c r="GPK14"/>
      <c r="GPL14"/>
      <c r="GPM14"/>
      <c r="GPN14"/>
      <c r="GPO14"/>
      <c r="GPP14"/>
      <c r="GPQ14"/>
      <c r="GPR14"/>
      <c r="GPS14"/>
      <c r="GPT14"/>
      <c r="GPU14"/>
      <c r="GPV14"/>
      <c r="GPW14"/>
      <c r="GPX14"/>
      <c r="GPY14"/>
      <c r="GPZ14"/>
      <c r="GQA14"/>
      <c r="GQB14"/>
      <c r="GQC14"/>
      <c r="GQD14"/>
      <c r="GQE14"/>
      <c r="GQF14"/>
      <c r="GQG14"/>
      <c r="GQH14"/>
      <c r="GQI14"/>
      <c r="GQJ14"/>
      <c r="GQK14"/>
      <c r="GQL14"/>
      <c r="GQM14"/>
      <c r="GQN14"/>
      <c r="GQO14"/>
      <c r="GQP14"/>
      <c r="GQQ14"/>
      <c r="GQR14"/>
      <c r="GQS14"/>
      <c r="GQT14"/>
      <c r="GQU14"/>
      <c r="GQV14"/>
      <c r="GQW14"/>
      <c r="GQX14"/>
      <c r="GQY14"/>
      <c r="GQZ14"/>
      <c r="GRA14"/>
      <c r="GRB14"/>
      <c r="GRC14"/>
      <c r="GRD14"/>
      <c r="GRE14"/>
      <c r="GRF14"/>
      <c r="GRG14"/>
      <c r="GRH14"/>
      <c r="GRI14"/>
      <c r="GRJ14"/>
      <c r="GRK14"/>
      <c r="GRL14"/>
      <c r="GRM14"/>
      <c r="GRN14"/>
      <c r="GRO14"/>
      <c r="GRP14"/>
      <c r="GRQ14"/>
      <c r="GRR14"/>
      <c r="GRS14"/>
      <c r="GRT14"/>
      <c r="GRU14"/>
      <c r="GRV14"/>
      <c r="GRW14"/>
      <c r="GRX14"/>
      <c r="GRY14"/>
      <c r="GRZ14"/>
      <c r="GSA14"/>
      <c r="GSB14"/>
      <c r="GSC14"/>
      <c r="GSD14"/>
      <c r="GSE14"/>
      <c r="GSF14"/>
      <c r="GSG14"/>
      <c r="GSH14"/>
      <c r="GSI14"/>
      <c r="GSJ14"/>
      <c r="GSK14"/>
      <c r="GSL14"/>
      <c r="GSM14"/>
      <c r="GSN14"/>
      <c r="GSO14"/>
      <c r="GSP14"/>
      <c r="GSQ14"/>
      <c r="GSR14"/>
      <c r="GSS14"/>
      <c r="GST14"/>
      <c r="GSU14"/>
      <c r="GSV14"/>
      <c r="GSW14"/>
      <c r="GSX14"/>
      <c r="GSY14"/>
      <c r="GSZ14"/>
      <c r="GTA14"/>
      <c r="GTB14"/>
      <c r="GTC14"/>
      <c r="GTD14"/>
      <c r="GTE14"/>
      <c r="GTF14"/>
      <c r="GTG14"/>
      <c r="GTH14"/>
      <c r="GTI14"/>
      <c r="GTJ14"/>
      <c r="GTK14"/>
      <c r="GTL14"/>
      <c r="GTM14"/>
      <c r="GTN14"/>
      <c r="GTO14"/>
      <c r="GTP14"/>
      <c r="GTQ14"/>
      <c r="GTR14"/>
      <c r="GTS14"/>
      <c r="GTT14"/>
      <c r="GTU14"/>
      <c r="GTV14"/>
      <c r="GTW14"/>
      <c r="GTX14"/>
      <c r="GTY14"/>
      <c r="GTZ14"/>
      <c r="GUA14"/>
      <c r="GUB14"/>
      <c r="GUC14"/>
      <c r="GUD14"/>
      <c r="GUE14"/>
      <c r="GUF14"/>
      <c r="GUG14"/>
      <c r="GUH14"/>
      <c r="GUI14"/>
      <c r="GUJ14"/>
      <c r="GUK14"/>
      <c r="GUL14"/>
      <c r="GUM14"/>
      <c r="GUN14"/>
      <c r="GUO14"/>
      <c r="GUP14"/>
      <c r="GUQ14"/>
      <c r="GUR14"/>
      <c r="GUS14"/>
      <c r="GUT14"/>
      <c r="GUU14"/>
      <c r="GUV14"/>
      <c r="GUW14"/>
      <c r="GUX14"/>
      <c r="GUY14"/>
      <c r="GUZ14"/>
      <c r="GVA14"/>
      <c r="GVB14"/>
      <c r="GVC14"/>
      <c r="GVD14"/>
      <c r="GVE14"/>
      <c r="GVF14"/>
      <c r="GVG14"/>
      <c r="GVH14"/>
      <c r="GVI14"/>
      <c r="GVJ14"/>
      <c r="GVK14"/>
      <c r="GVL14"/>
      <c r="GVM14"/>
      <c r="GVN14"/>
      <c r="GVO14"/>
      <c r="GVP14"/>
      <c r="GVQ14"/>
      <c r="GVR14"/>
      <c r="GVS14"/>
      <c r="GVT14"/>
      <c r="GVU14"/>
      <c r="GVV14"/>
      <c r="GVW14"/>
      <c r="GVX14"/>
      <c r="GVY14"/>
      <c r="GVZ14"/>
      <c r="GWA14"/>
      <c r="GWB14"/>
      <c r="GWC14"/>
      <c r="GWD14"/>
      <c r="GWE14"/>
      <c r="GWF14"/>
      <c r="GWG14"/>
      <c r="GWH14"/>
      <c r="GWI14"/>
      <c r="GWJ14"/>
      <c r="GWK14"/>
      <c r="GWL14"/>
      <c r="GWM14"/>
      <c r="GWN14"/>
      <c r="GWO14"/>
      <c r="GWP14"/>
      <c r="GWQ14"/>
      <c r="GWR14"/>
      <c r="GWS14"/>
      <c r="GWT14"/>
      <c r="GWU14"/>
      <c r="GWV14"/>
      <c r="GWW14"/>
      <c r="GWX14"/>
      <c r="GWY14"/>
      <c r="GWZ14"/>
      <c r="GXA14"/>
      <c r="GXB14"/>
      <c r="GXC14"/>
      <c r="GXD14"/>
      <c r="GXE14"/>
      <c r="GXF14"/>
      <c r="GXG14"/>
      <c r="GXH14"/>
      <c r="GXI14"/>
      <c r="GXJ14"/>
      <c r="GXK14"/>
      <c r="GXL14"/>
      <c r="GXM14"/>
      <c r="GXN14"/>
      <c r="GXO14"/>
      <c r="GXP14"/>
      <c r="GXQ14"/>
      <c r="GXR14"/>
      <c r="GXS14"/>
      <c r="GXT14"/>
      <c r="GXU14"/>
      <c r="GXV14"/>
      <c r="GXW14"/>
      <c r="GXX14"/>
      <c r="GXY14"/>
      <c r="GXZ14"/>
      <c r="GYA14"/>
      <c r="GYB14"/>
      <c r="GYC14"/>
      <c r="GYD14"/>
      <c r="GYE14"/>
      <c r="GYF14"/>
      <c r="GYG14"/>
      <c r="GYH14"/>
      <c r="GYI14"/>
      <c r="GYJ14"/>
      <c r="GYK14"/>
      <c r="GYL14"/>
      <c r="GYM14"/>
      <c r="GYN14"/>
      <c r="GYO14"/>
      <c r="GYP14"/>
      <c r="GYQ14"/>
      <c r="GYR14"/>
      <c r="GYS14"/>
      <c r="GYT14"/>
      <c r="GYU14"/>
      <c r="GYV14"/>
      <c r="GYW14"/>
      <c r="GYX14"/>
      <c r="GYY14"/>
      <c r="GYZ14"/>
      <c r="GZA14"/>
      <c r="GZB14"/>
      <c r="GZC14"/>
      <c r="GZD14"/>
      <c r="GZE14"/>
      <c r="GZF14"/>
      <c r="GZG14"/>
      <c r="GZH14"/>
      <c r="GZI14"/>
      <c r="GZJ14"/>
      <c r="GZK14"/>
      <c r="GZL14"/>
      <c r="GZM14"/>
      <c r="GZN14"/>
      <c r="GZO14"/>
      <c r="GZP14"/>
      <c r="GZQ14"/>
      <c r="GZR14"/>
      <c r="GZS14"/>
      <c r="GZT14"/>
      <c r="GZU14"/>
      <c r="GZV14"/>
      <c r="GZW14"/>
      <c r="GZX14"/>
      <c r="GZY14"/>
      <c r="GZZ14"/>
      <c r="HAA14"/>
      <c r="HAB14"/>
      <c r="HAC14"/>
      <c r="HAD14"/>
      <c r="HAE14"/>
      <c r="HAF14"/>
      <c r="HAG14"/>
      <c r="HAH14"/>
      <c r="HAI14"/>
      <c r="HAJ14"/>
      <c r="HAK14"/>
      <c r="HAL14"/>
      <c r="HAM14"/>
      <c r="HAN14"/>
      <c r="HAO14"/>
      <c r="HAP14"/>
      <c r="HAQ14"/>
      <c r="HAR14"/>
      <c r="HAS14"/>
      <c r="HAT14"/>
      <c r="HAU14"/>
      <c r="HAV14"/>
      <c r="HAW14"/>
      <c r="HAX14"/>
      <c r="HAY14"/>
      <c r="HAZ14"/>
      <c r="HBA14"/>
      <c r="HBB14"/>
      <c r="HBC14"/>
      <c r="HBD14"/>
      <c r="HBE14"/>
      <c r="HBF14"/>
      <c r="HBG14"/>
      <c r="HBH14"/>
      <c r="HBI14"/>
      <c r="HBJ14"/>
      <c r="HBK14"/>
      <c r="HBL14"/>
      <c r="HBM14"/>
      <c r="HBN14"/>
      <c r="HBO14"/>
      <c r="HBP14"/>
      <c r="HBQ14"/>
      <c r="HBR14"/>
      <c r="HBS14"/>
      <c r="HBT14"/>
      <c r="HBU14"/>
      <c r="HBV14"/>
      <c r="HBW14"/>
      <c r="HBX14"/>
      <c r="HBY14"/>
      <c r="HBZ14"/>
      <c r="HCA14"/>
      <c r="HCB14"/>
      <c r="HCC14"/>
      <c r="HCD14"/>
      <c r="HCE14"/>
      <c r="HCF14"/>
      <c r="HCG14"/>
      <c r="HCH14"/>
      <c r="HCI14"/>
      <c r="HCJ14"/>
      <c r="HCK14"/>
      <c r="HCL14"/>
      <c r="HCM14"/>
      <c r="HCN14"/>
      <c r="HCO14"/>
      <c r="HCP14"/>
      <c r="HCQ14"/>
      <c r="HCR14"/>
      <c r="HCS14"/>
      <c r="HCT14"/>
      <c r="HCU14"/>
      <c r="HCV14"/>
      <c r="HCW14"/>
      <c r="HCX14"/>
      <c r="HCY14"/>
      <c r="HCZ14"/>
      <c r="HDA14"/>
      <c r="HDB14"/>
      <c r="HDC14"/>
      <c r="HDD14"/>
      <c r="HDE14"/>
      <c r="HDF14"/>
      <c r="HDG14"/>
      <c r="HDH14"/>
      <c r="HDI14"/>
      <c r="HDJ14"/>
      <c r="HDK14"/>
      <c r="HDL14"/>
      <c r="HDM14"/>
      <c r="HDN14"/>
      <c r="HDO14"/>
      <c r="HDP14"/>
      <c r="HDQ14"/>
      <c r="HDR14"/>
      <c r="HDS14"/>
      <c r="HDT14"/>
      <c r="HDU14"/>
      <c r="HDV14"/>
      <c r="HDW14"/>
      <c r="HDX14"/>
      <c r="HDY14"/>
      <c r="HDZ14"/>
      <c r="HEA14"/>
      <c r="HEB14"/>
      <c r="HEC14"/>
      <c r="HED14"/>
      <c r="HEE14"/>
      <c r="HEF14"/>
      <c r="HEG14"/>
      <c r="HEH14"/>
      <c r="HEI14"/>
      <c r="HEJ14"/>
      <c r="HEK14"/>
      <c r="HEL14"/>
      <c r="HEM14"/>
      <c r="HEN14"/>
      <c r="HEO14"/>
      <c r="HEP14"/>
      <c r="HEQ14"/>
      <c r="HER14"/>
      <c r="HES14"/>
      <c r="HET14"/>
      <c r="HEU14"/>
      <c r="HEV14"/>
      <c r="HEW14"/>
      <c r="HEX14"/>
      <c r="HEY14"/>
      <c r="HEZ14"/>
      <c r="HFA14"/>
      <c r="HFB14"/>
      <c r="HFC14"/>
      <c r="HFD14"/>
      <c r="HFE14"/>
      <c r="HFF14"/>
      <c r="HFG14"/>
      <c r="HFH14"/>
      <c r="HFI14"/>
      <c r="HFJ14"/>
      <c r="HFK14"/>
      <c r="HFL14"/>
      <c r="HFM14"/>
      <c r="HFN14"/>
      <c r="HFO14"/>
      <c r="HFP14"/>
      <c r="HFQ14"/>
      <c r="HFR14"/>
      <c r="HFS14"/>
      <c r="HFT14"/>
      <c r="HFU14"/>
      <c r="HFV14"/>
      <c r="HFW14"/>
      <c r="HFX14"/>
      <c r="HFY14"/>
      <c r="HFZ14"/>
      <c r="HGA14"/>
      <c r="HGB14"/>
      <c r="HGC14"/>
      <c r="HGD14"/>
      <c r="HGE14"/>
      <c r="HGF14"/>
      <c r="HGG14"/>
      <c r="HGH14"/>
      <c r="HGI14"/>
      <c r="HGJ14"/>
      <c r="HGK14"/>
      <c r="HGL14"/>
      <c r="HGM14"/>
      <c r="HGN14"/>
      <c r="HGO14"/>
      <c r="HGP14"/>
      <c r="HGQ14"/>
      <c r="HGR14"/>
      <c r="HGS14"/>
      <c r="HGT14"/>
      <c r="HGU14"/>
      <c r="HGV14"/>
      <c r="HGW14"/>
      <c r="HGX14"/>
      <c r="HGY14"/>
      <c r="HGZ14"/>
      <c r="HHA14"/>
      <c r="HHB14"/>
      <c r="HHC14"/>
      <c r="HHD14"/>
      <c r="HHE14"/>
      <c r="HHF14"/>
      <c r="HHG14"/>
      <c r="HHH14"/>
      <c r="HHI14"/>
      <c r="HHJ14"/>
      <c r="HHK14"/>
      <c r="HHL14"/>
      <c r="HHM14"/>
      <c r="HHN14"/>
      <c r="HHO14"/>
      <c r="HHP14"/>
      <c r="HHQ14"/>
      <c r="HHR14"/>
      <c r="HHS14"/>
      <c r="HHT14"/>
      <c r="HHU14"/>
      <c r="HHV14"/>
      <c r="HHW14"/>
      <c r="HHX14"/>
      <c r="HHY14"/>
      <c r="HHZ14"/>
      <c r="HIA14"/>
      <c r="HIB14"/>
      <c r="HIC14"/>
      <c r="HID14"/>
      <c r="HIE14"/>
      <c r="HIF14"/>
      <c r="HIG14"/>
      <c r="HIH14"/>
      <c r="HII14"/>
      <c r="HIJ14"/>
      <c r="HIK14"/>
      <c r="HIL14"/>
      <c r="HIM14"/>
      <c r="HIN14"/>
      <c r="HIO14"/>
      <c r="HIP14"/>
      <c r="HIQ14"/>
      <c r="HIR14"/>
      <c r="HIS14"/>
      <c r="HIT14"/>
      <c r="HIU14"/>
      <c r="HIV14"/>
      <c r="HIW14"/>
      <c r="HIX14"/>
      <c r="HIY14"/>
      <c r="HIZ14"/>
      <c r="HJA14"/>
      <c r="HJB14"/>
      <c r="HJC14"/>
      <c r="HJD14"/>
      <c r="HJE14"/>
      <c r="HJF14"/>
      <c r="HJG14"/>
      <c r="HJH14"/>
      <c r="HJI14"/>
      <c r="HJJ14"/>
      <c r="HJK14"/>
      <c r="HJL14"/>
      <c r="HJM14"/>
      <c r="HJN14"/>
      <c r="HJO14"/>
      <c r="HJP14"/>
      <c r="HJQ14"/>
      <c r="HJR14"/>
      <c r="HJS14"/>
      <c r="HJT14"/>
      <c r="HJU14"/>
      <c r="HJV14"/>
      <c r="HJW14"/>
      <c r="HJX14"/>
      <c r="HJY14"/>
      <c r="HJZ14"/>
      <c r="HKA14"/>
      <c r="HKB14"/>
      <c r="HKC14"/>
      <c r="HKD14"/>
      <c r="HKE14"/>
      <c r="HKF14"/>
      <c r="HKG14"/>
      <c r="HKH14"/>
      <c r="HKI14"/>
      <c r="HKJ14"/>
      <c r="HKK14"/>
      <c r="HKL14"/>
      <c r="HKM14"/>
      <c r="HKN14"/>
      <c r="HKO14"/>
      <c r="HKP14"/>
      <c r="HKQ14"/>
      <c r="HKR14"/>
      <c r="HKS14"/>
      <c r="HKT14"/>
      <c r="HKU14"/>
      <c r="HKV14"/>
      <c r="HKW14"/>
      <c r="HKX14"/>
      <c r="HKY14"/>
      <c r="HKZ14"/>
      <c r="HLA14"/>
      <c r="HLB14"/>
      <c r="HLC14"/>
      <c r="HLD14"/>
      <c r="HLE14"/>
      <c r="HLF14"/>
      <c r="HLG14"/>
      <c r="HLH14"/>
      <c r="HLI14"/>
      <c r="HLJ14"/>
      <c r="HLK14"/>
      <c r="HLL14"/>
      <c r="HLM14"/>
      <c r="HLN14"/>
      <c r="HLO14"/>
      <c r="HLP14"/>
      <c r="HLQ14"/>
      <c r="HLR14"/>
      <c r="HLS14"/>
      <c r="HLT14"/>
      <c r="HLU14"/>
      <c r="HLV14"/>
      <c r="HLW14"/>
      <c r="HLX14"/>
      <c r="HLY14"/>
      <c r="HLZ14"/>
      <c r="HMA14"/>
      <c r="HMB14"/>
      <c r="HMC14"/>
      <c r="HMD14"/>
      <c r="HME14"/>
      <c r="HMF14"/>
      <c r="HMG14"/>
      <c r="HMH14"/>
      <c r="HMI14"/>
      <c r="HMJ14"/>
      <c r="HMK14"/>
      <c r="HML14"/>
      <c r="HMM14"/>
      <c r="HMN14"/>
      <c r="HMO14"/>
      <c r="HMP14"/>
      <c r="HMQ14"/>
      <c r="HMR14"/>
      <c r="HMS14"/>
      <c r="HMT14"/>
      <c r="HMU14"/>
      <c r="HMV14"/>
      <c r="HMW14"/>
      <c r="HMX14"/>
      <c r="HMY14"/>
      <c r="HMZ14"/>
      <c r="HNA14"/>
      <c r="HNB14"/>
      <c r="HNC14"/>
      <c r="HND14"/>
      <c r="HNE14"/>
      <c r="HNF14"/>
      <c r="HNG14"/>
      <c r="HNH14"/>
      <c r="HNI14"/>
      <c r="HNJ14"/>
      <c r="HNK14"/>
      <c r="HNL14"/>
      <c r="HNM14"/>
      <c r="HNN14"/>
      <c r="HNO14"/>
      <c r="HNP14"/>
      <c r="HNQ14"/>
      <c r="HNR14"/>
      <c r="HNS14"/>
      <c r="HNT14"/>
      <c r="HNU14"/>
      <c r="HNV14"/>
      <c r="HNW14"/>
      <c r="HNX14"/>
      <c r="HNY14"/>
      <c r="HNZ14"/>
      <c r="HOA14"/>
      <c r="HOB14"/>
      <c r="HOC14"/>
      <c r="HOD14"/>
      <c r="HOE14"/>
      <c r="HOF14"/>
      <c r="HOG14"/>
      <c r="HOH14"/>
      <c r="HOI14"/>
      <c r="HOJ14"/>
      <c r="HOK14"/>
      <c r="HOL14"/>
      <c r="HOM14"/>
      <c r="HON14"/>
      <c r="HOO14"/>
      <c r="HOP14"/>
      <c r="HOQ14"/>
      <c r="HOR14"/>
      <c r="HOS14"/>
      <c r="HOT14"/>
      <c r="HOU14"/>
      <c r="HOV14"/>
      <c r="HOW14"/>
      <c r="HOX14"/>
      <c r="HOY14"/>
      <c r="HOZ14"/>
      <c r="HPA14"/>
      <c r="HPB14"/>
      <c r="HPC14"/>
      <c r="HPD14"/>
      <c r="HPE14"/>
      <c r="HPF14"/>
      <c r="HPG14"/>
      <c r="HPH14"/>
      <c r="HPI14"/>
      <c r="HPJ14"/>
      <c r="HPK14"/>
      <c r="HPL14"/>
      <c r="HPM14"/>
      <c r="HPN14"/>
      <c r="HPO14"/>
      <c r="HPP14"/>
      <c r="HPQ14"/>
      <c r="HPR14"/>
      <c r="HPS14"/>
      <c r="HPT14"/>
      <c r="HPU14"/>
      <c r="HPV14"/>
      <c r="HPW14"/>
      <c r="HPX14"/>
      <c r="HPY14"/>
      <c r="HPZ14"/>
      <c r="HQA14"/>
      <c r="HQB14"/>
      <c r="HQC14"/>
      <c r="HQD14"/>
      <c r="HQE14"/>
      <c r="HQF14"/>
      <c r="HQG14"/>
      <c r="HQH14"/>
      <c r="HQI14"/>
      <c r="HQJ14"/>
      <c r="HQK14"/>
      <c r="HQL14"/>
      <c r="HQM14"/>
      <c r="HQN14"/>
      <c r="HQO14"/>
      <c r="HQP14"/>
      <c r="HQQ14"/>
      <c r="HQR14"/>
      <c r="HQS14"/>
      <c r="HQT14"/>
      <c r="HQU14"/>
      <c r="HQV14"/>
      <c r="HQW14"/>
      <c r="HQX14"/>
      <c r="HQY14"/>
      <c r="HQZ14"/>
      <c r="HRA14"/>
      <c r="HRB14"/>
      <c r="HRC14"/>
      <c r="HRD14"/>
      <c r="HRE14"/>
      <c r="HRF14"/>
      <c r="HRG14"/>
      <c r="HRH14"/>
      <c r="HRI14"/>
      <c r="HRJ14"/>
      <c r="HRK14"/>
      <c r="HRL14"/>
      <c r="HRM14"/>
      <c r="HRN14"/>
      <c r="HRO14"/>
      <c r="HRP14"/>
      <c r="HRQ14"/>
      <c r="HRR14"/>
      <c r="HRS14"/>
      <c r="HRT14"/>
      <c r="HRU14"/>
      <c r="HRV14"/>
      <c r="HRW14"/>
      <c r="HRX14"/>
      <c r="HRY14"/>
      <c r="HRZ14"/>
      <c r="HSA14"/>
      <c r="HSB14"/>
      <c r="HSC14"/>
      <c r="HSD14"/>
      <c r="HSE14"/>
      <c r="HSF14"/>
      <c r="HSG14"/>
      <c r="HSH14"/>
      <c r="HSI14"/>
      <c r="HSJ14"/>
      <c r="HSK14"/>
      <c r="HSL14"/>
      <c r="HSM14"/>
      <c r="HSN14"/>
      <c r="HSO14"/>
      <c r="HSP14"/>
      <c r="HSQ14"/>
      <c r="HSR14"/>
      <c r="HSS14"/>
      <c r="HST14"/>
      <c r="HSU14"/>
      <c r="HSV14"/>
      <c r="HSW14"/>
      <c r="HSX14"/>
      <c r="HSY14"/>
      <c r="HSZ14"/>
      <c r="HTA14"/>
      <c r="HTB14"/>
      <c r="HTC14"/>
      <c r="HTD14"/>
      <c r="HTE14"/>
      <c r="HTF14"/>
      <c r="HTG14"/>
      <c r="HTH14"/>
      <c r="HTI14"/>
      <c r="HTJ14"/>
      <c r="HTK14"/>
      <c r="HTL14"/>
      <c r="HTM14"/>
      <c r="HTN14"/>
      <c r="HTO14"/>
      <c r="HTP14"/>
      <c r="HTQ14"/>
      <c r="HTR14"/>
      <c r="HTS14"/>
      <c r="HTT14"/>
      <c r="HTU14"/>
      <c r="HTV14"/>
      <c r="HTW14"/>
      <c r="HTX14"/>
      <c r="HTY14"/>
      <c r="HTZ14"/>
      <c r="HUA14"/>
      <c r="HUB14"/>
      <c r="HUC14"/>
      <c r="HUD14"/>
      <c r="HUE14"/>
      <c r="HUF14"/>
      <c r="HUG14"/>
      <c r="HUH14"/>
      <c r="HUI14"/>
      <c r="HUJ14"/>
      <c r="HUK14"/>
      <c r="HUL14"/>
      <c r="HUM14"/>
      <c r="HUN14"/>
      <c r="HUO14"/>
      <c r="HUP14"/>
      <c r="HUQ14"/>
      <c r="HUR14"/>
      <c r="HUS14"/>
      <c r="HUT14"/>
      <c r="HUU14"/>
      <c r="HUV14"/>
      <c r="HUW14"/>
      <c r="HUX14"/>
      <c r="HUY14"/>
      <c r="HUZ14"/>
      <c r="HVA14"/>
      <c r="HVB14"/>
      <c r="HVC14"/>
      <c r="HVD14"/>
      <c r="HVE14"/>
      <c r="HVF14"/>
      <c r="HVG14"/>
      <c r="HVH14"/>
      <c r="HVI14"/>
      <c r="HVJ14"/>
      <c r="HVK14"/>
      <c r="HVL14"/>
      <c r="HVM14"/>
      <c r="HVN14"/>
      <c r="HVO14"/>
      <c r="HVP14"/>
      <c r="HVQ14"/>
      <c r="HVR14"/>
      <c r="HVS14"/>
      <c r="HVT14"/>
      <c r="HVU14"/>
      <c r="HVV14"/>
      <c r="HVW14"/>
      <c r="HVX14"/>
      <c r="HVY14"/>
      <c r="HVZ14"/>
      <c r="HWA14"/>
      <c r="HWB14"/>
      <c r="HWC14"/>
      <c r="HWD14"/>
      <c r="HWE14"/>
      <c r="HWF14"/>
      <c r="HWG14"/>
      <c r="HWH14"/>
      <c r="HWI14"/>
      <c r="HWJ14"/>
      <c r="HWK14"/>
      <c r="HWL14"/>
      <c r="HWM14"/>
      <c r="HWN14"/>
      <c r="HWO14"/>
      <c r="HWP14"/>
      <c r="HWQ14"/>
      <c r="HWR14"/>
      <c r="HWS14"/>
      <c r="HWT14"/>
      <c r="HWU14"/>
      <c r="HWV14"/>
      <c r="HWW14"/>
      <c r="HWX14"/>
      <c r="HWY14"/>
      <c r="HWZ14"/>
      <c r="HXA14"/>
      <c r="HXB14"/>
      <c r="HXC14"/>
      <c r="HXD14"/>
      <c r="HXE14"/>
      <c r="HXF14"/>
      <c r="HXG14"/>
      <c r="HXH14"/>
      <c r="HXI14"/>
      <c r="HXJ14"/>
      <c r="HXK14"/>
      <c r="HXL14"/>
      <c r="HXM14"/>
      <c r="HXN14"/>
      <c r="HXO14"/>
      <c r="HXP14"/>
      <c r="HXQ14"/>
      <c r="HXR14"/>
      <c r="HXS14"/>
      <c r="HXT14"/>
      <c r="HXU14"/>
      <c r="HXV14"/>
      <c r="HXW14"/>
      <c r="HXX14"/>
      <c r="HXY14"/>
      <c r="HXZ14"/>
      <c r="HYA14"/>
      <c r="HYB14"/>
      <c r="HYC14"/>
      <c r="HYD14"/>
      <c r="HYE14"/>
      <c r="HYF14"/>
      <c r="HYG14"/>
      <c r="HYH14"/>
      <c r="HYI14"/>
      <c r="HYJ14"/>
      <c r="HYK14"/>
      <c r="HYL14"/>
      <c r="HYM14"/>
      <c r="HYN14"/>
      <c r="HYO14"/>
      <c r="HYP14"/>
      <c r="HYQ14"/>
      <c r="HYR14"/>
      <c r="HYS14"/>
      <c r="HYT14"/>
      <c r="HYU14"/>
      <c r="HYV14"/>
      <c r="HYW14"/>
      <c r="HYX14"/>
      <c r="HYY14"/>
      <c r="HYZ14"/>
      <c r="HZA14"/>
      <c r="HZB14"/>
      <c r="HZC14"/>
      <c r="HZD14"/>
      <c r="HZE14"/>
      <c r="HZF14"/>
      <c r="HZG14"/>
      <c r="HZH14"/>
      <c r="HZI14"/>
      <c r="HZJ14"/>
      <c r="HZK14"/>
      <c r="HZL14"/>
      <c r="HZM14"/>
      <c r="HZN14"/>
      <c r="HZO14"/>
      <c r="HZP14"/>
      <c r="HZQ14"/>
      <c r="HZR14"/>
      <c r="HZS14"/>
      <c r="HZT14"/>
      <c r="HZU14"/>
      <c r="HZV14"/>
      <c r="HZW14"/>
      <c r="HZX14"/>
      <c r="HZY14"/>
      <c r="HZZ14"/>
      <c r="IAA14"/>
      <c r="IAB14"/>
      <c r="IAC14"/>
      <c r="IAD14"/>
      <c r="IAE14"/>
      <c r="IAF14"/>
      <c r="IAG14"/>
      <c r="IAH14"/>
      <c r="IAI14"/>
      <c r="IAJ14"/>
      <c r="IAK14"/>
      <c r="IAL14"/>
      <c r="IAM14"/>
      <c r="IAN14"/>
      <c r="IAO14"/>
      <c r="IAP14"/>
      <c r="IAQ14"/>
      <c r="IAR14"/>
      <c r="IAS14"/>
      <c r="IAT14"/>
      <c r="IAU14"/>
      <c r="IAV14"/>
      <c r="IAW14"/>
      <c r="IAX14"/>
      <c r="IAY14"/>
      <c r="IAZ14"/>
      <c r="IBA14"/>
      <c r="IBB14"/>
      <c r="IBC14"/>
      <c r="IBD14"/>
      <c r="IBE14"/>
      <c r="IBF14"/>
      <c r="IBG14"/>
      <c r="IBH14"/>
      <c r="IBI14"/>
      <c r="IBJ14"/>
      <c r="IBK14"/>
      <c r="IBL14"/>
      <c r="IBM14"/>
      <c r="IBN14"/>
      <c r="IBO14"/>
      <c r="IBP14"/>
      <c r="IBQ14"/>
      <c r="IBR14"/>
      <c r="IBS14"/>
      <c r="IBT14"/>
      <c r="IBU14"/>
      <c r="IBV14"/>
      <c r="IBW14"/>
      <c r="IBX14"/>
      <c r="IBY14"/>
      <c r="IBZ14"/>
      <c r="ICA14"/>
      <c r="ICB14"/>
      <c r="ICC14"/>
      <c r="ICD14"/>
      <c r="ICE14"/>
      <c r="ICF14"/>
      <c r="ICG14"/>
      <c r="ICH14"/>
      <c r="ICI14"/>
      <c r="ICJ14"/>
      <c r="ICK14"/>
      <c r="ICL14"/>
      <c r="ICM14"/>
      <c r="ICN14"/>
      <c r="ICO14"/>
      <c r="ICP14"/>
      <c r="ICQ14"/>
      <c r="ICR14"/>
      <c r="ICS14"/>
      <c r="ICT14"/>
      <c r="ICU14"/>
      <c r="ICV14"/>
      <c r="ICW14"/>
      <c r="ICX14"/>
      <c r="ICY14"/>
      <c r="ICZ14"/>
      <c r="IDA14"/>
      <c r="IDB14"/>
      <c r="IDC14"/>
      <c r="IDD14"/>
      <c r="IDE14"/>
      <c r="IDF14"/>
      <c r="IDG14"/>
      <c r="IDH14"/>
      <c r="IDI14"/>
      <c r="IDJ14"/>
      <c r="IDK14"/>
      <c r="IDL14"/>
      <c r="IDM14"/>
      <c r="IDN14"/>
      <c r="IDO14"/>
      <c r="IDP14"/>
      <c r="IDQ14"/>
      <c r="IDR14"/>
      <c r="IDS14"/>
      <c r="IDT14"/>
      <c r="IDU14"/>
      <c r="IDV14"/>
      <c r="IDW14"/>
      <c r="IDX14"/>
      <c r="IDY14"/>
      <c r="IDZ14"/>
      <c r="IEA14"/>
      <c r="IEB14"/>
      <c r="IEC14"/>
      <c r="IED14"/>
      <c r="IEE14"/>
      <c r="IEF14"/>
      <c r="IEG14"/>
      <c r="IEH14"/>
      <c r="IEI14"/>
      <c r="IEJ14"/>
      <c r="IEK14"/>
      <c r="IEL14"/>
      <c r="IEM14"/>
      <c r="IEN14"/>
      <c r="IEO14"/>
      <c r="IEP14"/>
      <c r="IEQ14"/>
      <c r="IER14"/>
      <c r="IES14"/>
      <c r="IET14"/>
      <c r="IEU14"/>
      <c r="IEV14"/>
      <c r="IEW14"/>
      <c r="IEX14"/>
      <c r="IEY14"/>
      <c r="IEZ14"/>
      <c r="IFA14"/>
      <c r="IFB14"/>
      <c r="IFC14"/>
      <c r="IFD14"/>
      <c r="IFE14"/>
      <c r="IFF14"/>
      <c r="IFG14"/>
      <c r="IFH14"/>
      <c r="IFI14"/>
      <c r="IFJ14"/>
      <c r="IFK14"/>
      <c r="IFL14"/>
      <c r="IFM14"/>
      <c r="IFN14"/>
      <c r="IFO14"/>
      <c r="IFP14"/>
      <c r="IFQ14"/>
      <c r="IFR14"/>
      <c r="IFS14"/>
      <c r="IFT14"/>
      <c r="IFU14"/>
      <c r="IFV14"/>
      <c r="IFW14"/>
      <c r="IFX14"/>
      <c r="IFY14"/>
      <c r="IFZ14"/>
      <c r="IGA14"/>
      <c r="IGB14"/>
      <c r="IGC14"/>
      <c r="IGD14"/>
      <c r="IGE14"/>
      <c r="IGF14"/>
      <c r="IGG14"/>
      <c r="IGH14"/>
      <c r="IGI14"/>
      <c r="IGJ14"/>
      <c r="IGK14"/>
      <c r="IGL14"/>
      <c r="IGM14"/>
      <c r="IGN14"/>
      <c r="IGO14"/>
      <c r="IGP14"/>
      <c r="IGQ14"/>
      <c r="IGR14"/>
      <c r="IGS14"/>
      <c r="IGT14"/>
      <c r="IGU14"/>
      <c r="IGV14"/>
      <c r="IGW14"/>
      <c r="IGX14"/>
      <c r="IGY14"/>
      <c r="IGZ14"/>
      <c r="IHA14"/>
      <c r="IHB14"/>
      <c r="IHC14"/>
      <c r="IHD14"/>
      <c r="IHE14"/>
      <c r="IHF14"/>
      <c r="IHG14"/>
      <c r="IHH14"/>
      <c r="IHI14"/>
      <c r="IHJ14"/>
      <c r="IHK14"/>
      <c r="IHL14"/>
      <c r="IHM14"/>
      <c r="IHN14"/>
      <c r="IHO14"/>
      <c r="IHP14"/>
      <c r="IHQ14"/>
      <c r="IHR14"/>
      <c r="IHS14"/>
      <c r="IHT14"/>
      <c r="IHU14"/>
      <c r="IHV14"/>
      <c r="IHW14"/>
      <c r="IHX14"/>
      <c r="IHY14"/>
      <c r="IHZ14"/>
      <c r="IIA14"/>
      <c r="IIB14"/>
      <c r="IIC14"/>
      <c r="IID14"/>
      <c r="IIE14"/>
      <c r="IIF14"/>
      <c r="IIG14"/>
      <c r="IIH14"/>
      <c r="III14"/>
      <c r="IIJ14"/>
      <c r="IIK14"/>
      <c r="IIL14"/>
      <c r="IIM14"/>
      <c r="IIN14"/>
      <c r="IIO14"/>
      <c r="IIP14"/>
      <c r="IIQ14"/>
      <c r="IIR14"/>
      <c r="IIS14"/>
      <c r="IIT14"/>
      <c r="IIU14"/>
      <c r="IIV14"/>
      <c r="IIW14"/>
      <c r="IIX14"/>
      <c r="IIY14"/>
      <c r="IIZ14"/>
      <c r="IJA14"/>
      <c r="IJB14"/>
      <c r="IJC14"/>
      <c r="IJD14"/>
      <c r="IJE14"/>
      <c r="IJF14"/>
      <c r="IJG14"/>
      <c r="IJH14"/>
      <c r="IJI14"/>
      <c r="IJJ14"/>
      <c r="IJK14"/>
      <c r="IJL14"/>
      <c r="IJM14"/>
      <c r="IJN14"/>
      <c r="IJO14"/>
      <c r="IJP14"/>
      <c r="IJQ14"/>
      <c r="IJR14"/>
      <c r="IJS14"/>
      <c r="IJT14"/>
      <c r="IJU14"/>
      <c r="IJV14"/>
      <c r="IJW14"/>
      <c r="IJX14"/>
      <c r="IJY14"/>
      <c r="IJZ14"/>
      <c r="IKA14"/>
      <c r="IKB14"/>
      <c r="IKC14"/>
      <c r="IKD14"/>
      <c r="IKE14"/>
      <c r="IKF14"/>
      <c r="IKG14"/>
      <c r="IKH14"/>
      <c r="IKI14"/>
      <c r="IKJ14"/>
      <c r="IKK14"/>
      <c r="IKL14"/>
      <c r="IKM14"/>
      <c r="IKN14"/>
      <c r="IKO14"/>
      <c r="IKP14"/>
      <c r="IKQ14"/>
      <c r="IKR14"/>
      <c r="IKS14"/>
      <c r="IKT14"/>
      <c r="IKU14"/>
      <c r="IKV14"/>
      <c r="IKW14"/>
      <c r="IKX14"/>
      <c r="IKY14"/>
      <c r="IKZ14"/>
      <c r="ILA14"/>
      <c r="ILB14"/>
      <c r="ILC14"/>
      <c r="ILD14"/>
      <c r="ILE14"/>
      <c r="ILF14"/>
      <c r="ILG14"/>
      <c r="ILH14"/>
      <c r="ILI14"/>
      <c r="ILJ14"/>
      <c r="ILK14"/>
      <c r="ILL14"/>
      <c r="ILM14"/>
      <c r="ILN14"/>
      <c r="ILO14"/>
      <c r="ILP14"/>
      <c r="ILQ14"/>
      <c r="ILR14"/>
      <c r="ILS14"/>
      <c r="ILT14"/>
      <c r="ILU14"/>
      <c r="ILV14"/>
      <c r="ILW14"/>
      <c r="ILX14"/>
      <c r="ILY14"/>
      <c r="ILZ14"/>
      <c r="IMA14"/>
      <c r="IMB14"/>
      <c r="IMC14"/>
      <c r="IMD14"/>
      <c r="IME14"/>
      <c r="IMF14"/>
      <c r="IMG14"/>
      <c r="IMH14"/>
      <c r="IMI14"/>
      <c r="IMJ14"/>
      <c r="IMK14"/>
      <c r="IML14"/>
      <c r="IMM14"/>
      <c r="IMN14"/>
      <c r="IMO14"/>
      <c r="IMP14"/>
      <c r="IMQ14"/>
      <c r="IMR14"/>
      <c r="IMS14"/>
      <c r="IMT14"/>
      <c r="IMU14"/>
      <c r="IMV14"/>
      <c r="IMW14"/>
      <c r="IMX14"/>
      <c r="IMY14"/>
      <c r="IMZ14"/>
      <c r="INA14"/>
      <c r="INB14"/>
      <c r="INC14"/>
      <c r="IND14"/>
      <c r="INE14"/>
      <c r="INF14"/>
      <c r="ING14"/>
      <c r="INH14"/>
      <c r="INI14"/>
      <c r="INJ14"/>
      <c r="INK14"/>
      <c r="INL14"/>
      <c r="INM14"/>
      <c r="INN14"/>
      <c r="INO14"/>
      <c r="INP14"/>
      <c r="INQ14"/>
      <c r="INR14"/>
      <c r="INS14"/>
      <c r="INT14"/>
      <c r="INU14"/>
      <c r="INV14"/>
      <c r="INW14"/>
      <c r="INX14"/>
      <c r="INY14"/>
      <c r="INZ14"/>
      <c r="IOA14"/>
      <c r="IOB14"/>
      <c r="IOC14"/>
      <c r="IOD14"/>
      <c r="IOE14"/>
      <c r="IOF14"/>
      <c r="IOG14"/>
      <c r="IOH14"/>
      <c r="IOI14"/>
      <c r="IOJ14"/>
      <c r="IOK14"/>
      <c r="IOL14"/>
      <c r="IOM14"/>
      <c r="ION14"/>
      <c r="IOO14"/>
      <c r="IOP14"/>
      <c r="IOQ14"/>
      <c r="IOR14"/>
      <c r="IOS14"/>
      <c r="IOT14"/>
      <c r="IOU14"/>
      <c r="IOV14"/>
      <c r="IOW14"/>
      <c r="IOX14"/>
      <c r="IOY14"/>
      <c r="IOZ14"/>
      <c r="IPA14"/>
      <c r="IPB14"/>
      <c r="IPC14"/>
      <c r="IPD14"/>
      <c r="IPE14"/>
      <c r="IPF14"/>
      <c r="IPG14"/>
      <c r="IPH14"/>
      <c r="IPI14"/>
      <c r="IPJ14"/>
      <c r="IPK14"/>
      <c r="IPL14"/>
      <c r="IPM14"/>
      <c r="IPN14"/>
      <c r="IPO14"/>
      <c r="IPP14"/>
      <c r="IPQ14"/>
      <c r="IPR14"/>
      <c r="IPS14"/>
      <c r="IPT14"/>
      <c r="IPU14"/>
      <c r="IPV14"/>
      <c r="IPW14"/>
      <c r="IPX14"/>
      <c r="IPY14"/>
      <c r="IPZ14"/>
      <c r="IQA14"/>
      <c r="IQB14"/>
      <c r="IQC14"/>
      <c r="IQD14"/>
      <c r="IQE14"/>
      <c r="IQF14"/>
      <c r="IQG14"/>
      <c r="IQH14"/>
      <c r="IQI14"/>
      <c r="IQJ14"/>
      <c r="IQK14"/>
      <c r="IQL14"/>
      <c r="IQM14"/>
      <c r="IQN14"/>
      <c r="IQO14"/>
      <c r="IQP14"/>
      <c r="IQQ14"/>
      <c r="IQR14"/>
      <c r="IQS14"/>
      <c r="IQT14"/>
      <c r="IQU14"/>
      <c r="IQV14"/>
      <c r="IQW14"/>
      <c r="IQX14"/>
      <c r="IQY14"/>
      <c r="IQZ14"/>
      <c r="IRA14"/>
      <c r="IRB14"/>
      <c r="IRC14"/>
      <c r="IRD14"/>
      <c r="IRE14"/>
      <c r="IRF14"/>
      <c r="IRG14"/>
      <c r="IRH14"/>
      <c r="IRI14"/>
      <c r="IRJ14"/>
      <c r="IRK14"/>
      <c r="IRL14"/>
      <c r="IRM14"/>
      <c r="IRN14"/>
      <c r="IRO14"/>
      <c r="IRP14"/>
      <c r="IRQ14"/>
      <c r="IRR14"/>
      <c r="IRS14"/>
      <c r="IRT14"/>
      <c r="IRU14"/>
      <c r="IRV14"/>
      <c r="IRW14"/>
      <c r="IRX14"/>
      <c r="IRY14"/>
      <c r="IRZ14"/>
      <c r="ISA14"/>
      <c r="ISB14"/>
      <c r="ISC14"/>
      <c r="ISD14"/>
      <c r="ISE14"/>
      <c r="ISF14"/>
      <c r="ISG14"/>
      <c r="ISH14"/>
      <c r="ISI14"/>
      <c r="ISJ14"/>
      <c r="ISK14"/>
      <c r="ISL14"/>
      <c r="ISM14"/>
      <c r="ISN14"/>
      <c r="ISO14"/>
      <c r="ISP14"/>
      <c r="ISQ14"/>
      <c r="ISR14"/>
      <c r="ISS14"/>
      <c r="IST14"/>
      <c r="ISU14"/>
      <c r="ISV14"/>
      <c r="ISW14"/>
      <c r="ISX14"/>
      <c r="ISY14"/>
      <c r="ISZ14"/>
      <c r="ITA14"/>
      <c r="ITB14"/>
      <c r="ITC14"/>
      <c r="ITD14"/>
      <c r="ITE14"/>
      <c r="ITF14"/>
      <c r="ITG14"/>
      <c r="ITH14"/>
      <c r="ITI14"/>
      <c r="ITJ14"/>
      <c r="ITK14"/>
      <c r="ITL14"/>
      <c r="ITM14"/>
      <c r="ITN14"/>
      <c r="ITO14"/>
      <c r="ITP14"/>
      <c r="ITQ14"/>
      <c r="ITR14"/>
      <c r="ITS14"/>
      <c r="ITT14"/>
      <c r="ITU14"/>
      <c r="ITV14"/>
      <c r="ITW14"/>
      <c r="ITX14"/>
      <c r="ITY14"/>
      <c r="ITZ14"/>
      <c r="IUA14"/>
      <c r="IUB14"/>
      <c r="IUC14"/>
      <c r="IUD14"/>
      <c r="IUE14"/>
      <c r="IUF14"/>
      <c r="IUG14"/>
      <c r="IUH14"/>
      <c r="IUI14"/>
      <c r="IUJ14"/>
      <c r="IUK14"/>
      <c r="IUL14"/>
      <c r="IUM14"/>
      <c r="IUN14"/>
      <c r="IUO14"/>
      <c r="IUP14"/>
      <c r="IUQ14"/>
      <c r="IUR14"/>
      <c r="IUS14"/>
      <c r="IUT14"/>
      <c r="IUU14"/>
      <c r="IUV14"/>
      <c r="IUW14"/>
      <c r="IUX14"/>
      <c r="IUY14"/>
      <c r="IUZ14"/>
      <c r="IVA14"/>
      <c r="IVB14"/>
      <c r="IVC14"/>
      <c r="IVD14"/>
      <c r="IVE14"/>
      <c r="IVF14"/>
      <c r="IVG14"/>
      <c r="IVH14"/>
      <c r="IVI14"/>
      <c r="IVJ14"/>
      <c r="IVK14"/>
      <c r="IVL14"/>
      <c r="IVM14"/>
      <c r="IVN14"/>
      <c r="IVO14"/>
      <c r="IVP14"/>
      <c r="IVQ14"/>
      <c r="IVR14"/>
      <c r="IVS14"/>
      <c r="IVT14"/>
      <c r="IVU14"/>
      <c r="IVV14"/>
      <c r="IVW14"/>
      <c r="IVX14"/>
      <c r="IVY14"/>
      <c r="IVZ14"/>
      <c r="IWA14"/>
      <c r="IWB14"/>
      <c r="IWC14"/>
      <c r="IWD14"/>
      <c r="IWE14"/>
      <c r="IWF14"/>
      <c r="IWG14"/>
      <c r="IWH14"/>
      <c r="IWI14"/>
      <c r="IWJ14"/>
      <c r="IWK14"/>
      <c r="IWL14"/>
      <c r="IWM14"/>
      <c r="IWN14"/>
      <c r="IWO14"/>
      <c r="IWP14"/>
      <c r="IWQ14"/>
      <c r="IWR14"/>
      <c r="IWS14"/>
      <c r="IWT14"/>
      <c r="IWU14"/>
      <c r="IWV14"/>
      <c r="IWW14"/>
      <c r="IWX14"/>
      <c r="IWY14"/>
      <c r="IWZ14"/>
      <c r="IXA14"/>
      <c r="IXB14"/>
      <c r="IXC14"/>
      <c r="IXD14"/>
      <c r="IXE14"/>
      <c r="IXF14"/>
      <c r="IXG14"/>
      <c r="IXH14"/>
      <c r="IXI14"/>
      <c r="IXJ14"/>
      <c r="IXK14"/>
      <c r="IXL14"/>
      <c r="IXM14"/>
      <c r="IXN14"/>
      <c r="IXO14"/>
      <c r="IXP14"/>
      <c r="IXQ14"/>
      <c r="IXR14"/>
      <c r="IXS14"/>
      <c r="IXT14"/>
      <c r="IXU14"/>
      <c r="IXV14"/>
      <c r="IXW14"/>
      <c r="IXX14"/>
      <c r="IXY14"/>
      <c r="IXZ14"/>
      <c r="IYA14"/>
      <c r="IYB14"/>
      <c r="IYC14"/>
      <c r="IYD14"/>
      <c r="IYE14"/>
      <c r="IYF14"/>
      <c r="IYG14"/>
      <c r="IYH14"/>
      <c r="IYI14"/>
      <c r="IYJ14"/>
      <c r="IYK14"/>
      <c r="IYL14"/>
      <c r="IYM14"/>
      <c r="IYN14"/>
      <c r="IYO14"/>
      <c r="IYP14"/>
      <c r="IYQ14"/>
      <c r="IYR14"/>
      <c r="IYS14"/>
      <c r="IYT14"/>
      <c r="IYU14"/>
      <c r="IYV14"/>
      <c r="IYW14"/>
      <c r="IYX14"/>
      <c r="IYY14"/>
      <c r="IYZ14"/>
      <c r="IZA14"/>
      <c r="IZB14"/>
      <c r="IZC14"/>
      <c r="IZD14"/>
      <c r="IZE14"/>
      <c r="IZF14"/>
      <c r="IZG14"/>
      <c r="IZH14"/>
      <c r="IZI14"/>
      <c r="IZJ14"/>
      <c r="IZK14"/>
      <c r="IZL14"/>
      <c r="IZM14"/>
      <c r="IZN14"/>
      <c r="IZO14"/>
      <c r="IZP14"/>
      <c r="IZQ14"/>
      <c r="IZR14"/>
      <c r="IZS14"/>
      <c r="IZT14"/>
      <c r="IZU14"/>
      <c r="IZV14"/>
      <c r="IZW14"/>
      <c r="IZX14"/>
      <c r="IZY14"/>
      <c r="IZZ14"/>
      <c r="JAA14"/>
      <c r="JAB14"/>
      <c r="JAC14"/>
      <c r="JAD14"/>
      <c r="JAE14"/>
      <c r="JAF14"/>
      <c r="JAG14"/>
      <c r="JAH14"/>
      <c r="JAI14"/>
      <c r="JAJ14"/>
      <c r="JAK14"/>
      <c r="JAL14"/>
      <c r="JAM14"/>
      <c r="JAN14"/>
      <c r="JAO14"/>
      <c r="JAP14"/>
      <c r="JAQ14"/>
      <c r="JAR14"/>
      <c r="JAS14"/>
      <c r="JAT14"/>
      <c r="JAU14"/>
      <c r="JAV14"/>
      <c r="JAW14"/>
      <c r="JAX14"/>
      <c r="JAY14"/>
      <c r="JAZ14"/>
      <c r="JBA14"/>
      <c r="JBB14"/>
      <c r="JBC14"/>
      <c r="JBD14"/>
      <c r="JBE14"/>
      <c r="JBF14"/>
      <c r="JBG14"/>
      <c r="JBH14"/>
      <c r="JBI14"/>
      <c r="JBJ14"/>
      <c r="JBK14"/>
      <c r="JBL14"/>
      <c r="JBM14"/>
      <c r="JBN14"/>
      <c r="JBO14"/>
      <c r="JBP14"/>
      <c r="JBQ14"/>
      <c r="JBR14"/>
      <c r="JBS14"/>
      <c r="JBT14"/>
      <c r="JBU14"/>
      <c r="JBV14"/>
      <c r="JBW14"/>
      <c r="JBX14"/>
      <c r="JBY14"/>
      <c r="JBZ14"/>
      <c r="JCA14"/>
      <c r="JCB14"/>
      <c r="JCC14"/>
      <c r="JCD14"/>
      <c r="JCE14"/>
      <c r="JCF14"/>
      <c r="JCG14"/>
      <c r="JCH14"/>
      <c r="JCI14"/>
      <c r="JCJ14"/>
      <c r="JCK14"/>
      <c r="JCL14"/>
      <c r="JCM14"/>
      <c r="JCN14"/>
      <c r="JCO14"/>
      <c r="JCP14"/>
      <c r="JCQ14"/>
      <c r="JCR14"/>
      <c r="JCS14"/>
      <c r="JCT14"/>
      <c r="JCU14"/>
      <c r="JCV14"/>
      <c r="JCW14"/>
      <c r="JCX14"/>
      <c r="JCY14"/>
      <c r="JCZ14"/>
      <c r="JDA14"/>
      <c r="JDB14"/>
      <c r="JDC14"/>
      <c r="JDD14"/>
      <c r="JDE14"/>
      <c r="JDF14"/>
      <c r="JDG14"/>
      <c r="JDH14"/>
      <c r="JDI14"/>
      <c r="JDJ14"/>
      <c r="JDK14"/>
      <c r="JDL14"/>
      <c r="JDM14"/>
      <c r="JDN14"/>
      <c r="JDO14"/>
      <c r="JDP14"/>
      <c r="JDQ14"/>
      <c r="JDR14"/>
      <c r="JDS14"/>
      <c r="JDT14"/>
      <c r="JDU14"/>
      <c r="JDV14"/>
      <c r="JDW14"/>
      <c r="JDX14"/>
      <c r="JDY14"/>
      <c r="JDZ14"/>
      <c r="JEA14"/>
      <c r="JEB14"/>
      <c r="JEC14"/>
      <c r="JED14"/>
      <c r="JEE14"/>
      <c r="JEF14"/>
      <c r="JEG14"/>
      <c r="JEH14"/>
      <c r="JEI14"/>
      <c r="JEJ14"/>
      <c r="JEK14"/>
      <c r="JEL14"/>
      <c r="JEM14"/>
      <c r="JEN14"/>
      <c r="JEO14"/>
      <c r="JEP14"/>
      <c r="JEQ14"/>
      <c r="JER14"/>
      <c r="JES14"/>
      <c r="JET14"/>
      <c r="JEU14"/>
      <c r="JEV14"/>
      <c r="JEW14"/>
      <c r="JEX14"/>
      <c r="JEY14"/>
      <c r="JEZ14"/>
      <c r="JFA14"/>
      <c r="JFB14"/>
      <c r="JFC14"/>
      <c r="JFD14"/>
      <c r="JFE14"/>
      <c r="JFF14"/>
      <c r="JFG14"/>
      <c r="JFH14"/>
      <c r="JFI14"/>
      <c r="JFJ14"/>
      <c r="JFK14"/>
      <c r="JFL14"/>
      <c r="JFM14"/>
      <c r="JFN14"/>
      <c r="JFO14"/>
      <c r="JFP14"/>
      <c r="JFQ14"/>
      <c r="JFR14"/>
      <c r="JFS14"/>
      <c r="JFT14"/>
      <c r="JFU14"/>
      <c r="JFV14"/>
      <c r="JFW14"/>
      <c r="JFX14"/>
      <c r="JFY14"/>
      <c r="JFZ14"/>
      <c r="JGA14"/>
      <c r="JGB14"/>
      <c r="JGC14"/>
      <c r="JGD14"/>
      <c r="JGE14"/>
      <c r="JGF14"/>
      <c r="JGG14"/>
      <c r="JGH14"/>
      <c r="JGI14"/>
      <c r="JGJ14"/>
      <c r="JGK14"/>
      <c r="JGL14"/>
      <c r="JGM14"/>
      <c r="JGN14"/>
      <c r="JGO14"/>
      <c r="JGP14"/>
      <c r="JGQ14"/>
      <c r="JGR14"/>
      <c r="JGS14"/>
      <c r="JGT14"/>
      <c r="JGU14"/>
      <c r="JGV14"/>
      <c r="JGW14"/>
      <c r="JGX14"/>
      <c r="JGY14"/>
      <c r="JGZ14"/>
      <c r="JHA14"/>
      <c r="JHB14"/>
      <c r="JHC14"/>
      <c r="JHD14"/>
      <c r="JHE14"/>
      <c r="JHF14"/>
      <c r="JHG14"/>
      <c r="JHH14"/>
      <c r="JHI14"/>
      <c r="JHJ14"/>
      <c r="JHK14"/>
      <c r="JHL14"/>
      <c r="JHM14"/>
      <c r="JHN14"/>
      <c r="JHO14"/>
      <c r="JHP14"/>
      <c r="JHQ14"/>
      <c r="JHR14"/>
      <c r="JHS14"/>
      <c r="JHT14"/>
      <c r="JHU14"/>
      <c r="JHV14"/>
      <c r="JHW14"/>
      <c r="JHX14"/>
      <c r="JHY14"/>
      <c r="JHZ14"/>
      <c r="JIA14"/>
      <c r="JIB14"/>
      <c r="JIC14"/>
      <c r="JID14"/>
      <c r="JIE14"/>
      <c r="JIF14"/>
      <c r="JIG14"/>
      <c r="JIH14"/>
      <c r="JII14"/>
      <c r="JIJ14"/>
      <c r="JIK14"/>
      <c r="JIL14"/>
      <c r="JIM14"/>
      <c r="JIN14"/>
      <c r="JIO14"/>
      <c r="JIP14"/>
      <c r="JIQ14"/>
      <c r="JIR14"/>
      <c r="JIS14"/>
      <c r="JIT14"/>
      <c r="JIU14"/>
      <c r="JIV14"/>
      <c r="JIW14"/>
      <c r="JIX14"/>
      <c r="JIY14"/>
      <c r="JIZ14"/>
      <c r="JJA14"/>
      <c r="JJB14"/>
      <c r="JJC14"/>
      <c r="JJD14"/>
      <c r="JJE14"/>
      <c r="JJF14"/>
      <c r="JJG14"/>
      <c r="JJH14"/>
      <c r="JJI14"/>
      <c r="JJJ14"/>
      <c r="JJK14"/>
      <c r="JJL14"/>
      <c r="JJM14"/>
      <c r="JJN14"/>
      <c r="JJO14"/>
      <c r="JJP14"/>
      <c r="JJQ14"/>
      <c r="JJR14"/>
      <c r="JJS14"/>
      <c r="JJT14"/>
      <c r="JJU14"/>
      <c r="JJV14"/>
      <c r="JJW14"/>
      <c r="JJX14"/>
      <c r="JJY14"/>
      <c r="JJZ14"/>
      <c r="JKA14"/>
      <c r="JKB14"/>
      <c r="JKC14"/>
      <c r="JKD14"/>
      <c r="JKE14"/>
      <c r="JKF14"/>
      <c r="JKG14"/>
      <c r="JKH14"/>
      <c r="JKI14"/>
      <c r="JKJ14"/>
      <c r="JKK14"/>
      <c r="JKL14"/>
      <c r="JKM14"/>
      <c r="JKN14"/>
      <c r="JKO14"/>
      <c r="JKP14"/>
      <c r="JKQ14"/>
      <c r="JKR14"/>
      <c r="JKS14"/>
      <c r="JKT14"/>
      <c r="JKU14"/>
      <c r="JKV14"/>
      <c r="JKW14"/>
      <c r="JKX14"/>
      <c r="JKY14"/>
      <c r="JKZ14"/>
      <c r="JLA14"/>
      <c r="JLB14"/>
      <c r="JLC14"/>
      <c r="JLD14"/>
      <c r="JLE14"/>
      <c r="JLF14"/>
      <c r="JLG14"/>
      <c r="JLH14"/>
      <c r="JLI14"/>
      <c r="JLJ14"/>
      <c r="JLK14"/>
      <c r="JLL14"/>
      <c r="JLM14"/>
      <c r="JLN14"/>
      <c r="JLO14"/>
      <c r="JLP14"/>
      <c r="JLQ14"/>
      <c r="JLR14"/>
      <c r="JLS14"/>
      <c r="JLT14"/>
      <c r="JLU14"/>
      <c r="JLV14"/>
      <c r="JLW14"/>
      <c r="JLX14"/>
      <c r="JLY14"/>
      <c r="JLZ14"/>
      <c r="JMA14"/>
      <c r="JMB14"/>
      <c r="JMC14"/>
      <c r="JMD14"/>
      <c r="JME14"/>
      <c r="JMF14"/>
      <c r="JMG14"/>
      <c r="JMH14"/>
      <c r="JMI14"/>
      <c r="JMJ14"/>
      <c r="JMK14"/>
      <c r="JML14"/>
      <c r="JMM14"/>
      <c r="JMN14"/>
      <c r="JMO14"/>
      <c r="JMP14"/>
      <c r="JMQ14"/>
      <c r="JMR14"/>
      <c r="JMS14"/>
      <c r="JMT14"/>
      <c r="JMU14"/>
      <c r="JMV14"/>
      <c r="JMW14"/>
      <c r="JMX14"/>
      <c r="JMY14"/>
      <c r="JMZ14"/>
      <c r="JNA14"/>
      <c r="JNB14"/>
      <c r="JNC14"/>
      <c r="JND14"/>
      <c r="JNE14"/>
      <c r="JNF14"/>
      <c r="JNG14"/>
      <c r="JNH14"/>
      <c r="JNI14"/>
      <c r="JNJ14"/>
      <c r="JNK14"/>
      <c r="JNL14"/>
      <c r="JNM14"/>
      <c r="JNN14"/>
      <c r="JNO14"/>
      <c r="JNP14"/>
      <c r="JNQ14"/>
      <c r="JNR14"/>
      <c r="JNS14"/>
      <c r="JNT14"/>
      <c r="JNU14"/>
      <c r="JNV14"/>
      <c r="JNW14"/>
      <c r="JNX14"/>
      <c r="JNY14"/>
      <c r="JNZ14"/>
      <c r="JOA14"/>
      <c r="JOB14"/>
      <c r="JOC14"/>
      <c r="JOD14"/>
      <c r="JOE14"/>
      <c r="JOF14"/>
      <c r="JOG14"/>
      <c r="JOH14"/>
      <c r="JOI14"/>
      <c r="JOJ14"/>
      <c r="JOK14"/>
      <c r="JOL14"/>
      <c r="JOM14"/>
      <c r="JON14"/>
      <c r="JOO14"/>
      <c r="JOP14"/>
      <c r="JOQ14"/>
      <c r="JOR14"/>
      <c r="JOS14"/>
      <c r="JOT14"/>
      <c r="JOU14"/>
      <c r="JOV14"/>
      <c r="JOW14"/>
      <c r="JOX14"/>
      <c r="JOY14"/>
      <c r="JOZ14"/>
      <c r="JPA14"/>
      <c r="JPB14"/>
      <c r="JPC14"/>
      <c r="JPD14"/>
      <c r="JPE14"/>
      <c r="JPF14"/>
      <c r="JPG14"/>
      <c r="JPH14"/>
      <c r="JPI14"/>
      <c r="JPJ14"/>
      <c r="JPK14"/>
      <c r="JPL14"/>
      <c r="JPM14"/>
      <c r="JPN14"/>
      <c r="JPO14"/>
      <c r="JPP14"/>
      <c r="JPQ14"/>
      <c r="JPR14"/>
      <c r="JPS14"/>
      <c r="JPT14"/>
      <c r="JPU14"/>
      <c r="JPV14"/>
      <c r="JPW14"/>
      <c r="JPX14"/>
      <c r="JPY14"/>
      <c r="JPZ14"/>
      <c r="JQA14"/>
      <c r="JQB14"/>
      <c r="JQC14"/>
      <c r="JQD14"/>
      <c r="JQE14"/>
      <c r="JQF14"/>
      <c r="JQG14"/>
      <c r="JQH14"/>
      <c r="JQI14"/>
      <c r="JQJ14"/>
      <c r="JQK14"/>
      <c r="JQL14"/>
      <c r="JQM14"/>
      <c r="JQN14"/>
      <c r="JQO14"/>
      <c r="JQP14"/>
      <c r="JQQ14"/>
      <c r="JQR14"/>
      <c r="JQS14"/>
      <c r="JQT14"/>
      <c r="JQU14"/>
      <c r="JQV14"/>
      <c r="JQW14"/>
      <c r="JQX14"/>
      <c r="JQY14"/>
      <c r="JQZ14"/>
      <c r="JRA14"/>
      <c r="JRB14"/>
      <c r="JRC14"/>
      <c r="JRD14"/>
      <c r="JRE14"/>
      <c r="JRF14"/>
      <c r="JRG14"/>
      <c r="JRH14"/>
      <c r="JRI14"/>
      <c r="JRJ14"/>
      <c r="JRK14"/>
      <c r="JRL14"/>
      <c r="JRM14"/>
      <c r="JRN14"/>
      <c r="JRO14"/>
      <c r="JRP14"/>
      <c r="JRQ14"/>
      <c r="JRR14"/>
      <c r="JRS14"/>
      <c r="JRT14"/>
      <c r="JRU14"/>
      <c r="JRV14"/>
      <c r="JRW14"/>
      <c r="JRX14"/>
      <c r="JRY14"/>
      <c r="JRZ14"/>
      <c r="JSA14"/>
      <c r="JSB14"/>
      <c r="JSC14"/>
      <c r="JSD14"/>
      <c r="JSE14"/>
      <c r="JSF14"/>
      <c r="JSG14"/>
      <c r="JSH14"/>
      <c r="JSI14"/>
      <c r="JSJ14"/>
      <c r="JSK14"/>
      <c r="JSL14"/>
      <c r="JSM14"/>
      <c r="JSN14"/>
      <c r="JSO14"/>
      <c r="JSP14"/>
      <c r="JSQ14"/>
      <c r="JSR14"/>
      <c r="JSS14"/>
      <c r="JST14"/>
      <c r="JSU14"/>
      <c r="JSV14"/>
      <c r="JSW14"/>
      <c r="JSX14"/>
      <c r="JSY14"/>
      <c r="JSZ14"/>
      <c r="JTA14"/>
      <c r="JTB14"/>
      <c r="JTC14"/>
      <c r="JTD14"/>
      <c r="JTE14"/>
      <c r="JTF14"/>
      <c r="JTG14"/>
      <c r="JTH14"/>
      <c r="JTI14"/>
      <c r="JTJ14"/>
      <c r="JTK14"/>
      <c r="JTL14"/>
      <c r="JTM14"/>
      <c r="JTN14"/>
      <c r="JTO14"/>
      <c r="JTP14"/>
      <c r="JTQ14"/>
      <c r="JTR14"/>
      <c r="JTS14"/>
      <c r="JTT14"/>
      <c r="JTU14"/>
      <c r="JTV14"/>
      <c r="JTW14"/>
      <c r="JTX14"/>
      <c r="JTY14"/>
      <c r="JTZ14"/>
      <c r="JUA14"/>
      <c r="JUB14"/>
      <c r="JUC14"/>
      <c r="JUD14"/>
      <c r="JUE14"/>
      <c r="JUF14"/>
      <c r="JUG14"/>
      <c r="JUH14"/>
      <c r="JUI14"/>
      <c r="JUJ14"/>
      <c r="JUK14"/>
      <c r="JUL14"/>
      <c r="JUM14"/>
      <c r="JUN14"/>
      <c r="JUO14"/>
      <c r="JUP14"/>
      <c r="JUQ14"/>
      <c r="JUR14"/>
      <c r="JUS14"/>
      <c r="JUT14"/>
      <c r="JUU14"/>
      <c r="JUV14"/>
      <c r="JUW14"/>
      <c r="JUX14"/>
      <c r="JUY14"/>
      <c r="JUZ14"/>
      <c r="JVA14"/>
      <c r="JVB14"/>
      <c r="JVC14"/>
      <c r="JVD14"/>
      <c r="JVE14"/>
      <c r="JVF14"/>
      <c r="JVG14"/>
      <c r="JVH14"/>
      <c r="JVI14"/>
      <c r="JVJ14"/>
      <c r="JVK14"/>
      <c r="JVL14"/>
      <c r="JVM14"/>
      <c r="JVN14"/>
      <c r="JVO14"/>
      <c r="JVP14"/>
      <c r="JVQ14"/>
      <c r="JVR14"/>
      <c r="JVS14"/>
      <c r="JVT14"/>
      <c r="JVU14"/>
      <c r="JVV14"/>
      <c r="JVW14"/>
      <c r="JVX14"/>
      <c r="JVY14"/>
      <c r="JVZ14"/>
      <c r="JWA14"/>
      <c r="JWB14"/>
      <c r="JWC14"/>
      <c r="JWD14"/>
      <c r="JWE14"/>
      <c r="JWF14"/>
      <c r="JWG14"/>
      <c r="JWH14"/>
      <c r="JWI14"/>
      <c r="JWJ14"/>
      <c r="JWK14"/>
      <c r="JWL14"/>
      <c r="JWM14"/>
      <c r="JWN14"/>
      <c r="JWO14"/>
      <c r="JWP14"/>
      <c r="JWQ14"/>
      <c r="JWR14"/>
      <c r="JWS14"/>
      <c r="JWT14"/>
      <c r="JWU14"/>
      <c r="JWV14"/>
      <c r="JWW14"/>
      <c r="JWX14"/>
      <c r="JWY14"/>
      <c r="JWZ14"/>
      <c r="JXA14"/>
      <c r="JXB14"/>
      <c r="JXC14"/>
      <c r="JXD14"/>
      <c r="JXE14"/>
      <c r="JXF14"/>
      <c r="JXG14"/>
      <c r="JXH14"/>
      <c r="JXI14"/>
      <c r="JXJ14"/>
      <c r="JXK14"/>
      <c r="JXL14"/>
      <c r="JXM14"/>
      <c r="JXN14"/>
      <c r="JXO14"/>
      <c r="JXP14"/>
      <c r="JXQ14"/>
      <c r="JXR14"/>
      <c r="JXS14"/>
      <c r="JXT14"/>
      <c r="JXU14"/>
      <c r="JXV14"/>
      <c r="JXW14"/>
      <c r="JXX14"/>
      <c r="JXY14"/>
      <c r="JXZ14"/>
      <c r="JYA14"/>
      <c r="JYB14"/>
      <c r="JYC14"/>
      <c r="JYD14"/>
      <c r="JYE14"/>
      <c r="JYF14"/>
      <c r="JYG14"/>
      <c r="JYH14"/>
      <c r="JYI14"/>
      <c r="JYJ14"/>
      <c r="JYK14"/>
      <c r="JYL14"/>
      <c r="JYM14"/>
      <c r="JYN14"/>
      <c r="JYO14"/>
      <c r="JYP14"/>
      <c r="JYQ14"/>
      <c r="JYR14"/>
      <c r="JYS14"/>
      <c r="JYT14"/>
      <c r="JYU14"/>
      <c r="JYV14"/>
      <c r="JYW14"/>
      <c r="JYX14"/>
      <c r="JYY14"/>
      <c r="JYZ14"/>
      <c r="JZA14"/>
      <c r="JZB14"/>
      <c r="JZC14"/>
      <c r="JZD14"/>
      <c r="JZE14"/>
      <c r="JZF14"/>
      <c r="JZG14"/>
      <c r="JZH14"/>
      <c r="JZI14"/>
      <c r="JZJ14"/>
      <c r="JZK14"/>
      <c r="JZL14"/>
      <c r="JZM14"/>
      <c r="JZN14"/>
      <c r="JZO14"/>
      <c r="JZP14"/>
      <c r="JZQ14"/>
      <c r="JZR14"/>
      <c r="JZS14"/>
      <c r="JZT14"/>
      <c r="JZU14"/>
      <c r="JZV14"/>
      <c r="JZW14"/>
      <c r="JZX14"/>
      <c r="JZY14"/>
      <c r="JZZ14"/>
      <c r="KAA14"/>
      <c r="KAB14"/>
      <c r="KAC14"/>
      <c r="KAD14"/>
      <c r="KAE14"/>
      <c r="KAF14"/>
      <c r="KAG14"/>
      <c r="KAH14"/>
      <c r="KAI14"/>
      <c r="KAJ14"/>
      <c r="KAK14"/>
      <c r="KAL14"/>
      <c r="KAM14"/>
      <c r="KAN14"/>
      <c r="KAO14"/>
      <c r="KAP14"/>
      <c r="KAQ14"/>
      <c r="KAR14"/>
      <c r="KAS14"/>
      <c r="KAT14"/>
      <c r="KAU14"/>
      <c r="KAV14"/>
      <c r="KAW14"/>
      <c r="KAX14"/>
      <c r="KAY14"/>
      <c r="KAZ14"/>
      <c r="KBA14"/>
      <c r="KBB14"/>
      <c r="KBC14"/>
      <c r="KBD14"/>
      <c r="KBE14"/>
      <c r="KBF14"/>
      <c r="KBG14"/>
      <c r="KBH14"/>
      <c r="KBI14"/>
      <c r="KBJ14"/>
      <c r="KBK14"/>
      <c r="KBL14"/>
      <c r="KBM14"/>
      <c r="KBN14"/>
      <c r="KBO14"/>
      <c r="KBP14"/>
      <c r="KBQ14"/>
      <c r="KBR14"/>
      <c r="KBS14"/>
      <c r="KBT14"/>
      <c r="KBU14"/>
      <c r="KBV14"/>
      <c r="KBW14"/>
      <c r="KBX14"/>
      <c r="KBY14"/>
      <c r="KBZ14"/>
      <c r="KCA14"/>
      <c r="KCB14"/>
      <c r="KCC14"/>
      <c r="KCD14"/>
      <c r="KCE14"/>
      <c r="KCF14"/>
      <c r="KCG14"/>
      <c r="KCH14"/>
      <c r="KCI14"/>
      <c r="KCJ14"/>
      <c r="KCK14"/>
      <c r="KCL14"/>
      <c r="KCM14"/>
      <c r="KCN14"/>
      <c r="KCO14"/>
      <c r="KCP14"/>
      <c r="KCQ14"/>
      <c r="KCR14"/>
      <c r="KCS14"/>
      <c r="KCT14"/>
      <c r="KCU14"/>
      <c r="KCV14"/>
      <c r="KCW14"/>
      <c r="KCX14"/>
      <c r="KCY14"/>
      <c r="KCZ14"/>
      <c r="KDA14"/>
      <c r="KDB14"/>
      <c r="KDC14"/>
      <c r="KDD14"/>
      <c r="KDE14"/>
      <c r="KDF14"/>
      <c r="KDG14"/>
      <c r="KDH14"/>
      <c r="KDI14"/>
      <c r="KDJ14"/>
      <c r="KDK14"/>
      <c r="KDL14"/>
      <c r="KDM14"/>
      <c r="KDN14"/>
      <c r="KDO14"/>
      <c r="KDP14"/>
      <c r="KDQ14"/>
      <c r="KDR14"/>
      <c r="KDS14"/>
      <c r="KDT14"/>
      <c r="KDU14"/>
      <c r="KDV14"/>
      <c r="KDW14"/>
      <c r="KDX14"/>
      <c r="KDY14"/>
      <c r="KDZ14"/>
      <c r="KEA14"/>
      <c r="KEB14"/>
      <c r="KEC14"/>
      <c r="KED14"/>
      <c r="KEE14"/>
      <c r="KEF14"/>
      <c r="KEG14"/>
      <c r="KEH14"/>
      <c r="KEI14"/>
      <c r="KEJ14"/>
      <c r="KEK14"/>
      <c r="KEL14"/>
      <c r="KEM14"/>
      <c r="KEN14"/>
      <c r="KEO14"/>
      <c r="KEP14"/>
      <c r="KEQ14"/>
      <c r="KER14"/>
      <c r="KES14"/>
      <c r="KET14"/>
      <c r="KEU14"/>
      <c r="KEV14"/>
      <c r="KEW14"/>
      <c r="KEX14"/>
      <c r="KEY14"/>
      <c r="KEZ14"/>
      <c r="KFA14"/>
      <c r="KFB14"/>
      <c r="KFC14"/>
      <c r="KFD14"/>
      <c r="KFE14"/>
      <c r="KFF14"/>
      <c r="KFG14"/>
      <c r="KFH14"/>
      <c r="KFI14"/>
      <c r="KFJ14"/>
      <c r="KFK14"/>
      <c r="KFL14"/>
      <c r="KFM14"/>
      <c r="KFN14"/>
      <c r="KFO14"/>
      <c r="KFP14"/>
      <c r="KFQ14"/>
      <c r="KFR14"/>
      <c r="KFS14"/>
      <c r="KFT14"/>
      <c r="KFU14"/>
      <c r="KFV14"/>
      <c r="KFW14"/>
      <c r="KFX14"/>
      <c r="KFY14"/>
      <c r="KFZ14"/>
      <c r="KGA14"/>
      <c r="KGB14"/>
      <c r="KGC14"/>
      <c r="KGD14"/>
      <c r="KGE14"/>
      <c r="KGF14"/>
      <c r="KGG14"/>
      <c r="KGH14"/>
      <c r="KGI14"/>
      <c r="KGJ14"/>
      <c r="KGK14"/>
      <c r="KGL14"/>
      <c r="KGM14"/>
      <c r="KGN14"/>
      <c r="KGO14"/>
      <c r="KGP14"/>
      <c r="KGQ14"/>
      <c r="KGR14"/>
      <c r="KGS14"/>
      <c r="KGT14"/>
      <c r="KGU14"/>
      <c r="KGV14"/>
      <c r="KGW14"/>
      <c r="KGX14"/>
      <c r="KGY14"/>
      <c r="KGZ14"/>
      <c r="KHA14"/>
      <c r="KHB14"/>
      <c r="KHC14"/>
      <c r="KHD14"/>
      <c r="KHE14"/>
      <c r="KHF14"/>
      <c r="KHG14"/>
      <c r="KHH14"/>
      <c r="KHI14"/>
      <c r="KHJ14"/>
      <c r="KHK14"/>
      <c r="KHL14"/>
      <c r="KHM14"/>
      <c r="KHN14"/>
      <c r="KHO14"/>
      <c r="KHP14"/>
      <c r="KHQ14"/>
      <c r="KHR14"/>
      <c r="KHS14"/>
      <c r="KHT14"/>
      <c r="KHU14"/>
      <c r="KHV14"/>
      <c r="KHW14"/>
      <c r="KHX14"/>
      <c r="KHY14"/>
      <c r="KHZ14"/>
      <c r="KIA14"/>
      <c r="KIB14"/>
      <c r="KIC14"/>
      <c r="KID14"/>
      <c r="KIE14"/>
      <c r="KIF14"/>
      <c r="KIG14"/>
      <c r="KIH14"/>
      <c r="KII14"/>
      <c r="KIJ14"/>
      <c r="KIK14"/>
      <c r="KIL14"/>
      <c r="KIM14"/>
      <c r="KIN14"/>
      <c r="KIO14"/>
      <c r="KIP14"/>
      <c r="KIQ14"/>
      <c r="KIR14"/>
      <c r="KIS14"/>
      <c r="KIT14"/>
      <c r="KIU14"/>
      <c r="KIV14"/>
      <c r="KIW14"/>
      <c r="KIX14"/>
      <c r="KIY14"/>
      <c r="KIZ14"/>
      <c r="KJA14"/>
      <c r="KJB14"/>
      <c r="KJC14"/>
      <c r="KJD14"/>
      <c r="KJE14"/>
      <c r="KJF14"/>
      <c r="KJG14"/>
      <c r="KJH14"/>
      <c r="KJI14"/>
      <c r="KJJ14"/>
      <c r="KJK14"/>
      <c r="KJL14"/>
      <c r="KJM14"/>
      <c r="KJN14"/>
      <c r="KJO14"/>
      <c r="KJP14"/>
      <c r="KJQ14"/>
      <c r="KJR14"/>
      <c r="KJS14"/>
      <c r="KJT14"/>
      <c r="KJU14"/>
      <c r="KJV14"/>
      <c r="KJW14"/>
      <c r="KJX14"/>
      <c r="KJY14"/>
      <c r="KJZ14"/>
      <c r="KKA14"/>
      <c r="KKB14"/>
      <c r="KKC14"/>
      <c r="KKD14"/>
      <c r="KKE14"/>
      <c r="KKF14"/>
      <c r="KKG14"/>
      <c r="KKH14"/>
      <c r="KKI14"/>
      <c r="KKJ14"/>
      <c r="KKK14"/>
      <c r="KKL14"/>
      <c r="KKM14"/>
      <c r="KKN14"/>
      <c r="KKO14"/>
      <c r="KKP14"/>
      <c r="KKQ14"/>
      <c r="KKR14"/>
      <c r="KKS14"/>
      <c r="KKT14"/>
      <c r="KKU14"/>
      <c r="KKV14"/>
      <c r="KKW14"/>
      <c r="KKX14"/>
      <c r="KKY14"/>
      <c r="KKZ14"/>
      <c r="KLA14"/>
      <c r="KLB14"/>
      <c r="KLC14"/>
      <c r="KLD14"/>
      <c r="KLE14"/>
      <c r="KLF14"/>
      <c r="KLG14"/>
      <c r="KLH14"/>
      <c r="KLI14"/>
      <c r="KLJ14"/>
      <c r="KLK14"/>
      <c r="KLL14"/>
      <c r="KLM14"/>
      <c r="KLN14"/>
      <c r="KLO14"/>
      <c r="KLP14"/>
      <c r="KLQ14"/>
      <c r="KLR14"/>
      <c r="KLS14"/>
      <c r="KLT14"/>
      <c r="KLU14"/>
      <c r="KLV14"/>
      <c r="KLW14"/>
      <c r="KLX14"/>
      <c r="KLY14"/>
      <c r="KLZ14"/>
      <c r="KMA14"/>
      <c r="KMB14"/>
      <c r="KMC14"/>
      <c r="KMD14"/>
      <c r="KME14"/>
      <c r="KMF14"/>
      <c r="KMG14"/>
      <c r="KMH14"/>
      <c r="KMI14"/>
      <c r="KMJ14"/>
      <c r="KMK14"/>
      <c r="KML14"/>
      <c r="KMM14"/>
      <c r="KMN14"/>
      <c r="KMO14"/>
      <c r="KMP14"/>
      <c r="KMQ14"/>
      <c r="KMR14"/>
      <c r="KMS14"/>
      <c r="KMT14"/>
      <c r="KMU14"/>
      <c r="KMV14"/>
      <c r="KMW14"/>
      <c r="KMX14"/>
      <c r="KMY14"/>
      <c r="KMZ14"/>
      <c r="KNA14"/>
      <c r="KNB14"/>
      <c r="KNC14"/>
      <c r="KND14"/>
      <c r="KNE14"/>
      <c r="KNF14"/>
      <c r="KNG14"/>
      <c r="KNH14"/>
      <c r="KNI14"/>
      <c r="KNJ14"/>
      <c r="KNK14"/>
      <c r="KNL14"/>
      <c r="KNM14"/>
      <c r="KNN14"/>
      <c r="KNO14"/>
      <c r="KNP14"/>
      <c r="KNQ14"/>
      <c r="KNR14"/>
      <c r="KNS14"/>
      <c r="KNT14"/>
      <c r="KNU14"/>
      <c r="KNV14"/>
      <c r="KNW14"/>
      <c r="KNX14"/>
      <c r="KNY14"/>
      <c r="KNZ14"/>
      <c r="KOA14"/>
      <c r="KOB14"/>
      <c r="KOC14"/>
      <c r="KOD14"/>
      <c r="KOE14"/>
      <c r="KOF14"/>
      <c r="KOG14"/>
      <c r="KOH14"/>
      <c r="KOI14"/>
      <c r="KOJ14"/>
      <c r="KOK14"/>
      <c r="KOL14"/>
      <c r="KOM14"/>
      <c r="KON14"/>
      <c r="KOO14"/>
      <c r="KOP14"/>
      <c r="KOQ14"/>
      <c r="KOR14"/>
      <c r="KOS14"/>
      <c r="KOT14"/>
      <c r="KOU14"/>
      <c r="KOV14"/>
      <c r="KOW14"/>
      <c r="KOX14"/>
      <c r="KOY14"/>
      <c r="KOZ14"/>
      <c r="KPA14"/>
      <c r="KPB14"/>
      <c r="KPC14"/>
      <c r="KPD14"/>
      <c r="KPE14"/>
      <c r="KPF14"/>
      <c r="KPG14"/>
      <c r="KPH14"/>
      <c r="KPI14"/>
      <c r="KPJ14"/>
      <c r="KPK14"/>
      <c r="KPL14"/>
      <c r="KPM14"/>
      <c r="KPN14"/>
      <c r="KPO14"/>
      <c r="KPP14"/>
      <c r="KPQ14"/>
      <c r="KPR14"/>
      <c r="KPS14"/>
      <c r="KPT14"/>
      <c r="KPU14"/>
      <c r="KPV14"/>
      <c r="KPW14"/>
      <c r="KPX14"/>
      <c r="KPY14"/>
      <c r="KPZ14"/>
      <c r="KQA14"/>
      <c r="KQB14"/>
      <c r="KQC14"/>
      <c r="KQD14"/>
      <c r="KQE14"/>
      <c r="KQF14"/>
      <c r="KQG14"/>
      <c r="KQH14"/>
      <c r="KQI14"/>
      <c r="KQJ14"/>
      <c r="KQK14"/>
      <c r="KQL14"/>
      <c r="KQM14"/>
      <c r="KQN14"/>
      <c r="KQO14"/>
      <c r="KQP14"/>
      <c r="KQQ14"/>
      <c r="KQR14"/>
      <c r="KQS14"/>
      <c r="KQT14"/>
      <c r="KQU14"/>
      <c r="KQV14"/>
      <c r="KQW14"/>
      <c r="KQX14"/>
      <c r="KQY14"/>
      <c r="KQZ14"/>
      <c r="KRA14"/>
      <c r="KRB14"/>
      <c r="KRC14"/>
      <c r="KRD14"/>
      <c r="KRE14"/>
      <c r="KRF14"/>
      <c r="KRG14"/>
      <c r="KRH14"/>
      <c r="KRI14"/>
      <c r="KRJ14"/>
      <c r="KRK14"/>
      <c r="KRL14"/>
      <c r="KRM14"/>
      <c r="KRN14"/>
      <c r="KRO14"/>
      <c r="KRP14"/>
      <c r="KRQ14"/>
      <c r="KRR14"/>
      <c r="KRS14"/>
      <c r="KRT14"/>
      <c r="KRU14"/>
      <c r="KRV14"/>
      <c r="KRW14"/>
      <c r="KRX14"/>
      <c r="KRY14"/>
      <c r="KRZ14"/>
      <c r="KSA14"/>
      <c r="KSB14"/>
      <c r="KSC14"/>
      <c r="KSD14"/>
      <c r="KSE14"/>
      <c r="KSF14"/>
      <c r="KSG14"/>
      <c r="KSH14"/>
      <c r="KSI14"/>
      <c r="KSJ14"/>
      <c r="KSK14"/>
      <c r="KSL14"/>
      <c r="KSM14"/>
      <c r="KSN14"/>
      <c r="KSO14"/>
      <c r="KSP14"/>
      <c r="KSQ14"/>
      <c r="KSR14"/>
      <c r="KSS14"/>
      <c r="KST14"/>
      <c r="KSU14"/>
      <c r="KSV14"/>
      <c r="KSW14"/>
      <c r="KSX14"/>
      <c r="KSY14"/>
      <c r="KSZ14"/>
      <c r="KTA14"/>
      <c r="KTB14"/>
      <c r="KTC14"/>
      <c r="KTD14"/>
      <c r="KTE14"/>
      <c r="KTF14"/>
      <c r="KTG14"/>
      <c r="KTH14"/>
      <c r="KTI14"/>
      <c r="KTJ14"/>
      <c r="KTK14"/>
      <c r="KTL14"/>
      <c r="KTM14"/>
      <c r="KTN14"/>
      <c r="KTO14"/>
      <c r="KTP14"/>
      <c r="KTQ14"/>
      <c r="KTR14"/>
      <c r="KTS14"/>
      <c r="KTT14"/>
      <c r="KTU14"/>
      <c r="KTV14"/>
      <c r="KTW14"/>
      <c r="KTX14"/>
      <c r="KTY14"/>
      <c r="KTZ14"/>
      <c r="KUA14"/>
      <c r="KUB14"/>
      <c r="KUC14"/>
      <c r="KUD14"/>
      <c r="KUE14"/>
      <c r="KUF14"/>
      <c r="KUG14"/>
      <c r="KUH14"/>
      <c r="KUI14"/>
      <c r="KUJ14"/>
      <c r="KUK14"/>
      <c r="KUL14"/>
      <c r="KUM14"/>
      <c r="KUN14"/>
      <c r="KUO14"/>
      <c r="KUP14"/>
      <c r="KUQ14"/>
      <c r="KUR14"/>
      <c r="KUS14"/>
      <c r="KUT14"/>
      <c r="KUU14"/>
      <c r="KUV14"/>
      <c r="KUW14"/>
      <c r="KUX14"/>
      <c r="KUY14"/>
      <c r="KUZ14"/>
      <c r="KVA14"/>
      <c r="KVB14"/>
      <c r="KVC14"/>
      <c r="KVD14"/>
      <c r="KVE14"/>
      <c r="KVF14"/>
      <c r="KVG14"/>
      <c r="KVH14"/>
      <c r="KVI14"/>
      <c r="KVJ14"/>
      <c r="KVK14"/>
      <c r="KVL14"/>
      <c r="KVM14"/>
      <c r="KVN14"/>
      <c r="KVO14"/>
      <c r="KVP14"/>
      <c r="KVQ14"/>
      <c r="KVR14"/>
      <c r="KVS14"/>
      <c r="KVT14"/>
      <c r="KVU14"/>
      <c r="KVV14"/>
      <c r="KVW14"/>
      <c r="KVX14"/>
      <c r="KVY14"/>
      <c r="KVZ14"/>
      <c r="KWA14"/>
      <c r="KWB14"/>
      <c r="KWC14"/>
      <c r="KWD14"/>
      <c r="KWE14"/>
      <c r="KWF14"/>
      <c r="KWG14"/>
      <c r="KWH14"/>
      <c r="KWI14"/>
      <c r="KWJ14"/>
      <c r="KWK14"/>
      <c r="KWL14"/>
      <c r="KWM14"/>
      <c r="KWN14"/>
      <c r="KWO14"/>
      <c r="KWP14"/>
      <c r="KWQ14"/>
      <c r="KWR14"/>
      <c r="KWS14"/>
      <c r="KWT14"/>
      <c r="KWU14"/>
      <c r="KWV14"/>
      <c r="KWW14"/>
      <c r="KWX14"/>
      <c r="KWY14"/>
      <c r="KWZ14"/>
      <c r="KXA14"/>
      <c r="KXB14"/>
      <c r="KXC14"/>
      <c r="KXD14"/>
      <c r="KXE14"/>
      <c r="KXF14"/>
      <c r="KXG14"/>
      <c r="KXH14"/>
      <c r="KXI14"/>
      <c r="KXJ14"/>
      <c r="KXK14"/>
      <c r="KXL14"/>
      <c r="KXM14"/>
      <c r="KXN14"/>
      <c r="KXO14"/>
      <c r="KXP14"/>
      <c r="KXQ14"/>
      <c r="KXR14"/>
      <c r="KXS14"/>
      <c r="KXT14"/>
      <c r="KXU14"/>
      <c r="KXV14"/>
      <c r="KXW14"/>
      <c r="KXX14"/>
      <c r="KXY14"/>
      <c r="KXZ14"/>
      <c r="KYA14"/>
      <c r="KYB14"/>
      <c r="KYC14"/>
      <c r="KYD14"/>
      <c r="KYE14"/>
      <c r="KYF14"/>
      <c r="KYG14"/>
      <c r="KYH14"/>
      <c r="KYI14"/>
      <c r="KYJ14"/>
      <c r="KYK14"/>
      <c r="KYL14"/>
      <c r="KYM14"/>
      <c r="KYN14"/>
      <c r="KYO14"/>
      <c r="KYP14"/>
      <c r="KYQ14"/>
      <c r="KYR14"/>
      <c r="KYS14"/>
      <c r="KYT14"/>
      <c r="KYU14"/>
      <c r="KYV14"/>
      <c r="KYW14"/>
      <c r="KYX14"/>
      <c r="KYY14"/>
      <c r="KYZ14"/>
      <c r="KZA14"/>
      <c r="KZB14"/>
      <c r="KZC14"/>
      <c r="KZD14"/>
      <c r="KZE14"/>
      <c r="KZF14"/>
      <c r="KZG14"/>
      <c r="KZH14"/>
      <c r="KZI14"/>
      <c r="KZJ14"/>
      <c r="KZK14"/>
      <c r="KZL14"/>
      <c r="KZM14"/>
      <c r="KZN14"/>
      <c r="KZO14"/>
      <c r="KZP14"/>
      <c r="KZQ14"/>
      <c r="KZR14"/>
      <c r="KZS14"/>
      <c r="KZT14"/>
      <c r="KZU14"/>
      <c r="KZV14"/>
      <c r="KZW14"/>
      <c r="KZX14"/>
      <c r="KZY14"/>
      <c r="KZZ14"/>
      <c r="LAA14"/>
      <c r="LAB14"/>
      <c r="LAC14"/>
      <c r="LAD14"/>
      <c r="LAE14"/>
      <c r="LAF14"/>
      <c r="LAG14"/>
      <c r="LAH14"/>
      <c r="LAI14"/>
      <c r="LAJ14"/>
      <c r="LAK14"/>
      <c r="LAL14"/>
      <c r="LAM14"/>
      <c r="LAN14"/>
      <c r="LAO14"/>
      <c r="LAP14"/>
      <c r="LAQ14"/>
      <c r="LAR14"/>
      <c r="LAS14"/>
      <c r="LAT14"/>
      <c r="LAU14"/>
      <c r="LAV14"/>
      <c r="LAW14"/>
      <c r="LAX14"/>
      <c r="LAY14"/>
      <c r="LAZ14"/>
      <c r="LBA14"/>
      <c r="LBB14"/>
      <c r="LBC14"/>
      <c r="LBD14"/>
      <c r="LBE14"/>
      <c r="LBF14"/>
      <c r="LBG14"/>
      <c r="LBH14"/>
      <c r="LBI14"/>
      <c r="LBJ14"/>
      <c r="LBK14"/>
      <c r="LBL14"/>
      <c r="LBM14"/>
      <c r="LBN14"/>
      <c r="LBO14"/>
      <c r="LBP14"/>
      <c r="LBQ14"/>
      <c r="LBR14"/>
      <c r="LBS14"/>
      <c r="LBT14"/>
      <c r="LBU14"/>
      <c r="LBV14"/>
      <c r="LBW14"/>
      <c r="LBX14"/>
      <c r="LBY14"/>
      <c r="LBZ14"/>
      <c r="LCA14"/>
      <c r="LCB14"/>
      <c r="LCC14"/>
      <c r="LCD14"/>
      <c r="LCE14"/>
      <c r="LCF14"/>
      <c r="LCG14"/>
      <c r="LCH14"/>
      <c r="LCI14"/>
      <c r="LCJ14"/>
      <c r="LCK14"/>
      <c r="LCL14"/>
      <c r="LCM14"/>
      <c r="LCN14"/>
      <c r="LCO14"/>
      <c r="LCP14"/>
      <c r="LCQ14"/>
      <c r="LCR14"/>
      <c r="LCS14"/>
      <c r="LCT14"/>
      <c r="LCU14"/>
      <c r="LCV14"/>
      <c r="LCW14"/>
      <c r="LCX14"/>
      <c r="LCY14"/>
      <c r="LCZ14"/>
      <c r="LDA14"/>
      <c r="LDB14"/>
      <c r="LDC14"/>
      <c r="LDD14"/>
      <c r="LDE14"/>
      <c r="LDF14"/>
      <c r="LDG14"/>
      <c r="LDH14"/>
      <c r="LDI14"/>
      <c r="LDJ14"/>
      <c r="LDK14"/>
      <c r="LDL14"/>
      <c r="LDM14"/>
      <c r="LDN14"/>
      <c r="LDO14"/>
      <c r="LDP14"/>
      <c r="LDQ14"/>
      <c r="LDR14"/>
      <c r="LDS14"/>
      <c r="LDT14"/>
      <c r="LDU14"/>
      <c r="LDV14"/>
      <c r="LDW14"/>
      <c r="LDX14"/>
      <c r="LDY14"/>
      <c r="LDZ14"/>
      <c r="LEA14"/>
      <c r="LEB14"/>
      <c r="LEC14"/>
      <c r="LED14"/>
      <c r="LEE14"/>
      <c r="LEF14"/>
      <c r="LEG14"/>
      <c r="LEH14"/>
      <c r="LEI14"/>
      <c r="LEJ14"/>
      <c r="LEK14"/>
      <c r="LEL14"/>
      <c r="LEM14"/>
      <c r="LEN14"/>
      <c r="LEO14"/>
      <c r="LEP14"/>
      <c r="LEQ14"/>
      <c r="LER14"/>
      <c r="LES14"/>
      <c r="LET14"/>
      <c r="LEU14"/>
      <c r="LEV14"/>
      <c r="LEW14"/>
      <c r="LEX14"/>
      <c r="LEY14"/>
      <c r="LEZ14"/>
      <c r="LFA14"/>
      <c r="LFB14"/>
      <c r="LFC14"/>
      <c r="LFD14"/>
      <c r="LFE14"/>
      <c r="LFF14"/>
      <c r="LFG14"/>
      <c r="LFH14"/>
      <c r="LFI14"/>
      <c r="LFJ14"/>
      <c r="LFK14"/>
      <c r="LFL14"/>
      <c r="LFM14"/>
      <c r="LFN14"/>
      <c r="LFO14"/>
      <c r="LFP14"/>
      <c r="LFQ14"/>
      <c r="LFR14"/>
      <c r="LFS14"/>
      <c r="LFT14"/>
      <c r="LFU14"/>
      <c r="LFV14"/>
      <c r="LFW14"/>
      <c r="LFX14"/>
      <c r="LFY14"/>
      <c r="LFZ14"/>
      <c r="LGA14"/>
      <c r="LGB14"/>
      <c r="LGC14"/>
      <c r="LGD14"/>
      <c r="LGE14"/>
      <c r="LGF14"/>
      <c r="LGG14"/>
      <c r="LGH14"/>
      <c r="LGI14"/>
      <c r="LGJ14"/>
      <c r="LGK14"/>
      <c r="LGL14"/>
      <c r="LGM14"/>
      <c r="LGN14"/>
      <c r="LGO14"/>
      <c r="LGP14"/>
      <c r="LGQ14"/>
      <c r="LGR14"/>
      <c r="LGS14"/>
      <c r="LGT14"/>
      <c r="LGU14"/>
      <c r="LGV14"/>
      <c r="LGW14"/>
      <c r="LGX14"/>
      <c r="LGY14"/>
      <c r="LGZ14"/>
      <c r="LHA14"/>
      <c r="LHB14"/>
      <c r="LHC14"/>
      <c r="LHD14"/>
      <c r="LHE14"/>
      <c r="LHF14"/>
      <c r="LHG14"/>
      <c r="LHH14"/>
      <c r="LHI14"/>
      <c r="LHJ14"/>
      <c r="LHK14"/>
      <c r="LHL14"/>
      <c r="LHM14"/>
      <c r="LHN14"/>
      <c r="LHO14"/>
      <c r="LHP14"/>
      <c r="LHQ14"/>
      <c r="LHR14"/>
      <c r="LHS14"/>
      <c r="LHT14"/>
      <c r="LHU14"/>
      <c r="LHV14"/>
      <c r="LHW14"/>
      <c r="LHX14"/>
      <c r="LHY14"/>
      <c r="LHZ14"/>
      <c r="LIA14"/>
      <c r="LIB14"/>
      <c r="LIC14"/>
      <c r="LID14"/>
      <c r="LIE14"/>
      <c r="LIF14"/>
      <c r="LIG14"/>
      <c r="LIH14"/>
      <c r="LII14"/>
      <c r="LIJ14"/>
      <c r="LIK14"/>
      <c r="LIL14"/>
      <c r="LIM14"/>
      <c r="LIN14"/>
      <c r="LIO14"/>
      <c r="LIP14"/>
      <c r="LIQ14"/>
      <c r="LIR14"/>
      <c r="LIS14"/>
      <c r="LIT14"/>
      <c r="LIU14"/>
      <c r="LIV14"/>
      <c r="LIW14"/>
      <c r="LIX14"/>
      <c r="LIY14"/>
      <c r="LIZ14"/>
      <c r="LJA14"/>
      <c r="LJB14"/>
      <c r="LJC14"/>
      <c r="LJD14"/>
      <c r="LJE14"/>
      <c r="LJF14"/>
      <c r="LJG14"/>
      <c r="LJH14"/>
      <c r="LJI14"/>
      <c r="LJJ14"/>
      <c r="LJK14"/>
      <c r="LJL14"/>
      <c r="LJM14"/>
      <c r="LJN14"/>
      <c r="LJO14"/>
      <c r="LJP14"/>
      <c r="LJQ14"/>
      <c r="LJR14"/>
      <c r="LJS14"/>
      <c r="LJT14"/>
      <c r="LJU14"/>
      <c r="LJV14"/>
      <c r="LJW14"/>
      <c r="LJX14"/>
      <c r="LJY14"/>
      <c r="LJZ14"/>
      <c r="LKA14"/>
      <c r="LKB14"/>
      <c r="LKC14"/>
      <c r="LKD14"/>
      <c r="LKE14"/>
      <c r="LKF14"/>
      <c r="LKG14"/>
      <c r="LKH14"/>
      <c r="LKI14"/>
      <c r="LKJ14"/>
      <c r="LKK14"/>
      <c r="LKL14"/>
      <c r="LKM14"/>
      <c r="LKN14"/>
      <c r="LKO14"/>
      <c r="LKP14"/>
      <c r="LKQ14"/>
      <c r="LKR14"/>
      <c r="LKS14"/>
      <c r="LKT14"/>
      <c r="LKU14"/>
      <c r="LKV14"/>
      <c r="LKW14"/>
      <c r="LKX14"/>
      <c r="LKY14"/>
      <c r="LKZ14"/>
      <c r="LLA14"/>
      <c r="LLB14"/>
      <c r="LLC14"/>
      <c r="LLD14"/>
      <c r="LLE14"/>
      <c r="LLF14"/>
      <c r="LLG14"/>
      <c r="LLH14"/>
      <c r="LLI14"/>
      <c r="LLJ14"/>
      <c r="LLK14"/>
      <c r="LLL14"/>
      <c r="LLM14"/>
      <c r="LLN14"/>
      <c r="LLO14"/>
      <c r="LLP14"/>
      <c r="LLQ14"/>
      <c r="LLR14"/>
      <c r="LLS14"/>
      <c r="LLT14"/>
      <c r="LLU14"/>
      <c r="LLV14"/>
      <c r="LLW14"/>
      <c r="LLX14"/>
      <c r="LLY14"/>
      <c r="LLZ14"/>
      <c r="LMA14"/>
      <c r="LMB14"/>
      <c r="LMC14"/>
      <c r="LMD14"/>
      <c r="LME14"/>
      <c r="LMF14"/>
      <c r="LMG14"/>
      <c r="LMH14"/>
      <c r="LMI14"/>
      <c r="LMJ14"/>
      <c r="LMK14"/>
      <c r="LML14"/>
      <c r="LMM14"/>
      <c r="LMN14"/>
      <c r="LMO14"/>
      <c r="LMP14"/>
      <c r="LMQ14"/>
      <c r="LMR14"/>
      <c r="LMS14"/>
      <c r="LMT14"/>
      <c r="LMU14"/>
      <c r="LMV14"/>
      <c r="LMW14"/>
      <c r="LMX14"/>
      <c r="LMY14"/>
      <c r="LMZ14"/>
      <c r="LNA14"/>
      <c r="LNB14"/>
      <c r="LNC14"/>
      <c r="LND14"/>
      <c r="LNE14"/>
      <c r="LNF14"/>
      <c r="LNG14"/>
      <c r="LNH14"/>
      <c r="LNI14"/>
      <c r="LNJ14"/>
      <c r="LNK14"/>
      <c r="LNL14"/>
      <c r="LNM14"/>
      <c r="LNN14"/>
      <c r="LNO14"/>
      <c r="LNP14"/>
      <c r="LNQ14"/>
      <c r="LNR14"/>
      <c r="LNS14"/>
      <c r="LNT14"/>
      <c r="LNU14"/>
      <c r="LNV14"/>
      <c r="LNW14"/>
      <c r="LNX14"/>
      <c r="LNY14"/>
      <c r="LNZ14"/>
      <c r="LOA14"/>
      <c r="LOB14"/>
      <c r="LOC14"/>
      <c r="LOD14"/>
      <c r="LOE14"/>
      <c r="LOF14"/>
      <c r="LOG14"/>
      <c r="LOH14"/>
      <c r="LOI14"/>
      <c r="LOJ14"/>
      <c r="LOK14"/>
      <c r="LOL14"/>
      <c r="LOM14"/>
      <c r="LON14"/>
      <c r="LOO14"/>
      <c r="LOP14"/>
      <c r="LOQ14"/>
      <c r="LOR14"/>
      <c r="LOS14"/>
      <c r="LOT14"/>
      <c r="LOU14"/>
      <c r="LOV14"/>
      <c r="LOW14"/>
      <c r="LOX14"/>
      <c r="LOY14"/>
      <c r="LOZ14"/>
      <c r="LPA14"/>
      <c r="LPB14"/>
      <c r="LPC14"/>
      <c r="LPD14"/>
      <c r="LPE14"/>
      <c r="LPF14"/>
      <c r="LPG14"/>
      <c r="LPH14"/>
      <c r="LPI14"/>
      <c r="LPJ14"/>
      <c r="LPK14"/>
      <c r="LPL14"/>
      <c r="LPM14"/>
      <c r="LPN14"/>
      <c r="LPO14"/>
      <c r="LPP14"/>
      <c r="LPQ14"/>
      <c r="LPR14"/>
      <c r="LPS14"/>
      <c r="LPT14"/>
      <c r="LPU14"/>
      <c r="LPV14"/>
      <c r="LPW14"/>
      <c r="LPX14"/>
      <c r="LPY14"/>
      <c r="LPZ14"/>
      <c r="LQA14"/>
      <c r="LQB14"/>
      <c r="LQC14"/>
      <c r="LQD14"/>
      <c r="LQE14"/>
      <c r="LQF14"/>
      <c r="LQG14"/>
      <c r="LQH14"/>
      <c r="LQI14"/>
      <c r="LQJ14"/>
      <c r="LQK14"/>
      <c r="LQL14"/>
      <c r="LQM14"/>
      <c r="LQN14"/>
      <c r="LQO14"/>
      <c r="LQP14"/>
      <c r="LQQ14"/>
      <c r="LQR14"/>
      <c r="LQS14"/>
      <c r="LQT14"/>
      <c r="LQU14"/>
      <c r="LQV14"/>
      <c r="LQW14"/>
      <c r="LQX14"/>
      <c r="LQY14"/>
      <c r="LQZ14"/>
      <c r="LRA14"/>
      <c r="LRB14"/>
      <c r="LRC14"/>
      <c r="LRD14"/>
      <c r="LRE14"/>
      <c r="LRF14"/>
      <c r="LRG14"/>
      <c r="LRH14"/>
      <c r="LRI14"/>
      <c r="LRJ14"/>
      <c r="LRK14"/>
      <c r="LRL14"/>
      <c r="LRM14"/>
      <c r="LRN14"/>
      <c r="LRO14"/>
      <c r="LRP14"/>
      <c r="LRQ14"/>
      <c r="LRR14"/>
      <c r="LRS14"/>
      <c r="LRT14"/>
      <c r="LRU14"/>
      <c r="LRV14"/>
      <c r="LRW14"/>
      <c r="LRX14"/>
      <c r="LRY14"/>
      <c r="LRZ14"/>
      <c r="LSA14"/>
      <c r="LSB14"/>
      <c r="LSC14"/>
      <c r="LSD14"/>
      <c r="LSE14"/>
      <c r="LSF14"/>
      <c r="LSG14"/>
      <c r="LSH14"/>
      <c r="LSI14"/>
      <c r="LSJ14"/>
      <c r="LSK14"/>
      <c r="LSL14"/>
      <c r="LSM14"/>
      <c r="LSN14"/>
      <c r="LSO14"/>
      <c r="LSP14"/>
      <c r="LSQ14"/>
      <c r="LSR14"/>
      <c r="LSS14"/>
      <c r="LST14"/>
      <c r="LSU14"/>
      <c r="LSV14"/>
      <c r="LSW14"/>
      <c r="LSX14"/>
      <c r="LSY14"/>
      <c r="LSZ14"/>
      <c r="LTA14"/>
      <c r="LTB14"/>
      <c r="LTC14"/>
      <c r="LTD14"/>
      <c r="LTE14"/>
      <c r="LTF14"/>
      <c r="LTG14"/>
      <c r="LTH14"/>
      <c r="LTI14"/>
      <c r="LTJ14"/>
      <c r="LTK14"/>
      <c r="LTL14"/>
      <c r="LTM14"/>
      <c r="LTN14"/>
      <c r="LTO14"/>
      <c r="LTP14"/>
      <c r="LTQ14"/>
      <c r="LTR14"/>
      <c r="LTS14"/>
      <c r="LTT14"/>
      <c r="LTU14"/>
      <c r="LTV14"/>
      <c r="LTW14"/>
      <c r="LTX14"/>
      <c r="LTY14"/>
      <c r="LTZ14"/>
      <c r="LUA14"/>
      <c r="LUB14"/>
      <c r="LUC14"/>
      <c r="LUD14"/>
      <c r="LUE14"/>
      <c r="LUF14"/>
      <c r="LUG14"/>
      <c r="LUH14"/>
      <c r="LUI14"/>
      <c r="LUJ14"/>
      <c r="LUK14"/>
      <c r="LUL14"/>
      <c r="LUM14"/>
      <c r="LUN14"/>
      <c r="LUO14"/>
      <c r="LUP14"/>
      <c r="LUQ14"/>
      <c r="LUR14"/>
      <c r="LUS14"/>
      <c r="LUT14"/>
      <c r="LUU14"/>
      <c r="LUV14"/>
      <c r="LUW14"/>
      <c r="LUX14"/>
      <c r="LUY14"/>
      <c r="LUZ14"/>
      <c r="LVA14"/>
      <c r="LVB14"/>
      <c r="LVC14"/>
      <c r="LVD14"/>
      <c r="LVE14"/>
      <c r="LVF14"/>
      <c r="LVG14"/>
      <c r="LVH14"/>
      <c r="LVI14"/>
      <c r="LVJ14"/>
      <c r="LVK14"/>
      <c r="LVL14"/>
      <c r="LVM14"/>
      <c r="LVN14"/>
      <c r="LVO14"/>
      <c r="LVP14"/>
      <c r="LVQ14"/>
      <c r="LVR14"/>
      <c r="LVS14"/>
      <c r="LVT14"/>
      <c r="LVU14"/>
      <c r="LVV14"/>
      <c r="LVW14"/>
      <c r="LVX14"/>
      <c r="LVY14"/>
      <c r="LVZ14"/>
      <c r="LWA14"/>
      <c r="LWB14"/>
      <c r="LWC14"/>
      <c r="LWD14"/>
      <c r="LWE14"/>
      <c r="LWF14"/>
      <c r="LWG14"/>
      <c r="LWH14"/>
      <c r="LWI14"/>
      <c r="LWJ14"/>
      <c r="LWK14"/>
      <c r="LWL14"/>
      <c r="LWM14"/>
      <c r="LWN14"/>
      <c r="LWO14"/>
      <c r="LWP14"/>
      <c r="LWQ14"/>
      <c r="LWR14"/>
      <c r="LWS14"/>
      <c r="LWT14"/>
      <c r="LWU14"/>
      <c r="LWV14"/>
      <c r="LWW14"/>
      <c r="LWX14"/>
      <c r="LWY14"/>
      <c r="LWZ14"/>
      <c r="LXA14"/>
      <c r="LXB14"/>
      <c r="LXC14"/>
      <c r="LXD14"/>
      <c r="LXE14"/>
      <c r="LXF14"/>
      <c r="LXG14"/>
      <c r="LXH14"/>
      <c r="LXI14"/>
      <c r="LXJ14"/>
      <c r="LXK14"/>
      <c r="LXL14"/>
      <c r="LXM14"/>
      <c r="LXN14"/>
      <c r="LXO14"/>
      <c r="LXP14"/>
      <c r="LXQ14"/>
      <c r="LXR14"/>
      <c r="LXS14"/>
      <c r="LXT14"/>
      <c r="LXU14"/>
      <c r="LXV14"/>
      <c r="LXW14"/>
      <c r="LXX14"/>
      <c r="LXY14"/>
      <c r="LXZ14"/>
      <c r="LYA14"/>
      <c r="LYB14"/>
      <c r="LYC14"/>
      <c r="LYD14"/>
      <c r="LYE14"/>
      <c r="LYF14"/>
      <c r="LYG14"/>
      <c r="LYH14"/>
      <c r="LYI14"/>
      <c r="LYJ14"/>
      <c r="LYK14"/>
      <c r="LYL14"/>
      <c r="LYM14"/>
      <c r="LYN14"/>
      <c r="LYO14"/>
      <c r="LYP14"/>
      <c r="LYQ14"/>
      <c r="LYR14"/>
      <c r="LYS14"/>
      <c r="LYT14"/>
      <c r="LYU14"/>
      <c r="LYV14"/>
      <c r="LYW14"/>
      <c r="LYX14"/>
      <c r="LYY14"/>
      <c r="LYZ14"/>
      <c r="LZA14"/>
      <c r="LZB14"/>
      <c r="LZC14"/>
      <c r="LZD14"/>
      <c r="LZE14"/>
      <c r="LZF14"/>
      <c r="LZG14"/>
      <c r="LZH14"/>
      <c r="LZI14"/>
      <c r="LZJ14"/>
      <c r="LZK14"/>
      <c r="LZL14"/>
      <c r="LZM14"/>
      <c r="LZN14"/>
      <c r="LZO14"/>
      <c r="LZP14"/>
      <c r="LZQ14"/>
      <c r="LZR14"/>
      <c r="LZS14"/>
      <c r="LZT14"/>
      <c r="LZU14"/>
      <c r="LZV14"/>
      <c r="LZW14"/>
      <c r="LZX14"/>
      <c r="LZY14"/>
      <c r="LZZ14"/>
      <c r="MAA14"/>
      <c r="MAB14"/>
      <c r="MAC14"/>
      <c r="MAD14"/>
      <c r="MAE14"/>
      <c r="MAF14"/>
      <c r="MAG14"/>
      <c r="MAH14"/>
      <c r="MAI14"/>
      <c r="MAJ14"/>
      <c r="MAK14"/>
      <c r="MAL14"/>
      <c r="MAM14"/>
      <c r="MAN14"/>
      <c r="MAO14"/>
      <c r="MAP14"/>
      <c r="MAQ14"/>
      <c r="MAR14"/>
      <c r="MAS14"/>
      <c r="MAT14"/>
      <c r="MAU14"/>
      <c r="MAV14"/>
      <c r="MAW14"/>
      <c r="MAX14"/>
      <c r="MAY14"/>
      <c r="MAZ14"/>
      <c r="MBA14"/>
      <c r="MBB14"/>
      <c r="MBC14"/>
      <c r="MBD14"/>
      <c r="MBE14"/>
      <c r="MBF14"/>
      <c r="MBG14"/>
      <c r="MBH14"/>
      <c r="MBI14"/>
      <c r="MBJ14"/>
      <c r="MBK14"/>
      <c r="MBL14"/>
      <c r="MBM14"/>
      <c r="MBN14"/>
      <c r="MBO14"/>
      <c r="MBP14"/>
      <c r="MBQ14"/>
      <c r="MBR14"/>
      <c r="MBS14"/>
      <c r="MBT14"/>
      <c r="MBU14"/>
      <c r="MBV14"/>
      <c r="MBW14"/>
      <c r="MBX14"/>
      <c r="MBY14"/>
      <c r="MBZ14"/>
      <c r="MCA14"/>
      <c r="MCB14"/>
      <c r="MCC14"/>
      <c r="MCD14"/>
      <c r="MCE14"/>
      <c r="MCF14"/>
      <c r="MCG14"/>
      <c r="MCH14"/>
      <c r="MCI14"/>
      <c r="MCJ14"/>
      <c r="MCK14"/>
      <c r="MCL14"/>
      <c r="MCM14"/>
      <c r="MCN14"/>
      <c r="MCO14"/>
      <c r="MCP14"/>
      <c r="MCQ14"/>
      <c r="MCR14"/>
      <c r="MCS14"/>
      <c r="MCT14"/>
      <c r="MCU14"/>
      <c r="MCV14"/>
      <c r="MCW14"/>
      <c r="MCX14"/>
      <c r="MCY14"/>
      <c r="MCZ14"/>
      <c r="MDA14"/>
      <c r="MDB14"/>
      <c r="MDC14"/>
      <c r="MDD14"/>
      <c r="MDE14"/>
      <c r="MDF14"/>
      <c r="MDG14"/>
      <c r="MDH14"/>
      <c r="MDI14"/>
      <c r="MDJ14"/>
      <c r="MDK14"/>
      <c r="MDL14"/>
      <c r="MDM14"/>
      <c r="MDN14"/>
      <c r="MDO14"/>
      <c r="MDP14"/>
      <c r="MDQ14"/>
      <c r="MDR14"/>
      <c r="MDS14"/>
      <c r="MDT14"/>
      <c r="MDU14"/>
      <c r="MDV14"/>
      <c r="MDW14"/>
      <c r="MDX14"/>
      <c r="MDY14"/>
      <c r="MDZ14"/>
      <c r="MEA14"/>
      <c r="MEB14"/>
      <c r="MEC14"/>
      <c r="MED14"/>
      <c r="MEE14"/>
      <c r="MEF14"/>
      <c r="MEG14"/>
      <c r="MEH14"/>
      <c r="MEI14"/>
      <c r="MEJ14"/>
      <c r="MEK14"/>
      <c r="MEL14"/>
      <c r="MEM14"/>
      <c r="MEN14"/>
      <c r="MEO14"/>
      <c r="MEP14"/>
      <c r="MEQ14"/>
      <c r="MER14"/>
      <c r="MES14"/>
      <c r="MET14"/>
      <c r="MEU14"/>
      <c r="MEV14"/>
      <c r="MEW14"/>
      <c r="MEX14"/>
      <c r="MEY14"/>
      <c r="MEZ14"/>
      <c r="MFA14"/>
      <c r="MFB14"/>
      <c r="MFC14"/>
      <c r="MFD14"/>
      <c r="MFE14"/>
      <c r="MFF14"/>
      <c r="MFG14"/>
      <c r="MFH14"/>
      <c r="MFI14"/>
      <c r="MFJ14"/>
      <c r="MFK14"/>
      <c r="MFL14"/>
      <c r="MFM14"/>
      <c r="MFN14"/>
      <c r="MFO14"/>
      <c r="MFP14"/>
      <c r="MFQ14"/>
      <c r="MFR14"/>
      <c r="MFS14"/>
      <c r="MFT14"/>
      <c r="MFU14"/>
      <c r="MFV14"/>
      <c r="MFW14"/>
      <c r="MFX14"/>
      <c r="MFY14"/>
      <c r="MFZ14"/>
      <c r="MGA14"/>
      <c r="MGB14"/>
      <c r="MGC14"/>
      <c r="MGD14"/>
      <c r="MGE14"/>
      <c r="MGF14"/>
      <c r="MGG14"/>
      <c r="MGH14"/>
      <c r="MGI14"/>
      <c r="MGJ14"/>
      <c r="MGK14"/>
      <c r="MGL14"/>
      <c r="MGM14"/>
      <c r="MGN14"/>
      <c r="MGO14"/>
      <c r="MGP14"/>
      <c r="MGQ14"/>
      <c r="MGR14"/>
      <c r="MGS14"/>
      <c r="MGT14"/>
      <c r="MGU14"/>
      <c r="MGV14"/>
      <c r="MGW14"/>
      <c r="MGX14"/>
      <c r="MGY14"/>
      <c r="MGZ14"/>
      <c r="MHA14"/>
      <c r="MHB14"/>
      <c r="MHC14"/>
      <c r="MHD14"/>
      <c r="MHE14"/>
      <c r="MHF14"/>
      <c r="MHG14"/>
      <c r="MHH14"/>
      <c r="MHI14"/>
      <c r="MHJ14"/>
      <c r="MHK14"/>
      <c r="MHL14"/>
      <c r="MHM14"/>
      <c r="MHN14"/>
      <c r="MHO14"/>
      <c r="MHP14"/>
      <c r="MHQ14"/>
      <c r="MHR14"/>
      <c r="MHS14"/>
      <c r="MHT14"/>
      <c r="MHU14"/>
      <c r="MHV14"/>
      <c r="MHW14"/>
      <c r="MHX14"/>
      <c r="MHY14"/>
      <c r="MHZ14"/>
      <c r="MIA14"/>
      <c r="MIB14"/>
      <c r="MIC14"/>
      <c r="MID14"/>
      <c r="MIE14"/>
      <c r="MIF14"/>
      <c r="MIG14"/>
      <c r="MIH14"/>
      <c r="MII14"/>
      <c r="MIJ14"/>
      <c r="MIK14"/>
      <c r="MIL14"/>
      <c r="MIM14"/>
      <c r="MIN14"/>
      <c r="MIO14"/>
      <c r="MIP14"/>
      <c r="MIQ14"/>
      <c r="MIR14"/>
      <c r="MIS14"/>
      <c r="MIT14"/>
      <c r="MIU14"/>
      <c r="MIV14"/>
      <c r="MIW14"/>
      <c r="MIX14"/>
      <c r="MIY14"/>
      <c r="MIZ14"/>
      <c r="MJA14"/>
      <c r="MJB14"/>
      <c r="MJC14"/>
      <c r="MJD14"/>
      <c r="MJE14"/>
      <c r="MJF14"/>
      <c r="MJG14"/>
      <c r="MJH14"/>
      <c r="MJI14"/>
      <c r="MJJ14"/>
      <c r="MJK14"/>
      <c r="MJL14"/>
      <c r="MJM14"/>
      <c r="MJN14"/>
      <c r="MJO14"/>
      <c r="MJP14"/>
      <c r="MJQ14"/>
      <c r="MJR14"/>
      <c r="MJS14"/>
      <c r="MJT14"/>
      <c r="MJU14"/>
      <c r="MJV14"/>
      <c r="MJW14"/>
      <c r="MJX14"/>
      <c r="MJY14"/>
      <c r="MJZ14"/>
      <c r="MKA14"/>
      <c r="MKB14"/>
      <c r="MKC14"/>
      <c r="MKD14"/>
      <c r="MKE14"/>
      <c r="MKF14"/>
      <c r="MKG14"/>
      <c r="MKH14"/>
      <c r="MKI14"/>
      <c r="MKJ14"/>
      <c r="MKK14"/>
      <c r="MKL14"/>
      <c r="MKM14"/>
      <c r="MKN14"/>
      <c r="MKO14"/>
      <c r="MKP14"/>
      <c r="MKQ14"/>
      <c r="MKR14"/>
      <c r="MKS14"/>
      <c r="MKT14"/>
      <c r="MKU14"/>
      <c r="MKV14"/>
      <c r="MKW14"/>
      <c r="MKX14"/>
      <c r="MKY14"/>
      <c r="MKZ14"/>
      <c r="MLA14"/>
      <c r="MLB14"/>
      <c r="MLC14"/>
      <c r="MLD14"/>
      <c r="MLE14"/>
      <c r="MLF14"/>
      <c r="MLG14"/>
      <c r="MLH14"/>
      <c r="MLI14"/>
      <c r="MLJ14"/>
      <c r="MLK14"/>
      <c r="MLL14"/>
      <c r="MLM14"/>
      <c r="MLN14"/>
      <c r="MLO14"/>
      <c r="MLP14"/>
      <c r="MLQ14"/>
      <c r="MLR14"/>
      <c r="MLS14"/>
      <c r="MLT14"/>
      <c r="MLU14"/>
      <c r="MLV14"/>
      <c r="MLW14"/>
      <c r="MLX14"/>
      <c r="MLY14"/>
      <c r="MLZ14"/>
      <c r="MMA14"/>
      <c r="MMB14"/>
      <c r="MMC14"/>
      <c r="MMD14"/>
      <c r="MME14"/>
      <c r="MMF14"/>
      <c r="MMG14"/>
      <c r="MMH14"/>
      <c r="MMI14"/>
      <c r="MMJ14"/>
      <c r="MMK14"/>
      <c r="MML14"/>
      <c r="MMM14"/>
      <c r="MMN14"/>
      <c r="MMO14"/>
      <c r="MMP14"/>
      <c r="MMQ14"/>
      <c r="MMR14"/>
      <c r="MMS14"/>
      <c r="MMT14"/>
      <c r="MMU14"/>
      <c r="MMV14"/>
      <c r="MMW14"/>
      <c r="MMX14"/>
      <c r="MMY14"/>
      <c r="MMZ14"/>
      <c r="MNA14"/>
      <c r="MNB14"/>
      <c r="MNC14"/>
      <c r="MND14"/>
      <c r="MNE14"/>
      <c r="MNF14"/>
      <c r="MNG14"/>
      <c r="MNH14"/>
      <c r="MNI14"/>
      <c r="MNJ14"/>
      <c r="MNK14"/>
      <c r="MNL14"/>
      <c r="MNM14"/>
      <c r="MNN14"/>
      <c r="MNO14"/>
      <c r="MNP14"/>
      <c r="MNQ14"/>
      <c r="MNR14"/>
      <c r="MNS14"/>
      <c r="MNT14"/>
      <c r="MNU14"/>
      <c r="MNV14"/>
      <c r="MNW14"/>
      <c r="MNX14"/>
      <c r="MNY14"/>
      <c r="MNZ14"/>
      <c r="MOA14"/>
      <c r="MOB14"/>
      <c r="MOC14"/>
      <c r="MOD14"/>
      <c r="MOE14"/>
      <c r="MOF14"/>
      <c r="MOG14"/>
      <c r="MOH14"/>
      <c r="MOI14"/>
      <c r="MOJ14"/>
      <c r="MOK14"/>
      <c r="MOL14"/>
      <c r="MOM14"/>
      <c r="MON14"/>
      <c r="MOO14"/>
      <c r="MOP14"/>
      <c r="MOQ14"/>
      <c r="MOR14"/>
      <c r="MOS14"/>
      <c r="MOT14"/>
      <c r="MOU14"/>
      <c r="MOV14"/>
      <c r="MOW14"/>
      <c r="MOX14"/>
      <c r="MOY14"/>
      <c r="MOZ14"/>
      <c r="MPA14"/>
      <c r="MPB14"/>
      <c r="MPC14"/>
      <c r="MPD14"/>
      <c r="MPE14"/>
      <c r="MPF14"/>
      <c r="MPG14"/>
      <c r="MPH14"/>
      <c r="MPI14"/>
      <c r="MPJ14"/>
      <c r="MPK14"/>
      <c r="MPL14"/>
      <c r="MPM14"/>
      <c r="MPN14"/>
      <c r="MPO14"/>
      <c r="MPP14"/>
      <c r="MPQ14"/>
      <c r="MPR14"/>
      <c r="MPS14"/>
      <c r="MPT14"/>
      <c r="MPU14"/>
      <c r="MPV14"/>
      <c r="MPW14"/>
      <c r="MPX14"/>
      <c r="MPY14"/>
      <c r="MPZ14"/>
      <c r="MQA14"/>
      <c r="MQB14"/>
      <c r="MQC14"/>
      <c r="MQD14"/>
      <c r="MQE14"/>
      <c r="MQF14"/>
      <c r="MQG14"/>
      <c r="MQH14"/>
      <c r="MQI14"/>
      <c r="MQJ14"/>
      <c r="MQK14"/>
      <c r="MQL14"/>
      <c r="MQM14"/>
      <c r="MQN14"/>
      <c r="MQO14"/>
      <c r="MQP14"/>
      <c r="MQQ14"/>
      <c r="MQR14"/>
      <c r="MQS14"/>
      <c r="MQT14"/>
      <c r="MQU14"/>
      <c r="MQV14"/>
      <c r="MQW14"/>
      <c r="MQX14"/>
      <c r="MQY14"/>
      <c r="MQZ14"/>
      <c r="MRA14"/>
      <c r="MRB14"/>
      <c r="MRC14"/>
      <c r="MRD14"/>
      <c r="MRE14"/>
      <c r="MRF14"/>
      <c r="MRG14"/>
      <c r="MRH14"/>
      <c r="MRI14"/>
      <c r="MRJ14"/>
      <c r="MRK14"/>
      <c r="MRL14"/>
      <c r="MRM14"/>
      <c r="MRN14"/>
      <c r="MRO14"/>
      <c r="MRP14"/>
      <c r="MRQ14"/>
      <c r="MRR14"/>
      <c r="MRS14"/>
      <c r="MRT14"/>
      <c r="MRU14"/>
      <c r="MRV14"/>
      <c r="MRW14"/>
      <c r="MRX14"/>
      <c r="MRY14"/>
      <c r="MRZ14"/>
      <c r="MSA14"/>
      <c r="MSB14"/>
      <c r="MSC14"/>
      <c r="MSD14"/>
      <c r="MSE14"/>
      <c r="MSF14"/>
      <c r="MSG14"/>
      <c r="MSH14"/>
      <c r="MSI14"/>
      <c r="MSJ14"/>
      <c r="MSK14"/>
      <c r="MSL14"/>
      <c r="MSM14"/>
      <c r="MSN14"/>
      <c r="MSO14"/>
      <c r="MSP14"/>
      <c r="MSQ14"/>
      <c r="MSR14"/>
      <c r="MSS14"/>
      <c r="MST14"/>
      <c r="MSU14"/>
      <c r="MSV14"/>
      <c r="MSW14"/>
      <c r="MSX14"/>
      <c r="MSY14"/>
      <c r="MSZ14"/>
      <c r="MTA14"/>
      <c r="MTB14"/>
      <c r="MTC14"/>
      <c r="MTD14"/>
      <c r="MTE14"/>
      <c r="MTF14"/>
      <c r="MTG14"/>
      <c r="MTH14"/>
      <c r="MTI14"/>
      <c r="MTJ14"/>
      <c r="MTK14"/>
      <c r="MTL14"/>
      <c r="MTM14"/>
      <c r="MTN14"/>
      <c r="MTO14"/>
      <c r="MTP14"/>
      <c r="MTQ14"/>
      <c r="MTR14"/>
      <c r="MTS14"/>
      <c r="MTT14"/>
      <c r="MTU14"/>
      <c r="MTV14"/>
      <c r="MTW14"/>
      <c r="MTX14"/>
      <c r="MTY14"/>
      <c r="MTZ14"/>
      <c r="MUA14"/>
      <c r="MUB14"/>
      <c r="MUC14"/>
      <c r="MUD14"/>
      <c r="MUE14"/>
      <c r="MUF14"/>
      <c r="MUG14"/>
      <c r="MUH14"/>
      <c r="MUI14"/>
      <c r="MUJ14"/>
      <c r="MUK14"/>
      <c r="MUL14"/>
      <c r="MUM14"/>
      <c r="MUN14"/>
      <c r="MUO14"/>
      <c r="MUP14"/>
      <c r="MUQ14"/>
      <c r="MUR14"/>
      <c r="MUS14"/>
      <c r="MUT14"/>
      <c r="MUU14"/>
      <c r="MUV14"/>
      <c r="MUW14"/>
      <c r="MUX14"/>
      <c r="MUY14"/>
      <c r="MUZ14"/>
      <c r="MVA14"/>
      <c r="MVB14"/>
      <c r="MVC14"/>
      <c r="MVD14"/>
      <c r="MVE14"/>
      <c r="MVF14"/>
      <c r="MVG14"/>
      <c r="MVH14"/>
      <c r="MVI14"/>
      <c r="MVJ14"/>
      <c r="MVK14"/>
      <c r="MVL14"/>
      <c r="MVM14"/>
      <c r="MVN14"/>
      <c r="MVO14"/>
      <c r="MVP14"/>
      <c r="MVQ14"/>
      <c r="MVR14"/>
      <c r="MVS14"/>
      <c r="MVT14"/>
      <c r="MVU14"/>
      <c r="MVV14"/>
      <c r="MVW14"/>
      <c r="MVX14"/>
      <c r="MVY14"/>
      <c r="MVZ14"/>
      <c r="MWA14"/>
      <c r="MWB14"/>
      <c r="MWC14"/>
      <c r="MWD14"/>
      <c r="MWE14"/>
      <c r="MWF14"/>
      <c r="MWG14"/>
      <c r="MWH14"/>
      <c r="MWI14"/>
      <c r="MWJ14"/>
      <c r="MWK14"/>
      <c r="MWL14"/>
      <c r="MWM14"/>
      <c r="MWN14"/>
      <c r="MWO14"/>
      <c r="MWP14"/>
      <c r="MWQ14"/>
      <c r="MWR14"/>
      <c r="MWS14"/>
      <c r="MWT14"/>
      <c r="MWU14"/>
      <c r="MWV14"/>
      <c r="MWW14"/>
      <c r="MWX14"/>
      <c r="MWY14"/>
      <c r="MWZ14"/>
      <c r="MXA14"/>
      <c r="MXB14"/>
      <c r="MXC14"/>
      <c r="MXD14"/>
      <c r="MXE14"/>
      <c r="MXF14"/>
      <c r="MXG14"/>
      <c r="MXH14"/>
      <c r="MXI14"/>
      <c r="MXJ14"/>
      <c r="MXK14"/>
      <c r="MXL14"/>
      <c r="MXM14"/>
      <c r="MXN14"/>
      <c r="MXO14"/>
      <c r="MXP14"/>
      <c r="MXQ14"/>
      <c r="MXR14"/>
      <c r="MXS14"/>
      <c r="MXT14"/>
      <c r="MXU14"/>
      <c r="MXV14"/>
      <c r="MXW14"/>
      <c r="MXX14"/>
      <c r="MXY14"/>
      <c r="MXZ14"/>
      <c r="MYA14"/>
      <c r="MYB14"/>
      <c r="MYC14"/>
      <c r="MYD14"/>
      <c r="MYE14"/>
      <c r="MYF14"/>
      <c r="MYG14"/>
      <c r="MYH14"/>
      <c r="MYI14"/>
      <c r="MYJ14"/>
      <c r="MYK14"/>
      <c r="MYL14"/>
      <c r="MYM14"/>
      <c r="MYN14"/>
      <c r="MYO14"/>
      <c r="MYP14"/>
      <c r="MYQ14"/>
      <c r="MYR14"/>
      <c r="MYS14"/>
      <c r="MYT14"/>
      <c r="MYU14"/>
      <c r="MYV14"/>
      <c r="MYW14"/>
      <c r="MYX14"/>
      <c r="MYY14"/>
      <c r="MYZ14"/>
      <c r="MZA14"/>
      <c r="MZB14"/>
      <c r="MZC14"/>
      <c r="MZD14"/>
      <c r="MZE14"/>
      <c r="MZF14"/>
      <c r="MZG14"/>
      <c r="MZH14"/>
      <c r="MZI14"/>
      <c r="MZJ14"/>
      <c r="MZK14"/>
      <c r="MZL14"/>
      <c r="MZM14"/>
      <c r="MZN14"/>
      <c r="MZO14"/>
      <c r="MZP14"/>
      <c r="MZQ14"/>
      <c r="MZR14"/>
      <c r="MZS14"/>
      <c r="MZT14"/>
      <c r="MZU14"/>
      <c r="MZV14"/>
      <c r="MZW14"/>
      <c r="MZX14"/>
      <c r="MZY14"/>
      <c r="MZZ14"/>
      <c r="NAA14"/>
      <c r="NAB14"/>
      <c r="NAC14"/>
      <c r="NAD14"/>
      <c r="NAE14"/>
      <c r="NAF14"/>
      <c r="NAG14"/>
      <c r="NAH14"/>
      <c r="NAI14"/>
      <c r="NAJ14"/>
      <c r="NAK14"/>
      <c r="NAL14"/>
      <c r="NAM14"/>
      <c r="NAN14"/>
      <c r="NAO14"/>
      <c r="NAP14"/>
      <c r="NAQ14"/>
      <c r="NAR14"/>
      <c r="NAS14"/>
      <c r="NAT14"/>
      <c r="NAU14"/>
      <c r="NAV14"/>
      <c r="NAW14"/>
      <c r="NAX14"/>
      <c r="NAY14"/>
      <c r="NAZ14"/>
      <c r="NBA14"/>
      <c r="NBB14"/>
      <c r="NBC14"/>
      <c r="NBD14"/>
      <c r="NBE14"/>
      <c r="NBF14"/>
      <c r="NBG14"/>
      <c r="NBH14"/>
      <c r="NBI14"/>
      <c r="NBJ14"/>
      <c r="NBK14"/>
      <c r="NBL14"/>
      <c r="NBM14"/>
      <c r="NBN14"/>
      <c r="NBO14"/>
      <c r="NBP14"/>
      <c r="NBQ14"/>
      <c r="NBR14"/>
      <c r="NBS14"/>
      <c r="NBT14"/>
      <c r="NBU14"/>
      <c r="NBV14"/>
      <c r="NBW14"/>
      <c r="NBX14"/>
      <c r="NBY14"/>
      <c r="NBZ14"/>
      <c r="NCA14"/>
      <c r="NCB14"/>
      <c r="NCC14"/>
      <c r="NCD14"/>
      <c r="NCE14"/>
      <c r="NCF14"/>
      <c r="NCG14"/>
      <c r="NCH14"/>
      <c r="NCI14"/>
      <c r="NCJ14"/>
      <c r="NCK14"/>
      <c r="NCL14"/>
      <c r="NCM14"/>
      <c r="NCN14"/>
      <c r="NCO14"/>
      <c r="NCP14"/>
      <c r="NCQ14"/>
      <c r="NCR14"/>
      <c r="NCS14"/>
      <c r="NCT14"/>
      <c r="NCU14"/>
      <c r="NCV14"/>
      <c r="NCW14"/>
      <c r="NCX14"/>
      <c r="NCY14"/>
      <c r="NCZ14"/>
      <c r="NDA14"/>
      <c r="NDB14"/>
      <c r="NDC14"/>
      <c r="NDD14"/>
      <c r="NDE14"/>
      <c r="NDF14"/>
      <c r="NDG14"/>
      <c r="NDH14"/>
      <c r="NDI14"/>
      <c r="NDJ14"/>
      <c r="NDK14"/>
      <c r="NDL14"/>
      <c r="NDM14"/>
      <c r="NDN14"/>
      <c r="NDO14"/>
      <c r="NDP14"/>
      <c r="NDQ14"/>
      <c r="NDR14"/>
      <c r="NDS14"/>
      <c r="NDT14"/>
      <c r="NDU14"/>
      <c r="NDV14"/>
      <c r="NDW14"/>
      <c r="NDX14"/>
      <c r="NDY14"/>
      <c r="NDZ14"/>
      <c r="NEA14"/>
      <c r="NEB14"/>
      <c r="NEC14"/>
      <c r="NED14"/>
      <c r="NEE14"/>
      <c r="NEF14"/>
      <c r="NEG14"/>
      <c r="NEH14"/>
      <c r="NEI14"/>
      <c r="NEJ14"/>
      <c r="NEK14"/>
      <c r="NEL14"/>
      <c r="NEM14"/>
      <c r="NEN14"/>
      <c r="NEO14"/>
      <c r="NEP14"/>
      <c r="NEQ14"/>
      <c r="NER14"/>
      <c r="NES14"/>
      <c r="NET14"/>
      <c r="NEU14"/>
      <c r="NEV14"/>
      <c r="NEW14"/>
      <c r="NEX14"/>
      <c r="NEY14"/>
      <c r="NEZ14"/>
      <c r="NFA14"/>
      <c r="NFB14"/>
      <c r="NFC14"/>
      <c r="NFD14"/>
      <c r="NFE14"/>
      <c r="NFF14"/>
      <c r="NFG14"/>
      <c r="NFH14"/>
      <c r="NFI14"/>
      <c r="NFJ14"/>
      <c r="NFK14"/>
      <c r="NFL14"/>
      <c r="NFM14"/>
      <c r="NFN14"/>
      <c r="NFO14"/>
      <c r="NFP14"/>
      <c r="NFQ14"/>
      <c r="NFR14"/>
      <c r="NFS14"/>
      <c r="NFT14"/>
      <c r="NFU14"/>
      <c r="NFV14"/>
      <c r="NFW14"/>
      <c r="NFX14"/>
      <c r="NFY14"/>
      <c r="NFZ14"/>
      <c r="NGA14"/>
      <c r="NGB14"/>
      <c r="NGC14"/>
      <c r="NGD14"/>
      <c r="NGE14"/>
      <c r="NGF14"/>
      <c r="NGG14"/>
      <c r="NGH14"/>
      <c r="NGI14"/>
      <c r="NGJ14"/>
      <c r="NGK14"/>
      <c r="NGL14"/>
      <c r="NGM14"/>
      <c r="NGN14"/>
      <c r="NGO14"/>
      <c r="NGP14"/>
      <c r="NGQ14"/>
      <c r="NGR14"/>
      <c r="NGS14"/>
      <c r="NGT14"/>
      <c r="NGU14"/>
      <c r="NGV14"/>
      <c r="NGW14"/>
      <c r="NGX14"/>
      <c r="NGY14"/>
      <c r="NGZ14"/>
      <c r="NHA14"/>
      <c r="NHB14"/>
      <c r="NHC14"/>
      <c r="NHD14"/>
      <c r="NHE14"/>
      <c r="NHF14"/>
      <c r="NHG14"/>
      <c r="NHH14"/>
      <c r="NHI14"/>
      <c r="NHJ14"/>
      <c r="NHK14"/>
      <c r="NHL14"/>
      <c r="NHM14"/>
      <c r="NHN14"/>
      <c r="NHO14"/>
      <c r="NHP14"/>
      <c r="NHQ14"/>
      <c r="NHR14"/>
      <c r="NHS14"/>
      <c r="NHT14"/>
      <c r="NHU14"/>
      <c r="NHV14"/>
      <c r="NHW14"/>
      <c r="NHX14"/>
      <c r="NHY14"/>
      <c r="NHZ14"/>
      <c r="NIA14"/>
      <c r="NIB14"/>
      <c r="NIC14"/>
      <c r="NID14"/>
      <c r="NIE14"/>
      <c r="NIF14"/>
      <c r="NIG14"/>
      <c r="NIH14"/>
      <c r="NII14"/>
      <c r="NIJ14"/>
      <c r="NIK14"/>
      <c r="NIL14"/>
      <c r="NIM14"/>
      <c r="NIN14"/>
      <c r="NIO14"/>
      <c r="NIP14"/>
      <c r="NIQ14"/>
      <c r="NIR14"/>
      <c r="NIS14"/>
      <c r="NIT14"/>
      <c r="NIU14"/>
      <c r="NIV14"/>
      <c r="NIW14"/>
      <c r="NIX14"/>
      <c r="NIY14"/>
      <c r="NIZ14"/>
      <c r="NJA14"/>
      <c r="NJB14"/>
      <c r="NJC14"/>
      <c r="NJD14"/>
      <c r="NJE14"/>
      <c r="NJF14"/>
      <c r="NJG14"/>
      <c r="NJH14"/>
      <c r="NJI14"/>
      <c r="NJJ14"/>
      <c r="NJK14"/>
      <c r="NJL14"/>
      <c r="NJM14"/>
      <c r="NJN14"/>
      <c r="NJO14"/>
      <c r="NJP14"/>
      <c r="NJQ14"/>
      <c r="NJR14"/>
      <c r="NJS14"/>
      <c r="NJT14"/>
      <c r="NJU14"/>
      <c r="NJV14"/>
      <c r="NJW14"/>
      <c r="NJX14"/>
      <c r="NJY14"/>
      <c r="NJZ14"/>
      <c r="NKA14"/>
      <c r="NKB14"/>
      <c r="NKC14"/>
      <c r="NKD14"/>
      <c r="NKE14"/>
      <c r="NKF14"/>
      <c r="NKG14"/>
      <c r="NKH14"/>
      <c r="NKI14"/>
      <c r="NKJ14"/>
      <c r="NKK14"/>
      <c r="NKL14"/>
      <c r="NKM14"/>
      <c r="NKN14"/>
      <c r="NKO14"/>
      <c r="NKP14"/>
      <c r="NKQ14"/>
      <c r="NKR14"/>
      <c r="NKS14"/>
      <c r="NKT14"/>
      <c r="NKU14"/>
      <c r="NKV14"/>
      <c r="NKW14"/>
      <c r="NKX14"/>
      <c r="NKY14"/>
      <c r="NKZ14"/>
      <c r="NLA14"/>
      <c r="NLB14"/>
      <c r="NLC14"/>
      <c r="NLD14"/>
      <c r="NLE14"/>
      <c r="NLF14"/>
      <c r="NLG14"/>
      <c r="NLH14"/>
      <c r="NLI14"/>
      <c r="NLJ14"/>
      <c r="NLK14"/>
      <c r="NLL14"/>
      <c r="NLM14"/>
      <c r="NLN14"/>
      <c r="NLO14"/>
      <c r="NLP14"/>
      <c r="NLQ14"/>
      <c r="NLR14"/>
      <c r="NLS14"/>
      <c r="NLT14"/>
      <c r="NLU14"/>
      <c r="NLV14"/>
      <c r="NLW14"/>
      <c r="NLX14"/>
      <c r="NLY14"/>
      <c r="NLZ14"/>
      <c r="NMA14"/>
      <c r="NMB14"/>
      <c r="NMC14"/>
      <c r="NMD14"/>
      <c r="NME14"/>
      <c r="NMF14"/>
      <c r="NMG14"/>
      <c r="NMH14"/>
      <c r="NMI14"/>
      <c r="NMJ14"/>
      <c r="NMK14"/>
      <c r="NML14"/>
      <c r="NMM14"/>
      <c r="NMN14"/>
      <c r="NMO14"/>
      <c r="NMP14"/>
      <c r="NMQ14"/>
      <c r="NMR14"/>
      <c r="NMS14"/>
      <c r="NMT14"/>
      <c r="NMU14"/>
      <c r="NMV14"/>
      <c r="NMW14"/>
      <c r="NMX14"/>
      <c r="NMY14"/>
      <c r="NMZ14"/>
      <c r="NNA14"/>
      <c r="NNB14"/>
      <c r="NNC14"/>
      <c r="NND14"/>
      <c r="NNE14"/>
      <c r="NNF14"/>
      <c r="NNG14"/>
      <c r="NNH14"/>
      <c r="NNI14"/>
      <c r="NNJ14"/>
      <c r="NNK14"/>
      <c r="NNL14"/>
      <c r="NNM14"/>
      <c r="NNN14"/>
      <c r="NNO14"/>
      <c r="NNP14"/>
      <c r="NNQ14"/>
      <c r="NNR14"/>
      <c r="NNS14"/>
      <c r="NNT14"/>
      <c r="NNU14"/>
      <c r="NNV14"/>
      <c r="NNW14"/>
      <c r="NNX14"/>
      <c r="NNY14"/>
      <c r="NNZ14"/>
      <c r="NOA14"/>
      <c r="NOB14"/>
      <c r="NOC14"/>
      <c r="NOD14"/>
      <c r="NOE14"/>
      <c r="NOF14"/>
      <c r="NOG14"/>
      <c r="NOH14"/>
      <c r="NOI14"/>
      <c r="NOJ14"/>
      <c r="NOK14"/>
      <c r="NOL14"/>
      <c r="NOM14"/>
      <c r="NON14"/>
      <c r="NOO14"/>
      <c r="NOP14"/>
      <c r="NOQ14"/>
      <c r="NOR14"/>
      <c r="NOS14"/>
      <c r="NOT14"/>
      <c r="NOU14"/>
      <c r="NOV14"/>
      <c r="NOW14"/>
      <c r="NOX14"/>
      <c r="NOY14"/>
      <c r="NOZ14"/>
      <c r="NPA14"/>
      <c r="NPB14"/>
      <c r="NPC14"/>
      <c r="NPD14"/>
      <c r="NPE14"/>
      <c r="NPF14"/>
      <c r="NPG14"/>
      <c r="NPH14"/>
      <c r="NPI14"/>
      <c r="NPJ14"/>
      <c r="NPK14"/>
      <c r="NPL14"/>
      <c r="NPM14"/>
      <c r="NPN14"/>
      <c r="NPO14"/>
      <c r="NPP14"/>
      <c r="NPQ14"/>
      <c r="NPR14"/>
      <c r="NPS14"/>
      <c r="NPT14"/>
      <c r="NPU14"/>
      <c r="NPV14"/>
      <c r="NPW14"/>
      <c r="NPX14"/>
      <c r="NPY14"/>
      <c r="NPZ14"/>
      <c r="NQA14"/>
      <c r="NQB14"/>
      <c r="NQC14"/>
      <c r="NQD14"/>
      <c r="NQE14"/>
      <c r="NQF14"/>
      <c r="NQG14"/>
      <c r="NQH14"/>
      <c r="NQI14"/>
      <c r="NQJ14"/>
      <c r="NQK14"/>
      <c r="NQL14"/>
      <c r="NQM14"/>
      <c r="NQN14"/>
      <c r="NQO14"/>
      <c r="NQP14"/>
      <c r="NQQ14"/>
      <c r="NQR14"/>
      <c r="NQS14"/>
      <c r="NQT14"/>
      <c r="NQU14"/>
      <c r="NQV14"/>
      <c r="NQW14"/>
      <c r="NQX14"/>
      <c r="NQY14"/>
      <c r="NQZ14"/>
      <c r="NRA14"/>
      <c r="NRB14"/>
      <c r="NRC14"/>
      <c r="NRD14"/>
      <c r="NRE14"/>
      <c r="NRF14"/>
      <c r="NRG14"/>
      <c r="NRH14"/>
      <c r="NRI14"/>
      <c r="NRJ14"/>
      <c r="NRK14"/>
      <c r="NRL14"/>
      <c r="NRM14"/>
      <c r="NRN14"/>
      <c r="NRO14"/>
      <c r="NRP14"/>
      <c r="NRQ14"/>
      <c r="NRR14"/>
      <c r="NRS14"/>
      <c r="NRT14"/>
      <c r="NRU14"/>
      <c r="NRV14"/>
      <c r="NRW14"/>
      <c r="NRX14"/>
      <c r="NRY14"/>
      <c r="NRZ14"/>
      <c r="NSA14"/>
      <c r="NSB14"/>
      <c r="NSC14"/>
      <c r="NSD14"/>
      <c r="NSE14"/>
      <c r="NSF14"/>
      <c r="NSG14"/>
      <c r="NSH14"/>
      <c r="NSI14"/>
      <c r="NSJ14"/>
      <c r="NSK14"/>
      <c r="NSL14"/>
      <c r="NSM14"/>
      <c r="NSN14"/>
      <c r="NSO14"/>
      <c r="NSP14"/>
      <c r="NSQ14"/>
      <c r="NSR14"/>
      <c r="NSS14"/>
      <c r="NST14"/>
      <c r="NSU14"/>
      <c r="NSV14"/>
      <c r="NSW14"/>
      <c r="NSX14"/>
      <c r="NSY14"/>
      <c r="NSZ14"/>
      <c r="NTA14"/>
      <c r="NTB14"/>
      <c r="NTC14"/>
      <c r="NTD14"/>
      <c r="NTE14"/>
      <c r="NTF14"/>
      <c r="NTG14"/>
      <c r="NTH14"/>
      <c r="NTI14"/>
      <c r="NTJ14"/>
      <c r="NTK14"/>
      <c r="NTL14"/>
      <c r="NTM14"/>
      <c r="NTN14"/>
      <c r="NTO14"/>
      <c r="NTP14"/>
      <c r="NTQ14"/>
      <c r="NTR14"/>
      <c r="NTS14"/>
      <c r="NTT14"/>
      <c r="NTU14"/>
      <c r="NTV14"/>
      <c r="NTW14"/>
      <c r="NTX14"/>
      <c r="NTY14"/>
      <c r="NTZ14"/>
      <c r="NUA14"/>
      <c r="NUB14"/>
      <c r="NUC14"/>
      <c r="NUD14"/>
      <c r="NUE14"/>
      <c r="NUF14"/>
      <c r="NUG14"/>
      <c r="NUH14"/>
      <c r="NUI14"/>
      <c r="NUJ14"/>
      <c r="NUK14"/>
      <c r="NUL14"/>
      <c r="NUM14"/>
      <c r="NUN14"/>
      <c r="NUO14"/>
      <c r="NUP14"/>
      <c r="NUQ14"/>
      <c r="NUR14"/>
      <c r="NUS14"/>
      <c r="NUT14"/>
      <c r="NUU14"/>
      <c r="NUV14"/>
      <c r="NUW14"/>
      <c r="NUX14"/>
      <c r="NUY14"/>
      <c r="NUZ14"/>
      <c r="NVA14"/>
      <c r="NVB14"/>
      <c r="NVC14"/>
      <c r="NVD14"/>
      <c r="NVE14"/>
      <c r="NVF14"/>
      <c r="NVG14"/>
      <c r="NVH14"/>
      <c r="NVI14"/>
      <c r="NVJ14"/>
      <c r="NVK14"/>
      <c r="NVL14"/>
      <c r="NVM14"/>
      <c r="NVN14"/>
      <c r="NVO14"/>
      <c r="NVP14"/>
      <c r="NVQ14"/>
      <c r="NVR14"/>
      <c r="NVS14"/>
      <c r="NVT14"/>
      <c r="NVU14"/>
      <c r="NVV14"/>
      <c r="NVW14"/>
      <c r="NVX14"/>
      <c r="NVY14"/>
      <c r="NVZ14"/>
      <c r="NWA14"/>
      <c r="NWB14"/>
      <c r="NWC14"/>
      <c r="NWD14"/>
      <c r="NWE14"/>
      <c r="NWF14"/>
      <c r="NWG14"/>
      <c r="NWH14"/>
      <c r="NWI14"/>
      <c r="NWJ14"/>
      <c r="NWK14"/>
      <c r="NWL14"/>
      <c r="NWM14"/>
      <c r="NWN14"/>
      <c r="NWO14"/>
      <c r="NWP14"/>
      <c r="NWQ14"/>
      <c r="NWR14"/>
      <c r="NWS14"/>
      <c r="NWT14"/>
      <c r="NWU14"/>
      <c r="NWV14"/>
      <c r="NWW14"/>
      <c r="NWX14"/>
      <c r="NWY14"/>
      <c r="NWZ14"/>
      <c r="NXA14"/>
      <c r="NXB14"/>
      <c r="NXC14"/>
      <c r="NXD14"/>
      <c r="NXE14"/>
      <c r="NXF14"/>
      <c r="NXG14"/>
      <c r="NXH14"/>
      <c r="NXI14"/>
      <c r="NXJ14"/>
      <c r="NXK14"/>
      <c r="NXL14"/>
      <c r="NXM14"/>
      <c r="NXN14"/>
      <c r="NXO14"/>
      <c r="NXP14"/>
      <c r="NXQ14"/>
      <c r="NXR14"/>
      <c r="NXS14"/>
      <c r="NXT14"/>
      <c r="NXU14"/>
      <c r="NXV14"/>
      <c r="NXW14"/>
      <c r="NXX14"/>
      <c r="NXY14"/>
      <c r="NXZ14"/>
      <c r="NYA14"/>
      <c r="NYB14"/>
      <c r="NYC14"/>
      <c r="NYD14"/>
      <c r="NYE14"/>
      <c r="NYF14"/>
      <c r="NYG14"/>
      <c r="NYH14"/>
      <c r="NYI14"/>
      <c r="NYJ14"/>
      <c r="NYK14"/>
      <c r="NYL14"/>
      <c r="NYM14"/>
      <c r="NYN14"/>
      <c r="NYO14"/>
      <c r="NYP14"/>
      <c r="NYQ14"/>
      <c r="NYR14"/>
      <c r="NYS14"/>
      <c r="NYT14"/>
      <c r="NYU14"/>
      <c r="NYV14"/>
      <c r="NYW14"/>
      <c r="NYX14"/>
      <c r="NYY14"/>
      <c r="NYZ14"/>
      <c r="NZA14"/>
      <c r="NZB14"/>
      <c r="NZC14"/>
      <c r="NZD14"/>
      <c r="NZE14"/>
      <c r="NZF14"/>
      <c r="NZG14"/>
      <c r="NZH14"/>
      <c r="NZI14"/>
      <c r="NZJ14"/>
      <c r="NZK14"/>
      <c r="NZL14"/>
      <c r="NZM14"/>
      <c r="NZN14"/>
      <c r="NZO14"/>
      <c r="NZP14"/>
      <c r="NZQ14"/>
      <c r="NZR14"/>
      <c r="NZS14"/>
      <c r="NZT14"/>
      <c r="NZU14"/>
      <c r="NZV14"/>
      <c r="NZW14"/>
      <c r="NZX14"/>
      <c r="NZY14"/>
      <c r="NZZ14"/>
      <c r="OAA14"/>
      <c r="OAB14"/>
      <c r="OAC14"/>
      <c r="OAD14"/>
      <c r="OAE14"/>
      <c r="OAF14"/>
      <c r="OAG14"/>
      <c r="OAH14"/>
      <c r="OAI14"/>
      <c r="OAJ14"/>
      <c r="OAK14"/>
      <c r="OAL14"/>
      <c r="OAM14"/>
      <c r="OAN14"/>
      <c r="OAO14"/>
      <c r="OAP14"/>
      <c r="OAQ14"/>
      <c r="OAR14"/>
      <c r="OAS14"/>
      <c r="OAT14"/>
      <c r="OAU14"/>
      <c r="OAV14"/>
      <c r="OAW14"/>
      <c r="OAX14"/>
      <c r="OAY14"/>
      <c r="OAZ14"/>
      <c r="OBA14"/>
      <c r="OBB14"/>
      <c r="OBC14"/>
      <c r="OBD14"/>
      <c r="OBE14"/>
      <c r="OBF14"/>
      <c r="OBG14"/>
      <c r="OBH14"/>
      <c r="OBI14"/>
      <c r="OBJ14"/>
      <c r="OBK14"/>
      <c r="OBL14"/>
      <c r="OBM14"/>
      <c r="OBN14"/>
      <c r="OBO14"/>
      <c r="OBP14"/>
      <c r="OBQ14"/>
      <c r="OBR14"/>
      <c r="OBS14"/>
      <c r="OBT14"/>
      <c r="OBU14"/>
      <c r="OBV14"/>
      <c r="OBW14"/>
      <c r="OBX14"/>
      <c r="OBY14"/>
      <c r="OBZ14"/>
      <c r="OCA14"/>
      <c r="OCB14"/>
      <c r="OCC14"/>
      <c r="OCD14"/>
      <c r="OCE14"/>
      <c r="OCF14"/>
      <c r="OCG14"/>
      <c r="OCH14"/>
      <c r="OCI14"/>
      <c r="OCJ14"/>
      <c r="OCK14"/>
      <c r="OCL14"/>
      <c r="OCM14"/>
      <c r="OCN14"/>
      <c r="OCO14"/>
      <c r="OCP14"/>
      <c r="OCQ14"/>
      <c r="OCR14"/>
      <c r="OCS14"/>
      <c r="OCT14"/>
      <c r="OCU14"/>
      <c r="OCV14"/>
      <c r="OCW14"/>
      <c r="OCX14"/>
      <c r="OCY14"/>
      <c r="OCZ14"/>
      <c r="ODA14"/>
      <c r="ODB14"/>
      <c r="ODC14"/>
      <c r="ODD14"/>
      <c r="ODE14"/>
      <c r="ODF14"/>
      <c r="ODG14"/>
      <c r="ODH14"/>
      <c r="ODI14"/>
      <c r="ODJ14"/>
      <c r="ODK14"/>
      <c r="ODL14"/>
      <c r="ODM14"/>
      <c r="ODN14"/>
      <c r="ODO14"/>
      <c r="ODP14"/>
      <c r="ODQ14"/>
      <c r="ODR14"/>
      <c r="ODS14"/>
      <c r="ODT14"/>
      <c r="ODU14"/>
      <c r="ODV14"/>
      <c r="ODW14"/>
      <c r="ODX14"/>
      <c r="ODY14"/>
      <c r="ODZ14"/>
      <c r="OEA14"/>
      <c r="OEB14"/>
      <c r="OEC14"/>
      <c r="OED14"/>
      <c r="OEE14"/>
      <c r="OEF14"/>
      <c r="OEG14"/>
      <c r="OEH14"/>
      <c r="OEI14"/>
      <c r="OEJ14"/>
      <c r="OEK14"/>
      <c r="OEL14"/>
      <c r="OEM14"/>
      <c r="OEN14"/>
      <c r="OEO14"/>
      <c r="OEP14"/>
      <c r="OEQ14"/>
      <c r="OER14"/>
      <c r="OES14"/>
      <c r="OET14"/>
      <c r="OEU14"/>
      <c r="OEV14"/>
      <c r="OEW14"/>
      <c r="OEX14"/>
      <c r="OEY14"/>
      <c r="OEZ14"/>
      <c r="OFA14"/>
      <c r="OFB14"/>
      <c r="OFC14"/>
      <c r="OFD14"/>
      <c r="OFE14"/>
      <c r="OFF14"/>
      <c r="OFG14"/>
      <c r="OFH14"/>
      <c r="OFI14"/>
      <c r="OFJ14"/>
      <c r="OFK14"/>
      <c r="OFL14"/>
      <c r="OFM14"/>
      <c r="OFN14"/>
      <c r="OFO14"/>
      <c r="OFP14"/>
      <c r="OFQ14"/>
      <c r="OFR14"/>
      <c r="OFS14"/>
      <c r="OFT14"/>
      <c r="OFU14"/>
      <c r="OFV14"/>
      <c r="OFW14"/>
      <c r="OFX14"/>
      <c r="OFY14"/>
      <c r="OFZ14"/>
      <c r="OGA14"/>
      <c r="OGB14"/>
      <c r="OGC14"/>
      <c r="OGD14"/>
      <c r="OGE14"/>
      <c r="OGF14"/>
      <c r="OGG14"/>
      <c r="OGH14"/>
      <c r="OGI14"/>
      <c r="OGJ14"/>
      <c r="OGK14"/>
      <c r="OGL14"/>
      <c r="OGM14"/>
      <c r="OGN14"/>
      <c r="OGO14"/>
      <c r="OGP14"/>
      <c r="OGQ14"/>
      <c r="OGR14"/>
      <c r="OGS14"/>
      <c r="OGT14"/>
      <c r="OGU14"/>
      <c r="OGV14"/>
      <c r="OGW14"/>
      <c r="OGX14"/>
      <c r="OGY14"/>
      <c r="OGZ14"/>
      <c r="OHA14"/>
      <c r="OHB14"/>
      <c r="OHC14"/>
      <c r="OHD14"/>
      <c r="OHE14"/>
      <c r="OHF14"/>
      <c r="OHG14"/>
      <c r="OHH14"/>
      <c r="OHI14"/>
      <c r="OHJ14"/>
      <c r="OHK14"/>
      <c r="OHL14"/>
      <c r="OHM14"/>
      <c r="OHN14"/>
      <c r="OHO14"/>
      <c r="OHP14"/>
      <c r="OHQ14"/>
      <c r="OHR14"/>
      <c r="OHS14"/>
      <c r="OHT14"/>
      <c r="OHU14"/>
      <c r="OHV14"/>
      <c r="OHW14"/>
      <c r="OHX14"/>
      <c r="OHY14"/>
      <c r="OHZ14"/>
      <c r="OIA14"/>
      <c r="OIB14"/>
      <c r="OIC14"/>
      <c r="OID14"/>
      <c r="OIE14"/>
      <c r="OIF14"/>
      <c r="OIG14"/>
      <c r="OIH14"/>
      <c r="OII14"/>
      <c r="OIJ14"/>
      <c r="OIK14"/>
      <c r="OIL14"/>
      <c r="OIM14"/>
      <c r="OIN14"/>
      <c r="OIO14"/>
      <c r="OIP14"/>
      <c r="OIQ14"/>
      <c r="OIR14"/>
      <c r="OIS14"/>
      <c r="OIT14"/>
      <c r="OIU14"/>
      <c r="OIV14"/>
      <c r="OIW14"/>
      <c r="OIX14"/>
      <c r="OIY14"/>
      <c r="OIZ14"/>
      <c r="OJA14"/>
      <c r="OJB14"/>
      <c r="OJC14"/>
      <c r="OJD14"/>
      <c r="OJE14"/>
      <c r="OJF14"/>
      <c r="OJG14"/>
      <c r="OJH14"/>
      <c r="OJI14"/>
      <c r="OJJ14"/>
      <c r="OJK14"/>
      <c r="OJL14"/>
      <c r="OJM14"/>
      <c r="OJN14"/>
      <c r="OJO14"/>
      <c r="OJP14"/>
      <c r="OJQ14"/>
      <c r="OJR14"/>
      <c r="OJS14"/>
      <c r="OJT14"/>
      <c r="OJU14"/>
      <c r="OJV14"/>
      <c r="OJW14"/>
      <c r="OJX14"/>
      <c r="OJY14"/>
      <c r="OJZ14"/>
      <c r="OKA14"/>
      <c r="OKB14"/>
      <c r="OKC14"/>
      <c r="OKD14"/>
      <c r="OKE14"/>
      <c r="OKF14"/>
      <c r="OKG14"/>
      <c r="OKH14"/>
      <c r="OKI14"/>
      <c r="OKJ14"/>
      <c r="OKK14"/>
      <c r="OKL14"/>
      <c r="OKM14"/>
      <c r="OKN14"/>
      <c r="OKO14"/>
      <c r="OKP14"/>
      <c r="OKQ14"/>
      <c r="OKR14"/>
      <c r="OKS14"/>
      <c r="OKT14"/>
      <c r="OKU14"/>
      <c r="OKV14"/>
      <c r="OKW14"/>
      <c r="OKX14"/>
      <c r="OKY14"/>
      <c r="OKZ14"/>
      <c r="OLA14"/>
      <c r="OLB14"/>
      <c r="OLC14"/>
      <c r="OLD14"/>
      <c r="OLE14"/>
      <c r="OLF14"/>
      <c r="OLG14"/>
      <c r="OLH14"/>
      <c r="OLI14"/>
      <c r="OLJ14"/>
      <c r="OLK14"/>
      <c r="OLL14"/>
      <c r="OLM14"/>
      <c r="OLN14"/>
      <c r="OLO14"/>
      <c r="OLP14"/>
      <c r="OLQ14"/>
      <c r="OLR14"/>
      <c r="OLS14"/>
      <c r="OLT14"/>
      <c r="OLU14"/>
      <c r="OLV14"/>
      <c r="OLW14"/>
      <c r="OLX14"/>
      <c r="OLY14"/>
      <c r="OLZ14"/>
      <c r="OMA14"/>
      <c r="OMB14"/>
      <c r="OMC14"/>
      <c r="OMD14"/>
      <c r="OME14"/>
      <c r="OMF14"/>
      <c r="OMG14"/>
      <c r="OMH14"/>
      <c r="OMI14"/>
      <c r="OMJ14"/>
      <c r="OMK14"/>
      <c r="OML14"/>
      <c r="OMM14"/>
      <c r="OMN14"/>
      <c r="OMO14"/>
      <c r="OMP14"/>
      <c r="OMQ14"/>
      <c r="OMR14"/>
      <c r="OMS14"/>
      <c r="OMT14"/>
      <c r="OMU14"/>
      <c r="OMV14"/>
      <c r="OMW14"/>
      <c r="OMX14"/>
      <c r="OMY14"/>
      <c r="OMZ14"/>
      <c r="ONA14"/>
      <c r="ONB14"/>
      <c r="ONC14"/>
      <c r="OND14"/>
      <c r="ONE14"/>
      <c r="ONF14"/>
      <c r="ONG14"/>
      <c r="ONH14"/>
      <c r="ONI14"/>
      <c r="ONJ14"/>
      <c r="ONK14"/>
      <c r="ONL14"/>
      <c r="ONM14"/>
      <c r="ONN14"/>
      <c r="ONO14"/>
      <c r="ONP14"/>
      <c r="ONQ14"/>
      <c r="ONR14"/>
      <c r="ONS14"/>
      <c r="ONT14"/>
      <c r="ONU14"/>
      <c r="ONV14"/>
      <c r="ONW14"/>
      <c r="ONX14"/>
      <c r="ONY14"/>
      <c r="ONZ14"/>
      <c r="OOA14"/>
      <c r="OOB14"/>
      <c r="OOC14"/>
      <c r="OOD14"/>
      <c r="OOE14"/>
      <c r="OOF14"/>
      <c r="OOG14"/>
      <c r="OOH14"/>
      <c r="OOI14"/>
      <c r="OOJ14"/>
      <c r="OOK14"/>
      <c r="OOL14"/>
      <c r="OOM14"/>
      <c r="OON14"/>
      <c r="OOO14"/>
      <c r="OOP14"/>
      <c r="OOQ14"/>
      <c r="OOR14"/>
      <c r="OOS14"/>
      <c r="OOT14"/>
      <c r="OOU14"/>
      <c r="OOV14"/>
      <c r="OOW14"/>
      <c r="OOX14"/>
      <c r="OOY14"/>
      <c r="OOZ14"/>
      <c r="OPA14"/>
      <c r="OPB14"/>
      <c r="OPC14"/>
      <c r="OPD14"/>
      <c r="OPE14"/>
      <c r="OPF14"/>
      <c r="OPG14"/>
      <c r="OPH14"/>
      <c r="OPI14"/>
      <c r="OPJ14"/>
      <c r="OPK14"/>
      <c r="OPL14"/>
      <c r="OPM14"/>
      <c r="OPN14"/>
      <c r="OPO14"/>
      <c r="OPP14"/>
      <c r="OPQ14"/>
      <c r="OPR14"/>
      <c r="OPS14"/>
      <c r="OPT14"/>
      <c r="OPU14"/>
      <c r="OPV14"/>
      <c r="OPW14"/>
      <c r="OPX14"/>
      <c r="OPY14"/>
      <c r="OPZ14"/>
      <c r="OQA14"/>
      <c r="OQB14"/>
      <c r="OQC14"/>
      <c r="OQD14"/>
      <c r="OQE14"/>
      <c r="OQF14"/>
      <c r="OQG14"/>
      <c r="OQH14"/>
      <c r="OQI14"/>
      <c r="OQJ14"/>
      <c r="OQK14"/>
      <c r="OQL14"/>
      <c r="OQM14"/>
      <c r="OQN14"/>
      <c r="OQO14"/>
      <c r="OQP14"/>
      <c r="OQQ14"/>
      <c r="OQR14"/>
      <c r="OQS14"/>
      <c r="OQT14"/>
      <c r="OQU14"/>
      <c r="OQV14"/>
      <c r="OQW14"/>
      <c r="OQX14"/>
      <c r="OQY14"/>
      <c r="OQZ14"/>
      <c r="ORA14"/>
      <c r="ORB14"/>
      <c r="ORC14"/>
      <c r="ORD14"/>
      <c r="ORE14"/>
      <c r="ORF14"/>
      <c r="ORG14"/>
      <c r="ORH14"/>
      <c r="ORI14"/>
      <c r="ORJ14"/>
      <c r="ORK14"/>
      <c r="ORL14"/>
      <c r="ORM14"/>
      <c r="ORN14"/>
      <c r="ORO14"/>
      <c r="ORP14"/>
      <c r="ORQ14"/>
      <c r="ORR14"/>
      <c r="ORS14"/>
      <c r="ORT14"/>
      <c r="ORU14"/>
      <c r="ORV14"/>
      <c r="ORW14"/>
      <c r="ORX14"/>
      <c r="ORY14"/>
      <c r="ORZ14"/>
      <c r="OSA14"/>
      <c r="OSB14"/>
      <c r="OSC14"/>
      <c r="OSD14"/>
      <c r="OSE14"/>
      <c r="OSF14"/>
      <c r="OSG14"/>
      <c r="OSH14"/>
      <c r="OSI14"/>
      <c r="OSJ14"/>
      <c r="OSK14"/>
      <c r="OSL14"/>
      <c r="OSM14"/>
      <c r="OSN14"/>
      <c r="OSO14"/>
      <c r="OSP14"/>
      <c r="OSQ14"/>
      <c r="OSR14"/>
      <c r="OSS14"/>
      <c r="OST14"/>
      <c r="OSU14"/>
      <c r="OSV14"/>
      <c r="OSW14"/>
      <c r="OSX14"/>
      <c r="OSY14"/>
      <c r="OSZ14"/>
      <c r="OTA14"/>
      <c r="OTB14"/>
      <c r="OTC14"/>
      <c r="OTD14"/>
      <c r="OTE14"/>
      <c r="OTF14"/>
      <c r="OTG14"/>
      <c r="OTH14"/>
      <c r="OTI14"/>
      <c r="OTJ14"/>
      <c r="OTK14"/>
      <c r="OTL14"/>
      <c r="OTM14"/>
      <c r="OTN14"/>
      <c r="OTO14"/>
      <c r="OTP14"/>
      <c r="OTQ14"/>
      <c r="OTR14"/>
      <c r="OTS14"/>
      <c r="OTT14"/>
      <c r="OTU14"/>
      <c r="OTV14"/>
      <c r="OTW14"/>
      <c r="OTX14"/>
      <c r="OTY14"/>
      <c r="OTZ14"/>
      <c r="OUA14"/>
      <c r="OUB14"/>
      <c r="OUC14"/>
      <c r="OUD14"/>
      <c r="OUE14"/>
      <c r="OUF14"/>
      <c r="OUG14"/>
      <c r="OUH14"/>
      <c r="OUI14"/>
      <c r="OUJ14"/>
      <c r="OUK14"/>
      <c r="OUL14"/>
      <c r="OUM14"/>
      <c r="OUN14"/>
      <c r="OUO14"/>
      <c r="OUP14"/>
      <c r="OUQ14"/>
      <c r="OUR14"/>
      <c r="OUS14"/>
      <c r="OUT14"/>
      <c r="OUU14"/>
      <c r="OUV14"/>
      <c r="OUW14"/>
      <c r="OUX14"/>
      <c r="OUY14"/>
      <c r="OUZ14"/>
      <c r="OVA14"/>
      <c r="OVB14"/>
      <c r="OVC14"/>
      <c r="OVD14"/>
      <c r="OVE14"/>
      <c r="OVF14"/>
      <c r="OVG14"/>
      <c r="OVH14"/>
      <c r="OVI14"/>
      <c r="OVJ14"/>
      <c r="OVK14"/>
      <c r="OVL14"/>
      <c r="OVM14"/>
      <c r="OVN14"/>
      <c r="OVO14"/>
      <c r="OVP14"/>
      <c r="OVQ14"/>
      <c r="OVR14"/>
      <c r="OVS14"/>
      <c r="OVT14"/>
      <c r="OVU14"/>
      <c r="OVV14"/>
      <c r="OVW14"/>
      <c r="OVX14"/>
      <c r="OVY14"/>
      <c r="OVZ14"/>
      <c r="OWA14"/>
      <c r="OWB14"/>
      <c r="OWC14"/>
      <c r="OWD14"/>
      <c r="OWE14"/>
      <c r="OWF14"/>
      <c r="OWG14"/>
      <c r="OWH14"/>
      <c r="OWI14"/>
      <c r="OWJ14"/>
      <c r="OWK14"/>
      <c r="OWL14"/>
      <c r="OWM14"/>
      <c r="OWN14"/>
      <c r="OWO14"/>
      <c r="OWP14"/>
      <c r="OWQ14"/>
      <c r="OWR14"/>
      <c r="OWS14"/>
      <c r="OWT14"/>
      <c r="OWU14"/>
      <c r="OWV14"/>
      <c r="OWW14"/>
      <c r="OWX14"/>
      <c r="OWY14"/>
      <c r="OWZ14"/>
      <c r="OXA14"/>
      <c r="OXB14"/>
      <c r="OXC14"/>
      <c r="OXD14"/>
      <c r="OXE14"/>
      <c r="OXF14"/>
      <c r="OXG14"/>
      <c r="OXH14"/>
      <c r="OXI14"/>
      <c r="OXJ14"/>
      <c r="OXK14"/>
      <c r="OXL14"/>
      <c r="OXM14"/>
      <c r="OXN14"/>
      <c r="OXO14"/>
      <c r="OXP14"/>
      <c r="OXQ14"/>
      <c r="OXR14"/>
      <c r="OXS14"/>
      <c r="OXT14"/>
      <c r="OXU14"/>
      <c r="OXV14"/>
      <c r="OXW14"/>
      <c r="OXX14"/>
      <c r="OXY14"/>
      <c r="OXZ14"/>
      <c r="OYA14"/>
      <c r="OYB14"/>
      <c r="OYC14"/>
      <c r="OYD14"/>
      <c r="OYE14"/>
      <c r="OYF14"/>
      <c r="OYG14"/>
      <c r="OYH14"/>
      <c r="OYI14"/>
      <c r="OYJ14"/>
      <c r="OYK14"/>
      <c r="OYL14"/>
      <c r="OYM14"/>
      <c r="OYN14"/>
      <c r="OYO14"/>
      <c r="OYP14"/>
      <c r="OYQ14"/>
      <c r="OYR14"/>
      <c r="OYS14"/>
      <c r="OYT14"/>
      <c r="OYU14"/>
      <c r="OYV14"/>
      <c r="OYW14"/>
      <c r="OYX14"/>
      <c r="OYY14"/>
      <c r="OYZ14"/>
      <c r="OZA14"/>
      <c r="OZB14"/>
      <c r="OZC14"/>
      <c r="OZD14"/>
      <c r="OZE14"/>
      <c r="OZF14"/>
      <c r="OZG14"/>
      <c r="OZH14"/>
      <c r="OZI14"/>
      <c r="OZJ14"/>
      <c r="OZK14"/>
      <c r="OZL14"/>
      <c r="OZM14"/>
      <c r="OZN14"/>
      <c r="OZO14"/>
      <c r="OZP14"/>
      <c r="OZQ14"/>
      <c r="OZR14"/>
      <c r="OZS14"/>
      <c r="OZT14"/>
      <c r="OZU14"/>
      <c r="OZV14"/>
      <c r="OZW14"/>
      <c r="OZX14"/>
      <c r="OZY14"/>
      <c r="OZZ14"/>
      <c r="PAA14"/>
      <c r="PAB14"/>
      <c r="PAC14"/>
      <c r="PAD14"/>
      <c r="PAE14"/>
      <c r="PAF14"/>
      <c r="PAG14"/>
      <c r="PAH14"/>
      <c r="PAI14"/>
      <c r="PAJ14"/>
      <c r="PAK14"/>
      <c r="PAL14"/>
      <c r="PAM14"/>
      <c r="PAN14"/>
      <c r="PAO14"/>
      <c r="PAP14"/>
      <c r="PAQ14"/>
      <c r="PAR14"/>
      <c r="PAS14"/>
      <c r="PAT14"/>
      <c r="PAU14"/>
      <c r="PAV14"/>
      <c r="PAW14"/>
      <c r="PAX14"/>
      <c r="PAY14"/>
      <c r="PAZ14"/>
      <c r="PBA14"/>
      <c r="PBB14"/>
      <c r="PBC14"/>
      <c r="PBD14"/>
      <c r="PBE14"/>
      <c r="PBF14"/>
      <c r="PBG14"/>
      <c r="PBH14"/>
      <c r="PBI14"/>
      <c r="PBJ14"/>
      <c r="PBK14"/>
      <c r="PBL14"/>
      <c r="PBM14"/>
      <c r="PBN14"/>
      <c r="PBO14"/>
      <c r="PBP14"/>
      <c r="PBQ14"/>
      <c r="PBR14"/>
      <c r="PBS14"/>
      <c r="PBT14"/>
      <c r="PBU14"/>
      <c r="PBV14"/>
      <c r="PBW14"/>
      <c r="PBX14"/>
      <c r="PBY14"/>
      <c r="PBZ14"/>
      <c r="PCA14"/>
      <c r="PCB14"/>
      <c r="PCC14"/>
      <c r="PCD14"/>
      <c r="PCE14"/>
      <c r="PCF14"/>
      <c r="PCG14"/>
      <c r="PCH14"/>
      <c r="PCI14"/>
      <c r="PCJ14"/>
      <c r="PCK14"/>
      <c r="PCL14"/>
      <c r="PCM14"/>
      <c r="PCN14"/>
      <c r="PCO14"/>
      <c r="PCP14"/>
      <c r="PCQ14"/>
      <c r="PCR14"/>
      <c r="PCS14"/>
      <c r="PCT14"/>
      <c r="PCU14"/>
      <c r="PCV14"/>
      <c r="PCW14"/>
      <c r="PCX14"/>
      <c r="PCY14"/>
      <c r="PCZ14"/>
      <c r="PDA14"/>
      <c r="PDB14"/>
      <c r="PDC14"/>
      <c r="PDD14"/>
      <c r="PDE14"/>
      <c r="PDF14"/>
      <c r="PDG14"/>
      <c r="PDH14"/>
      <c r="PDI14"/>
      <c r="PDJ14"/>
      <c r="PDK14"/>
      <c r="PDL14"/>
      <c r="PDM14"/>
      <c r="PDN14"/>
      <c r="PDO14"/>
      <c r="PDP14"/>
      <c r="PDQ14"/>
      <c r="PDR14"/>
      <c r="PDS14"/>
      <c r="PDT14"/>
      <c r="PDU14"/>
      <c r="PDV14"/>
      <c r="PDW14"/>
      <c r="PDX14"/>
      <c r="PDY14"/>
      <c r="PDZ14"/>
      <c r="PEA14"/>
      <c r="PEB14"/>
      <c r="PEC14"/>
      <c r="PED14"/>
      <c r="PEE14"/>
      <c r="PEF14"/>
      <c r="PEG14"/>
      <c r="PEH14"/>
      <c r="PEI14"/>
      <c r="PEJ14"/>
      <c r="PEK14"/>
      <c r="PEL14"/>
      <c r="PEM14"/>
      <c r="PEN14"/>
      <c r="PEO14"/>
      <c r="PEP14"/>
      <c r="PEQ14"/>
      <c r="PER14"/>
      <c r="PES14"/>
      <c r="PET14"/>
      <c r="PEU14"/>
      <c r="PEV14"/>
      <c r="PEW14"/>
      <c r="PEX14"/>
      <c r="PEY14"/>
      <c r="PEZ14"/>
      <c r="PFA14"/>
      <c r="PFB14"/>
      <c r="PFC14"/>
      <c r="PFD14"/>
      <c r="PFE14"/>
      <c r="PFF14"/>
      <c r="PFG14"/>
      <c r="PFH14"/>
      <c r="PFI14"/>
      <c r="PFJ14"/>
      <c r="PFK14"/>
      <c r="PFL14"/>
      <c r="PFM14"/>
      <c r="PFN14"/>
      <c r="PFO14"/>
      <c r="PFP14"/>
      <c r="PFQ14"/>
      <c r="PFR14"/>
      <c r="PFS14"/>
      <c r="PFT14"/>
      <c r="PFU14"/>
      <c r="PFV14"/>
      <c r="PFW14"/>
      <c r="PFX14"/>
      <c r="PFY14"/>
      <c r="PFZ14"/>
      <c r="PGA14"/>
      <c r="PGB14"/>
      <c r="PGC14"/>
      <c r="PGD14"/>
      <c r="PGE14"/>
      <c r="PGF14"/>
      <c r="PGG14"/>
      <c r="PGH14"/>
      <c r="PGI14"/>
      <c r="PGJ14"/>
      <c r="PGK14"/>
      <c r="PGL14"/>
      <c r="PGM14"/>
      <c r="PGN14"/>
      <c r="PGO14"/>
      <c r="PGP14"/>
      <c r="PGQ14"/>
      <c r="PGR14"/>
      <c r="PGS14"/>
      <c r="PGT14"/>
      <c r="PGU14"/>
      <c r="PGV14"/>
      <c r="PGW14"/>
      <c r="PGX14"/>
      <c r="PGY14"/>
      <c r="PGZ14"/>
      <c r="PHA14"/>
      <c r="PHB14"/>
      <c r="PHC14"/>
      <c r="PHD14"/>
      <c r="PHE14"/>
      <c r="PHF14"/>
      <c r="PHG14"/>
      <c r="PHH14"/>
      <c r="PHI14"/>
      <c r="PHJ14"/>
      <c r="PHK14"/>
      <c r="PHL14"/>
      <c r="PHM14"/>
      <c r="PHN14"/>
      <c r="PHO14"/>
      <c r="PHP14"/>
      <c r="PHQ14"/>
      <c r="PHR14"/>
      <c r="PHS14"/>
      <c r="PHT14"/>
      <c r="PHU14"/>
      <c r="PHV14"/>
      <c r="PHW14"/>
      <c r="PHX14"/>
      <c r="PHY14"/>
      <c r="PHZ14"/>
      <c r="PIA14"/>
      <c r="PIB14"/>
      <c r="PIC14"/>
      <c r="PID14"/>
      <c r="PIE14"/>
      <c r="PIF14"/>
      <c r="PIG14"/>
      <c r="PIH14"/>
      <c r="PII14"/>
      <c r="PIJ14"/>
      <c r="PIK14"/>
      <c r="PIL14"/>
      <c r="PIM14"/>
      <c r="PIN14"/>
      <c r="PIO14"/>
      <c r="PIP14"/>
      <c r="PIQ14"/>
      <c r="PIR14"/>
      <c r="PIS14"/>
      <c r="PIT14"/>
      <c r="PIU14"/>
      <c r="PIV14"/>
      <c r="PIW14"/>
      <c r="PIX14"/>
      <c r="PIY14"/>
      <c r="PIZ14"/>
      <c r="PJA14"/>
      <c r="PJB14"/>
      <c r="PJC14"/>
      <c r="PJD14"/>
      <c r="PJE14"/>
      <c r="PJF14"/>
      <c r="PJG14"/>
      <c r="PJH14"/>
      <c r="PJI14"/>
      <c r="PJJ14"/>
      <c r="PJK14"/>
      <c r="PJL14"/>
      <c r="PJM14"/>
      <c r="PJN14"/>
      <c r="PJO14"/>
      <c r="PJP14"/>
      <c r="PJQ14"/>
      <c r="PJR14"/>
      <c r="PJS14"/>
      <c r="PJT14"/>
      <c r="PJU14"/>
      <c r="PJV14"/>
      <c r="PJW14"/>
      <c r="PJX14"/>
      <c r="PJY14"/>
      <c r="PJZ14"/>
      <c r="PKA14"/>
      <c r="PKB14"/>
      <c r="PKC14"/>
      <c r="PKD14"/>
      <c r="PKE14"/>
      <c r="PKF14"/>
      <c r="PKG14"/>
      <c r="PKH14"/>
      <c r="PKI14"/>
      <c r="PKJ14"/>
      <c r="PKK14"/>
      <c r="PKL14"/>
      <c r="PKM14"/>
      <c r="PKN14"/>
      <c r="PKO14"/>
      <c r="PKP14"/>
      <c r="PKQ14"/>
      <c r="PKR14"/>
      <c r="PKS14"/>
      <c r="PKT14"/>
      <c r="PKU14"/>
      <c r="PKV14"/>
      <c r="PKW14"/>
      <c r="PKX14"/>
      <c r="PKY14"/>
      <c r="PKZ14"/>
      <c r="PLA14"/>
      <c r="PLB14"/>
      <c r="PLC14"/>
      <c r="PLD14"/>
      <c r="PLE14"/>
      <c r="PLF14"/>
      <c r="PLG14"/>
      <c r="PLH14"/>
      <c r="PLI14"/>
      <c r="PLJ14"/>
      <c r="PLK14"/>
      <c r="PLL14"/>
      <c r="PLM14"/>
      <c r="PLN14"/>
      <c r="PLO14"/>
      <c r="PLP14"/>
      <c r="PLQ14"/>
      <c r="PLR14"/>
      <c r="PLS14"/>
      <c r="PLT14"/>
      <c r="PLU14"/>
      <c r="PLV14"/>
      <c r="PLW14"/>
      <c r="PLX14"/>
      <c r="PLY14"/>
      <c r="PLZ14"/>
      <c r="PMA14"/>
      <c r="PMB14"/>
      <c r="PMC14"/>
      <c r="PMD14"/>
      <c r="PME14"/>
      <c r="PMF14"/>
      <c r="PMG14"/>
      <c r="PMH14"/>
      <c r="PMI14"/>
      <c r="PMJ14"/>
      <c r="PMK14"/>
      <c r="PML14"/>
      <c r="PMM14"/>
      <c r="PMN14"/>
      <c r="PMO14"/>
      <c r="PMP14"/>
      <c r="PMQ14"/>
      <c r="PMR14"/>
      <c r="PMS14"/>
      <c r="PMT14"/>
      <c r="PMU14"/>
      <c r="PMV14"/>
      <c r="PMW14"/>
      <c r="PMX14"/>
      <c r="PMY14"/>
      <c r="PMZ14"/>
      <c r="PNA14"/>
      <c r="PNB14"/>
      <c r="PNC14"/>
      <c r="PND14"/>
      <c r="PNE14"/>
      <c r="PNF14"/>
      <c r="PNG14"/>
      <c r="PNH14"/>
      <c r="PNI14"/>
      <c r="PNJ14"/>
      <c r="PNK14"/>
      <c r="PNL14"/>
      <c r="PNM14"/>
      <c r="PNN14"/>
      <c r="PNO14"/>
      <c r="PNP14"/>
      <c r="PNQ14"/>
      <c r="PNR14"/>
      <c r="PNS14"/>
      <c r="PNT14"/>
      <c r="PNU14"/>
      <c r="PNV14"/>
      <c r="PNW14"/>
      <c r="PNX14"/>
      <c r="PNY14"/>
      <c r="PNZ14"/>
      <c r="POA14"/>
      <c r="POB14"/>
      <c r="POC14"/>
      <c r="POD14"/>
      <c r="POE14"/>
      <c r="POF14"/>
      <c r="POG14"/>
      <c r="POH14"/>
      <c r="POI14"/>
      <c r="POJ14"/>
      <c r="POK14"/>
      <c r="POL14"/>
      <c r="POM14"/>
      <c r="PON14"/>
      <c r="POO14"/>
      <c r="POP14"/>
      <c r="POQ14"/>
      <c r="POR14"/>
      <c r="POS14"/>
      <c r="POT14"/>
      <c r="POU14"/>
      <c r="POV14"/>
      <c r="POW14"/>
      <c r="POX14"/>
      <c r="POY14"/>
      <c r="POZ14"/>
      <c r="PPA14"/>
      <c r="PPB14"/>
      <c r="PPC14"/>
      <c r="PPD14"/>
      <c r="PPE14"/>
      <c r="PPF14"/>
      <c r="PPG14"/>
      <c r="PPH14"/>
      <c r="PPI14"/>
      <c r="PPJ14"/>
      <c r="PPK14"/>
      <c r="PPL14"/>
      <c r="PPM14"/>
      <c r="PPN14"/>
      <c r="PPO14"/>
      <c r="PPP14"/>
      <c r="PPQ14"/>
      <c r="PPR14"/>
      <c r="PPS14"/>
      <c r="PPT14"/>
      <c r="PPU14"/>
      <c r="PPV14"/>
      <c r="PPW14"/>
      <c r="PPX14"/>
      <c r="PPY14"/>
      <c r="PPZ14"/>
      <c r="PQA14"/>
      <c r="PQB14"/>
      <c r="PQC14"/>
      <c r="PQD14"/>
      <c r="PQE14"/>
      <c r="PQF14"/>
      <c r="PQG14"/>
      <c r="PQH14"/>
      <c r="PQI14"/>
      <c r="PQJ14"/>
      <c r="PQK14"/>
      <c r="PQL14"/>
      <c r="PQM14"/>
      <c r="PQN14"/>
      <c r="PQO14"/>
      <c r="PQP14"/>
      <c r="PQQ14"/>
      <c r="PQR14"/>
      <c r="PQS14"/>
      <c r="PQT14"/>
      <c r="PQU14"/>
      <c r="PQV14"/>
      <c r="PQW14"/>
      <c r="PQX14"/>
      <c r="PQY14"/>
      <c r="PQZ14"/>
      <c r="PRA14"/>
      <c r="PRB14"/>
      <c r="PRC14"/>
      <c r="PRD14"/>
      <c r="PRE14"/>
      <c r="PRF14"/>
      <c r="PRG14"/>
      <c r="PRH14"/>
      <c r="PRI14"/>
      <c r="PRJ14"/>
      <c r="PRK14"/>
      <c r="PRL14"/>
      <c r="PRM14"/>
      <c r="PRN14"/>
      <c r="PRO14"/>
      <c r="PRP14"/>
      <c r="PRQ14"/>
      <c r="PRR14"/>
      <c r="PRS14"/>
      <c r="PRT14"/>
      <c r="PRU14"/>
      <c r="PRV14"/>
      <c r="PRW14"/>
      <c r="PRX14"/>
      <c r="PRY14"/>
      <c r="PRZ14"/>
      <c r="PSA14"/>
      <c r="PSB14"/>
      <c r="PSC14"/>
      <c r="PSD14"/>
      <c r="PSE14"/>
      <c r="PSF14"/>
      <c r="PSG14"/>
      <c r="PSH14"/>
      <c r="PSI14"/>
      <c r="PSJ14"/>
      <c r="PSK14"/>
      <c r="PSL14"/>
      <c r="PSM14"/>
      <c r="PSN14"/>
      <c r="PSO14"/>
      <c r="PSP14"/>
      <c r="PSQ14"/>
      <c r="PSR14"/>
      <c r="PSS14"/>
      <c r="PST14"/>
      <c r="PSU14"/>
      <c r="PSV14"/>
      <c r="PSW14"/>
      <c r="PSX14"/>
      <c r="PSY14"/>
      <c r="PSZ14"/>
      <c r="PTA14"/>
      <c r="PTB14"/>
      <c r="PTC14"/>
      <c r="PTD14"/>
      <c r="PTE14"/>
      <c r="PTF14"/>
      <c r="PTG14"/>
      <c r="PTH14"/>
      <c r="PTI14"/>
      <c r="PTJ14"/>
      <c r="PTK14"/>
      <c r="PTL14"/>
      <c r="PTM14"/>
      <c r="PTN14"/>
      <c r="PTO14"/>
      <c r="PTP14"/>
      <c r="PTQ14"/>
      <c r="PTR14"/>
      <c r="PTS14"/>
      <c r="PTT14"/>
      <c r="PTU14"/>
      <c r="PTV14"/>
      <c r="PTW14"/>
      <c r="PTX14"/>
      <c r="PTY14"/>
      <c r="PTZ14"/>
      <c r="PUA14"/>
      <c r="PUB14"/>
      <c r="PUC14"/>
      <c r="PUD14"/>
      <c r="PUE14"/>
      <c r="PUF14"/>
      <c r="PUG14"/>
      <c r="PUH14"/>
      <c r="PUI14"/>
      <c r="PUJ14"/>
      <c r="PUK14"/>
      <c r="PUL14"/>
      <c r="PUM14"/>
      <c r="PUN14"/>
      <c r="PUO14"/>
      <c r="PUP14"/>
      <c r="PUQ14"/>
      <c r="PUR14"/>
      <c r="PUS14"/>
      <c r="PUT14"/>
      <c r="PUU14"/>
      <c r="PUV14"/>
      <c r="PUW14"/>
      <c r="PUX14"/>
      <c r="PUY14"/>
      <c r="PUZ14"/>
      <c r="PVA14"/>
      <c r="PVB14"/>
      <c r="PVC14"/>
      <c r="PVD14"/>
      <c r="PVE14"/>
      <c r="PVF14"/>
      <c r="PVG14"/>
      <c r="PVH14"/>
      <c r="PVI14"/>
      <c r="PVJ14"/>
      <c r="PVK14"/>
      <c r="PVL14"/>
      <c r="PVM14"/>
      <c r="PVN14"/>
      <c r="PVO14"/>
      <c r="PVP14"/>
      <c r="PVQ14"/>
      <c r="PVR14"/>
      <c r="PVS14"/>
      <c r="PVT14"/>
      <c r="PVU14"/>
      <c r="PVV14"/>
      <c r="PVW14"/>
      <c r="PVX14"/>
      <c r="PVY14"/>
      <c r="PVZ14"/>
      <c r="PWA14"/>
      <c r="PWB14"/>
      <c r="PWC14"/>
      <c r="PWD14"/>
      <c r="PWE14"/>
      <c r="PWF14"/>
      <c r="PWG14"/>
      <c r="PWH14"/>
      <c r="PWI14"/>
      <c r="PWJ14"/>
      <c r="PWK14"/>
      <c r="PWL14"/>
      <c r="PWM14"/>
      <c r="PWN14"/>
      <c r="PWO14"/>
      <c r="PWP14"/>
      <c r="PWQ14"/>
      <c r="PWR14"/>
      <c r="PWS14"/>
      <c r="PWT14"/>
      <c r="PWU14"/>
      <c r="PWV14"/>
      <c r="PWW14"/>
      <c r="PWX14"/>
      <c r="PWY14"/>
      <c r="PWZ14"/>
      <c r="PXA14"/>
      <c r="PXB14"/>
      <c r="PXC14"/>
      <c r="PXD14"/>
      <c r="PXE14"/>
      <c r="PXF14"/>
      <c r="PXG14"/>
      <c r="PXH14"/>
      <c r="PXI14"/>
      <c r="PXJ14"/>
      <c r="PXK14"/>
      <c r="PXL14"/>
      <c r="PXM14"/>
      <c r="PXN14"/>
      <c r="PXO14"/>
      <c r="PXP14"/>
      <c r="PXQ14"/>
      <c r="PXR14"/>
      <c r="PXS14"/>
      <c r="PXT14"/>
      <c r="PXU14"/>
      <c r="PXV14"/>
      <c r="PXW14"/>
      <c r="PXX14"/>
      <c r="PXY14"/>
      <c r="PXZ14"/>
      <c r="PYA14"/>
      <c r="PYB14"/>
      <c r="PYC14"/>
      <c r="PYD14"/>
      <c r="PYE14"/>
      <c r="PYF14"/>
      <c r="PYG14"/>
      <c r="PYH14"/>
      <c r="PYI14"/>
      <c r="PYJ14"/>
      <c r="PYK14"/>
      <c r="PYL14"/>
      <c r="PYM14"/>
      <c r="PYN14"/>
      <c r="PYO14"/>
      <c r="PYP14"/>
      <c r="PYQ14"/>
      <c r="PYR14"/>
      <c r="PYS14"/>
      <c r="PYT14"/>
      <c r="PYU14"/>
      <c r="PYV14"/>
      <c r="PYW14"/>
      <c r="PYX14"/>
      <c r="PYY14"/>
      <c r="PYZ14"/>
      <c r="PZA14"/>
      <c r="PZB14"/>
      <c r="PZC14"/>
      <c r="PZD14"/>
      <c r="PZE14"/>
      <c r="PZF14"/>
      <c r="PZG14"/>
      <c r="PZH14"/>
      <c r="PZI14"/>
      <c r="PZJ14"/>
      <c r="PZK14"/>
      <c r="PZL14"/>
      <c r="PZM14"/>
      <c r="PZN14"/>
      <c r="PZO14"/>
      <c r="PZP14"/>
      <c r="PZQ14"/>
      <c r="PZR14"/>
      <c r="PZS14"/>
      <c r="PZT14"/>
      <c r="PZU14"/>
      <c r="PZV14"/>
      <c r="PZW14"/>
      <c r="PZX14"/>
      <c r="PZY14"/>
      <c r="PZZ14"/>
      <c r="QAA14"/>
      <c r="QAB14"/>
      <c r="QAC14"/>
      <c r="QAD14"/>
      <c r="QAE14"/>
      <c r="QAF14"/>
      <c r="QAG14"/>
      <c r="QAH14"/>
      <c r="QAI14"/>
      <c r="QAJ14"/>
      <c r="QAK14"/>
      <c r="QAL14"/>
      <c r="QAM14"/>
      <c r="QAN14"/>
      <c r="QAO14"/>
      <c r="QAP14"/>
      <c r="QAQ14"/>
      <c r="QAR14"/>
      <c r="QAS14"/>
      <c r="QAT14"/>
      <c r="QAU14"/>
      <c r="QAV14"/>
      <c r="QAW14"/>
      <c r="QAX14"/>
      <c r="QAY14"/>
      <c r="QAZ14"/>
      <c r="QBA14"/>
      <c r="QBB14"/>
      <c r="QBC14"/>
      <c r="QBD14"/>
      <c r="QBE14"/>
      <c r="QBF14"/>
      <c r="QBG14"/>
      <c r="QBH14"/>
      <c r="QBI14"/>
      <c r="QBJ14"/>
      <c r="QBK14"/>
      <c r="QBL14"/>
      <c r="QBM14"/>
      <c r="QBN14"/>
      <c r="QBO14"/>
      <c r="QBP14"/>
      <c r="QBQ14"/>
      <c r="QBR14"/>
      <c r="QBS14"/>
      <c r="QBT14"/>
      <c r="QBU14"/>
      <c r="QBV14"/>
      <c r="QBW14"/>
      <c r="QBX14"/>
      <c r="QBY14"/>
      <c r="QBZ14"/>
      <c r="QCA14"/>
      <c r="QCB14"/>
      <c r="QCC14"/>
      <c r="QCD14"/>
      <c r="QCE14"/>
      <c r="QCF14"/>
      <c r="QCG14"/>
      <c r="QCH14"/>
      <c r="QCI14"/>
      <c r="QCJ14"/>
      <c r="QCK14"/>
      <c r="QCL14"/>
      <c r="QCM14"/>
      <c r="QCN14"/>
      <c r="QCO14"/>
      <c r="QCP14"/>
      <c r="QCQ14"/>
      <c r="QCR14"/>
      <c r="QCS14"/>
      <c r="QCT14"/>
      <c r="QCU14"/>
      <c r="QCV14"/>
      <c r="QCW14"/>
      <c r="QCX14"/>
      <c r="QCY14"/>
      <c r="QCZ14"/>
      <c r="QDA14"/>
      <c r="QDB14"/>
      <c r="QDC14"/>
      <c r="QDD14"/>
      <c r="QDE14"/>
      <c r="QDF14"/>
      <c r="QDG14"/>
      <c r="QDH14"/>
      <c r="QDI14"/>
      <c r="QDJ14"/>
      <c r="QDK14"/>
      <c r="QDL14"/>
      <c r="QDM14"/>
      <c r="QDN14"/>
      <c r="QDO14"/>
      <c r="QDP14"/>
      <c r="QDQ14"/>
      <c r="QDR14"/>
      <c r="QDS14"/>
      <c r="QDT14"/>
      <c r="QDU14"/>
      <c r="QDV14"/>
      <c r="QDW14"/>
      <c r="QDX14"/>
      <c r="QDY14"/>
      <c r="QDZ14"/>
      <c r="QEA14"/>
      <c r="QEB14"/>
      <c r="QEC14"/>
      <c r="QED14"/>
      <c r="QEE14"/>
      <c r="QEF14"/>
      <c r="QEG14"/>
      <c r="QEH14"/>
      <c r="QEI14"/>
      <c r="QEJ14"/>
      <c r="QEK14"/>
      <c r="QEL14"/>
      <c r="QEM14"/>
      <c r="QEN14"/>
      <c r="QEO14"/>
      <c r="QEP14"/>
      <c r="QEQ14"/>
      <c r="QER14"/>
      <c r="QES14"/>
      <c r="QET14"/>
      <c r="QEU14"/>
      <c r="QEV14"/>
      <c r="QEW14"/>
      <c r="QEX14"/>
      <c r="QEY14"/>
      <c r="QEZ14"/>
      <c r="QFA14"/>
      <c r="QFB14"/>
      <c r="QFC14"/>
      <c r="QFD14"/>
      <c r="QFE14"/>
      <c r="QFF14"/>
      <c r="QFG14"/>
      <c r="QFH14"/>
      <c r="QFI14"/>
      <c r="QFJ14"/>
      <c r="QFK14"/>
      <c r="QFL14"/>
      <c r="QFM14"/>
      <c r="QFN14"/>
      <c r="QFO14"/>
      <c r="QFP14"/>
      <c r="QFQ14"/>
      <c r="QFR14"/>
      <c r="QFS14"/>
      <c r="QFT14"/>
      <c r="QFU14"/>
      <c r="QFV14"/>
      <c r="QFW14"/>
      <c r="QFX14"/>
      <c r="QFY14"/>
      <c r="QFZ14"/>
      <c r="QGA14"/>
      <c r="QGB14"/>
      <c r="QGC14"/>
      <c r="QGD14"/>
      <c r="QGE14"/>
      <c r="QGF14"/>
      <c r="QGG14"/>
      <c r="QGH14"/>
      <c r="QGI14"/>
      <c r="QGJ14"/>
      <c r="QGK14"/>
      <c r="QGL14"/>
      <c r="QGM14"/>
      <c r="QGN14"/>
      <c r="QGO14"/>
      <c r="QGP14"/>
      <c r="QGQ14"/>
      <c r="QGR14"/>
      <c r="QGS14"/>
      <c r="QGT14"/>
      <c r="QGU14"/>
      <c r="QGV14"/>
      <c r="QGW14"/>
      <c r="QGX14"/>
      <c r="QGY14"/>
      <c r="QGZ14"/>
      <c r="QHA14"/>
      <c r="QHB14"/>
      <c r="QHC14"/>
      <c r="QHD14"/>
      <c r="QHE14"/>
      <c r="QHF14"/>
      <c r="QHG14"/>
      <c r="QHH14"/>
      <c r="QHI14"/>
      <c r="QHJ14"/>
      <c r="QHK14"/>
      <c r="QHL14"/>
      <c r="QHM14"/>
      <c r="QHN14"/>
      <c r="QHO14"/>
      <c r="QHP14"/>
      <c r="QHQ14"/>
      <c r="QHR14"/>
      <c r="QHS14"/>
      <c r="QHT14"/>
      <c r="QHU14"/>
      <c r="QHV14"/>
      <c r="QHW14"/>
      <c r="QHX14"/>
      <c r="QHY14"/>
      <c r="QHZ14"/>
      <c r="QIA14"/>
      <c r="QIB14"/>
      <c r="QIC14"/>
      <c r="QID14"/>
      <c r="QIE14"/>
      <c r="QIF14"/>
      <c r="QIG14"/>
      <c r="QIH14"/>
      <c r="QII14"/>
      <c r="QIJ14"/>
      <c r="QIK14"/>
      <c r="QIL14"/>
      <c r="QIM14"/>
      <c r="QIN14"/>
      <c r="QIO14"/>
      <c r="QIP14"/>
      <c r="QIQ14"/>
      <c r="QIR14"/>
      <c r="QIS14"/>
      <c r="QIT14"/>
      <c r="QIU14"/>
      <c r="QIV14"/>
      <c r="QIW14"/>
      <c r="QIX14"/>
      <c r="QIY14"/>
      <c r="QIZ14"/>
      <c r="QJA14"/>
      <c r="QJB14"/>
      <c r="QJC14"/>
      <c r="QJD14"/>
      <c r="QJE14"/>
      <c r="QJF14"/>
      <c r="QJG14"/>
      <c r="QJH14"/>
      <c r="QJI14"/>
      <c r="QJJ14"/>
      <c r="QJK14"/>
      <c r="QJL14"/>
      <c r="QJM14"/>
      <c r="QJN14"/>
      <c r="QJO14"/>
      <c r="QJP14"/>
      <c r="QJQ14"/>
      <c r="QJR14"/>
      <c r="QJS14"/>
      <c r="QJT14"/>
      <c r="QJU14"/>
      <c r="QJV14"/>
      <c r="QJW14"/>
      <c r="QJX14"/>
      <c r="QJY14"/>
      <c r="QJZ14"/>
      <c r="QKA14"/>
      <c r="QKB14"/>
      <c r="QKC14"/>
      <c r="QKD14"/>
      <c r="QKE14"/>
      <c r="QKF14"/>
      <c r="QKG14"/>
      <c r="QKH14"/>
      <c r="QKI14"/>
      <c r="QKJ14"/>
      <c r="QKK14"/>
      <c r="QKL14"/>
      <c r="QKM14"/>
      <c r="QKN14"/>
      <c r="QKO14"/>
      <c r="QKP14"/>
      <c r="QKQ14"/>
      <c r="QKR14"/>
      <c r="QKS14"/>
      <c r="QKT14"/>
      <c r="QKU14"/>
      <c r="QKV14"/>
      <c r="QKW14"/>
      <c r="QKX14"/>
      <c r="QKY14"/>
      <c r="QKZ14"/>
      <c r="QLA14"/>
      <c r="QLB14"/>
      <c r="QLC14"/>
      <c r="QLD14"/>
      <c r="QLE14"/>
      <c r="QLF14"/>
      <c r="QLG14"/>
      <c r="QLH14"/>
      <c r="QLI14"/>
      <c r="QLJ14"/>
      <c r="QLK14"/>
      <c r="QLL14"/>
      <c r="QLM14"/>
      <c r="QLN14"/>
      <c r="QLO14"/>
      <c r="QLP14"/>
      <c r="QLQ14"/>
      <c r="QLR14"/>
      <c r="QLS14"/>
      <c r="QLT14"/>
      <c r="QLU14"/>
      <c r="QLV14"/>
      <c r="QLW14"/>
      <c r="QLX14"/>
      <c r="QLY14"/>
      <c r="QLZ14"/>
      <c r="QMA14"/>
      <c r="QMB14"/>
      <c r="QMC14"/>
      <c r="QMD14"/>
      <c r="QME14"/>
      <c r="QMF14"/>
      <c r="QMG14"/>
      <c r="QMH14"/>
      <c r="QMI14"/>
      <c r="QMJ14"/>
      <c r="QMK14"/>
      <c r="QML14"/>
      <c r="QMM14"/>
      <c r="QMN14"/>
      <c r="QMO14"/>
      <c r="QMP14"/>
      <c r="QMQ14"/>
      <c r="QMR14"/>
      <c r="QMS14"/>
      <c r="QMT14"/>
      <c r="QMU14"/>
      <c r="QMV14"/>
      <c r="QMW14"/>
      <c r="QMX14"/>
      <c r="QMY14"/>
      <c r="QMZ14"/>
      <c r="QNA14"/>
      <c r="QNB14"/>
      <c r="QNC14"/>
      <c r="QND14"/>
      <c r="QNE14"/>
      <c r="QNF14"/>
      <c r="QNG14"/>
      <c r="QNH14"/>
      <c r="QNI14"/>
      <c r="QNJ14"/>
      <c r="QNK14"/>
      <c r="QNL14"/>
      <c r="QNM14"/>
      <c r="QNN14"/>
      <c r="QNO14"/>
      <c r="QNP14"/>
      <c r="QNQ14"/>
      <c r="QNR14"/>
      <c r="QNS14"/>
      <c r="QNT14"/>
      <c r="QNU14"/>
      <c r="QNV14"/>
      <c r="QNW14"/>
      <c r="QNX14"/>
      <c r="QNY14"/>
      <c r="QNZ14"/>
      <c r="QOA14"/>
      <c r="QOB14"/>
      <c r="QOC14"/>
      <c r="QOD14"/>
      <c r="QOE14"/>
      <c r="QOF14"/>
      <c r="QOG14"/>
      <c r="QOH14"/>
      <c r="QOI14"/>
      <c r="QOJ14"/>
      <c r="QOK14"/>
      <c r="QOL14"/>
      <c r="QOM14"/>
      <c r="QON14"/>
      <c r="QOO14"/>
      <c r="QOP14"/>
      <c r="QOQ14"/>
      <c r="QOR14"/>
      <c r="QOS14"/>
      <c r="QOT14"/>
      <c r="QOU14"/>
      <c r="QOV14"/>
      <c r="QOW14"/>
      <c r="QOX14"/>
      <c r="QOY14"/>
      <c r="QOZ14"/>
      <c r="QPA14"/>
      <c r="QPB14"/>
      <c r="QPC14"/>
      <c r="QPD14"/>
      <c r="QPE14"/>
      <c r="QPF14"/>
      <c r="QPG14"/>
      <c r="QPH14"/>
      <c r="QPI14"/>
      <c r="QPJ14"/>
      <c r="QPK14"/>
      <c r="QPL14"/>
      <c r="QPM14"/>
      <c r="QPN14"/>
      <c r="QPO14"/>
      <c r="QPP14"/>
      <c r="QPQ14"/>
      <c r="QPR14"/>
      <c r="QPS14"/>
      <c r="QPT14"/>
      <c r="QPU14"/>
      <c r="QPV14"/>
      <c r="QPW14"/>
      <c r="QPX14"/>
      <c r="QPY14"/>
      <c r="QPZ14"/>
      <c r="QQA14"/>
      <c r="QQB14"/>
      <c r="QQC14"/>
      <c r="QQD14"/>
      <c r="QQE14"/>
      <c r="QQF14"/>
      <c r="QQG14"/>
      <c r="QQH14"/>
      <c r="QQI14"/>
      <c r="QQJ14"/>
      <c r="QQK14"/>
      <c r="QQL14"/>
      <c r="QQM14"/>
      <c r="QQN14"/>
      <c r="QQO14"/>
      <c r="QQP14"/>
      <c r="QQQ14"/>
      <c r="QQR14"/>
      <c r="QQS14"/>
      <c r="QQT14"/>
      <c r="QQU14"/>
      <c r="QQV14"/>
      <c r="QQW14"/>
      <c r="QQX14"/>
      <c r="QQY14"/>
      <c r="QQZ14"/>
      <c r="QRA14"/>
      <c r="QRB14"/>
      <c r="QRC14"/>
      <c r="QRD14"/>
      <c r="QRE14"/>
      <c r="QRF14"/>
      <c r="QRG14"/>
      <c r="QRH14"/>
      <c r="QRI14"/>
      <c r="QRJ14"/>
      <c r="QRK14"/>
      <c r="QRL14"/>
      <c r="QRM14"/>
      <c r="QRN14"/>
      <c r="QRO14"/>
      <c r="QRP14"/>
      <c r="QRQ14"/>
      <c r="QRR14"/>
      <c r="QRS14"/>
      <c r="QRT14"/>
      <c r="QRU14"/>
      <c r="QRV14"/>
      <c r="QRW14"/>
      <c r="QRX14"/>
      <c r="QRY14"/>
      <c r="QRZ14"/>
      <c r="QSA14"/>
      <c r="QSB14"/>
      <c r="QSC14"/>
      <c r="QSD14"/>
      <c r="QSE14"/>
      <c r="QSF14"/>
      <c r="QSG14"/>
      <c r="QSH14"/>
      <c r="QSI14"/>
      <c r="QSJ14"/>
      <c r="QSK14"/>
      <c r="QSL14"/>
      <c r="QSM14"/>
      <c r="QSN14"/>
      <c r="QSO14"/>
      <c r="QSP14"/>
      <c r="QSQ14"/>
      <c r="QSR14"/>
      <c r="QSS14"/>
      <c r="QST14"/>
      <c r="QSU14"/>
      <c r="QSV14"/>
      <c r="QSW14"/>
      <c r="QSX14"/>
      <c r="QSY14"/>
      <c r="QSZ14"/>
      <c r="QTA14"/>
      <c r="QTB14"/>
      <c r="QTC14"/>
      <c r="QTD14"/>
      <c r="QTE14"/>
      <c r="QTF14"/>
      <c r="QTG14"/>
      <c r="QTH14"/>
      <c r="QTI14"/>
      <c r="QTJ14"/>
      <c r="QTK14"/>
      <c r="QTL14"/>
      <c r="QTM14"/>
      <c r="QTN14"/>
      <c r="QTO14"/>
      <c r="QTP14"/>
      <c r="QTQ14"/>
      <c r="QTR14"/>
      <c r="QTS14"/>
      <c r="QTT14"/>
      <c r="QTU14"/>
      <c r="QTV14"/>
      <c r="QTW14"/>
      <c r="QTX14"/>
      <c r="QTY14"/>
      <c r="QTZ14"/>
      <c r="QUA14"/>
      <c r="QUB14"/>
      <c r="QUC14"/>
      <c r="QUD14"/>
      <c r="QUE14"/>
      <c r="QUF14"/>
      <c r="QUG14"/>
      <c r="QUH14"/>
      <c r="QUI14"/>
      <c r="QUJ14"/>
      <c r="QUK14"/>
      <c r="QUL14"/>
      <c r="QUM14"/>
      <c r="QUN14"/>
      <c r="QUO14"/>
      <c r="QUP14"/>
      <c r="QUQ14"/>
      <c r="QUR14"/>
      <c r="QUS14"/>
      <c r="QUT14"/>
      <c r="QUU14"/>
      <c r="QUV14"/>
      <c r="QUW14"/>
      <c r="QUX14"/>
      <c r="QUY14"/>
      <c r="QUZ14"/>
      <c r="QVA14"/>
      <c r="QVB14"/>
      <c r="QVC14"/>
      <c r="QVD14"/>
      <c r="QVE14"/>
      <c r="QVF14"/>
      <c r="QVG14"/>
      <c r="QVH14"/>
      <c r="QVI14"/>
      <c r="QVJ14"/>
      <c r="QVK14"/>
      <c r="QVL14"/>
      <c r="QVM14"/>
      <c r="QVN14"/>
      <c r="QVO14"/>
      <c r="QVP14"/>
      <c r="QVQ14"/>
      <c r="QVR14"/>
      <c r="QVS14"/>
      <c r="QVT14"/>
      <c r="QVU14"/>
      <c r="QVV14"/>
      <c r="QVW14"/>
      <c r="QVX14"/>
      <c r="QVY14"/>
      <c r="QVZ14"/>
      <c r="QWA14"/>
      <c r="QWB14"/>
      <c r="QWC14"/>
      <c r="QWD14"/>
      <c r="QWE14"/>
      <c r="QWF14"/>
      <c r="QWG14"/>
      <c r="QWH14"/>
      <c r="QWI14"/>
      <c r="QWJ14"/>
      <c r="QWK14"/>
      <c r="QWL14"/>
      <c r="QWM14"/>
      <c r="QWN14"/>
      <c r="QWO14"/>
      <c r="QWP14"/>
      <c r="QWQ14"/>
      <c r="QWR14"/>
      <c r="QWS14"/>
      <c r="QWT14"/>
      <c r="QWU14"/>
      <c r="QWV14"/>
      <c r="QWW14"/>
      <c r="QWX14"/>
      <c r="QWY14"/>
      <c r="QWZ14"/>
      <c r="QXA14"/>
      <c r="QXB14"/>
      <c r="QXC14"/>
      <c r="QXD14"/>
      <c r="QXE14"/>
      <c r="QXF14"/>
      <c r="QXG14"/>
      <c r="QXH14"/>
      <c r="QXI14"/>
      <c r="QXJ14"/>
      <c r="QXK14"/>
      <c r="QXL14"/>
      <c r="QXM14"/>
      <c r="QXN14"/>
      <c r="QXO14"/>
      <c r="QXP14"/>
      <c r="QXQ14"/>
      <c r="QXR14"/>
      <c r="QXS14"/>
      <c r="QXT14"/>
      <c r="QXU14"/>
      <c r="QXV14"/>
      <c r="QXW14"/>
      <c r="QXX14"/>
      <c r="QXY14"/>
      <c r="QXZ14"/>
      <c r="QYA14"/>
      <c r="QYB14"/>
      <c r="QYC14"/>
      <c r="QYD14"/>
      <c r="QYE14"/>
      <c r="QYF14"/>
      <c r="QYG14"/>
      <c r="QYH14"/>
      <c r="QYI14"/>
      <c r="QYJ14"/>
      <c r="QYK14"/>
      <c r="QYL14"/>
      <c r="QYM14"/>
      <c r="QYN14"/>
      <c r="QYO14"/>
      <c r="QYP14"/>
      <c r="QYQ14"/>
      <c r="QYR14"/>
      <c r="QYS14"/>
      <c r="QYT14"/>
      <c r="QYU14"/>
      <c r="QYV14"/>
      <c r="QYW14"/>
      <c r="QYX14"/>
      <c r="QYY14"/>
      <c r="QYZ14"/>
      <c r="QZA14"/>
      <c r="QZB14"/>
      <c r="QZC14"/>
      <c r="QZD14"/>
      <c r="QZE14"/>
      <c r="QZF14"/>
      <c r="QZG14"/>
      <c r="QZH14"/>
      <c r="QZI14"/>
      <c r="QZJ14"/>
      <c r="QZK14"/>
      <c r="QZL14"/>
      <c r="QZM14"/>
      <c r="QZN14"/>
      <c r="QZO14"/>
      <c r="QZP14"/>
      <c r="QZQ14"/>
      <c r="QZR14"/>
      <c r="QZS14"/>
      <c r="QZT14"/>
      <c r="QZU14"/>
      <c r="QZV14"/>
      <c r="QZW14"/>
      <c r="QZX14"/>
      <c r="QZY14"/>
      <c r="QZZ14"/>
      <c r="RAA14"/>
      <c r="RAB14"/>
      <c r="RAC14"/>
      <c r="RAD14"/>
      <c r="RAE14"/>
      <c r="RAF14"/>
      <c r="RAG14"/>
      <c r="RAH14"/>
      <c r="RAI14"/>
      <c r="RAJ14"/>
      <c r="RAK14"/>
      <c r="RAL14"/>
      <c r="RAM14"/>
      <c r="RAN14"/>
      <c r="RAO14"/>
      <c r="RAP14"/>
      <c r="RAQ14"/>
      <c r="RAR14"/>
      <c r="RAS14"/>
      <c r="RAT14"/>
      <c r="RAU14"/>
      <c r="RAV14"/>
      <c r="RAW14"/>
      <c r="RAX14"/>
      <c r="RAY14"/>
      <c r="RAZ14"/>
      <c r="RBA14"/>
      <c r="RBB14"/>
      <c r="RBC14"/>
      <c r="RBD14"/>
      <c r="RBE14"/>
      <c r="RBF14"/>
      <c r="RBG14"/>
      <c r="RBH14"/>
      <c r="RBI14"/>
      <c r="RBJ14"/>
      <c r="RBK14"/>
      <c r="RBL14"/>
      <c r="RBM14"/>
      <c r="RBN14"/>
      <c r="RBO14"/>
      <c r="RBP14"/>
      <c r="RBQ14"/>
      <c r="RBR14"/>
      <c r="RBS14"/>
      <c r="RBT14"/>
      <c r="RBU14"/>
      <c r="RBV14"/>
      <c r="RBW14"/>
      <c r="RBX14"/>
      <c r="RBY14"/>
      <c r="RBZ14"/>
      <c r="RCA14"/>
      <c r="RCB14"/>
      <c r="RCC14"/>
      <c r="RCD14"/>
      <c r="RCE14"/>
      <c r="RCF14"/>
      <c r="RCG14"/>
      <c r="RCH14"/>
      <c r="RCI14"/>
      <c r="RCJ14"/>
      <c r="RCK14"/>
      <c r="RCL14"/>
      <c r="RCM14"/>
      <c r="RCN14"/>
      <c r="RCO14"/>
      <c r="RCP14"/>
      <c r="RCQ14"/>
      <c r="RCR14"/>
      <c r="RCS14"/>
      <c r="RCT14"/>
      <c r="RCU14"/>
      <c r="RCV14"/>
      <c r="RCW14"/>
      <c r="RCX14"/>
      <c r="RCY14"/>
      <c r="RCZ14"/>
      <c r="RDA14"/>
      <c r="RDB14"/>
      <c r="RDC14"/>
      <c r="RDD14"/>
      <c r="RDE14"/>
      <c r="RDF14"/>
      <c r="RDG14"/>
      <c r="RDH14"/>
      <c r="RDI14"/>
      <c r="RDJ14"/>
      <c r="RDK14"/>
      <c r="RDL14"/>
      <c r="RDM14"/>
      <c r="RDN14"/>
      <c r="RDO14"/>
      <c r="RDP14"/>
      <c r="RDQ14"/>
      <c r="RDR14"/>
      <c r="RDS14"/>
      <c r="RDT14"/>
      <c r="RDU14"/>
      <c r="RDV14"/>
      <c r="RDW14"/>
      <c r="RDX14"/>
      <c r="RDY14"/>
      <c r="RDZ14"/>
      <c r="REA14"/>
      <c r="REB14"/>
      <c r="REC14"/>
      <c r="RED14"/>
      <c r="REE14"/>
      <c r="REF14"/>
      <c r="REG14"/>
      <c r="REH14"/>
      <c r="REI14"/>
      <c r="REJ14"/>
      <c r="REK14"/>
      <c r="REL14"/>
      <c r="REM14"/>
      <c r="REN14"/>
      <c r="REO14"/>
      <c r="REP14"/>
      <c r="REQ14"/>
      <c r="RER14"/>
      <c r="RES14"/>
      <c r="RET14"/>
      <c r="REU14"/>
      <c r="REV14"/>
      <c r="REW14"/>
      <c r="REX14"/>
      <c r="REY14"/>
      <c r="REZ14"/>
      <c r="RFA14"/>
      <c r="RFB14"/>
      <c r="RFC14"/>
      <c r="RFD14"/>
      <c r="RFE14"/>
      <c r="RFF14"/>
      <c r="RFG14"/>
      <c r="RFH14"/>
      <c r="RFI14"/>
      <c r="RFJ14"/>
      <c r="RFK14"/>
      <c r="RFL14"/>
      <c r="RFM14"/>
      <c r="RFN14"/>
      <c r="RFO14"/>
      <c r="RFP14"/>
      <c r="RFQ14"/>
      <c r="RFR14"/>
      <c r="RFS14"/>
      <c r="RFT14"/>
      <c r="RFU14"/>
      <c r="RFV14"/>
      <c r="RFW14"/>
      <c r="RFX14"/>
      <c r="RFY14"/>
      <c r="RFZ14"/>
      <c r="RGA14"/>
      <c r="RGB14"/>
      <c r="RGC14"/>
      <c r="RGD14"/>
      <c r="RGE14"/>
      <c r="RGF14"/>
      <c r="RGG14"/>
      <c r="RGH14"/>
      <c r="RGI14"/>
      <c r="RGJ14"/>
      <c r="RGK14"/>
      <c r="RGL14"/>
      <c r="RGM14"/>
      <c r="RGN14"/>
      <c r="RGO14"/>
      <c r="RGP14"/>
      <c r="RGQ14"/>
      <c r="RGR14"/>
      <c r="RGS14"/>
      <c r="RGT14"/>
      <c r="RGU14"/>
      <c r="RGV14"/>
      <c r="RGW14"/>
      <c r="RGX14"/>
      <c r="RGY14"/>
      <c r="RGZ14"/>
      <c r="RHA14"/>
      <c r="RHB14"/>
      <c r="RHC14"/>
      <c r="RHD14"/>
      <c r="RHE14"/>
      <c r="RHF14"/>
      <c r="RHG14"/>
      <c r="RHH14"/>
      <c r="RHI14"/>
      <c r="RHJ14"/>
      <c r="RHK14"/>
      <c r="RHL14"/>
      <c r="RHM14"/>
      <c r="RHN14"/>
      <c r="RHO14"/>
      <c r="RHP14"/>
      <c r="RHQ14"/>
      <c r="RHR14"/>
      <c r="RHS14"/>
      <c r="RHT14"/>
      <c r="RHU14"/>
      <c r="RHV14"/>
      <c r="RHW14"/>
      <c r="RHX14"/>
      <c r="RHY14"/>
      <c r="RHZ14"/>
      <c r="RIA14"/>
      <c r="RIB14"/>
      <c r="RIC14"/>
      <c r="RID14"/>
      <c r="RIE14"/>
      <c r="RIF14"/>
      <c r="RIG14"/>
      <c r="RIH14"/>
      <c r="RII14"/>
      <c r="RIJ14"/>
      <c r="RIK14"/>
      <c r="RIL14"/>
      <c r="RIM14"/>
      <c r="RIN14"/>
      <c r="RIO14"/>
      <c r="RIP14"/>
      <c r="RIQ14"/>
      <c r="RIR14"/>
      <c r="RIS14"/>
      <c r="RIT14"/>
      <c r="RIU14"/>
      <c r="RIV14"/>
      <c r="RIW14"/>
      <c r="RIX14"/>
      <c r="RIY14"/>
      <c r="RIZ14"/>
      <c r="RJA14"/>
      <c r="RJB14"/>
      <c r="RJC14"/>
      <c r="RJD14"/>
      <c r="RJE14"/>
      <c r="RJF14"/>
      <c r="RJG14"/>
      <c r="RJH14"/>
      <c r="RJI14"/>
      <c r="RJJ14"/>
      <c r="RJK14"/>
      <c r="RJL14"/>
      <c r="RJM14"/>
      <c r="RJN14"/>
      <c r="RJO14"/>
      <c r="RJP14"/>
      <c r="RJQ14"/>
      <c r="RJR14"/>
      <c r="RJS14"/>
      <c r="RJT14"/>
      <c r="RJU14"/>
      <c r="RJV14"/>
      <c r="RJW14"/>
      <c r="RJX14"/>
      <c r="RJY14"/>
      <c r="RJZ14"/>
      <c r="RKA14"/>
      <c r="RKB14"/>
      <c r="RKC14"/>
      <c r="RKD14"/>
      <c r="RKE14"/>
      <c r="RKF14"/>
      <c r="RKG14"/>
      <c r="RKH14"/>
      <c r="RKI14"/>
      <c r="RKJ14"/>
      <c r="RKK14"/>
      <c r="RKL14"/>
      <c r="RKM14"/>
      <c r="RKN14"/>
      <c r="RKO14"/>
      <c r="RKP14"/>
      <c r="RKQ14"/>
      <c r="RKR14"/>
      <c r="RKS14"/>
      <c r="RKT14"/>
      <c r="RKU14"/>
      <c r="RKV14"/>
      <c r="RKW14"/>
      <c r="RKX14"/>
      <c r="RKY14"/>
      <c r="RKZ14"/>
      <c r="RLA14"/>
      <c r="RLB14"/>
      <c r="RLC14"/>
      <c r="RLD14"/>
      <c r="RLE14"/>
      <c r="RLF14"/>
      <c r="RLG14"/>
      <c r="RLH14"/>
      <c r="RLI14"/>
      <c r="RLJ14"/>
      <c r="RLK14"/>
      <c r="RLL14"/>
      <c r="RLM14"/>
      <c r="RLN14"/>
      <c r="RLO14"/>
      <c r="RLP14"/>
      <c r="RLQ14"/>
      <c r="RLR14"/>
      <c r="RLS14"/>
      <c r="RLT14"/>
      <c r="RLU14"/>
      <c r="RLV14"/>
      <c r="RLW14"/>
      <c r="RLX14"/>
      <c r="RLY14"/>
      <c r="RLZ14"/>
      <c r="RMA14"/>
      <c r="RMB14"/>
      <c r="RMC14"/>
      <c r="RMD14"/>
      <c r="RME14"/>
      <c r="RMF14"/>
      <c r="RMG14"/>
      <c r="RMH14"/>
      <c r="RMI14"/>
      <c r="RMJ14"/>
      <c r="RMK14"/>
      <c r="RML14"/>
      <c r="RMM14"/>
      <c r="RMN14"/>
      <c r="RMO14"/>
      <c r="RMP14"/>
      <c r="RMQ14"/>
      <c r="RMR14"/>
      <c r="RMS14"/>
      <c r="RMT14"/>
      <c r="RMU14"/>
      <c r="RMV14"/>
      <c r="RMW14"/>
      <c r="RMX14"/>
      <c r="RMY14"/>
      <c r="RMZ14"/>
      <c r="RNA14"/>
      <c r="RNB14"/>
      <c r="RNC14"/>
      <c r="RND14"/>
      <c r="RNE14"/>
      <c r="RNF14"/>
      <c r="RNG14"/>
      <c r="RNH14"/>
      <c r="RNI14"/>
      <c r="RNJ14"/>
      <c r="RNK14"/>
      <c r="RNL14"/>
      <c r="RNM14"/>
      <c r="RNN14"/>
      <c r="RNO14"/>
      <c r="RNP14"/>
      <c r="RNQ14"/>
      <c r="RNR14"/>
      <c r="RNS14"/>
      <c r="RNT14"/>
      <c r="RNU14"/>
      <c r="RNV14"/>
      <c r="RNW14"/>
      <c r="RNX14"/>
      <c r="RNY14"/>
      <c r="RNZ14"/>
      <c r="ROA14"/>
      <c r="ROB14"/>
      <c r="ROC14"/>
      <c r="ROD14"/>
      <c r="ROE14"/>
      <c r="ROF14"/>
      <c r="ROG14"/>
      <c r="ROH14"/>
      <c r="ROI14"/>
      <c r="ROJ14"/>
      <c r="ROK14"/>
      <c r="ROL14"/>
      <c r="ROM14"/>
      <c r="RON14"/>
      <c r="ROO14"/>
      <c r="ROP14"/>
      <c r="ROQ14"/>
      <c r="ROR14"/>
      <c r="ROS14"/>
      <c r="ROT14"/>
      <c r="ROU14"/>
      <c r="ROV14"/>
      <c r="ROW14"/>
      <c r="ROX14"/>
      <c r="ROY14"/>
      <c r="ROZ14"/>
      <c r="RPA14"/>
      <c r="RPB14"/>
      <c r="RPC14"/>
      <c r="RPD14"/>
      <c r="RPE14"/>
      <c r="RPF14"/>
      <c r="RPG14"/>
      <c r="RPH14"/>
      <c r="RPI14"/>
      <c r="RPJ14"/>
      <c r="RPK14"/>
      <c r="RPL14"/>
      <c r="RPM14"/>
      <c r="RPN14"/>
      <c r="RPO14"/>
      <c r="RPP14"/>
      <c r="RPQ14"/>
      <c r="RPR14"/>
      <c r="RPS14"/>
      <c r="RPT14"/>
      <c r="RPU14"/>
      <c r="RPV14"/>
      <c r="RPW14"/>
      <c r="RPX14"/>
      <c r="RPY14"/>
      <c r="RPZ14"/>
      <c r="RQA14"/>
      <c r="RQB14"/>
      <c r="RQC14"/>
      <c r="RQD14"/>
      <c r="RQE14"/>
      <c r="RQF14"/>
      <c r="RQG14"/>
      <c r="RQH14"/>
      <c r="RQI14"/>
      <c r="RQJ14"/>
      <c r="RQK14"/>
      <c r="RQL14"/>
      <c r="RQM14"/>
      <c r="RQN14"/>
      <c r="RQO14"/>
      <c r="RQP14"/>
      <c r="RQQ14"/>
      <c r="RQR14"/>
      <c r="RQS14"/>
      <c r="RQT14"/>
      <c r="RQU14"/>
      <c r="RQV14"/>
      <c r="RQW14"/>
      <c r="RQX14"/>
      <c r="RQY14"/>
      <c r="RQZ14"/>
      <c r="RRA14"/>
      <c r="RRB14"/>
      <c r="RRC14"/>
      <c r="RRD14"/>
      <c r="RRE14"/>
      <c r="RRF14"/>
      <c r="RRG14"/>
      <c r="RRH14"/>
      <c r="RRI14"/>
      <c r="RRJ14"/>
      <c r="RRK14"/>
      <c r="RRL14"/>
      <c r="RRM14"/>
      <c r="RRN14"/>
      <c r="RRO14"/>
      <c r="RRP14"/>
      <c r="RRQ14"/>
      <c r="RRR14"/>
      <c r="RRS14"/>
      <c r="RRT14"/>
      <c r="RRU14"/>
      <c r="RRV14"/>
      <c r="RRW14"/>
      <c r="RRX14"/>
      <c r="RRY14"/>
      <c r="RRZ14"/>
      <c r="RSA14"/>
      <c r="RSB14"/>
      <c r="RSC14"/>
      <c r="RSD14"/>
      <c r="RSE14"/>
      <c r="RSF14"/>
      <c r="RSG14"/>
      <c r="RSH14"/>
      <c r="RSI14"/>
      <c r="RSJ14"/>
      <c r="RSK14"/>
      <c r="RSL14"/>
      <c r="RSM14"/>
      <c r="RSN14"/>
      <c r="RSO14"/>
      <c r="RSP14"/>
      <c r="RSQ14"/>
      <c r="RSR14"/>
      <c r="RSS14"/>
      <c r="RST14"/>
      <c r="RSU14"/>
      <c r="RSV14"/>
      <c r="RSW14"/>
      <c r="RSX14"/>
      <c r="RSY14"/>
      <c r="RSZ14"/>
      <c r="RTA14"/>
      <c r="RTB14"/>
      <c r="RTC14"/>
      <c r="RTD14"/>
      <c r="RTE14"/>
      <c r="RTF14"/>
      <c r="RTG14"/>
      <c r="RTH14"/>
      <c r="RTI14"/>
      <c r="RTJ14"/>
      <c r="RTK14"/>
      <c r="RTL14"/>
      <c r="RTM14"/>
      <c r="RTN14"/>
      <c r="RTO14"/>
      <c r="RTP14"/>
      <c r="RTQ14"/>
      <c r="RTR14"/>
      <c r="RTS14"/>
      <c r="RTT14"/>
      <c r="RTU14"/>
      <c r="RTV14"/>
      <c r="RTW14"/>
      <c r="RTX14"/>
      <c r="RTY14"/>
      <c r="RTZ14"/>
      <c r="RUA14"/>
      <c r="RUB14"/>
      <c r="RUC14"/>
      <c r="RUD14"/>
      <c r="RUE14"/>
      <c r="RUF14"/>
      <c r="RUG14"/>
      <c r="RUH14"/>
      <c r="RUI14"/>
      <c r="RUJ14"/>
      <c r="RUK14"/>
      <c r="RUL14"/>
      <c r="RUM14"/>
      <c r="RUN14"/>
      <c r="RUO14"/>
      <c r="RUP14"/>
      <c r="RUQ14"/>
      <c r="RUR14"/>
      <c r="RUS14"/>
      <c r="RUT14"/>
      <c r="RUU14"/>
      <c r="RUV14"/>
      <c r="RUW14"/>
      <c r="RUX14"/>
      <c r="RUY14"/>
      <c r="RUZ14"/>
      <c r="RVA14"/>
      <c r="RVB14"/>
      <c r="RVC14"/>
      <c r="RVD14"/>
      <c r="RVE14"/>
      <c r="RVF14"/>
      <c r="RVG14"/>
      <c r="RVH14"/>
      <c r="RVI14"/>
      <c r="RVJ14"/>
      <c r="RVK14"/>
      <c r="RVL14"/>
      <c r="RVM14"/>
      <c r="RVN14"/>
      <c r="RVO14"/>
      <c r="RVP14"/>
      <c r="RVQ14"/>
      <c r="RVR14"/>
      <c r="RVS14"/>
      <c r="RVT14"/>
      <c r="RVU14"/>
      <c r="RVV14"/>
      <c r="RVW14"/>
      <c r="RVX14"/>
      <c r="RVY14"/>
      <c r="RVZ14"/>
      <c r="RWA14"/>
      <c r="RWB14"/>
      <c r="RWC14"/>
      <c r="RWD14"/>
      <c r="RWE14"/>
      <c r="RWF14"/>
      <c r="RWG14"/>
      <c r="RWH14"/>
      <c r="RWI14"/>
      <c r="RWJ14"/>
      <c r="RWK14"/>
      <c r="RWL14"/>
      <c r="RWM14"/>
      <c r="RWN14"/>
      <c r="RWO14"/>
      <c r="RWP14"/>
      <c r="RWQ14"/>
      <c r="RWR14"/>
      <c r="RWS14"/>
      <c r="RWT14"/>
      <c r="RWU14"/>
      <c r="RWV14"/>
      <c r="RWW14"/>
      <c r="RWX14"/>
      <c r="RWY14"/>
      <c r="RWZ14"/>
      <c r="RXA14"/>
      <c r="RXB14"/>
      <c r="RXC14"/>
      <c r="RXD14"/>
      <c r="RXE14"/>
      <c r="RXF14"/>
      <c r="RXG14"/>
      <c r="RXH14"/>
      <c r="RXI14"/>
      <c r="RXJ14"/>
      <c r="RXK14"/>
      <c r="RXL14"/>
      <c r="RXM14"/>
      <c r="RXN14"/>
      <c r="RXO14"/>
      <c r="RXP14"/>
      <c r="RXQ14"/>
      <c r="RXR14"/>
      <c r="RXS14"/>
      <c r="RXT14"/>
      <c r="RXU14"/>
      <c r="RXV14"/>
      <c r="RXW14"/>
      <c r="RXX14"/>
      <c r="RXY14"/>
      <c r="RXZ14"/>
      <c r="RYA14"/>
      <c r="RYB14"/>
      <c r="RYC14"/>
      <c r="RYD14"/>
      <c r="RYE14"/>
      <c r="RYF14"/>
      <c r="RYG14"/>
      <c r="RYH14"/>
      <c r="RYI14"/>
      <c r="RYJ14"/>
      <c r="RYK14"/>
      <c r="RYL14"/>
      <c r="RYM14"/>
      <c r="RYN14"/>
      <c r="RYO14"/>
      <c r="RYP14"/>
      <c r="RYQ14"/>
      <c r="RYR14"/>
      <c r="RYS14"/>
      <c r="RYT14"/>
      <c r="RYU14"/>
      <c r="RYV14"/>
      <c r="RYW14"/>
      <c r="RYX14"/>
      <c r="RYY14"/>
      <c r="RYZ14"/>
      <c r="RZA14"/>
      <c r="RZB14"/>
      <c r="RZC14"/>
      <c r="RZD14"/>
      <c r="RZE14"/>
      <c r="RZF14"/>
      <c r="RZG14"/>
      <c r="RZH14"/>
      <c r="RZI14"/>
      <c r="RZJ14"/>
      <c r="RZK14"/>
      <c r="RZL14"/>
      <c r="RZM14"/>
      <c r="RZN14"/>
      <c r="RZO14"/>
      <c r="RZP14"/>
      <c r="RZQ14"/>
      <c r="RZR14"/>
      <c r="RZS14"/>
      <c r="RZT14"/>
      <c r="RZU14"/>
      <c r="RZV14"/>
      <c r="RZW14"/>
      <c r="RZX14"/>
      <c r="RZY14"/>
      <c r="RZZ14"/>
      <c r="SAA14"/>
      <c r="SAB14"/>
      <c r="SAC14"/>
      <c r="SAD14"/>
      <c r="SAE14"/>
      <c r="SAF14"/>
      <c r="SAG14"/>
      <c r="SAH14"/>
      <c r="SAI14"/>
      <c r="SAJ14"/>
      <c r="SAK14"/>
      <c r="SAL14"/>
      <c r="SAM14"/>
      <c r="SAN14"/>
      <c r="SAO14"/>
      <c r="SAP14"/>
      <c r="SAQ14"/>
      <c r="SAR14"/>
      <c r="SAS14"/>
      <c r="SAT14"/>
      <c r="SAU14"/>
      <c r="SAV14"/>
      <c r="SAW14"/>
      <c r="SAX14"/>
      <c r="SAY14"/>
      <c r="SAZ14"/>
      <c r="SBA14"/>
      <c r="SBB14"/>
      <c r="SBC14"/>
      <c r="SBD14"/>
      <c r="SBE14"/>
      <c r="SBF14"/>
      <c r="SBG14"/>
      <c r="SBH14"/>
      <c r="SBI14"/>
      <c r="SBJ14"/>
      <c r="SBK14"/>
      <c r="SBL14"/>
      <c r="SBM14"/>
      <c r="SBN14"/>
      <c r="SBO14"/>
      <c r="SBP14"/>
      <c r="SBQ14"/>
      <c r="SBR14"/>
      <c r="SBS14"/>
      <c r="SBT14"/>
      <c r="SBU14"/>
      <c r="SBV14"/>
      <c r="SBW14"/>
      <c r="SBX14"/>
      <c r="SBY14"/>
      <c r="SBZ14"/>
      <c r="SCA14"/>
      <c r="SCB14"/>
      <c r="SCC14"/>
      <c r="SCD14"/>
      <c r="SCE14"/>
      <c r="SCF14"/>
      <c r="SCG14"/>
      <c r="SCH14"/>
      <c r="SCI14"/>
      <c r="SCJ14"/>
      <c r="SCK14"/>
      <c r="SCL14"/>
      <c r="SCM14"/>
      <c r="SCN14"/>
      <c r="SCO14"/>
      <c r="SCP14"/>
      <c r="SCQ14"/>
      <c r="SCR14"/>
      <c r="SCS14"/>
      <c r="SCT14"/>
      <c r="SCU14"/>
      <c r="SCV14"/>
      <c r="SCW14"/>
      <c r="SCX14"/>
      <c r="SCY14"/>
      <c r="SCZ14"/>
      <c r="SDA14"/>
      <c r="SDB14"/>
      <c r="SDC14"/>
      <c r="SDD14"/>
      <c r="SDE14"/>
      <c r="SDF14"/>
      <c r="SDG14"/>
      <c r="SDH14"/>
      <c r="SDI14"/>
      <c r="SDJ14"/>
      <c r="SDK14"/>
      <c r="SDL14"/>
      <c r="SDM14"/>
      <c r="SDN14"/>
      <c r="SDO14"/>
      <c r="SDP14"/>
      <c r="SDQ14"/>
      <c r="SDR14"/>
      <c r="SDS14"/>
      <c r="SDT14"/>
      <c r="SDU14"/>
      <c r="SDV14"/>
      <c r="SDW14"/>
      <c r="SDX14"/>
      <c r="SDY14"/>
      <c r="SDZ14"/>
      <c r="SEA14"/>
      <c r="SEB14"/>
      <c r="SEC14"/>
      <c r="SED14"/>
      <c r="SEE14"/>
      <c r="SEF14"/>
      <c r="SEG14"/>
      <c r="SEH14"/>
      <c r="SEI14"/>
      <c r="SEJ14"/>
      <c r="SEK14"/>
      <c r="SEL14"/>
      <c r="SEM14"/>
      <c r="SEN14"/>
      <c r="SEO14"/>
      <c r="SEP14"/>
      <c r="SEQ14"/>
      <c r="SER14"/>
      <c r="SES14"/>
      <c r="SET14"/>
      <c r="SEU14"/>
      <c r="SEV14"/>
      <c r="SEW14"/>
      <c r="SEX14"/>
      <c r="SEY14"/>
      <c r="SEZ14"/>
      <c r="SFA14"/>
      <c r="SFB14"/>
      <c r="SFC14"/>
      <c r="SFD14"/>
      <c r="SFE14"/>
      <c r="SFF14"/>
      <c r="SFG14"/>
      <c r="SFH14"/>
      <c r="SFI14"/>
      <c r="SFJ14"/>
      <c r="SFK14"/>
      <c r="SFL14"/>
      <c r="SFM14"/>
      <c r="SFN14"/>
      <c r="SFO14"/>
      <c r="SFP14"/>
      <c r="SFQ14"/>
      <c r="SFR14"/>
      <c r="SFS14"/>
      <c r="SFT14"/>
      <c r="SFU14"/>
      <c r="SFV14"/>
      <c r="SFW14"/>
      <c r="SFX14"/>
      <c r="SFY14"/>
      <c r="SFZ14"/>
      <c r="SGA14"/>
      <c r="SGB14"/>
      <c r="SGC14"/>
      <c r="SGD14"/>
      <c r="SGE14"/>
      <c r="SGF14"/>
      <c r="SGG14"/>
      <c r="SGH14"/>
      <c r="SGI14"/>
      <c r="SGJ14"/>
      <c r="SGK14"/>
      <c r="SGL14"/>
      <c r="SGM14"/>
      <c r="SGN14"/>
      <c r="SGO14"/>
      <c r="SGP14"/>
      <c r="SGQ14"/>
      <c r="SGR14"/>
      <c r="SGS14"/>
      <c r="SGT14"/>
      <c r="SGU14"/>
      <c r="SGV14"/>
      <c r="SGW14"/>
      <c r="SGX14"/>
      <c r="SGY14"/>
      <c r="SGZ14"/>
      <c r="SHA14"/>
      <c r="SHB14"/>
      <c r="SHC14"/>
      <c r="SHD14"/>
      <c r="SHE14"/>
      <c r="SHF14"/>
      <c r="SHG14"/>
      <c r="SHH14"/>
      <c r="SHI14"/>
      <c r="SHJ14"/>
      <c r="SHK14"/>
      <c r="SHL14"/>
      <c r="SHM14"/>
      <c r="SHN14"/>
      <c r="SHO14"/>
      <c r="SHP14"/>
      <c r="SHQ14"/>
      <c r="SHR14"/>
      <c r="SHS14"/>
      <c r="SHT14"/>
      <c r="SHU14"/>
      <c r="SHV14"/>
      <c r="SHW14"/>
      <c r="SHX14"/>
      <c r="SHY14"/>
      <c r="SHZ14"/>
      <c r="SIA14"/>
      <c r="SIB14"/>
      <c r="SIC14"/>
      <c r="SID14"/>
      <c r="SIE14"/>
      <c r="SIF14"/>
      <c r="SIG14"/>
      <c r="SIH14"/>
      <c r="SII14"/>
      <c r="SIJ14"/>
      <c r="SIK14"/>
      <c r="SIL14"/>
      <c r="SIM14"/>
      <c r="SIN14"/>
      <c r="SIO14"/>
      <c r="SIP14"/>
      <c r="SIQ14"/>
      <c r="SIR14"/>
      <c r="SIS14"/>
      <c r="SIT14"/>
      <c r="SIU14"/>
      <c r="SIV14"/>
      <c r="SIW14"/>
      <c r="SIX14"/>
      <c r="SIY14"/>
      <c r="SIZ14"/>
      <c r="SJA14"/>
      <c r="SJB14"/>
      <c r="SJC14"/>
      <c r="SJD14"/>
      <c r="SJE14"/>
      <c r="SJF14"/>
      <c r="SJG14"/>
      <c r="SJH14"/>
      <c r="SJI14"/>
      <c r="SJJ14"/>
      <c r="SJK14"/>
      <c r="SJL14"/>
      <c r="SJM14"/>
      <c r="SJN14"/>
      <c r="SJO14"/>
      <c r="SJP14"/>
      <c r="SJQ14"/>
      <c r="SJR14"/>
      <c r="SJS14"/>
      <c r="SJT14"/>
      <c r="SJU14"/>
      <c r="SJV14"/>
      <c r="SJW14"/>
      <c r="SJX14"/>
      <c r="SJY14"/>
      <c r="SJZ14"/>
      <c r="SKA14"/>
      <c r="SKB14"/>
      <c r="SKC14"/>
      <c r="SKD14"/>
      <c r="SKE14"/>
      <c r="SKF14"/>
      <c r="SKG14"/>
      <c r="SKH14"/>
      <c r="SKI14"/>
      <c r="SKJ14"/>
      <c r="SKK14"/>
      <c r="SKL14"/>
      <c r="SKM14"/>
      <c r="SKN14"/>
      <c r="SKO14"/>
      <c r="SKP14"/>
      <c r="SKQ14"/>
      <c r="SKR14"/>
      <c r="SKS14"/>
      <c r="SKT14"/>
      <c r="SKU14"/>
      <c r="SKV14"/>
      <c r="SKW14"/>
      <c r="SKX14"/>
      <c r="SKY14"/>
      <c r="SKZ14"/>
      <c r="SLA14"/>
      <c r="SLB14"/>
      <c r="SLC14"/>
      <c r="SLD14"/>
      <c r="SLE14"/>
      <c r="SLF14"/>
      <c r="SLG14"/>
      <c r="SLH14"/>
      <c r="SLI14"/>
      <c r="SLJ14"/>
      <c r="SLK14"/>
      <c r="SLL14"/>
      <c r="SLM14"/>
      <c r="SLN14"/>
      <c r="SLO14"/>
      <c r="SLP14"/>
      <c r="SLQ14"/>
      <c r="SLR14"/>
      <c r="SLS14"/>
      <c r="SLT14"/>
      <c r="SLU14"/>
      <c r="SLV14"/>
      <c r="SLW14"/>
      <c r="SLX14"/>
      <c r="SLY14"/>
      <c r="SLZ14"/>
      <c r="SMA14"/>
      <c r="SMB14"/>
      <c r="SMC14"/>
      <c r="SMD14"/>
      <c r="SME14"/>
      <c r="SMF14"/>
      <c r="SMG14"/>
      <c r="SMH14"/>
      <c r="SMI14"/>
      <c r="SMJ14"/>
      <c r="SMK14"/>
      <c r="SML14"/>
      <c r="SMM14"/>
      <c r="SMN14"/>
      <c r="SMO14"/>
      <c r="SMP14"/>
      <c r="SMQ14"/>
      <c r="SMR14"/>
      <c r="SMS14"/>
      <c r="SMT14"/>
      <c r="SMU14"/>
      <c r="SMV14"/>
      <c r="SMW14"/>
      <c r="SMX14"/>
      <c r="SMY14"/>
      <c r="SMZ14"/>
      <c r="SNA14"/>
      <c r="SNB14"/>
      <c r="SNC14"/>
      <c r="SND14"/>
      <c r="SNE14"/>
      <c r="SNF14"/>
      <c r="SNG14"/>
      <c r="SNH14"/>
      <c r="SNI14"/>
      <c r="SNJ14"/>
      <c r="SNK14"/>
      <c r="SNL14"/>
      <c r="SNM14"/>
      <c r="SNN14"/>
      <c r="SNO14"/>
      <c r="SNP14"/>
      <c r="SNQ14"/>
      <c r="SNR14"/>
      <c r="SNS14"/>
      <c r="SNT14"/>
      <c r="SNU14"/>
      <c r="SNV14"/>
      <c r="SNW14"/>
      <c r="SNX14"/>
      <c r="SNY14"/>
      <c r="SNZ14"/>
      <c r="SOA14"/>
      <c r="SOB14"/>
      <c r="SOC14"/>
      <c r="SOD14"/>
      <c r="SOE14"/>
      <c r="SOF14"/>
      <c r="SOG14"/>
      <c r="SOH14"/>
      <c r="SOI14"/>
      <c r="SOJ14"/>
      <c r="SOK14"/>
      <c r="SOL14"/>
      <c r="SOM14"/>
      <c r="SON14"/>
      <c r="SOO14"/>
      <c r="SOP14"/>
      <c r="SOQ14"/>
      <c r="SOR14"/>
      <c r="SOS14"/>
      <c r="SOT14"/>
      <c r="SOU14"/>
      <c r="SOV14"/>
      <c r="SOW14"/>
      <c r="SOX14"/>
      <c r="SOY14"/>
      <c r="SOZ14"/>
      <c r="SPA14"/>
      <c r="SPB14"/>
      <c r="SPC14"/>
      <c r="SPD14"/>
      <c r="SPE14"/>
      <c r="SPF14"/>
      <c r="SPG14"/>
      <c r="SPH14"/>
      <c r="SPI14"/>
      <c r="SPJ14"/>
      <c r="SPK14"/>
      <c r="SPL14"/>
      <c r="SPM14"/>
      <c r="SPN14"/>
      <c r="SPO14"/>
      <c r="SPP14"/>
      <c r="SPQ14"/>
      <c r="SPR14"/>
      <c r="SPS14"/>
      <c r="SPT14"/>
      <c r="SPU14"/>
      <c r="SPV14"/>
      <c r="SPW14"/>
      <c r="SPX14"/>
      <c r="SPY14"/>
      <c r="SPZ14"/>
      <c r="SQA14"/>
      <c r="SQB14"/>
      <c r="SQC14"/>
      <c r="SQD14"/>
      <c r="SQE14"/>
      <c r="SQF14"/>
      <c r="SQG14"/>
      <c r="SQH14"/>
      <c r="SQI14"/>
      <c r="SQJ14"/>
      <c r="SQK14"/>
      <c r="SQL14"/>
      <c r="SQM14"/>
      <c r="SQN14"/>
      <c r="SQO14"/>
      <c r="SQP14"/>
      <c r="SQQ14"/>
      <c r="SQR14"/>
      <c r="SQS14"/>
      <c r="SQT14"/>
      <c r="SQU14"/>
      <c r="SQV14"/>
      <c r="SQW14"/>
      <c r="SQX14"/>
      <c r="SQY14"/>
      <c r="SQZ14"/>
      <c r="SRA14"/>
      <c r="SRB14"/>
      <c r="SRC14"/>
      <c r="SRD14"/>
      <c r="SRE14"/>
      <c r="SRF14"/>
      <c r="SRG14"/>
      <c r="SRH14"/>
      <c r="SRI14"/>
      <c r="SRJ14"/>
      <c r="SRK14"/>
      <c r="SRL14"/>
      <c r="SRM14"/>
      <c r="SRN14"/>
      <c r="SRO14"/>
      <c r="SRP14"/>
      <c r="SRQ14"/>
      <c r="SRR14"/>
      <c r="SRS14"/>
      <c r="SRT14"/>
      <c r="SRU14"/>
      <c r="SRV14"/>
      <c r="SRW14"/>
      <c r="SRX14"/>
      <c r="SRY14"/>
      <c r="SRZ14"/>
      <c r="SSA14"/>
      <c r="SSB14"/>
      <c r="SSC14"/>
      <c r="SSD14"/>
      <c r="SSE14"/>
      <c r="SSF14"/>
      <c r="SSG14"/>
      <c r="SSH14"/>
      <c r="SSI14"/>
      <c r="SSJ14"/>
      <c r="SSK14"/>
      <c r="SSL14"/>
      <c r="SSM14"/>
      <c r="SSN14"/>
      <c r="SSO14"/>
      <c r="SSP14"/>
      <c r="SSQ14"/>
      <c r="SSR14"/>
      <c r="SSS14"/>
      <c r="SST14"/>
      <c r="SSU14"/>
      <c r="SSV14"/>
      <c r="SSW14"/>
      <c r="SSX14"/>
      <c r="SSY14"/>
      <c r="SSZ14"/>
      <c r="STA14"/>
      <c r="STB14"/>
      <c r="STC14"/>
      <c r="STD14"/>
      <c r="STE14"/>
      <c r="STF14"/>
      <c r="STG14"/>
      <c r="STH14"/>
      <c r="STI14"/>
      <c r="STJ14"/>
      <c r="STK14"/>
      <c r="STL14"/>
      <c r="STM14"/>
      <c r="STN14"/>
      <c r="STO14"/>
      <c r="STP14"/>
      <c r="STQ14"/>
      <c r="STR14"/>
      <c r="STS14"/>
      <c r="STT14"/>
      <c r="STU14"/>
      <c r="STV14"/>
      <c r="STW14"/>
      <c r="STX14"/>
      <c r="STY14"/>
      <c r="STZ14"/>
      <c r="SUA14"/>
      <c r="SUB14"/>
      <c r="SUC14"/>
      <c r="SUD14"/>
      <c r="SUE14"/>
      <c r="SUF14"/>
      <c r="SUG14"/>
      <c r="SUH14"/>
      <c r="SUI14"/>
      <c r="SUJ14"/>
      <c r="SUK14"/>
      <c r="SUL14"/>
      <c r="SUM14"/>
      <c r="SUN14"/>
      <c r="SUO14"/>
      <c r="SUP14"/>
      <c r="SUQ14"/>
      <c r="SUR14"/>
      <c r="SUS14"/>
      <c r="SUT14"/>
      <c r="SUU14"/>
      <c r="SUV14"/>
      <c r="SUW14"/>
      <c r="SUX14"/>
      <c r="SUY14"/>
      <c r="SUZ14"/>
      <c r="SVA14"/>
      <c r="SVB14"/>
      <c r="SVC14"/>
      <c r="SVD14"/>
      <c r="SVE14"/>
      <c r="SVF14"/>
      <c r="SVG14"/>
      <c r="SVH14"/>
      <c r="SVI14"/>
      <c r="SVJ14"/>
      <c r="SVK14"/>
      <c r="SVL14"/>
      <c r="SVM14"/>
      <c r="SVN14"/>
      <c r="SVO14"/>
      <c r="SVP14"/>
      <c r="SVQ14"/>
      <c r="SVR14"/>
      <c r="SVS14"/>
      <c r="SVT14"/>
      <c r="SVU14"/>
      <c r="SVV14"/>
      <c r="SVW14"/>
      <c r="SVX14"/>
      <c r="SVY14"/>
      <c r="SVZ14"/>
      <c r="SWA14"/>
      <c r="SWB14"/>
      <c r="SWC14"/>
      <c r="SWD14"/>
      <c r="SWE14"/>
      <c r="SWF14"/>
      <c r="SWG14"/>
      <c r="SWH14"/>
      <c r="SWI14"/>
      <c r="SWJ14"/>
      <c r="SWK14"/>
      <c r="SWL14"/>
      <c r="SWM14"/>
      <c r="SWN14"/>
      <c r="SWO14"/>
      <c r="SWP14"/>
      <c r="SWQ14"/>
      <c r="SWR14"/>
      <c r="SWS14"/>
      <c r="SWT14"/>
      <c r="SWU14"/>
      <c r="SWV14"/>
      <c r="SWW14"/>
      <c r="SWX14"/>
      <c r="SWY14"/>
      <c r="SWZ14"/>
      <c r="SXA14"/>
      <c r="SXB14"/>
      <c r="SXC14"/>
      <c r="SXD14"/>
      <c r="SXE14"/>
      <c r="SXF14"/>
      <c r="SXG14"/>
      <c r="SXH14"/>
      <c r="SXI14"/>
      <c r="SXJ14"/>
      <c r="SXK14"/>
      <c r="SXL14"/>
      <c r="SXM14"/>
      <c r="SXN14"/>
      <c r="SXO14"/>
      <c r="SXP14"/>
      <c r="SXQ14"/>
      <c r="SXR14"/>
      <c r="SXS14"/>
      <c r="SXT14"/>
      <c r="SXU14"/>
      <c r="SXV14"/>
      <c r="SXW14"/>
      <c r="SXX14"/>
      <c r="SXY14"/>
      <c r="SXZ14"/>
      <c r="SYA14"/>
      <c r="SYB14"/>
      <c r="SYC14"/>
      <c r="SYD14"/>
      <c r="SYE14"/>
      <c r="SYF14"/>
      <c r="SYG14"/>
      <c r="SYH14"/>
      <c r="SYI14"/>
      <c r="SYJ14"/>
      <c r="SYK14"/>
      <c r="SYL14"/>
      <c r="SYM14"/>
      <c r="SYN14"/>
      <c r="SYO14"/>
      <c r="SYP14"/>
      <c r="SYQ14"/>
      <c r="SYR14"/>
      <c r="SYS14"/>
      <c r="SYT14"/>
      <c r="SYU14"/>
      <c r="SYV14"/>
      <c r="SYW14"/>
      <c r="SYX14"/>
      <c r="SYY14"/>
      <c r="SYZ14"/>
      <c r="SZA14"/>
      <c r="SZB14"/>
      <c r="SZC14"/>
      <c r="SZD14"/>
      <c r="SZE14"/>
      <c r="SZF14"/>
      <c r="SZG14"/>
      <c r="SZH14"/>
      <c r="SZI14"/>
      <c r="SZJ14"/>
      <c r="SZK14"/>
      <c r="SZL14"/>
      <c r="SZM14"/>
      <c r="SZN14"/>
      <c r="SZO14"/>
      <c r="SZP14"/>
      <c r="SZQ14"/>
      <c r="SZR14"/>
      <c r="SZS14"/>
      <c r="SZT14"/>
      <c r="SZU14"/>
      <c r="SZV14"/>
      <c r="SZW14"/>
      <c r="SZX14"/>
      <c r="SZY14"/>
      <c r="SZZ14"/>
      <c r="TAA14"/>
      <c r="TAB14"/>
      <c r="TAC14"/>
      <c r="TAD14"/>
      <c r="TAE14"/>
      <c r="TAF14"/>
      <c r="TAG14"/>
      <c r="TAH14"/>
      <c r="TAI14"/>
      <c r="TAJ14"/>
      <c r="TAK14"/>
      <c r="TAL14"/>
      <c r="TAM14"/>
      <c r="TAN14"/>
      <c r="TAO14"/>
      <c r="TAP14"/>
      <c r="TAQ14"/>
      <c r="TAR14"/>
      <c r="TAS14"/>
      <c r="TAT14"/>
      <c r="TAU14"/>
      <c r="TAV14"/>
      <c r="TAW14"/>
      <c r="TAX14"/>
      <c r="TAY14"/>
      <c r="TAZ14"/>
      <c r="TBA14"/>
      <c r="TBB14"/>
      <c r="TBC14"/>
      <c r="TBD14"/>
      <c r="TBE14"/>
      <c r="TBF14"/>
      <c r="TBG14"/>
      <c r="TBH14"/>
      <c r="TBI14"/>
      <c r="TBJ14"/>
      <c r="TBK14"/>
      <c r="TBL14"/>
      <c r="TBM14"/>
      <c r="TBN14"/>
      <c r="TBO14"/>
      <c r="TBP14"/>
      <c r="TBQ14"/>
      <c r="TBR14"/>
      <c r="TBS14"/>
      <c r="TBT14"/>
      <c r="TBU14"/>
      <c r="TBV14"/>
      <c r="TBW14"/>
      <c r="TBX14"/>
      <c r="TBY14"/>
      <c r="TBZ14"/>
      <c r="TCA14"/>
      <c r="TCB14"/>
      <c r="TCC14"/>
      <c r="TCD14"/>
      <c r="TCE14"/>
      <c r="TCF14"/>
      <c r="TCG14"/>
      <c r="TCH14"/>
      <c r="TCI14"/>
      <c r="TCJ14"/>
      <c r="TCK14"/>
      <c r="TCL14"/>
      <c r="TCM14"/>
      <c r="TCN14"/>
      <c r="TCO14"/>
      <c r="TCP14"/>
      <c r="TCQ14"/>
      <c r="TCR14"/>
      <c r="TCS14"/>
      <c r="TCT14"/>
      <c r="TCU14"/>
      <c r="TCV14"/>
      <c r="TCW14"/>
      <c r="TCX14"/>
      <c r="TCY14"/>
      <c r="TCZ14"/>
      <c r="TDA14"/>
      <c r="TDB14"/>
      <c r="TDC14"/>
      <c r="TDD14"/>
      <c r="TDE14"/>
      <c r="TDF14"/>
      <c r="TDG14"/>
      <c r="TDH14"/>
      <c r="TDI14"/>
      <c r="TDJ14"/>
      <c r="TDK14"/>
      <c r="TDL14"/>
      <c r="TDM14"/>
      <c r="TDN14"/>
      <c r="TDO14"/>
      <c r="TDP14"/>
      <c r="TDQ14"/>
      <c r="TDR14"/>
      <c r="TDS14"/>
      <c r="TDT14"/>
      <c r="TDU14"/>
      <c r="TDV14"/>
      <c r="TDW14"/>
      <c r="TDX14"/>
      <c r="TDY14"/>
      <c r="TDZ14"/>
      <c r="TEA14"/>
      <c r="TEB14"/>
      <c r="TEC14"/>
      <c r="TED14"/>
      <c r="TEE14"/>
      <c r="TEF14"/>
      <c r="TEG14"/>
      <c r="TEH14"/>
      <c r="TEI14"/>
      <c r="TEJ14"/>
      <c r="TEK14"/>
      <c r="TEL14"/>
      <c r="TEM14"/>
      <c r="TEN14"/>
      <c r="TEO14"/>
      <c r="TEP14"/>
      <c r="TEQ14"/>
      <c r="TER14"/>
      <c r="TES14"/>
      <c r="TET14"/>
      <c r="TEU14"/>
      <c r="TEV14"/>
      <c r="TEW14"/>
      <c r="TEX14"/>
      <c r="TEY14"/>
      <c r="TEZ14"/>
      <c r="TFA14"/>
      <c r="TFB14"/>
      <c r="TFC14"/>
      <c r="TFD14"/>
      <c r="TFE14"/>
      <c r="TFF14"/>
      <c r="TFG14"/>
      <c r="TFH14"/>
      <c r="TFI14"/>
      <c r="TFJ14"/>
      <c r="TFK14"/>
      <c r="TFL14"/>
      <c r="TFM14"/>
      <c r="TFN14"/>
      <c r="TFO14"/>
      <c r="TFP14"/>
      <c r="TFQ14"/>
      <c r="TFR14"/>
      <c r="TFS14"/>
      <c r="TFT14"/>
      <c r="TFU14"/>
      <c r="TFV14"/>
      <c r="TFW14"/>
      <c r="TFX14"/>
      <c r="TFY14"/>
      <c r="TFZ14"/>
      <c r="TGA14"/>
      <c r="TGB14"/>
      <c r="TGC14"/>
      <c r="TGD14"/>
      <c r="TGE14"/>
      <c r="TGF14"/>
      <c r="TGG14"/>
      <c r="TGH14"/>
      <c r="TGI14"/>
      <c r="TGJ14"/>
      <c r="TGK14"/>
      <c r="TGL14"/>
      <c r="TGM14"/>
      <c r="TGN14"/>
      <c r="TGO14"/>
      <c r="TGP14"/>
      <c r="TGQ14"/>
      <c r="TGR14"/>
      <c r="TGS14"/>
      <c r="TGT14"/>
      <c r="TGU14"/>
      <c r="TGV14"/>
      <c r="TGW14"/>
      <c r="TGX14"/>
      <c r="TGY14"/>
      <c r="TGZ14"/>
      <c r="THA14"/>
      <c r="THB14"/>
      <c r="THC14"/>
      <c r="THD14"/>
      <c r="THE14"/>
      <c r="THF14"/>
      <c r="THG14"/>
      <c r="THH14"/>
      <c r="THI14"/>
      <c r="THJ14"/>
      <c r="THK14"/>
      <c r="THL14"/>
      <c r="THM14"/>
      <c r="THN14"/>
      <c r="THO14"/>
      <c r="THP14"/>
      <c r="THQ14"/>
      <c r="THR14"/>
      <c r="THS14"/>
      <c r="THT14"/>
      <c r="THU14"/>
      <c r="THV14"/>
      <c r="THW14"/>
      <c r="THX14"/>
      <c r="THY14"/>
      <c r="THZ14"/>
      <c r="TIA14"/>
      <c r="TIB14"/>
      <c r="TIC14"/>
      <c r="TID14"/>
      <c r="TIE14"/>
      <c r="TIF14"/>
      <c r="TIG14"/>
      <c r="TIH14"/>
      <c r="TII14"/>
      <c r="TIJ14"/>
      <c r="TIK14"/>
      <c r="TIL14"/>
      <c r="TIM14"/>
      <c r="TIN14"/>
      <c r="TIO14"/>
      <c r="TIP14"/>
      <c r="TIQ14"/>
      <c r="TIR14"/>
      <c r="TIS14"/>
      <c r="TIT14"/>
      <c r="TIU14"/>
      <c r="TIV14"/>
      <c r="TIW14"/>
      <c r="TIX14"/>
      <c r="TIY14"/>
      <c r="TIZ14"/>
      <c r="TJA14"/>
      <c r="TJB14"/>
      <c r="TJC14"/>
      <c r="TJD14"/>
      <c r="TJE14"/>
      <c r="TJF14"/>
      <c r="TJG14"/>
      <c r="TJH14"/>
      <c r="TJI14"/>
      <c r="TJJ14"/>
      <c r="TJK14"/>
      <c r="TJL14"/>
      <c r="TJM14"/>
      <c r="TJN14"/>
      <c r="TJO14"/>
      <c r="TJP14"/>
      <c r="TJQ14"/>
      <c r="TJR14"/>
      <c r="TJS14"/>
      <c r="TJT14"/>
      <c r="TJU14"/>
      <c r="TJV14"/>
      <c r="TJW14"/>
      <c r="TJX14"/>
      <c r="TJY14"/>
      <c r="TJZ14"/>
      <c r="TKA14"/>
      <c r="TKB14"/>
      <c r="TKC14"/>
      <c r="TKD14"/>
      <c r="TKE14"/>
      <c r="TKF14"/>
      <c r="TKG14"/>
      <c r="TKH14"/>
      <c r="TKI14"/>
      <c r="TKJ14"/>
      <c r="TKK14"/>
      <c r="TKL14"/>
      <c r="TKM14"/>
      <c r="TKN14"/>
      <c r="TKO14"/>
      <c r="TKP14"/>
      <c r="TKQ14"/>
      <c r="TKR14"/>
      <c r="TKS14"/>
      <c r="TKT14"/>
      <c r="TKU14"/>
      <c r="TKV14"/>
      <c r="TKW14"/>
      <c r="TKX14"/>
      <c r="TKY14"/>
      <c r="TKZ14"/>
      <c r="TLA14"/>
      <c r="TLB14"/>
      <c r="TLC14"/>
      <c r="TLD14"/>
      <c r="TLE14"/>
      <c r="TLF14"/>
      <c r="TLG14"/>
      <c r="TLH14"/>
      <c r="TLI14"/>
      <c r="TLJ14"/>
      <c r="TLK14"/>
      <c r="TLL14"/>
      <c r="TLM14"/>
      <c r="TLN14"/>
      <c r="TLO14"/>
      <c r="TLP14"/>
      <c r="TLQ14"/>
      <c r="TLR14"/>
      <c r="TLS14"/>
      <c r="TLT14"/>
      <c r="TLU14"/>
      <c r="TLV14"/>
      <c r="TLW14"/>
      <c r="TLX14"/>
      <c r="TLY14"/>
      <c r="TLZ14"/>
      <c r="TMA14"/>
      <c r="TMB14"/>
      <c r="TMC14"/>
      <c r="TMD14"/>
      <c r="TME14"/>
      <c r="TMF14"/>
      <c r="TMG14"/>
      <c r="TMH14"/>
      <c r="TMI14"/>
      <c r="TMJ14"/>
      <c r="TMK14"/>
      <c r="TML14"/>
      <c r="TMM14"/>
      <c r="TMN14"/>
      <c r="TMO14"/>
      <c r="TMP14"/>
      <c r="TMQ14"/>
      <c r="TMR14"/>
      <c r="TMS14"/>
      <c r="TMT14"/>
      <c r="TMU14"/>
      <c r="TMV14"/>
      <c r="TMW14"/>
      <c r="TMX14"/>
      <c r="TMY14"/>
      <c r="TMZ14"/>
      <c r="TNA14"/>
      <c r="TNB14"/>
      <c r="TNC14"/>
      <c r="TND14"/>
      <c r="TNE14"/>
      <c r="TNF14"/>
      <c r="TNG14"/>
      <c r="TNH14"/>
      <c r="TNI14"/>
      <c r="TNJ14"/>
      <c r="TNK14"/>
      <c r="TNL14"/>
      <c r="TNM14"/>
      <c r="TNN14"/>
      <c r="TNO14"/>
      <c r="TNP14"/>
      <c r="TNQ14"/>
      <c r="TNR14"/>
      <c r="TNS14"/>
      <c r="TNT14"/>
      <c r="TNU14"/>
      <c r="TNV14"/>
      <c r="TNW14"/>
      <c r="TNX14"/>
      <c r="TNY14"/>
      <c r="TNZ14"/>
      <c r="TOA14"/>
      <c r="TOB14"/>
      <c r="TOC14"/>
      <c r="TOD14"/>
      <c r="TOE14"/>
      <c r="TOF14"/>
      <c r="TOG14"/>
      <c r="TOH14"/>
      <c r="TOI14"/>
      <c r="TOJ14"/>
      <c r="TOK14"/>
      <c r="TOL14"/>
      <c r="TOM14"/>
      <c r="TON14"/>
      <c r="TOO14"/>
      <c r="TOP14"/>
      <c r="TOQ14"/>
      <c r="TOR14"/>
      <c r="TOS14"/>
      <c r="TOT14"/>
      <c r="TOU14"/>
      <c r="TOV14"/>
      <c r="TOW14"/>
      <c r="TOX14"/>
      <c r="TOY14"/>
      <c r="TOZ14"/>
      <c r="TPA14"/>
      <c r="TPB14"/>
      <c r="TPC14"/>
      <c r="TPD14"/>
      <c r="TPE14"/>
      <c r="TPF14"/>
      <c r="TPG14"/>
      <c r="TPH14"/>
      <c r="TPI14"/>
      <c r="TPJ14"/>
      <c r="TPK14"/>
      <c r="TPL14"/>
      <c r="TPM14"/>
      <c r="TPN14"/>
      <c r="TPO14"/>
      <c r="TPP14"/>
      <c r="TPQ14"/>
      <c r="TPR14"/>
      <c r="TPS14"/>
      <c r="TPT14"/>
      <c r="TPU14"/>
      <c r="TPV14"/>
      <c r="TPW14"/>
      <c r="TPX14"/>
      <c r="TPY14"/>
      <c r="TPZ14"/>
      <c r="TQA14"/>
      <c r="TQB14"/>
      <c r="TQC14"/>
      <c r="TQD14"/>
      <c r="TQE14"/>
      <c r="TQF14"/>
      <c r="TQG14"/>
      <c r="TQH14"/>
      <c r="TQI14"/>
      <c r="TQJ14"/>
      <c r="TQK14"/>
      <c r="TQL14"/>
      <c r="TQM14"/>
      <c r="TQN14"/>
      <c r="TQO14"/>
      <c r="TQP14"/>
      <c r="TQQ14"/>
      <c r="TQR14"/>
      <c r="TQS14"/>
      <c r="TQT14"/>
      <c r="TQU14"/>
      <c r="TQV14"/>
      <c r="TQW14"/>
      <c r="TQX14"/>
      <c r="TQY14"/>
      <c r="TQZ14"/>
      <c r="TRA14"/>
      <c r="TRB14"/>
      <c r="TRC14"/>
      <c r="TRD14"/>
      <c r="TRE14"/>
      <c r="TRF14"/>
      <c r="TRG14"/>
      <c r="TRH14"/>
      <c r="TRI14"/>
      <c r="TRJ14"/>
      <c r="TRK14"/>
      <c r="TRL14"/>
      <c r="TRM14"/>
      <c r="TRN14"/>
      <c r="TRO14"/>
      <c r="TRP14"/>
      <c r="TRQ14"/>
      <c r="TRR14"/>
      <c r="TRS14"/>
      <c r="TRT14"/>
      <c r="TRU14"/>
      <c r="TRV14"/>
      <c r="TRW14"/>
      <c r="TRX14"/>
      <c r="TRY14"/>
      <c r="TRZ14"/>
      <c r="TSA14"/>
      <c r="TSB14"/>
      <c r="TSC14"/>
      <c r="TSD14"/>
      <c r="TSE14"/>
      <c r="TSF14"/>
      <c r="TSG14"/>
      <c r="TSH14"/>
      <c r="TSI14"/>
      <c r="TSJ14"/>
      <c r="TSK14"/>
      <c r="TSL14"/>
      <c r="TSM14"/>
      <c r="TSN14"/>
      <c r="TSO14"/>
      <c r="TSP14"/>
      <c r="TSQ14"/>
      <c r="TSR14"/>
      <c r="TSS14"/>
      <c r="TST14"/>
      <c r="TSU14"/>
      <c r="TSV14"/>
      <c r="TSW14"/>
      <c r="TSX14"/>
      <c r="TSY14"/>
      <c r="TSZ14"/>
      <c r="TTA14"/>
      <c r="TTB14"/>
      <c r="TTC14"/>
      <c r="TTD14"/>
      <c r="TTE14"/>
      <c r="TTF14"/>
      <c r="TTG14"/>
      <c r="TTH14"/>
      <c r="TTI14"/>
      <c r="TTJ14"/>
      <c r="TTK14"/>
      <c r="TTL14"/>
      <c r="TTM14"/>
      <c r="TTN14"/>
      <c r="TTO14"/>
      <c r="TTP14"/>
      <c r="TTQ14"/>
      <c r="TTR14"/>
      <c r="TTS14"/>
      <c r="TTT14"/>
      <c r="TTU14"/>
      <c r="TTV14"/>
      <c r="TTW14"/>
      <c r="TTX14"/>
      <c r="TTY14"/>
      <c r="TTZ14"/>
      <c r="TUA14"/>
      <c r="TUB14"/>
      <c r="TUC14"/>
      <c r="TUD14"/>
      <c r="TUE14"/>
      <c r="TUF14"/>
      <c r="TUG14"/>
      <c r="TUH14"/>
      <c r="TUI14"/>
      <c r="TUJ14"/>
      <c r="TUK14"/>
      <c r="TUL14"/>
      <c r="TUM14"/>
      <c r="TUN14"/>
      <c r="TUO14"/>
      <c r="TUP14"/>
      <c r="TUQ14"/>
      <c r="TUR14"/>
      <c r="TUS14"/>
      <c r="TUT14"/>
      <c r="TUU14"/>
      <c r="TUV14"/>
      <c r="TUW14"/>
      <c r="TUX14"/>
      <c r="TUY14"/>
      <c r="TUZ14"/>
      <c r="TVA14"/>
      <c r="TVB14"/>
      <c r="TVC14"/>
      <c r="TVD14"/>
      <c r="TVE14"/>
      <c r="TVF14"/>
      <c r="TVG14"/>
      <c r="TVH14"/>
      <c r="TVI14"/>
      <c r="TVJ14"/>
      <c r="TVK14"/>
      <c r="TVL14"/>
      <c r="TVM14"/>
      <c r="TVN14"/>
      <c r="TVO14"/>
      <c r="TVP14"/>
      <c r="TVQ14"/>
      <c r="TVR14"/>
      <c r="TVS14"/>
      <c r="TVT14"/>
      <c r="TVU14"/>
      <c r="TVV14"/>
      <c r="TVW14"/>
      <c r="TVX14"/>
      <c r="TVY14"/>
      <c r="TVZ14"/>
      <c r="TWA14"/>
      <c r="TWB14"/>
      <c r="TWC14"/>
      <c r="TWD14"/>
      <c r="TWE14"/>
      <c r="TWF14"/>
      <c r="TWG14"/>
      <c r="TWH14"/>
      <c r="TWI14"/>
      <c r="TWJ14"/>
      <c r="TWK14"/>
      <c r="TWL14"/>
      <c r="TWM14"/>
      <c r="TWN14"/>
      <c r="TWO14"/>
      <c r="TWP14"/>
      <c r="TWQ14"/>
      <c r="TWR14"/>
      <c r="TWS14"/>
      <c r="TWT14"/>
      <c r="TWU14"/>
      <c r="TWV14"/>
      <c r="TWW14"/>
      <c r="TWX14"/>
      <c r="TWY14"/>
      <c r="TWZ14"/>
      <c r="TXA14"/>
      <c r="TXB14"/>
      <c r="TXC14"/>
      <c r="TXD14"/>
      <c r="TXE14"/>
      <c r="TXF14"/>
      <c r="TXG14"/>
      <c r="TXH14"/>
      <c r="TXI14"/>
      <c r="TXJ14"/>
      <c r="TXK14"/>
      <c r="TXL14"/>
      <c r="TXM14"/>
      <c r="TXN14"/>
      <c r="TXO14"/>
      <c r="TXP14"/>
      <c r="TXQ14"/>
      <c r="TXR14"/>
      <c r="TXS14"/>
      <c r="TXT14"/>
      <c r="TXU14"/>
      <c r="TXV14"/>
      <c r="TXW14"/>
      <c r="TXX14"/>
      <c r="TXY14"/>
      <c r="TXZ14"/>
      <c r="TYA14"/>
      <c r="TYB14"/>
      <c r="TYC14"/>
      <c r="TYD14"/>
      <c r="TYE14"/>
      <c r="TYF14"/>
      <c r="TYG14"/>
      <c r="TYH14"/>
      <c r="TYI14"/>
      <c r="TYJ14"/>
      <c r="TYK14"/>
      <c r="TYL14"/>
      <c r="TYM14"/>
      <c r="TYN14"/>
      <c r="TYO14"/>
      <c r="TYP14"/>
      <c r="TYQ14"/>
      <c r="TYR14"/>
      <c r="TYS14"/>
      <c r="TYT14"/>
      <c r="TYU14"/>
      <c r="TYV14"/>
      <c r="TYW14"/>
      <c r="TYX14"/>
      <c r="TYY14"/>
      <c r="TYZ14"/>
      <c r="TZA14"/>
      <c r="TZB14"/>
      <c r="TZC14"/>
      <c r="TZD14"/>
      <c r="TZE14"/>
      <c r="TZF14"/>
      <c r="TZG14"/>
      <c r="TZH14"/>
      <c r="TZI14"/>
      <c r="TZJ14"/>
      <c r="TZK14"/>
      <c r="TZL14"/>
      <c r="TZM14"/>
      <c r="TZN14"/>
      <c r="TZO14"/>
      <c r="TZP14"/>
      <c r="TZQ14"/>
      <c r="TZR14"/>
      <c r="TZS14"/>
      <c r="TZT14"/>
      <c r="TZU14"/>
      <c r="TZV14"/>
      <c r="TZW14"/>
      <c r="TZX14"/>
      <c r="TZY14"/>
      <c r="TZZ14"/>
      <c r="UAA14"/>
      <c r="UAB14"/>
      <c r="UAC14"/>
      <c r="UAD14"/>
      <c r="UAE14"/>
      <c r="UAF14"/>
      <c r="UAG14"/>
      <c r="UAH14"/>
      <c r="UAI14"/>
      <c r="UAJ14"/>
      <c r="UAK14"/>
      <c r="UAL14"/>
      <c r="UAM14"/>
      <c r="UAN14"/>
      <c r="UAO14"/>
      <c r="UAP14"/>
      <c r="UAQ14"/>
      <c r="UAR14"/>
      <c r="UAS14"/>
      <c r="UAT14"/>
      <c r="UAU14"/>
      <c r="UAV14"/>
      <c r="UAW14"/>
      <c r="UAX14"/>
      <c r="UAY14"/>
      <c r="UAZ14"/>
      <c r="UBA14"/>
      <c r="UBB14"/>
      <c r="UBC14"/>
      <c r="UBD14"/>
      <c r="UBE14"/>
      <c r="UBF14"/>
      <c r="UBG14"/>
      <c r="UBH14"/>
      <c r="UBI14"/>
      <c r="UBJ14"/>
      <c r="UBK14"/>
      <c r="UBL14"/>
      <c r="UBM14"/>
      <c r="UBN14"/>
      <c r="UBO14"/>
      <c r="UBP14"/>
      <c r="UBQ14"/>
      <c r="UBR14"/>
      <c r="UBS14"/>
      <c r="UBT14"/>
      <c r="UBU14"/>
      <c r="UBV14"/>
      <c r="UBW14"/>
      <c r="UBX14"/>
      <c r="UBY14"/>
      <c r="UBZ14"/>
      <c r="UCA14"/>
      <c r="UCB14"/>
      <c r="UCC14"/>
      <c r="UCD14"/>
      <c r="UCE14"/>
      <c r="UCF14"/>
      <c r="UCG14"/>
      <c r="UCH14"/>
      <c r="UCI14"/>
      <c r="UCJ14"/>
      <c r="UCK14"/>
      <c r="UCL14"/>
      <c r="UCM14"/>
      <c r="UCN14"/>
      <c r="UCO14"/>
      <c r="UCP14"/>
      <c r="UCQ14"/>
      <c r="UCR14"/>
      <c r="UCS14"/>
      <c r="UCT14"/>
      <c r="UCU14"/>
      <c r="UCV14"/>
      <c r="UCW14"/>
      <c r="UCX14"/>
      <c r="UCY14"/>
      <c r="UCZ14"/>
      <c r="UDA14"/>
      <c r="UDB14"/>
      <c r="UDC14"/>
      <c r="UDD14"/>
      <c r="UDE14"/>
      <c r="UDF14"/>
      <c r="UDG14"/>
      <c r="UDH14"/>
      <c r="UDI14"/>
      <c r="UDJ14"/>
      <c r="UDK14"/>
      <c r="UDL14"/>
      <c r="UDM14"/>
      <c r="UDN14"/>
      <c r="UDO14"/>
      <c r="UDP14"/>
      <c r="UDQ14"/>
      <c r="UDR14"/>
      <c r="UDS14"/>
      <c r="UDT14"/>
      <c r="UDU14"/>
      <c r="UDV14"/>
      <c r="UDW14"/>
      <c r="UDX14"/>
      <c r="UDY14"/>
      <c r="UDZ14"/>
      <c r="UEA14"/>
      <c r="UEB14"/>
      <c r="UEC14"/>
      <c r="UED14"/>
      <c r="UEE14"/>
      <c r="UEF14"/>
      <c r="UEG14"/>
      <c r="UEH14"/>
      <c r="UEI14"/>
      <c r="UEJ14"/>
      <c r="UEK14"/>
      <c r="UEL14"/>
      <c r="UEM14"/>
      <c r="UEN14"/>
      <c r="UEO14"/>
      <c r="UEP14"/>
      <c r="UEQ14"/>
      <c r="UER14"/>
      <c r="UES14"/>
      <c r="UET14"/>
      <c r="UEU14"/>
      <c r="UEV14"/>
      <c r="UEW14"/>
      <c r="UEX14"/>
      <c r="UEY14"/>
      <c r="UEZ14"/>
      <c r="UFA14"/>
      <c r="UFB14"/>
      <c r="UFC14"/>
      <c r="UFD14"/>
      <c r="UFE14"/>
      <c r="UFF14"/>
      <c r="UFG14"/>
      <c r="UFH14"/>
      <c r="UFI14"/>
      <c r="UFJ14"/>
      <c r="UFK14"/>
      <c r="UFL14"/>
      <c r="UFM14"/>
      <c r="UFN14"/>
      <c r="UFO14"/>
      <c r="UFP14"/>
      <c r="UFQ14"/>
      <c r="UFR14"/>
      <c r="UFS14"/>
      <c r="UFT14"/>
      <c r="UFU14"/>
      <c r="UFV14"/>
      <c r="UFW14"/>
      <c r="UFX14"/>
      <c r="UFY14"/>
      <c r="UFZ14"/>
      <c r="UGA14"/>
      <c r="UGB14"/>
      <c r="UGC14"/>
      <c r="UGD14"/>
      <c r="UGE14"/>
      <c r="UGF14"/>
      <c r="UGG14"/>
      <c r="UGH14"/>
      <c r="UGI14"/>
      <c r="UGJ14"/>
      <c r="UGK14"/>
      <c r="UGL14"/>
      <c r="UGM14"/>
      <c r="UGN14"/>
      <c r="UGO14"/>
      <c r="UGP14"/>
      <c r="UGQ14"/>
      <c r="UGR14"/>
      <c r="UGS14"/>
      <c r="UGT14"/>
      <c r="UGU14"/>
      <c r="UGV14"/>
      <c r="UGW14"/>
      <c r="UGX14"/>
      <c r="UGY14"/>
      <c r="UGZ14"/>
      <c r="UHA14"/>
      <c r="UHB14"/>
      <c r="UHC14"/>
      <c r="UHD14"/>
      <c r="UHE14"/>
      <c r="UHF14"/>
      <c r="UHG14"/>
      <c r="UHH14"/>
      <c r="UHI14"/>
      <c r="UHJ14"/>
      <c r="UHK14"/>
      <c r="UHL14"/>
      <c r="UHM14"/>
      <c r="UHN14"/>
      <c r="UHO14"/>
      <c r="UHP14"/>
      <c r="UHQ14"/>
      <c r="UHR14"/>
      <c r="UHS14"/>
      <c r="UHT14"/>
      <c r="UHU14"/>
      <c r="UHV14"/>
      <c r="UHW14"/>
      <c r="UHX14"/>
      <c r="UHY14"/>
      <c r="UHZ14"/>
      <c r="UIA14"/>
      <c r="UIB14"/>
      <c r="UIC14"/>
      <c r="UID14"/>
      <c r="UIE14"/>
      <c r="UIF14"/>
      <c r="UIG14"/>
      <c r="UIH14"/>
      <c r="UII14"/>
      <c r="UIJ14"/>
      <c r="UIK14"/>
      <c r="UIL14"/>
      <c r="UIM14"/>
      <c r="UIN14"/>
      <c r="UIO14"/>
      <c r="UIP14"/>
      <c r="UIQ14"/>
      <c r="UIR14"/>
      <c r="UIS14"/>
      <c r="UIT14"/>
      <c r="UIU14"/>
      <c r="UIV14"/>
      <c r="UIW14"/>
      <c r="UIX14"/>
      <c r="UIY14"/>
      <c r="UIZ14"/>
      <c r="UJA14"/>
      <c r="UJB14"/>
      <c r="UJC14"/>
      <c r="UJD14"/>
      <c r="UJE14"/>
      <c r="UJF14"/>
      <c r="UJG14"/>
      <c r="UJH14"/>
      <c r="UJI14"/>
      <c r="UJJ14"/>
      <c r="UJK14"/>
      <c r="UJL14"/>
      <c r="UJM14"/>
      <c r="UJN14"/>
      <c r="UJO14"/>
      <c r="UJP14"/>
      <c r="UJQ14"/>
      <c r="UJR14"/>
      <c r="UJS14"/>
      <c r="UJT14"/>
      <c r="UJU14"/>
      <c r="UJV14"/>
      <c r="UJW14"/>
      <c r="UJX14"/>
      <c r="UJY14"/>
      <c r="UJZ14"/>
      <c r="UKA14"/>
      <c r="UKB14"/>
      <c r="UKC14"/>
      <c r="UKD14"/>
      <c r="UKE14"/>
      <c r="UKF14"/>
      <c r="UKG14"/>
      <c r="UKH14"/>
      <c r="UKI14"/>
      <c r="UKJ14"/>
      <c r="UKK14"/>
      <c r="UKL14"/>
      <c r="UKM14"/>
      <c r="UKN14"/>
      <c r="UKO14"/>
      <c r="UKP14"/>
      <c r="UKQ14"/>
      <c r="UKR14"/>
      <c r="UKS14"/>
      <c r="UKT14"/>
      <c r="UKU14"/>
      <c r="UKV14"/>
      <c r="UKW14"/>
      <c r="UKX14"/>
      <c r="UKY14"/>
      <c r="UKZ14"/>
      <c r="ULA14"/>
      <c r="ULB14"/>
      <c r="ULC14"/>
      <c r="ULD14"/>
      <c r="ULE14"/>
      <c r="ULF14"/>
      <c r="ULG14"/>
      <c r="ULH14"/>
      <c r="ULI14"/>
      <c r="ULJ14"/>
      <c r="ULK14"/>
      <c r="ULL14"/>
      <c r="ULM14"/>
      <c r="ULN14"/>
      <c r="ULO14"/>
      <c r="ULP14"/>
      <c r="ULQ14"/>
      <c r="ULR14"/>
      <c r="ULS14"/>
      <c r="ULT14"/>
      <c r="ULU14"/>
      <c r="ULV14"/>
      <c r="ULW14"/>
      <c r="ULX14"/>
      <c r="ULY14"/>
      <c r="ULZ14"/>
      <c r="UMA14"/>
      <c r="UMB14"/>
      <c r="UMC14"/>
      <c r="UMD14"/>
      <c r="UME14"/>
      <c r="UMF14"/>
      <c r="UMG14"/>
      <c r="UMH14"/>
      <c r="UMI14"/>
      <c r="UMJ14"/>
      <c r="UMK14"/>
      <c r="UML14"/>
      <c r="UMM14"/>
      <c r="UMN14"/>
      <c r="UMO14"/>
      <c r="UMP14"/>
      <c r="UMQ14"/>
      <c r="UMR14"/>
      <c r="UMS14"/>
      <c r="UMT14"/>
      <c r="UMU14"/>
      <c r="UMV14"/>
      <c r="UMW14"/>
      <c r="UMX14"/>
      <c r="UMY14"/>
      <c r="UMZ14"/>
      <c r="UNA14"/>
      <c r="UNB14"/>
      <c r="UNC14"/>
      <c r="UND14"/>
      <c r="UNE14"/>
      <c r="UNF14"/>
      <c r="UNG14"/>
      <c r="UNH14"/>
      <c r="UNI14"/>
      <c r="UNJ14"/>
      <c r="UNK14"/>
      <c r="UNL14"/>
      <c r="UNM14"/>
      <c r="UNN14"/>
      <c r="UNO14"/>
      <c r="UNP14"/>
      <c r="UNQ14"/>
      <c r="UNR14"/>
      <c r="UNS14"/>
      <c r="UNT14"/>
      <c r="UNU14"/>
      <c r="UNV14"/>
      <c r="UNW14"/>
      <c r="UNX14"/>
      <c r="UNY14"/>
      <c r="UNZ14"/>
      <c r="UOA14"/>
      <c r="UOB14"/>
      <c r="UOC14"/>
      <c r="UOD14"/>
      <c r="UOE14"/>
      <c r="UOF14"/>
      <c r="UOG14"/>
      <c r="UOH14"/>
      <c r="UOI14"/>
      <c r="UOJ14"/>
      <c r="UOK14"/>
      <c r="UOL14"/>
      <c r="UOM14"/>
      <c r="UON14"/>
      <c r="UOO14"/>
      <c r="UOP14"/>
      <c r="UOQ14"/>
      <c r="UOR14"/>
      <c r="UOS14"/>
      <c r="UOT14"/>
      <c r="UOU14"/>
      <c r="UOV14"/>
      <c r="UOW14"/>
      <c r="UOX14"/>
      <c r="UOY14"/>
      <c r="UOZ14"/>
      <c r="UPA14"/>
      <c r="UPB14"/>
      <c r="UPC14"/>
      <c r="UPD14"/>
      <c r="UPE14"/>
      <c r="UPF14"/>
      <c r="UPG14"/>
      <c r="UPH14"/>
      <c r="UPI14"/>
      <c r="UPJ14"/>
      <c r="UPK14"/>
      <c r="UPL14"/>
      <c r="UPM14"/>
      <c r="UPN14"/>
      <c r="UPO14"/>
      <c r="UPP14"/>
      <c r="UPQ14"/>
      <c r="UPR14"/>
      <c r="UPS14"/>
      <c r="UPT14"/>
      <c r="UPU14"/>
      <c r="UPV14"/>
      <c r="UPW14"/>
      <c r="UPX14"/>
      <c r="UPY14"/>
      <c r="UPZ14"/>
      <c r="UQA14"/>
      <c r="UQB14"/>
      <c r="UQC14"/>
      <c r="UQD14"/>
      <c r="UQE14"/>
      <c r="UQF14"/>
      <c r="UQG14"/>
      <c r="UQH14"/>
      <c r="UQI14"/>
      <c r="UQJ14"/>
      <c r="UQK14"/>
      <c r="UQL14"/>
      <c r="UQM14"/>
      <c r="UQN14"/>
      <c r="UQO14"/>
      <c r="UQP14"/>
      <c r="UQQ14"/>
      <c r="UQR14"/>
      <c r="UQS14"/>
      <c r="UQT14"/>
      <c r="UQU14"/>
      <c r="UQV14"/>
      <c r="UQW14"/>
      <c r="UQX14"/>
      <c r="UQY14"/>
      <c r="UQZ14"/>
      <c r="URA14"/>
      <c r="URB14"/>
      <c r="URC14"/>
      <c r="URD14"/>
      <c r="URE14"/>
      <c r="URF14"/>
      <c r="URG14"/>
      <c r="URH14"/>
      <c r="URI14"/>
      <c r="URJ14"/>
      <c r="URK14"/>
      <c r="URL14"/>
      <c r="URM14"/>
      <c r="URN14"/>
      <c r="URO14"/>
      <c r="URP14"/>
      <c r="URQ14"/>
      <c r="URR14"/>
      <c r="URS14"/>
      <c r="URT14"/>
      <c r="URU14"/>
      <c r="URV14"/>
      <c r="URW14"/>
      <c r="URX14"/>
      <c r="URY14"/>
      <c r="URZ14"/>
      <c r="USA14"/>
      <c r="USB14"/>
      <c r="USC14"/>
      <c r="USD14"/>
      <c r="USE14"/>
      <c r="USF14"/>
      <c r="USG14"/>
      <c r="USH14"/>
      <c r="USI14"/>
      <c r="USJ14"/>
      <c r="USK14"/>
      <c r="USL14"/>
      <c r="USM14"/>
      <c r="USN14"/>
      <c r="USO14"/>
      <c r="USP14"/>
      <c r="USQ14"/>
      <c r="USR14"/>
      <c r="USS14"/>
      <c r="UST14"/>
      <c r="USU14"/>
      <c r="USV14"/>
      <c r="USW14"/>
      <c r="USX14"/>
      <c r="USY14"/>
      <c r="USZ14"/>
      <c r="UTA14"/>
      <c r="UTB14"/>
      <c r="UTC14"/>
      <c r="UTD14"/>
      <c r="UTE14"/>
      <c r="UTF14"/>
      <c r="UTG14"/>
      <c r="UTH14"/>
      <c r="UTI14"/>
      <c r="UTJ14"/>
      <c r="UTK14"/>
      <c r="UTL14"/>
      <c r="UTM14"/>
      <c r="UTN14"/>
      <c r="UTO14"/>
      <c r="UTP14"/>
      <c r="UTQ14"/>
      <c r="UTR14"/>
      <c r="UTS14"/>
      <c r="UTT14"/>
      <c r="UTU14"/>
      <c r="UTV14"/>
      <c r="UTW14"/>
      <c r="UTX14"/>
      <c r="UTY14"/>
      <c r="UTZ14"/>
      <c r="UUA14"/>
      <c r="UUB14"/>
      <c r="UUC14"/>
      <c r="UUD14"/>
      <c r="UUE14"/>
      <c r="UUF14"/>
      <c r="UUG14"/>
      <c r="UUH14"/>
      <c r="UUI14"/>
      <c r="UUJ14"/>
      <c r="UUK14"/>
      <c r="UUL14"/>
      <c r="UUM14"/>
      <c r="UUN14"/>
      <c r="UUO14"/>
      <c r="UUP14"/>
      <c r="UUQ14"/>
      <c r="UUR14"/>
      <c r="UUS14"/>
      <c r="UUT14"/>
      <c r="UUU14"/>
      <c r="UUV14"/>
      <c r="UUW14"/>
      <c r="UUX14"/>
      <c r="UUY14"/>
      <c r="UUZ14"/>
      <c r="UVA14"/>
      <c r="UVB14"/>
      <c r="UVC14"/>
      <c r="UVD14"/>
      <c r="UVE14"/>
      <c r="UVF14"/>
      <c r="UVG14"/>
      <c r="UVH14"/>
      <c r="UVI14"/>
      <c r="UVJ14"/>
      <c r="UVK14"/>
      <c r="UVL14"/>
      <c r="UVM14"/>
      <c r="UVN14"/>
      <c r="UVO14"/>
      <c r="UVP14"/>
      <c r="UVQ14"/>
      <c r="UVR14"/>
      <c r="UVS14"/>
      <c r="UVT14"/>
      <c r="UVU14"/>
      <c r="UVV14"/>
      <c r="UVW14"/>
      <c r="UVX14"/>
      <c r="UVY14"/>
      <c r="UVZ14"/>
      <c r="UWA14"/>
      <c r="UWB14"/>
      <c r="UWC14"/>
      <c r="UWD14"/>
      <c r="UWE14"/>
      <c r="UWF14"/>
      <c r="UWG14"/>
      <c r="UWH14"/>
      <c r="UWI14"/>
      <c r="UWJ14"/>
      <c r="UWK14"/>
      <c r="UWL14"/>
      <c r="UWM14"/>
      <c r="UWN14"/>
      <c r="UWO14"/>
      <c r="UWP14"/>
      <c r="UWQ14"/>
      <c r="UWR14"/>
      <c r="UWS14"/>
      <c r="UWT14"/>
      <c r="UWU14"/>
      <c r="UWV14"/>
      <c r="UWW14"/>
      <c r="UWX14"/>
      <c r="UWY14"/>
      <c r="UWZ14"/>
      <c r="UXA14"/>
      <c r="UXB14"/>
      <c r="UXC14"/>
      <c r="UXD14"/>
      <c r="UXE14"/>
      <c r="UXF14"/>
      <c r="UXG14"/>
      <c r="UXH14"/>
      <c r="UXI14"/>
      <c r="UXJ14"/>
      <c r="UXK14"/>
      <c r="UXL14"/>
      <c r="UXM14"/>
      <c r="UXN14"/>
      <c r="UXO14"/>
      <c r="UXP14"/>
      <c r="UXQ14"/>
      <c r="UXR14"/>
      <c r="UXS14"/>
      <c r="UXT14"/>
      <c r="UXU14"/>
      <c r="UXV14"/>
      <c r="UXW14"/>
      <c r="UXX14"/>
      <c r="UXY14"/>
      <c r="UXZ14"/>
      <c r="UYA14"/>
      <c r="UYB14"/>
      <c r="UYC14"/>
      <c r="UYD14"/>
      <c r="UYE14"/>
      <c r="UYF14"/>
      <c r="UYG14"/>
      <c r="UYH14"/>
      <c r="UYI14"/>
      <c r="UYJ14"/>
      <c r="UYK14"/>
      <c r="UYL14"/>
      <c r="UYM14"/>
      <c r="UYN14"/>
      <c r="UYO14"/>
      <c r="UYP14"/>
      <c r="UYQ14"/>
      <c r="UYR14"/>
      <c r="UYS14"/>
      <c r="UYT14"/>
      <c r="UYU14"/>
      <c r="UYV14"/>
      <c r="UYW14"/>
      <c r="UYX14"/>
      <c r="UYY14"/>
      <c r="UYZ14"/>
      <c r="UZA14"/>
      <c r="UZB14"/>
      <c r="UZC14"/>
      <c r="UZD14"/>
      <c r="UZE14"/>
      <c r="UZF14"/>
      <c r="UZG14"/>
      <c r="UZH14"/>
      <c r="UZI14"/>
      <c r="UZJ14"/>
      <c r="UZK14"/>
      <c r="UZL14"/>
      <c r="UZM14"/>
      <c r="UZN14"/>
      <c r="UZO14"/>
      <c r="UZP14"/>
      <c r="UZQ14"/>
      <c r="UZR14"/>
      <c r="UZS14"/>
      <c r="UZT14"/>
      <c r="UZU14"/>
      <c r="UZV14"/>
      <c r="UZW14"/>
      <c r="UZX14"/>
      <c r="UZY14"/>
      <c r="UZZ14"/>
      <c r="VAA14"/>
      <c r="VAB14"/>
      <c r="VAC14"/>
      <c r="VAD14"/>
      <c r="VAE14"/>
      <c r="VAF14"/>
      <c r="VAG14"/>
      <c r="VAH14"/>
      <c r="VAI14"/>
      <c r="VAJ14"/>
      <c r="VAK14"/>
      <c r="VAL14"/>
      <c r="VAM14"/>
      <c r="VAN14"/>
      <c r="VAO14"/>
      <c r="VAP14"/>
      <c r="VAQ14"/>
      <c r="VAR14"/>
      <c r="VAS14"/>
      <c r="VAT14"/>
      <c r="VAU14"/>
      <c r="VAV14"/>
      <c r="VAW14"/>
      <c r="VAX14"/>
      <c r="VAY14"/>
      <c r="VAZ14"/>
      <c r="VBA14"/>
      <c r="VBB14"/>
      <c r="VBC14"/>
      <c r="VBD14"/>
      <c r="VBE14"/>
      <c r="VBF14"/>
      <c r="VBG14"/>
      <c r="VBH14"/>
      <c r="VBI14"/>
      <c r="VBJ14"/>
      <c r="VBK14"/>
      <c r="VBL14"/>
      <c r="VBM14"/>
      <c r="VBN14"/>
      <c r="VBO14"/>
      <c r="VBP14"/>
      <c r="VBQ14"/>
      <c r="VBR14"/>
      <c r="VBS14"/>
      <c r="VBT14"/>
      <c r="VBU14"/>
      <c r="VBV14"/>
      <c r="VBW14"/>
      <c r="VBX14"/>
      <c r="VBY14"/>
      <c r="VBZ14"/>
      <c r="VCA14"/>
      <c r="VCB14"/>
      <c r="VCC14"/>
      <c r="VCD14"/>
      <c r="VCE14"/>
      <c r="VCF14"/>
      <c r="VCG14"/>
      <c r="VCH14"/>
      <c r="VCI14"/>
      <c r="VCJ14"/>
      <c r="VCK14"/>
      <c r="VCL14"/>
      <c r="VCM14"/>
      <c r="VCN14"/>
      <c r="VCO14"/>
      <c r="VCP14"/>
      <c r="VCQ14"/>
      <c r="VCR14"/>
      <c r="VCS14"/>
      <c r="VCT14"/>
      <c r="VCU14"/>
      <c r="VCV14"/>
      <c r="VCW14"/>
      <c r="VCX14"/>
      <c r="VCY14"/>
      <c r="VCZ14"/>
      <c r="VDA14"/>
      <c r="VDB14"/>
      <c r="VDC14"/>
      <c r="VDD14"/>
      <c r="VDE14"/>
      <c r="VDF14"/>
      <c r="VDG14"/>
      <c r="VDH14"/>
      <c r="VDI14"/>
      <c r="VDJ14"/>
      <c r="VDK14"/>
      <c r="VDL14"/>
      <c r="VDM14"/>
      <c r="VDN14"/>
      <c r="VDO14"/>
      <c r="VDP14"/>
      <c r="VDQ14"/>
      <c r="VDR14"/>
      <c r="VDS14"/>
      <c r="VDT14"/>
      <c r="VDU14"/>
      <c r="VDV14"/>
      <c r="VDW14"/>
      <c r="VDX14"/>
      <c r="VDY14"/>
      <c r="VDZ14"/>
      <c r="VEA14"/>
      <c r="VEB14"/>
      <c r="VEC14"/>
      <c r="VED14"/>
      <c r="VEE14"/>
      <c r="VEF14"/>
      <c r="VEG14"/>
      <c r="VEH14"/>
      <c r="VEI14"/>
      <c r="VEJ14"/>
      <c r="VEK14"/>
      <c r="VEL14"/>
      <c r="VEM14"/>
      <c r="VEN14"/>
      <c r="VEO14"/>
      <c r="VEP14"/>
      <c r="VEQ14"/>
      <c r="VER14"/>
      <c r="VES14"/>
      <c r="VET14"/>
      <c r="VEU14"/>
      <c r="VEV14"/>
      <c r="VEW14"/>
      <c r="VEX14"/>
      <c r="VEY14"/>
      <c r="VEZ14"/>
      <c r="VFA14"/>
      <c r="VFB14"/>
      <c r="VFC14"/>
      <c r="VFD14"/>
      <c r="VFE14"/>
      <c r="VFF14"/>
      <c r="VFG14"/>
      <c r="VFH14"/>
      <c r="VFI14"/>
      <c r="VFJ14"/>
      <c r="VFK14"/>
      <c r="VFL14"/>
      <c r="VFM14"/>
      <c r="VFN14"/>
      <c r="VFO14"/>
      <c r="VFP14"/>
      <c r="VFQ14"/>
      <c r="VFR14"/>
      <c r="VFS14"/>
      <c r="VFT14"/>
      <c r="VFU14"/>
      <c r="VFV14"/>
      <c r="VFW14"/>
      <c r="VFX14"/>
      <c r="VFY14"/>
      <c r="VFZ14"/>
      <c r="VGA14"/>
      <c r="VGB14"/>
      <c r="VGC14"/>
      <c r="VGD14"/>
      <c r="VGE14"/>
      <c r="VGF14"/>
      <c r="VGG14"/>
      <c r="VGH14"/>
      <c r="VGI14"/>
      <c r="VGJ14"/>
      <c r="VGK14"/>
      <c r="VGL14"/>
      <c r="VGM14"/>
      <c r="VGN14"/>
      <c r="VGO14"/>
      <c r="VGP14"/>
      <c r="VGQ14"/>
      <c r="VGR14"/>
      <c r="VGS14"/>
      <c r="VGT14"/>
      <c r="VGU14"/>
      <c r="VGV14"/>
      <c r="VGW14"/>
      <c r="VGX14"/>
      <c r="VGY14"/>
      <c r="VGZ14"/>
      <c r="VHA14"/>
      <c r="VHB14"/>
      <c r="VHC14"/>
      <c r="VHD14"/>
      <c r="VHE14"/>
      <c r="VHF14"/>
      <c r="VHG14"/>
      <c r="VHH14"/>
      <c r="VHI14"/>
      <c r="VHJ14"/>
      <c r="VHK14"/>
      <c r="VHL14"/>
      <c r="VHM14"/>
      <c r="VHN14"/>
      <c r="VHO14"/>
      <c r="VHP14"/>
      <c r="VHQ14"/>
      <c r="VHR14"/>
      <c r="VHS14"/>
      <c r="VHT14"/>
      <c r="VHU14"/>
      <c r="VHV14"/>
      <c r="VHW14"/>
      <c r="VHX14"/>
      <c r="VHY14"/>
      <c r="VHZ14"/>
      <c r="VIA14"/>
      <c r="VIB14"/>
      <c r="VIC14"/>
      <c r="VID14"/>
      <c r="VIE14"/>
      <c r="VIF14"/>
      <c r="VIG14"/>
      <c r="VIH14"/>
      <c r="VII14"/>
      <c r="VIJ14"/>
      <c r="VIK14"/>
      <c r="VIL14"/>
      <c r="VIM14"/>
      <c r="VIN14"/>
      <c r="VIO14"/>
      <c r="VIP14"/>
      <c r="VIQ14"/>
      <c r="VIR14"/>
      <c r="VIS14"/>
      <c r="VIT14"/>
      <c r="VIU14"/>
      <c r="VIV14"/>
      <c r="VIW14"/>
      <c r="VIX14"/>
      <c r="VIY14"/>
      <c r="VIZ14"/>
      <c r="VJA14"/>
      <c r="VJB14"/>
      <c r="VJC14"/>
      <c r="VJD14"/>
      <c r="VJE14"/>
      <c r="VJF14"/>
      <c r="VJG14"/>
      <c r="VJH14"/>
      <c r="VJI14"/>
      <c r="VJJ14"/>
      <c r="VJK14"/>
      <c r="VJL14"/>
      <c r="VJM14"/>
      <c r="VJN14"/>
      <c r="VJO14"/>
      <c r="VJP14"/>
      <c r="VJQ14"/>
      <c r="VJR14"/>
      <c r="VJS14"/>
      <c r="VJT14"/>
      <c r="VJU14"/>
      <c r="VJV14"/>
      <c r="VJW14"/>
      <c r="VJX14"/>
      <c r="VJY14"/>
      <c r="VJZ14"/>
      <c r="VKA14"/>
      <c r="VKB14"/>
      <c r="VKC14"/>
      <c r="VKD14"/>
      <c r="VKE14"/>
      <c r="VKF14"/>
      <c r="VKG14"/>
      <c r="VKH14"/>
      <c r="VKI14"/>
      <c r="VKJ14"/>
      <c r="VKK14"/>
      <c r="VKL14"/>
      <c r="VKM14"/>
      <c r="VKN14"/>
      <c r="VKO14"/>
      <c r="VKP14"/>
      <c r="VKQ14"/>
      <c r="VKR14"/>
      <c r="VKS14"/>
      <c r="VKT14"/>
      <c r="VKU14"/>
      <c r="VKV14"/>
      <c r="VKW14"/>
      <c r="VKX14"/>
      <c r="VKY14"/>
      <c r="VKZ14"/>
      <c r="VLA14"/>
      <c r="VLB14"/>
      <c r="VLC14"/>
      <c r="VLD14"/>
      <c r="VLE14"/>
      <c r="VLF14"/>
      <c r="VLG14"/>
      <c r="VLH14"/>
      <c r="VLI14"/>
      <c r="VLJ14"/>
      <c r="VLK14"/>
      <c r="VLL14"/>
      <c r="VLM14"/>
      <c r="VLN14"/>
      <c r="VLO14"/>
      <c r="VLP14"/>
      <c r="VLQ14"/>
      <c r="VLR14"/>
      <c r="VLS14"/>
      <c r="VLT14"/>
      <c r="VLU14"/>
      <c r="VLV14"/>
      <c r="VLW14"/>
      <c r="VLX14"/>
      <c r="VLY14"/>
      <c r="VLZ14"/>
      <c r="VMA14"/>
      <c r="VMB14"/>
      <c r="VMC14"/>
      <c r="VMD14"/>
      <c r="VME14"/>
      <c r="VMF14"/>
      <c r="VMG14"/>
      <c r="VMH14"/>
      <c r="VMI14"/>
      <c r="VMJ14"/>
      <c r="VMK14"/>
      <c r="VML14"/>
      <c r="VMM14"/>
      <c r="VMN14"/>
      <c r="VMO14"/>
      <c r="VMP14"/>
      <c r="VMQ14"/>
      <c r="VMR14"/>
      <c r="VMS14"/>
      <c r="VMT14"/>
      <c r="VMU14"/>
      <c r="VMV14"/>
      <c r="VMW14"/>
      <c r="VMX14"/>
      <c r="VMY14"/>
      <c r="VMZ14"/>
      <c r="VNA14"/>
      <c r="VNB14"/>
      <c r="VNC14"/>
      <c r="VND14"/>
      <c r="VNE14"/>
      <c r="VNF14"/>
      <c r="VNG14"/>
      <c r="VNH14"/>
      <c r="VNI14"/>
      <c r="VNJ14"/>
      <c r="VNK14"/>
      <c r="VNL14"/>
      <c r="VNM14"/>
      <c r="VNN14"/>
      <c r="VNO14"/>
      <c r="VNP14"/>
      <c r="VNQ14"/>
      <c r="VNR14"/>
      <c r="VNS14"/>
      <c r="VNT14"/>
      <c r="VNU14"/>
      <c r="VNV14"/>
      <c r="VNW14"/>
      <c r="VNX14"/>
      <c r="VNY14"/>
      <c r="VNZ14"/>
      <c r="VOA14"/>
      <c r="VOB14"/>
      <c r="VOC14"/>
      <c r="VOD14"/>
      <c r="VOE14"/>
      <c r="VOF14"/>
      <c r="VOG14"/>
      <c r="VOH14"/>
      <c r="VOI14"/>
      <c r="VOJ14"/>
      <c r="VOK14"/>
      <c r="VOL14"/>
      <c r="VOM14"/>
      <c r="VON14"/>
      <c r="VOO14"/>
      <c r="VOP14"/>
      <c r="VOQ14"/>
      <c r="VOR14"/>
      <c r="VOS14"/>
      <c r="VOT14"/>
      <c r="VOU14"/>
      <c r="VOV14"/>
      <c r="VOW14"/>
      <c r="VOX14"/>
      <c r="VOY14"/>
      <c r="VOZ14"/>
      <c r="VPA14"/>
      <c r="VPB14"/>
      <c r="VPC14"/>
      <c r="VPD14"/>
      <c r="VPE14"/>
      <c r="VPF14"/>
      <c r="VPG14"/>
      <c r="VPH14"/>
      <c r="VPI14"/>
      <c r="VPJ14"/>
      <c r="VPK14"/>
      <c r="VPL14"/>
      <c r="VPM14"/>
      <c r="VPN14"/>
      <c r="VPO14"/>
      <c r="VPP14"/>
      <c r="VPQ14"/>
      <c r="VPR14"/>
      <c r="VPS14"/>
      <c r="VPT14"/>
      <c r="VPU14"/>
      <c r="VPV14"/>
      <c r="VPW14"/>
      <c r="VPX14"/>
      <c r="VPY14"/>
      <c r="VPZ14"/>
      <c r="VQA14"/>
      <c r="VQB14"/>
      <c r="VQC14"/>
      <c r="VQD14"/>
      <c r="VQE14"/>
      <c r="VQF14"/>
      <c r="VQG14"/>
      <c r="VQH14"/>
      <c r="VQI14"/>
      <c r="VQJ14"/>
      <c r="VQK14"/>
      <c r="VQL14"/>
      <c r="VQM14"/>
      <c r="VQN14"/>
      <c r="VQO14"/>
      <c r="VQP14"/>
      <c r="VQQ14"/>
      <c r="VQR14"/>
      <c r="VQS14"/>
      <c r="VQT14"/>
      <c r="VQU14"/>
      <c r="VQV14"/>
      <c r="VQW14"/>
      <c r="VQX14"/>
      <c r="VQY14"/>
      <c r="VQZ14"/>
      <c r="VRA14"/>
      <c r="VRB14"/>
      <c r="VRC14"/>
      <c r="VRD14"/>
      <c r="VRE14"/>
      <c r="VRF14"/>
      <c r="VRG14"/>
      <c r="VRH14"/>
      <c r="VRI14"/>
      <c r="VRJ14"/>
      <c r="VRK14"/>
      <c r="VRL14"/>
      <c r="VRM14"/>
      <c r="VRN14"/>
      <c r="VRO14"/>
      <c r="VRP14"/>
      <c r="VRQ14"/>
      <c r="VRR14"/>
      <c r="VRS14"/>
      <c r="VRT14"/>
      <c r="VRU14"/>
      <c r="VRV14"/>
      <c r="VRW14"/>
      <c r="VRX14"/>
      <c r="VRY14"/>
      <c r="VRZ14"/>
      <c r="VSA14"/>
      <c r="VSB14"/>
      <c r="VSC14"/>
      <c r="VSD14"/>
      <c r="VSE14"/>
      <c r="VSF14"/>
      <c r="VSG14"/>
      <c r="VSH14"/>
      <c r="VSI14"/>
      <c r="VSJ14"/>
      <c r="VSK14"/>
      <c r="VSL14"/>
      <c r="VSM14"/>
      <c r="VSN14"/>
      <c r="VSO14"/>
      <c r="VSP14"/>
      <c r="VSQ14"/>
      <c r="VSR14"/>
      <c r="VSS14"/>
      <c r="VST14"/>
      <c r="VSU14"/>
      <c r="VSV14"/>
      <c r="VSW14"/>
      <c r="VSX14"/>
      <c r="VSY14"/>
      <c r="VSZ14"/>
      <c r="VTA14"/>
      <c r="VTB14"/>
      <c r="VTC14"/>
      <c r="VTD14"/>
      <c r="VTE14"/>
      <c r="VTF14"/>
      <c r="VTG14"/>
      <c r="VTH14"/>
      <c r="VTI14"/>
      <c r="VTJ14"/>
      <c r="VTK14"/>
      <c r="VTL14"/>
      <c r="VTM14"/>
      <c r="VTN14"/>
      <c r="VTO14"/>
      <c r="VTP14"/>
      <c r="VTQ14"/>
      <c r="VTR14"/>
      <c r="VTS14"/>
      <c r="VTT14"/>
      <c r="VTU14"/>
      <c r="VTV14"/>
      <c r="VTW14"/>
      <c r="VTX14"/>
      <c r="VTY14"/>
      <c r="VTZ14"/>
      <c r="VUA14"/>
      <c r="VUB14"/>
      <c r="VUC14"/>
      <c r="VUD14"/>
      <c r="VUE14"/>
      <c r="VUF14"/>
      <c r="VUG14"/>
      <c r="VUH14"/>
      <c r="VUI14"/>
      <c r="VUJ14"/>
      <c r="VUK14"/>
      <c r="VUL14"/>
      <c r="VUM14"/>
      <c r="VUN14"/>
      <c r="VUO14"/>
      <c r="VUP14"/>
      <c r="VUQ14"/>
      <c r="VUR14"/>
      <c r="VUS14"/>
      <c r="VUT14"/>
      <c r="VUU14"/>
      <c r="VUV14"/>
      <c r="VUW14"/>
      <c r="VUX14"/>
      <c r="VUY14"/>
      <c r="VUZ14"/>
      <c r="VVA14"/>
      <c r="VVB14"/>
      <c r="VVC14"/>
      <c r="VVD14"/>
      <c r="VVE14"/>
      <c r="VVF14"/>
      <c r="VVG14"/>
      <c r="VVH14"/>
      <c r="VVI14"/>
      <c r="VVJ14"/>
      <c r="VVK14"/>
      <c r="VVL14"/>
      <c r="VVM14"/>
      <c r="VVN14"/>
      <c r="VVO14"/>
      <c r="VVP14"/>
      <c r="VVQ14"/>
      <c r="VVR14"/>
      <c r="VVS14"/>
      <c r="VVT14"/>
      <c r="VVU14"/>
      <c r="VVV14"/>
      <c r="VVW14"/>
      <c r="VVX14"/>
      <c r="VVY14"/>
      <c r="VVZ14"/>
      <c r="VWA14"/>
      <c r="VWB14"/>
      <c r="VWC14"/>
      <c r="VWD14"/>
      <c r="VWE14"/>
      <c r="VWF14"/>
      <c r="VWG14"/>
      <c r="VWH14"/>
      <c r="VWI14"/>
      <c r="VWJ14"/>
      <c r="VWK14"/>
      <c r="VWL14"/>
      <c r="VWM14"/>
      <c r="VWN14"/>
      <c r="VWO14"/>
      <c r="VWP14"/>
      <c r="VWQ14"/>
      <c r="VWR14"/>
      <c r="VWS14"/>
      <c r="VWT14"/>
      <c r="VWU14"/>
      <c r="VWV14"/>
      <c r="VWW14"/>
      <c r="VWX14"/>
      <c r="VWY14"/>
      <c r="VWZ14"/>
      <c r="VXA14"/>
      <c r="VXB14"/>
      <c r="VXC14"/>
      <c r="VXD14"/>
      <c r="VXE14"/>
      <c r="VXF14"/>
      <c r="VXG14"/>
      <c r="VXH14"/>
      <c r="VXI14"/>
      <c r="VXJ14"/>
      <c r="VXK14"/>
      <c r="VXL14"/>
      <c r="VXM14"/>
      <c r="VXN14"/>
      <c r="VXO14"/>
      <c r="VXP14"/>
      <c r="VXQ14"/>
      <c r="VXR14"/>
      <c r="VXS14"/>
      <c r="VXT14"/>
      <c r="VXU14"/>
      <c r="VXV14"/>
      <c r="VXW14"/>
      <c r="VXX14"/>
      <c r="VXY14"/>
      <c r="VXZ14"/>
      <c r="VYA14"/>
      <c r="VYB14"/>
      <c r="VYC14"/>
      <c r="VYD14"/>
      <c r="VYE14"/>
      <c r="VYF14"/>
      <c r="VYG14"/>
      <c r="VYH14"/>
      <c r="VYI14"/>
      <c r="VYJ14"/>
      <c r="VYK14"/>
      <c r="VYL14"/>
      <c r="VYM14"/>
      <c r="VYN14"/>
      <c r="VYO14"/>
      <c r="VYP14"/>
      <c r="VYQ14"/>
      <c r="VYR14"/>
      <c r="VYS14"/>
      <c r="VYT14"/>
      <c r="VYU14"/>
      <c r="VYV14"/>
      <c r="VYW14"/>
      <c r="VYX14"/>
      <c r="VYY14"/>
      <c r="VYZ14"/>
      <c r="VZA14"/>
      <c r="VZB14"/>
      <c r="VZC14"/>
      <c r="VZD14"/>
      <c r="VZE14"/>
      <c r="VZF14"/>
      <c r="VZG14"/>
      <c r="VZH14"/>
      <c r="VZI14"/>
      <c r="VZJ14"/>
      <c r="VZK14"/>
      <c r="VZL14"/>
      <c r="VZM14"/>
      <c r="VZN14"/>
      <c r="VZO14"/>
      <c r="VZP14"/>
      <c r="VZQ14"/>
      <c r="VZR14"/>
      <c r="VZS14"/>
      <c r="VZT14"/>
      <c r="VZU14"/>
      <c r="VZV14"/>
      <c r="VZW14"/>
      <c r="VZX14"/>
      <c r="VZY14"/>
      <c r="VZZ14"/>
      <c r="WAA14"/>
      <c r="WAB14"/>
      <c r="WAC14"/>
      <c r="WAD14"/>
      <c r="WAE14"/>
      <c r="WAF14"/>
      <c r="WAG14"/>
      <c r="WAH14"/>
      <c r="WAI14"/>
      <c r="WAJ14"/>
      <c r="WAK14"/>
      <c r="WAL14"/>
      <c r="WAM14"/>
      <c r="WAN14"/>
      <c r="WAO14"/>
      <c r="WAP14"/>
      <c r="WAQ14"/>
      <c r="WAR14"/>
      <c r="WAS14"/>
      <c r="WAT14"/>
      <c r="WAU14"/>
      <c r="WAV14"/>
      <c r="WAW14"/>
      <c r="WAX14"/>
      <c r="WAY14"/>
      <c r="WAZ14"/>
      <c r="WBA14"/>
      <c r="WBB14"/>
      <c r="WBC14"/>
      <c r="WBD14"/>
      <c r="WBE14"/>
      <c r="WBF14"/>
      <c r="WBG14"/>
      <c r="WBH14"/>
      <c r="WBI14"/>
      <c r="WBJ14"/>
      <c r="WBK14"/>
      <c r="WBL14"/>
      <c r="WBM14"/>
      <c r="WBN14"/>
      <c r="WBO14"/>
      <c r="WBP14"/>
      <c r="WBQ14"/>
      <c r="WBR14"/>
      <c r="WBS14"/>
      <c r="WBT14"/>
      <c r="WBU14"/>
      <c r="WBV14"/>
      <c r="WBW14"/>
      <c r="WBX14"/>
      <c r="WBY14"/>
      <c r="WBZ14"/>
      <c r="WCA14"/>
      <c r="WCB14"/>
      <c r="WCC14"/>
      <c r="WCD14"/>
      <c r="WCE14"/>
      <c r="WCF14"/>
      <c r="WCG14"/>
      <c r="WCH14"/>
      <c r="WCI14"/>
      <c r="WCJ14"/>
      <c r="WCK14"/>
      <c r="WCL14"/>
      <c r="WCM14"/>
      <c r="WCN14"/>
      <c r="WCO14"/>
      <c r="WCP14"/>
      <c r="WCQ14"/>
      <c r="WCR14"/>
      <c r="WCS14"/>
      <c r="WCT14"/>
      <c r="WCU14"/>
      <c r="WCV14"/>
      <c r="WCW14"/>
      <c r="WCX14"/>
      <c r="WCY14"/>
      <c r="WCZ14"/>
      <c r="WDA14"/>
      <c r="WDB14"/>
      <c r="WDC14"/>
      <c r="WDD14"/>
      <c r="WDE14"/>
      <c r="WDF14"/>
      <c r="WDG14"/>
      <c r="WDH14"/>
      <c r="WDI14"/>
      <c r="WDJ14"/>
      <c r="WDK14"/>
      <c r="WDL14"/>
      <c r="WDM14"/>
      <c r="WDN14"/>
      <c r="WDO14"/>
      <c r="WDP14"/>
      <c r="WDQ14"/>
      <c r="WDR14"/>
      <c r="WDS14"/>
      <c r="WDT14"/>
      <c r="WDU14"/>
      <c r="WDV14"/>
      <c r="WDW14"/>
      <c r="WDX14"/>
      <c r="WDY14"/>
      <c r="WDZ14"/>
      <c r="WEA14"/>
      <c r="WEB14"/>
      <c r="WEC14"/>
      <c r="WED14"/>
      <c r="WEE14"/>
      <c r="WEF14"/>
      <c r="WEG14"/>
      <c r="WEH14"/>
      <c r="WEI14"/>
      <c r="WEJ14"/>
      <c r="WEK14"/>
      <c r="WEL14"/>
      <c r="WEM14"/>
      <c r="WEN14"/>
      <c r="WEO14"/>
      <c r="WEP14"/>
      <c r="WEQ14"/>
      <c r="WER14"/>
      <c r="WES14"/>
      <c r="WET14"/>
      <c r="WEU14"/>
      <c r="WEV14"/>
      <c r="WEW14"/>
      <c r="WEX14"/>
      <c r="WEY14"/>
      <c r="WEZ14"/>
      <c r="WFA14"/>
      <c r="WFB14"/>
      <c r="WFC14"/>
      <c r="WFD14"/>
      <c r="WFE14"/>
      <c r="WFF14"/>
      <c r="WFG14"/>
      <c r="WFH14"/>
      <c r="WFI14"/>
      <c r="WFJ14"/>
      <c r="WFK14"/>
      <c r="WFL14"/>
      <c r="WFM14"/>
      <c r="WFN14"/>
      <c r="WFO14"/>
      <c r="WFP14"/>
      <c r="WFQ14"/>
      <c r="WFR14"/>
      <c r="WFS14"/>
      <c r="WFT14"/>
      <c r="WFU14"/>
      <c r="WFV14"/>
      <c r="WFW14"/>
      <c r="WFX14"/>
      <c r="WFY14"/>
      <c r="WFZ14"/>
      <c r="WGA14"/>
      <c r="WGB14"/>
      <c r="WGC14"/>
      <c r="WGD14"/>
      <c r="WGE14"/>
      <c r="WGF14"/>
      <c r="WGG14"/>
      <c r="WGH14"/>
      <c r="WGI14"/>
      <c r="WGJ14"/>
      <c r="WGK14"/>
      <c r="WGL14"/>
      <c r="WGM14"/>
      <c r="WGN14"/>
      <c r="WGO14"/>
      <c r="WGP14"/>
      <c r="WGQ14"/>
      <c r="WGR14"/>
      <c r="WGS14"/>
      <c r="WGT14"/>
      <c r="WGU14"/>
      <c r="WGV14"/>
      <c r="WGW14"/>
      <c r="WGX14"/>
      <c r="WGY14"/>
      <c r="WGZ14"/>
      <c r="WHA14"/>
      <c r="WHB14"/>
      <c r="WHC14"/>
      <c r="WHD14"/>
      <c r="WHE14"/>
      <c r="WHF14"/>
      <c r="WHG14"/>
      <c r="WHH14"/>
      <c r="WHI14"/>
      <c r="WHJ14"/>
      <c r="WHK14"/>
      <c r="WHL14"/>
      <c r="WHM14"/>
      <c r="WHN14"/>
      <c r="WHO14"/>
      <c r="WHP14"/>
      <c r="WHQ14"/>
      <c r="WHR14"/>
      <c r="WHS14"/>
      <c r="WHT14"/>
      <c r="WHU14"/>
      <c r="WHV14"/>
      <c r="WHW14"/>
      <c r="WHX14"/>
      <c r="WHY14"/>
      <c r="WHZ14"/>
      <c r="WIA14"/>
      <c r="WIB14"/>
      <c r="WIC14"/>
      <c r="WID14"/>
      <c r="WIE14"/>
      <c r="WIF14"/>
      <c r="WIG14"/>
      <c r="WIH14"/>
      <c r="WII14"/>
      <c r="WIJ14"/>
      <c r="WIK14"/>
      <c r="WIL14"/>
      <c r="WIM14"/>
      <c r="WIN14"/>
      <c r="WIO14"/>
      <c r="WIP14"/>
      <c r="WIQ14"/>
      <c r="WIR14"/>
      <c r="WIS14"/>
      <c r="WIT14"/>
      <c r="WIU14"/>
      <c r="WIV14"/>
      <c r="WIW14"/>
      <c r="WIX14"/>
      <c r="WIY14"/>
      <c r="WIZ14"/>
      <c r="WJA14"/>
      <c r="WJB14"/>
      <c r="WJC14"/>
      <c r="WJD14"/>
      <c r="WJE14"/>
      <c r="WJF14"/>
      <c r="WJG14"/>
      <c r="WJH14"/>
      <c r="WJI14"/>
      <c r="WJJ14"/>
      <c r="WJK14"/>
      <c r="WJL14"/>
      <c r="WJM14"/>
      <c r="WJN14"/>
      <c r="WJO14"/>
      <c r="WJP14"/>
      <c r="WJQ14"/>
      <c r="WJR14"/>
      <c r="WJS14"/>
      <c r="WJT14"/>
      <c r="WJU14"/>
      <c r="WJV14"/>
      <c r="WJW14"/>
      <c r="WJX14"/>
      <c r="WJY14"/>
      <c r="WJZ14"/>
      <c r="WKA14"/>
      <c r="WKB14"/>
      <c r="WKC14"/>
      <c r="WKD14"/>
      <c r="WKE14"/>
      <c r="WKF14"/>
      <c r="WKG14"/>
      <c r="WKH14"/>
      <c r="WKI14"/>
      <c r="WKJ14"/>
      <c r="WKK14"/>
      <c r="WKL14"/>
      <c r="WKM14"/>
      <c r="WKN14"/>
      <c r="WKO14"/>
      <c r="WKP14"/>
      <c r="WKQ14"/>
      <c r="WKR14"/>
      <c r="WKS14"/>
      <c r="WKT14"/>
      <c r="WKU14"/>
      <c r="WKV14"/>
      <c r="WKW14"/>
      <c r="WKX14"/>
      <c r="WKY14"/>
      <c r="WKZ14"/>
      <c r="WLA14"/>
      <c r="WLB14"/>
      <c r="WLC14"/>
      <c r="WLD14"/>
      <c r="WLE14"/>
      <c r="WLF14"/>
      <c r="WLG14"/>
      <c r="WLH14"/>
      <c r="WLI14"/>
      <c r="WLJ14"/>
      <c r="WLK14"/>
      <c r="WLL14"/>
      <c r="WLM14"/>
      <c r="WLN14"/>
      <c r="WLO14"/>
      <c r="WLP14"/>
      <c r="WLQ14"/>
      <c r="WLR14"/>
      <c r="WLS14"/>
      <c r="WLT14"/>
      <c r="WLU14"/>
      <c r="WLV14"/>
      <c r="WLW14"/>
      <c r="WLX14"/>
      <c r="WLY14"/>
      <c r="WLZ14"/>
      <c r="WMA14"/>
      <c r="WMB14"/>
      <c r="WMC14"/>
      <c r="WMD14"/>
      <c r="WME14"/>
      <c r="WMF14"/>
      <c r="WMG14"/>
      <c r="WMH14"/>
      <c r="WMI14"/>
      <c r="WMJ14"/>
      <c r="WMK14"/>
      <c r="WML14"/>
      <c r="WMM14"/>
      <c r="WMN14"/>
      <c r="WMO14"/>
      <c r="WMP14"/>
      <c r="WMQ14"/>
      <c r="WMR14"/>
      <c r="WMS14"/>
      <c r="WMT14"/>
      <c r="WMU14"/>
      <c r="WMV14"/>
      <c r="WMW14"/>
      <c r="WMX14"/>
      <c r="WMY14"/>
      <c r="WMZ14"/>
      <c r="WNA14"/>
      <c r="WNB14"/>
      <c r="WNC14"/>
      <c r="WND14"/>
      <c r="WNE14"/>
      <c r="WNF14"/>
      <c r="WNG14"/>
      <c r="WNH14"/>
      <c r="WNI14"/>
      <c r="WNJ14"/>
      <c r="WNK14"/>
      <c r="WNL14"/>
      <c r="WNM14"/>
      <c r="WNN14"/>
      <c r="WNO14"/>
      <c r="WNP14"/>
      <c r="WNQ14"/>
      <c r="WNR14"/>
      <c r="WNS14"/>
      <c r="WNT14"/>
      <c r="WNU14"/>
      <c r="WNV14"/>
      <c r="WNW14"/>
      <c r="WNX14"/>
      <c r="WNY14"/>
      <c r="WNZ14"/>
      <c r="WOA14"/>
      <c r="WOB14"/>
      <c r="WOC14"/>
      <c r="WOD14"/>
      <c r="WOE14"/>
      <c r="WOF14"/>
      <c r="WOG14"/>
      <c r="WOH14"/>
      <c r="WOI14"/>
      <c r="WOJ14"/>
      <c r="WOK14"/>
      <c r="WOL14"/>
      <c r="WOM14"/>
      <c r="WON14"/>
      <c r="WOO14"/>
      <c r="WOP14"/>
      <c r="WOQ14"/>
      <c r="WOR14"/>
      <c r="WOS14"/>
      <c r="WOT14"/>
      <c r="WOU14"/>
      <c r="WOV14"/>
      <c r="WOW14"/>
      <c r="WOX14"/>
      <c r="WOY14"/>
      <c r="WOZ14"/>
      <c r="WPA14"/>
      <c r="WPB14"/>
      <c r="WPC14"/>
      <c r="WPD14"/>
      <c r="WPE14"/>
      <c r="WPF14"/>
      <c r="WPG14"/>
      <c r="WPH14"/>
      <c r="WPI14"/>
      <c r="WPJ14"/>
      <c r="WPK14"/>
      <c r="WPL14"/>
      <c r="WPM14"/>
      <c r="WPN14"/>
      <c r="WPO14"/>
      <c r="WPP14"/>
      <c r="WPQ14"/>
      <c r="WPR14"/>
      <c r="WPS14"/>
      <c r="WPT14"/>
      <c r="WPU14"/>
      <c r="WPV14"/>
      <c r="WPW14"/>
      <c r="WPX14"/>
      <c r="WPY14"/>
      <c r="WPZ14"/>
      <c r="WQA14"/>
      <c r="WQB14"/>
      <c r="WQC14"/>
      <c r="WQD14"/>
      <c r="WQE14"/>
      <c r="WQF14"/>
      <c r="WQG14"/>
      <c r="WQH14"/>
      <c r="WQI14"/>
      <c r="WQJ14"/>
      <c r="WQK14"/>
      <c r="WQL14"/>
      <c r="WQM14"/>
      <c r="WQN14"/>
      <c r="WQO14"/>
      <c r="WQP14"/>
      <c r="WQQ14"/>
      <c r="WQR14"/>
      <c r="WQS14"/>
      <c r="WQT14"/>
      <c r="WQU14"/>
      <c r="WQV14"/>
      <c r="WQW14"/>
      <c r="WQX14"/>
      <c r="WQY14"/>
      <c r="WQZ14"/>
      <c r="WRA14"/>
      <c r="WRB14"/>
      <c r="WRC14"/>
      <c r="WRD14"/>
      <c r="WRE14"/>
      <c r="WRF14"/>
      <c r="WRG14"/>
      <c r="WRH14"/>
      <c r="WRI14"/>
      <c r="WRJ14"/>
      <c r="WRK14"/>
      <c r="WRL14"/>
      <c r="WRM14"/>
      <c r="WRN14"/>
      <c r="WRO14"/>
      <c r="WRP14"/>
      <c r="WRQ14"/>
      <c r="WRR14"/>
      <c r="WRS14"/>
      <c r="WRT14"/>
      <c r="WRU14"/>
      <c r="WRV14"/>
      <c r="WRW14"/>
      <c r="WRX14"/>
      <c r="WRY14"/>
      <c r="WRZ14"/>
      <c r="WSA14"/>
      <c r="WSB14"/>
      <c r="WSC14"/>
      <c r="WSD14"/>
      <c r="WSE14"/>
      <c r="WSF14"/>
      <c r="WSG14"/>
      <c r="WSH14"/>
      <c r="WSI14"/>
      <c r="WSJ14"/>
      <c r="WSK14"/>
      <c r="WSL14"/>
      <c r="WSM14"/>
      <c r="WSN14"/>
      <c r="WSO14"/>
      <c r="WSP14"/>
      <c r="WSQ14"/>
      <c r="WSR14"/>
      <c r="WSS14"/>
      <c r="WST14"/>
      <c r="WSU14"/>
      <c r="WSV14"/>
      <c r="WSW14"/>
      <c r="WSX14"/>
      <c r="WSY14"/>
      <c r="WSZ14"/>
      <c r="WTA14"/>
      <c r="WTB14"/>
      <c r="WTC14"/>
      <c r="WTD14"/>
      <c r="WTE14"/>
      <c r="WTF14"/>
      <c r="WTG14"/>
      <c r="WTH14"/>
      <c r="WTI14"/>
      <c r="WTJ14"/>
      <c r="WTK14"/>
      <c r="WTL14"/>
      <c r="WTM14"/>
      <c r="WTN14"/>
      <c r="WTO14"/>
      <c r="WTP14"/>
      <c r="WTQ14"/>
      <c r="WTR14"/>
      <c r="WTS14"/>
      <c r="WTT14"/>
      <c r="WTU14"/>
      <c r="WTV14"/>
      <c r="WTW14"/>
      <c r="WTX14"/>
      <c r="WTY14"/>
      <c r="WTZ14"/>
      <c r="WUA14"/>
      <c r="WUB14"/>
      <c r="WUC14"/>
      <c r="WUD14"/>
      <c r="WUE14"/>
      <c r="WUF14"/>
      <c r="WUG14"/>
      <c r="WUH14"/>
      <c r="WUI14"/>
      <c r="WUJ14"/>
      <c r="WUK14"/>
      <c r="WUL14"/>
      <c r="WUM14"/>
      <c r="WUN14"/>
      <c r="WUO14"/>
      <c r="WUP14"/>
      <c r="WUQ14"/>
      <c r="WUR14"/>
      <c r="WUS14"/>
      <c r="WUT14"/>
      <c r="WUU14"/>
      <c r="WUV14"/>
      <c r="WUW14"/>
      <c r="WUX14"/>
      <c r="WUY14"/>
      <c r="WUZ14"/>
      <c r="WVA14"/>
      <c r="WVB14"/>
      <c r="WVC14"/>
      <c r="WVD14"/>
      <c r="WVE14"/>
      <c r="WVF14"/>
      <c r="WVG14"/>
      <c r="WVH14"/>
      <c r="WVI14"/>
      <c r="WVJ14"/>
      <c r="WVK14"/>
      <c r="WVL14"/>
      <c r="WVM14"/>
      <c r="WVN14"/>
      <c r="WVO14"/>
      <c r="WVP14"/>
      <c r="WVQ14"/>
      <c r="WVR14"/>
      <c r="WVS14"/>
      <c r="WVT14"/>
      <c r="WVU14"/>
      <c r="WVV14"/>
      <c r="WVW14"/>
      <c r="WVX14"/>
      <c r="WVY14"/>
      <c r="WVZ14"/>
      <c r="WWA14"/>
      <c r="WWB14"/>
      <c r="WWC14"/>
      <c r="WWD14"/>
      <c r="WWE14"/>
      <c r="WWF14"/>
      <c r="WWG14"/>
      <c r="WWH14"/>
      <c r="WWI14"/>
      <c r="WWJ14"/>
      <c r="WWK14"/>
      <c r="WWL14"/>
      <c r="WWM14"/>
      <c r="WWN14"/>
      <c r="WWO14"/>
      <c r="WWP14"/>
      <c r="WWQ14"/>
      <c r="WWR14"/>
      <c r="WWS14"/>
      <c r="WWT14"/>
      <c r="WWU14"/>
      <c r="WWV14"/>
      <c r="WWW14"/>
      <c r="WWX14"/>
      <c r="WWY14"/>
      <c r="WWZ14"/>
      <c r="WXA14"/>
      <c r="WXB14"/>
      <c r="WXC14"/>
      <c r="WXD14"/>
      <c r="WXE14"/>
      <c r="WXF14"/>
      <c r="WXG14"/>
      <c r="WXH14"/>
      <c r="WXI14"/>
      <c r="WXJ14"/>
      <c r="WXK14"/>
      <c r="WXL14"/>
      <c r="WXM14"/>
      <c r="WXN14"/>
      <c r="WXO14"/>
      <c r="WXP14"/>
      <c r="WXQ14"/>
      <c r="WXR14"/>
      <c r="WXS14"/>
      <c r="WXT14"/>
      <c r="WXU14"/>
      <c r="WXV14"/>
      <c r="WXW14"/>
      <c r="WXX14"/>
      <c r="WXY14"/>
      <c r="WXZ14"/>
      <c r="WYA14"/>
      <c r="WYB14"/>
      <c r="WYC14"/>
      <c r="WYD14"/>
      <c r="WYE14"/>
      <c r="WYF14"/>
      <c r="WYG14"/>
      <c r="WYH14"/>
      <c r="WYI14"/>
      <c r="WYJ14"/>
      <c r="WYK14"/>
      <c r="WYL14"/>
      <c r="WYM14"/>
      <c r="WYN14"/>
      <c r="WYO14"/>
      <c r="WYP14"/>
      <c r="WYQ14"/>
      <c r="WYR14"/>
      <c r="WYS14"/>
      <c r="WYT14"/>
      <c r="WYU14"/>
      <c r="WYV14"/>
      <c r="WYW14"/>
      <c r="WYX14"/>
      <c r="WYY14"/>
      <c r="WYZ14"/>
      <c r="WZA14"/>
      <c r="WZB14"/>
      <c r="WZC14"/>
      <c r="WZD14"/>
      <c r="WZE14"/>
      <c r="WZF14"/>
      <c r="WZG14"/>
      <c r="WZH14"/>
      <c r="WZI14"/>
      <c r="WZJ14"/>
      <c r="WZK14"/>
      <c r="WZL14"/>
      <c r="WZM14"/>
      <c r="WZN14"/>
      <c r="WZO14"/>
      <c r="WZP14"/>
      <c r="WZQ14"/>
      <c r="WZR14"/>
      <c r="WZS14"/>
      <c r="WZT14"/>
      <c r="WZU14"/>
      <c r="WZV14"/>
      <c r="WZW14"/>
      <c r="WZX14"/>
      <c r="WZY14"/>
      <c r="WZZ14"/>
      <c r="XAA14"/>
      <c r="XAB14"/>
      <c r="XAC14"/>
      <c r="XAD14"/>
      <c r="XAE14"/>
      <c r="XAF14"/>
      <c r="XAG14"/>
      <c r="XAH14"/>
      <c r="XAI14"/>
      <c r="XAJ14"/>
      <c r="XAK14"/>
      <c r="XAL14"/>
      <c r="XAM14"/>
      <c r="XAN14"/>
      <c r="XAO14"/>
      <c r="XAP14"/>
      <c r="XAQ14"/>
      <c r="XAR14"/>
      <c r="XAS14"/>
      <c r="XAT14"/>
      <c r="XAU14"/>
      <c r="XAV14"/>
      <c r="XAW14"/>
      <c r="XAX14"/>
      <c r="XAY14"/>
      <c r="XAZ14"/>
      <c r="XBA14"/>
      <c r="XBB14"/>
      <c r="XBC14"/>
      <c r="XBD14"/>
      <c r="XBE14"/>
      <c r="XBF14"/>
      <c r="XBG14"/>
      <c r="XBH14"/>
      <c r="XBI14"/>
      <c r="XBJ14"/>
      <c r="XBK14"/>
      <c r="XBL14"/>
      <c r="XBM14"/>
      <c r="XBN14"/>
      <c r="XBO14"/>
      <c r="XBP14"/>
      <c r="XBQ14"/>
      <c r="XBR14"/>
      <c r="XBS14"/>
      <c r="XBT14"/>
      <c r="XBU14"/>
      <c r="XBV14"/>
      <c r="XBW14"/>
      <c r="XBX14"/>
      <c r="XBY14"/>
      <c r="XBZ14"/>
      <c r="XCA14"/>
      <c r="XCB14"/>
      <c r="XCC14"/>
      <c r="XCD14"/>
      <c r="XCE14"/>
      <c r="XCF14"/>
      <c r="XCG14"/>
      <c r="XCH14"/>
      <c r="XCI14"/>
      <c r="XCJ14"/>
      <c r="XCK14"/>
      <c r="XCL14"/>
      <c r="XCM14"/>
      <c r="XCN14"/>
      <c r="XCO14"/>
      <c r="XCP14"/>
      <c r="XCQ14"/>
      <c r="XCR14"/>
      <c r="XCS14"/>
      <c r="XCT14"/>
      <c r="XCU14"/>
      <c r="XCV14"/>
      <c r="XCW14"/>
      <c r="XCX14"/>
      <c r="XCY14"/>
      <c r="XCZ14"/>
      <c r="XDA14"/>
      <c r="XDB14"/>
      <c r="XDC14"/>
      <c r="XDD14"/>
      <c r="XDE14"/>
      <c r="XDF14"/>
      <c r="XDG14"/>
      <c r="XDH14"/>
      <c r="XDI14"/>
      <c r="XDJ14"/>
      <c r="XDK14"/>
      <c r="XDL14"/>
      <c r="XDM14"/>
      <c r="XDN14"/>
      <c r="XDO14"/>
      <c r="XDP14"/>
      <c r="XDQ14"/>
      <c r="XDR14"/>
      <c r="XDS14"/>
      <c r="XDT14"/>
      <c r="XDU14"/>
      <c r="XDV14"/>
      <c r="XDW14"/>
      <c r="XDX14"/>
      <c r="XDY14"/>
      <c r="XDZ14"/>
      <c r="XEA14"/>
      <c r="XEB14"/>
      <c r="XEC14"/>
      <c r="XED14"/>
      <c r="XEE14"/>
      <c r="XEF14"/>
      <c r="XEG14"/>
      <c r="XEH14"/>
      <c r="XEI14"/>
      <c r="XEJ14"/>
      <c r="XEK14"/>
      <c r="XEL14"/>
      <c r="XEM14"/>
      <c r="XEN14"/>
      <c r="XEO14"/>
      <c r="XEP14"/>
      <c r="XEQ14"/>
      <c r="XER14"/>
      <c r="XES14"/>
      <c r="XET14"/>
      <c r="XEU14"/>
      <c r="XEV14"/>
      <c r="XEW14"/>
      <c r="XEX14"/>
      <c r="XEY14"/>
      <c r="XEZ14"/>
      <c r="XFA14"/>
      <c r="XFB14"/>
    </row>
    <row r="15" spans="1:16382" s="44" customFormat="1" x14ac:dyDescent="0.35">
      <c r="A15"/>
      <c r="B15" t="s">
        <v>914</v>
      </c>
      <c r="C15" s="25" t="s">
        <v>360</v>
      </c>
      <c r="D15" s="26" t="s">
        <v>361</v>
      </c>
      <c r="E15" s="26" t="s">
        <v>362</v>
      </c>
      <c r="F15" s="26" t="s">
        <v>363</v>
      </c>
      <c r="G15" s="26" t="s">
        <v>364</v>
      </c>
      <c r="H15" s="26" t="s">
        <v>365</v>
      </c>
      <c r="I15" s="26" t="s">
        <v>322</v>
      </c>
      <c r="J15" s="27" t="s">
        <v>366</v>
      </c>
      <c r="K15" s="26" t="s">
        <v>82</v>
      </c>
      <c r="L15" s="34">
        <v>2250</v>
      </c>
      <c r="M15" s="34">
        <v>2250</v>
      </c>
      <c r="N15" s="16">
        <f t="shared" si="0"/>
        <v>8839.3846153846152</v>
      </c>
      <c r="O15" s="34">
        <v>2250</v>
      </c>
      <c r="P15" s="34">
        <v>2250</v>
      </c>
      <c r="Q15" s="16">
        <f t="shared" si="1"/>
        <v>2934.782608695652</v>
      </c>
      <c r="R15" s="34">
        <v>2250</v>
      </c>
      <c r="S15" s="34">
        <v>2250</v>
      </c>
      <c r="T15" s="16">
        <f t="shared" si="2"/>
        <v>2124.5901639344261</v>
      </c>
      <c r="U15" s="34">
        <v>0</v>
      </c>
      <c r="V15" s="34">
        <v>0</v>
      </c>
      <c r="W15" s="16">
        <f t="shared" si="3"/>
        <v>0</v>
      </c>
      <c r="X15" s="34">
        <v>0</v>
      </c>
      <c r="Y15" s="34">
        <v>0</v>
      </c>
      <c r="Z15" s="16">
        <f t="shared" si="4"/>
        <v>0</v>
      </c>
      <c r="AA15" s="34">
        <v>0</v>
      </c>
      <c r="AB15" s="34">
        <v>0</v>
      </c>
      <c r="AC15" s="16">
        <f t="shared" si="5"/>
        <v>0</v>
      </c>
      <c r="AD15" s="31" t="s">
        <v>82</v>
      </c>
      <c r="AE15" s="5">
        <v>1</v>
      </c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  <c r="AJY15"/>
      <c r="AJZ15"/>
      <c r="AKA15"/>
      <c r="AKB15"/>
      <c r="AKC15"/>
      <c r="AKD15"/>
      <c r="AKE15"/>
      <c r="AKF15"/>
      <c r="AKG15"/>
      <c r="AKH15"/>
      <c r="AKI15"/>
      <c r="AKJ15"/>
      <c r="AKK15"/>
      <c r="AKL15"/>
      <c r="AKM15"/>
      <c r="AKN15"/>
      <c r="AKO15"/>
      <c r="AKP15"/>
      <c r="AKQ15"/>
      <c r="AKR15"/>
      <c r="AKS15"/>
      <c r="AKT15"/>
      <c r="AKU15"/>
      <c r="AKV15"/>
      <c r="AKW15"/>
      <c r="AKX15"/>
      <c r="AKY15"/>
      <c r="AKZ15"/>
      <c r="ALA15"/>
      <c r="ALB15"/>
      <c r="ALC15"/>
      <c r="ALD15"/>
      <c r="ALE15"/>
      <c r="ALF15"/>
      <c r="ALG15"/>
      <c r="ALH15"/>
      <c r="ALI15"/>
      <c r="ALJ15"/>
      <c r="ALK15"/>
      <c r="ALL15"/>
      <c r="ALM15"/>
      <c r="ALN15"/>
      <c r="ALO15"/>
      <c r="ALP15"/>
      <c r="ALQ15"/>
      <c r="ALR15"/>
      <c r="ALS15"/>
      <c r="ALT15"/>
      <c r="ALU15"/>
      <c r="ALV15"/>
      <c r="ALW15"/>
      <c r="ALX15"/>
      <c r="ALY15"/>
      <c r="ALZ15"/>
      <c r="AMA15"/>
      <c r="AMB15"/>
      <c r="AMC15"/>
      <c r="AMD15"/>
      <c r="AME15"/>
      <c r="AMF15"/>
      <c r="AMG15"/>
      <c r="AMH15"/>
      <c r="AMI15"/>
      <c r="AMJ15"/>
      <c r="AMK15"/>
      <c r="AML15"/>
      <c r="AMM15"/>
      <c r="AMN15"/>
      <c r="AMO15"/>
      <c r="AMP15"/>
      <c r="AMQ15"/>
      <c r="AMR15"/>
      <c r="AMS15"/>
      <c r="AMT15"/>
      <c r="AMU15"/>
      <c r="AMV15"/>
      <c r="AMW15"/>
      <c r="AMX15"/>
      <c r="AMY15"/>
      <c r="AMZ15"/>
      <c r="ANA15"/>
      <c r="ANB15"/>
      <c r="ANC15"/>
      <c r="AND15"/>
      <c r="ANE15"/>
      <c r="ANF15"/>
      <c r="ANG15"/>
      <c r="ANH15"/>
      <c r="ANI15"/>
      <c r="ANJ15"/>
      <c r="ANK15"/>
      <c r="ANL15"/>
      <c r="ANM15"/>
      <c r="ANN15"/>
      <c r="ANO15"/>
      <c r="ANP15"/>
      <c r="ANQ15"/>
      <c r="ANR15"/>
      <c r="ANS15"/>
      <c r="ANT15"/>
      <c r="ANU15"/>
      <c r="ANV15"/>
      <c r="ANW15"/>
      <c r="ANX15"/>
      <c r="ANY15"/>
      <c r="ANZ15"/>
      <c r="AOA15"/>
      <c r="AOB15"/>
      <c r="AOC15"/>
      <c r="AOD15"/>
      <c r="AOE15"/>
      <c r="AOF15"/>
      <c r="AOG15"/>
      <c r="AOH15"/>
      <c r="AOI15"/>
      <c r="AOJ15"/>
      <c r="AOK15"/>
      <c r="AOL15"/>
      <c r="AOM15"/>
      <c r="AON15"/>
      <c r="AOO15"/>
      <c r="AOP15"/>
      <c r="AOQ15"/>
      <c r="AOR15"/>
      <c r="AOS15"/>
      <c r="AOT15"/>
      <c r="AOU15"/>
      <c r="AOV15"/>
      <c r="AOW15"/>
      <c r="AOX15"/>
      <c r="AOY15"/>
      <c r="AOZ15"/>
      <c r="APA15"/>
      <c r="APB15"/>
      <c r="APC15"/>
      <c r="APD15"/>
      <c r="APE15"/>
      <c r="APF15"/>
      <c r="APG15"/>
      <c r="APH15"/>
      <c r="API15"/>
      <c r="APJ15"/>
      <c r="APK15"/>
      <c r="APL15"/>
      <c r="APM15"/>
      <c r="APN15"/>
      <c r="APO15"/>
      <c r="APP15"/>
      <c r="APQ15"/>
      <c r="APR15"/>
      <c r="APS15"/>
      <c r="APT15"/>
      <c r="APU15"/>
      <c r="APV15"/>
      <c r="APW15"/>
      <c r="APX15"/>
      <c r="APY15"/>
      <c r="APZ15"/>
      <c r="AQA15"/>
      <c r="AQB15"/>
      <c r="AQC15"/>
      <c r="AQD15"/>
      <c r="AQE15"/>
      <c r="AQF15"/>
      <c r="AQG15"/>
      <c r="AQH15"/>
      <c r="AQI15"/>
      <c r="AQJ15"/>
      <c r="AQK15"/>
      <c r="AQL15"/>
      <c r="AQM15"/>
      <c r="AQN15"/>
      <c r="AQO15"/>
      <c r="AQP15"/>
      <c r="AQQ15"/>
      <c r="AQR15"/>
      <c r="AQS15"/>
      <c r="AQT15"/>
      <c r="AQU15"/>
      <c r="AQV15"/>
      <c r="AQW15"/>
      <c r="AQX15"/>
      <c r="AQY15"/>
      <c r="AQZ15"/>
      <c r="ARA15"/>
      <c r="ARB15"/>
      <c r="ARC15"/>
      <c r="ARD15"/>
      <c r="ARE15"/>
      <c r="ARF15"/>
      <c r="ARG15"/>
      <c r="ARH15"/>
      <c r="ARI15"/>
      <c r="ARJ15"/>
      <c r="ARK15"/>
      <c r="ARL15"/>
      <c r="ARM15"/>
      <c r="ARN15"/>
      <c r="ARO15"/>
      <c r="ARP15"/>
      <c r="ARQ15"/>
      <c r="ARR15"/>
      <c r="ARS15"/>
      <c r="ART15"/>
      <c r="ARU15"/>
      <c r="ARV15"/>
      <c r="ARW15"/>
      <c r="ARX15"/>
      <c r="ARY15"/>
      <c r="ARZ15"/>
      <c r="ASA15"/>
      <c r="ASB15"/>
      <c r="ASC15"/>
      <c r="ASD15"/>
      <c r="ASE15"/>
      <c r="ASF15"/>
      <c r="ASG15"/>
      <c r="ASH15"/>
      <c r="ASI15"/>
      <c r="ASJ15"/>
      <c r="ASK15"/>
      <c r="ASL15"/>
      <c r="ASM15"/>
      <c r="ASN15"/>
      <c r="ASO15"/>
      <c r="ASP15"/>
      <c r="ASQ15"/>
      <c r="ASR15"/>
      <c r="ASS15"/>
      <c r="AST15"/>
      <c r="ASU15"/>
      <c r="ASV15"/>
      <c r="ASW15"/>
      <c r="ASX15"/>
      <c r="ASY15"/>
      <c r="ASZ15"/>
      <c r="ATA15"/>
      <c r="ATB15"/>
      <c r="ATC15"/>
      <c r="ATD15"/>
      <c r="ATE15"/>
      <c r="ATF15"/>
      <c r="ATG15"/>
      <c r="ATH15"/>
      <c r="ATI15"/>
      <c r="ATJ15"/>
      <c r="ATK15"/>
      <c r="ATL15"/>
      <c r="ATM15"/>
      <c r="ATN15"/>
      <c r="ATO15"/>
      <c r="ATP15"/>
      <c r="ATQ15"/>
      <c r="ATR15"/>
      <c r="ATS15"/>
      <c r="ATT15"/>
      <c r="ATU15"/>
      <c r="ATV15"/>
      <c r="ATW15"/>
      <c r="ATX15"/>
      <c r="ATY15"/>
      <c r="ATZ15"/>
      <c r="AUA15"/>
      <c r="AUB15"/>
      <c r="AUC15"/>
      <c r="AUD15"/>
      <c r="AUE15"/>
      <c r="AUF15"/>
      <c r="AUG15"/>
      <c r="AUH15"/>
      <c r="AUI15"/>
      <c r="AUJ15"/>
      <c r="AUK15"/>
      <c r="AUL15"/>
      <c r="AUM15"/>
      <c r="AUN15"/>
      <c r="AUO15"/>
      <c r="AUP15"/>
      <c r="AUQ15"/>
      <c r="AUR15"/>
      <c r="AUS15"/>
      <c r="AUT15"/>
      <c r="AUU15"/>
      <c r="AUV15"/>
      <c r="AUW15"/>
      <c r="AUX15"/>
      <c r="AUY15"/>
      <c r="AUZ15"/>
      <c r="AVA15"/>
      <c r="AVB15"/>
      <c r="AVC15"/>
      <c r="AVD15"/>
      <c r="AVE15"/>
      <c r="AVF15"/>
      <c r="AVG15"/>
      <c r="AVH15"/>
      <c r="AVI15"/>
      <c r="AVJ15"/>
      <c r="AVK15"/>
      <c r="AVL15"/>
      <c r="AVM15"/>
      <c r="AVN15"/>
      <c r="AVO15"/>
      <c r="AVP15"/>
      <c r="AVQ15"/>
      <c r="AVR15"/>
      <c r="AVS15"/>
      <c r="AVT15"/>
      <c r="AVU15"/>
      <c r="AVV15"/>
      <c r="AVW15"/>
      <c r="AVX15"/>
      <c r="AVY15"/>
      <c r="AVZ15"/>
      <c r="AWA15"/>
      <c r="AWB15"/>
      <c r="AWC15"/>
      <c r="AWD15"/>
      <c r="AWE15"/>
      <c r="AWF15"/>
      <c r="AWG15"/>
      <c r="AWH15"/>
      <c r="AWI15"/>
      <c r="AWJ15"/>
      <c r="AWK15"/>
      <c r="AWL15"/>
      <c r="AWM15"/>
      <c r="AWN15"/>
      <c r="AWO15"/>
      <c r="AWP15"/>
      <c r="AWQ15"/>
      <c r="AWR15"/>
      <c r="AWS15"/>
      <c r="AWT15"/>
      <c r="AWU15"/>
      <c r="AWV15"/>
      <c r="AWW15"/>
      <c r="AWX15"/>
      <c r="AWY15"/>
      <c r="AWZ15"/>
      <c r="AXA15"/>
      <c r="AXB15"/>
      <c r="AXC15"/>
      <c r="AXD15"/>
      <c r="AXE15"/>
      <c r="AXF15"/>
      <c r="AXG15"/>
      <c r="AXH15"/>
      <c r="AXI15"/>
      <c r="AXJ15"/>
      <c r="AXK15"/>
      <c r="AXL15"/>
      <c r="AXM15"/>
      <c r="AXN15"/>
      <c r="AXO15"/>
      <c r="AXP15"/>
      <c r="AXQ15"/>
      <c r="AXR15"/>
      <c r="AXS15"/>
      <c r="AXT15"/>
      <c r="AXU15"/>
      <c r="AXV15"/>
      <c r="AXW15"/>
      <c r="AXX15"/>
      <c r="AXY15"/>
      <c r="AXZ15"/>
      <c r="AYA15"/>
      <c r="AYB15"/>
      <c r="AYC15"/>
      <c r="AYD15"/>
      <c r="AYE15"/>
      <c r="AYF15"/>
      <c r="AYG15"/>
      <c r="AYH15"/>
      <c r="AYI15"/>
      <c r="AYJ15"/>
      <c r="AYK15"/>
      <c r="AYL15"/>
      <c r="AYM15"/>
      <c r="AYN15"/>
      <c r="AYO15"/>
      <c r="AYP15"/>
      <c r="AYQ15"/>
      <c r="AYR15"/>
      <c r="AYS15"/>
      <c r="AYT15"/>
      <c r="AYU15"/>
      <c r="AYV15"/>
      <c r="AYW15"/>
      <c r="AYX15"/>
      <c r="AYY15"/>
      <c r="AYZ15"/>
      <c r="AZA15"/>
      <c r="AZB15"/>
      <c r="AZC15"/>
      <c r="AZD15"/>
      <c r="AZE15"/>
      <c r="AZF15"/>
      <c r="AZG15"/>
      <c r="AZH15"/>
      <c r="AZI15"/>
      <c r="AZJ15"/>
      <c r="AZK15"/>
      <c r="AZL15"/>
      <c r="AZM15"/>
      <c r="AZN15"/>
      <c r="AZO15"/>
      <c r="AZP15"/>
      <c r="AZQ15"/>
      <c r="AZR15"/>
      <c r="AZS15"/>
      <c r="AZT15"/>
      <c r="AZU15"/>
      <c r="AZV15"/>
      <c r="AZW15"/>
      <c r="AZX15"/>
      <c r="AZY15"/>
      <c r="AZZ15"/>
      <c r="BAA15"/>
      <c r="BAB15"/>
      <c r="BAC15"/>
      <c r="BAD15"/>
      <c r="BAE15"/>
      <c r="BAF15"/>
      <c r="BAG15"/>
      <c r="BAH15"/>
      <c r="BAI15"/>
      <c r="BAJ15"/>
      <c r="BAK15"/>
      <c r="BAL15"/>
      <c r="BAM15"/>
      <c r="BAN15"/>
      <c r="BAO15"/>
      <c r="BAP15"/>
      <c r="BAQ15"/>
      <c r="BAR15"/>
      <c r="BAS15"/>
      <c r="BAT15"/>
      <c r="BAU15"/>
      <c r="BAV15"/>
      <c r="BAW15"/>
      <c r="BAX15"/>
      <c r="BAY15"/>
      <c r="BAZ15"/>
      <c r="BBA15"/>
      <c r="BBB15"/>
      <c r="BBC15"/>
      <c r="BBD15"/>
      <c r="BBE15"/>
      <c r="BBF15"/>
      <c r="BBG15"/>
      <c r="BBH15"/>
      <c r="BBI15"/>
      <c r="BBJ15"/>
      <c r="BBK15"/>
      <c r="BBL15"/>
      <c r="BBM15"/>
      <c r="BBN15"/>
      <c r="BBO15"/>
      <c r="BBP15"/>
      <c r="BBQ15"/>
      <c r="BBR15"/>
      <c r="BBS15"/>
      <c r="BBT15"/>
      <c r="BBU15"/>
      <c r="BBV15"/>
      <c r="BBW15"/>
      <c r="BBX15"/>
      <c r="BBY15"/>
      <c r="BBZ15"/>
      <c r="BCA15"/>
      <c r="BCB15"/>
      <c r="BCC15"/>
      <c r="BCD15"/>
      <c r="BCE15"/>
      <c r="BCF15"/>
      <c r="BCG15"/>
      <c r="BCH15"/>
      <c r="BCI15"/>
      <c r="BCJ15"/>
      <c r="BCK15"/>
      <c r="BCL15"/>
      <c r="BCM15"/>
      <c r="BCN15"/>
      <c r="BCO15"/>
      <c r="BCP15"/>
      <c r="BCQ15"/>
      <c r="BCR15"/>
      <c r="BCS15"/>
      <c r="BCT15"/>
      <c r="BCU15"/>
      <c r="BCV15"/>
      <c r="BCW15"/>
      <c r="BCX15"/>
      <c r="BCY15"/>
      <c r="BCZ15"/>
      <c r="BDA15"/>
      <c r="BDB15"/>
      <c r="BDC15"/>
      <c r="BDD15"/>
      <c r="BDE15"/>
      <c r="BDF15"/>
      <c r="BDG15"/>
      <c r="BDH15"/>
      <c r="BDI15"/>
      <c r="BDJ15"/>
      <c r="BDK15"/>
      <c r="BDL15"/>
      <c r="BDM15"/>
      <c r="BDN15"/>
      <c r="BDO15"/>
      <c r="BDP15"/>
      <c r="BDQ15"/>
      <c r="BDR15"/>
      <c r="BDS15"/>
      <c r="BDT15"/>
      <c r="BDU15"/>
      <c r="BDV15"/>
      <c r="BDW15"/>
      <c r="BDX15"/>
      <c r="BDY15"/>
      <c r="BDZ15"/>
      <c r="BEA15"/>
      <c r="BEB15"/>
      <c r="BEC15"/>
      <c r="BED15"/>
      <c r="BEE15"/>
      <c r="BEF15"/>
      <c r="BEG15"/>
      <c r="BEH15"/>
      <c r="BEI15"/>
      <c r="BEJ15"/>
      <c r="BEK15"/>
      <c r="BEL15"/>
      <c r="BEM15"/>
      <c r="BEN15"/>
      <c r="BEO15"/>
      <c r="BEP15"/>
      <c r="BEQ15"/>
      <c r="BER15"/>
      <c r="BES15"/>
      <c r="BET15"/>
      <c r="BEU15"/>
      <c r="BEV15"/>
      <c r="BEW15"/>
      <c r="BEX15"/>
      <c r="BEY15"/>
      <c r="BEZ15"/>
      <c r="BFA15"/>
      <c r="BFB15"/>
      <c r="BFC15"/>
      <c r="BFD15"/>
      <c r="BFE15"/>
      <c r="BFF15"/>
      <c r="BFG15"/>
      <c r="BFH15"/>
      <c r="BFI15"/>
      <c r="BFJ15"/>
      <c r="BFK15"/>
      <c r="BFL15"/>
      <c r="BFM15"/>
      <c r="BFN15"/>
      <c r="BFO15"/>
      <c r="BFP15"/>
      <c r="BFQ15"/>
      <c r="BFR15"/>
      <c r="BFS15"/>
      <c r="BFT15"/>
      <c r="BFU15"/>
      <c r="BFV15"/>
      <c r="BFW15"/>
      <c r="BFX15"/>
      <c r="BFY15"/>
      <c r="BFZ15"/>
      <c r="BGA15"/>
      <c r="BGB15"/>
      <c r="BGC15"/>
      <c r="BGD15"/>
      <c r="BGE15"/>
      <c r="BGF15"/>
      <c r="BGG15"/>
      <c r="BGH15"/>
      <c r="BGI15"/>
      <c r="BGJ15"/>
      <c r="BGK15"/>
      <c r="BGL15"/>
      <c r="BGM15"/>
      <c r="BGN15"/>
      <c r="BGO15"/>
      <c r="BGP15"/>
      <c r="BGQ15"/>
      <c r="BGR15"/>
      <c r="BGS15"/>
      <c r="BGT15"/>
      <c r="BGU15"/>
      <c r="BGV15"/>
      <c r="BGW15"/>
      <c r="BGX15"/>
      <c r="BGY15"/>
      <c r="BGZ15"/>
      <c r="BHA15"/>
      <c r="BHB15"/>
      <c r="BHC15"/>
      <c r="BHD15"/>
      <c r="BHE15"/>
      <c r="BHF15"/>
      <c r="BHG15"/>
      <c r="BHH15"/>
      <c r="BHI15"/>
      <c r="BHJ15"/>
      <c r="BHK15"/>
      <c r="BHL15"/>
      <c r="BHM15"/>
      <c r="BHN15"/>
      <c r="BHO15"/>
      <c r="BHP15"/>
      <c r="BHQ15"/>
      <c r="BHR15"/>
      <c r="BHS15"/>
      <c r="BHT15"/>
      <c r="BHU15"/>
      <c r="BHV15"/>
      <c r="BHW15"/>
      <c r="BHX15"/>
      <c r="BHY15"/>
      <c r="BHZ15"/>
      <c r="BIA15"/>
      <c r="BIB15"/>
      <c r="BIC15"/>
      <c r="BID15"/>
      <c r="BIE15"/>
      <c r="BIF15"/>
      <c r="BIG15"/>
      <c r="BIH15"/>
      <c r="BII15"/>
      <c r="BIJ15"/>
      <c r="BIK15"/>
      <c r="BIL15"/>
      <c r="BIM15"/>
      <c r="BIN15"/>
      <c r="BIO15"/>
      <c r="BIP15"/>
      <c r="BIQ15"/>
      <c r="BIR15"/>
      <c r="BIS15"/>
      <c r="BIT15"/>
      <c r="BIU15"/>
      <c r="BIV15"/>
      <c r="BIW15"/>
      <c r="BIX15"/>
      <c r="BIY15"/>
      <c r="BIZ15"/>
      <c r="BJA15"/>
      <c r="BJB15"/>
      <c r="BJC15"/>
      <c r="BJD15"/>
      <c r="BJE15"/>
      <c r="BJF15"/>
      <c r="BJG15"/>
      <c r="BJH15"/>
      <c r="BJI15"/>
      <c r="BJJ15"/>
      <c r="BJK15"/>
      <c r="BJL15"/>
      <c r="BJM15"/>
      <c r="BJN15"/>
      <c r="BJO15"/>
      <c r="BJP15"/>
      <c r="BJQ15"/>
      <c r="BJR15"/>
      <c r="BJS15"/>
      <c r="BJT15"/>
      <c r="BJU15"/>
      <c r="BJV15"/>
      <c r="BJW15"/>
      <c r="BJX15"/>
      <c r="BJY15"/>
      <c r="BJZ15"/>
      <c r="BKA15"/>
      <c r="BKB15"/>
      <c r="BKC15"/>
      <c r="BKD15"/>
      <c r="BKE15"/>
      <c r="BKF15"/>
      <c r="BKG15"/>
      <c r="BKH15"/>
      <c r="BKI15"/>
      <c r="BKJ15"/>
      <c r="BKK15"/>
      <c r="BKL15"/>
      <c r="BKM15"/>
      <c r="BKN15"/>
      <c r="BKO15"/>
      <c r="BKP15"/>
      <c r="BKQ15"/>
      <c r="BKR15"/>
      <c r="BKS15"/>
      <c r="BKT15"/>
      <c r="BKU15"/>
      <c r="BKV15"/>
      <c r="BKW15"/>
      <c r="BKX15"/>
      <c r="BKY15"/>
      <c r="BKZ15"/>
      <c r="BLA15"/>
      <c r="BLB15"/>
      <c r="BLC15"/>
      <c r="BLD15"/>
      <c r="BLE15"/>
      <c r="BLF15"/>
      <c r="BLG15"/>
      <c r="BLH15"/>
      <c r="BLI15"/>
      <c r="BLJ15"/>
      <c r="BLK15"/>
      <c r="BLL15"/>
      <c r="BLM15"/>
      <c r="BLN15"/>
      <c r="BLO15"/>
      <c r="BLP15"/>
      <c r="BLQ15"/>
      <c r="BLR15"/>
      <c r="BLS15"/>
      <c r="BLT15"/>
      <c r="BLU15"/>
      <c r="BLV15"/>
      <c r="BLW15"/>
      <c r="BLX15"/>
      <c r="BLY15"/>
      <c r="BLZ15"/>
      <c r="BMA15"/>
      <c r="BMB15"/>
      <c r="BMC15"/>
      <c r="BMD15"/>
      <c r="BME15"/>
      <c r="BMF15"/>
      <c r="BMG15"/>
      <c r="BMH15"/>
      <c r="BMI15"/>
      <c r="BMJ15"/>
      <c r="BMK15"/>
      <c r="BML15"/>
      <c r="BMM15"/>
      <c r="BMN15"/>
      <c r="BMO15"/>
      <c r="BMP15"/>
      <c r="BMQ15"/>
      <c r="BMR15"/>
      <c r="BMS15"/>
      <c r="BMT15"/>
      <c r="BMU15"/>
      <c r="BMV15"/>
      <c r="BMW15"/>
      <c r="BMX15"/>
      <c r="BMY15"/>
      <c r="BMZ15"/>
      <c r="BNA15"/>
      <c r="BNB15"/>
      <c r="BNC15"/>
      <c r="BND15"/>
      <c r="BNE15"/>
      <c r="BNF15"/>
      <c r="BNG15"/>
      <c r="BNH15"/>
      <c r="BNI15"/>
      <c r="BNJ15"/>
      <c r="BNK15"/>
      <c r="BNL15"/>
      <c r="BNM15"/>
      <c r="BNN15"/>
      <c r="BNO15"/>
      <c r="BNP15"/>
      <c r="BNQ15"/>
      <c r="BNR15"/>
      <c r="BNS15"/>
      <c r="BNT15"/>
      <c r="BNU15"/>
      <c r="BNV15"/>
      <c r="BNW15"/>
      <c r="BNX15"/>
      <c r="BNY15"/>
      <c r="BNZ15"/>
      <c r="BOA15"/>
      <c r="BOB15"/>
      <c r="BOC15"/>
      <c r="BOD15"/>
      <c r="BOE15"/>
      <c r="BOF15"/>
      <c r="BOG15"/>
      <c r="BOH15"/>
      <c r="BOI15"/>
      <c r="BOJ15"/>
      <c r="BOK15"/>
      <c r="BOL15"/>
      <c r="BOM15"/>
      <c r="BON15"/>
      <c r="BOO15"/>
      <c r="BOP15"/>
      <c r="BOQ15"/>
      <c r="BOR15"/>
      <c r="BOS15"/>
      <c r="BOT15"/>
      <c r="BOU15"/>
      <c r="BOV15"/>
      <c r="BOW15"/>
      <c r="BOX15"/>
      <c r="BOY15"/>
      <c r="BOZ15"/>
      <c r="BPA15"/>
      <c r="BPB15"/>
      <c r="BPC15"/>
      <c r="BPD15"/>
      <c r="BPE15"/>
      <c r="BPF15"/>
      <c r="BPG15"/>
      <c r="BPH15"/>
      <c r="BPI15"/>
      <c r="BPJ15"/>
      <c r="BPK15"/>
      <c r="BPL15"/>
      <c r="BPM15"/>
      <c r="BPN15"/>
      <c r="BPO15"/>
      <c r="BPP15"/>
      <c r="BPQ15"/>
      <c r="BPR15"/>
      <c r="BPS15"/>
      <c r="BPT15"/>
      <c r="BPU15"/>
      <c r="BPV15"/>
      <c r="BPW15"/>
      <c r="BPX15"/>
      <c r="BPY15"/>
      <c r="BPZ15"/>
      <c r="BQA15"/>
      <c r="BQB15"/>
      <c r="BQC15"/>
      <c r="BQD15"/>
      <c r="BQE15"/>
      <c r="BQF15"/>
      <c r="BQG15"/>
      <c r="BQH15"/>
      <c r="BQI15"/>
      <c r="BQJ15"/>
      <c r="BQK15"/>
      <c r="BQL15"/>
      <c r="BQM15"/>
      <c r="BQN15"/>
      <c r="BQO15"/>
      <c r="BQP15"/>
      <c r="BQQ15"/>
      <c r="BQR15"/>
      <c r="BQS15"/>
      <c r="BQT15"/>
      <c r="BQU15"/>
      <c r="BQV15"/>
      <c r="BQW15"/>
      <c r="BQX15"/>
      <c r="BQY15"/>
      <c r="BQZ15"/>
      <c r="BRA15"/>
      <c r="BRB15"/>
      <c r="BRC15"/>
      <c r="BRD15"/>
      <c r="BRE15"/>
      <c r="BRF15"/>
      <c r="BRG15"/>
      <c r="BRH15"/>
      <c r="BRI15"/>
      <c r="BRJ15"/>
      <c r="BRK15"/>
      <c r="BRL15"/>
      <c r="BRM15"/>
      <c r="BRN15"/>
      <c r="BRO15"/>
      <c r="BRP15"/>
      <c r="BRQ15"/>
      <c r="BRR15"/>
      <c r="BRS15"/>
      <c r="BRT15"/>
      <c r="BRU15"/>
      <c r="BRV15"/>
      <c r="BRW15"/>
      <c r="BRX15"/>
      <c r="BRY15"/>
      <c r="BRZ15"/>
      <c r="BSA15"/>
      <c r="BSB15"/>
      <c r="BSC15"/>
      <c r="BSD15"/>
      <c r="BSE15"/>
      <c r="BSF15"/>
      <c r="BSG15"/>
      <c r="BSH15"/>
      <c r="BSI15"/>
      <c r="BSJ15"/>
      <c r="BSK15"/>
      <c r="BSL15"/>
      <c r="BSM15"/>
      <c r="BSN15"/>
      <c r="BSO15"/>
      <c r="BSP15"/>
      <c r="BSQ15"/>
      <c r="BSR15"/>
      <c r="BSS15"/>
      <c r="BST15"/>
      <c r="BSU15"/>
      <c r="BSV15"/>
      <c r="BSW15"/>
      <c r="BSX15"/>
      <c r="BSY15"/>
      <c r="BSZ15"/>
      <c r="BTA15"/>
      <c r="BTB15"/>
      <c r="BTC15"/>
      <c r="BTD15"/>
      <c r="BTE15"/>
      <c r="BTF15"/>
      <c r="BTG15"/>
      <c r="BTH15"/>
      <c r="BTI15"/>
      <c r="BTJ15"/>
      <c r="BTK15"/>
      <c r="BTL15"/>
      <c r="BTM15"/>
      <c r="BTN15"/>
      <c r="BTO15"/>
      <c r="BTP15"/>
      <c r="BTQ15"/>
      <c r="BTR15"/>
      <c r="BTS15"/>
      <c r="BTT15"/>
      <c r="BTU15"/>
      <c r="BTV15"/>
      <c r="BTW15"/>
      <c r="BTX15"/>
      <c r="BTY15"/>
      <c r="BTZ15"/>
      <c r="BUA15"/>
      <c r="BUB15"/>
      <c r="BUC15"/>
      <c r="BUD15"/>
      <c r="BUE15"/>
      <c r="BUF15"/>
      <c r="BUG15"/>
      <c r="BUH15"/>
      <c r="BUI15"/>
      <c r="BUJ15"/>
      <c r="BUK15"/>
      <c r="BUL15"/>
      <c r="BUM15"/>
      <c r="BUN15"/>
      <c r="BUO15"/>
      <c r="BUP15"/>
      <c r="BUQ15"/>
      <c r="BUR15"/>
      <c r="BUS15"/>
      <c r="BUT15"/>
      <c r="BUU15"/>
      <c r="BUV15"/>
      <c r="BUW15"/>
      <c r="BUX15"/>
      <c r="BUY15"/>
      <c r="BUZ15"/>
      <c r="BVA15"/>
      <c r="BVB15"/>
      <c r="BVC15"/>
      <c r="BVD15"/>
      <c r="BVE15"/>
      <c r="BVF15"/>
      <c r="BVG15"/>
      <c r="BVH15"/>
      <c r="BVI15"/>
      <c r="BVJ15"/>
      <c r="BVK15"/>
      <c r="BVL15"/>
      <c r="BVM15"/>
      <c r="BVN15"/>
      <c r="BVO15"/>
      <c r="BVP15"/>
      <c r="BVQ15"/>
      <c r="BVR15"/>
      <c r="BVS15"/>
      <c r="BVT15"/>
      <c r="BVU15"/>
      <c r="BVV15"/>
      <c r="BVW15"/>
      <c r="BVX15"/>
      <c r="BVY15"/>
      <c r="BVZ15"/>
      <c r="BWA15"/>
      <c r="BWB15"/>
      <c r="BWC15"/>
      <c r="BWD15"/>
      <c r="BWE15"/>
      <c r="BWF15"/>
      <c r="BWG15"/>
      <c r="BWH15"/>
      <c r="BWI15"/>
      <c r="BWJ15"/>
      <c r="BWK15"/>
      <c r="BWL15"/>
      <c r="BWM15"/>
      <c r="BWN15"/>
      <c r="BWO15"/>
      <c r="BWP15"/>
      <c r="BWQ15"/>
      <c r="BWR15"/>
      <c r="BWS15"/>
      <c r="BWT15"/>
      <c r="BWU15"/>
      <c r="BWV15"/>
      <c r="BWW15"/>
      <c r="BWX15"/>
      <c r="BWY15"/>
      <c r="BWZ15"/>
      <c r="BXA15"/>
      <c r="BXB15"/>
      <c r="BXC15"/>
      <c r="BXD15"/>
      <c r="BXE15"/>
      <c r="BXF15"/>
      <c r="BXG15"/>
      <c r="BXH15"/>
      <c r="BXI15"/>
      <c r="BXJ15"/>
      <c r="BXK15"/>
      <c r="BXL15"/>
      <c r="BXM15"/>
      <c r="BXN15"/>
      <c r="BXO15"/>
      <c r="BXP15"/>
      <c r="BXQ15"/>
      <c r="BXR15"/>
      <c r="BXS15"/>
      <c r="BXT15"/>
      <c r="BXU15"/>
      <c r="BXV15"/>
      <c r="BXW15"/>
      <c r="BXX15"/>
      <c r="BXY15"/>
      <c r="BXZ15"/>
      <c r="BYA15"/>
      <c r="BYB15"/>
      <c r="BYC15"/>
      <c r="BYD15"/>
      <c r="BYE15"/>
      <c r="BYF15"/>
      <c r="BYG15"/>
      <c r="BYH15"/>
      <c r="BYI15"/>
      <c r="BYJ15"/>
      <c r="BYK15"/>
      <c r="BYL15"/>
      <c r="BYM15"/>
      <c r="BYN15"/>
      <c r="BYO15"/>
      <c r="BYP15"/>
      <c r="BYQ15"/>
      <c r="BYR15"/>
      <c r="BYS15"/>
      <c r="BYT15"/>
      <c r="BYU15"/>
      <c r="BYV15"/>
      <c r="BYW15"/>
      <c r="BYX15"/>
      <c r="BYY15"/>
      <c r="BYZ15"/>
      <c r="BZA15"/>
      <c r="BZB15"/>
      <c r="BZC15"/>
      <c r="BZD15"/>
      <c r="BZE15"/>
      <c r="BZF15"/>
      <c r="BZG15"/>
      <c r="BZH15"/>
      <c r="BZI15"/>
      <c r="BZJ15"/>
      <c r="BZK15"/>
      <c r="BZL15"/>
      <c r="BZM15"/>
      <c r="BZN15"/>
      <c r="BZO15"/>
      <c r="BZP15"/>
      <c r="BZQ15"/>
      <c r="BZR15"/>
      <c r="BZS15"/>
      <c r="BZT15"/>
      <c r="BZU15"/>
      <c r="BZV15"/>
      <c r="BZW15"/>
      <c r="BZX15"/>
      <c r="BZY15"/>
      <c r="BZZ15"/>
      <c r="CAA15"/>
      <c r="CAB15"/>
      <c r="CAC15"/>
      <c r="CAD15"/>
      <c r="CAE15"/>
      <c r="CAF15"/>
      <c r="CAG15"/>
      <c r="CAH15"/>
      <c r="CAI15"/>
      <c r="CAJ15"/>
      <c r="CAK15"/>
      <c r="CAL15"/>
      <c r="CAM15"/>
      <c r="CAN15"/>
      <c r="CAO15"/>
      <c r="CAP15"/>
      <c r="CAQ15"/>
      <c r="CAR15"/>
      <c r="CAS15"/>
      <c r="CAT15"/>
      <c r="CAU15"/>
      <c r="CAV15"/>
      <c r="CAW15"/>
      <c r="CAX15"/>
      <c r="CAY15"/>
      <c r="CAZ15"/>
      <c r="CBA15"/>
      <c r="CBB15"/>
      <c r="CBC15"/>
      <c r="CBD15"/>
      <c r="CBE15"/>
      <c r="CBF15"/>
      <c r="CBG15"/>
      <c r="CBH15"/>
      <c r="CBI15"/>
      <c r="CBJ15"/>
      <c r="CBK15"/>
      <c r="CBL15"/>
      <c r="CBM15"/>
      <c r="CBN15"/>
      <c r="CBO15"/>
      <c r="CBP15"/>
      <c r="CBQ15"/>
      <c r="CBR15"/>
      <c r="CBS15"/>
      <c r="CBT15"/>
      <c r="CBU15"/>
      <c r="CBV15"/>
      <c r="CBW15"/>
      <c r="CBX15"/>
      <c r="CBY15"/>
      <c r="CBZ15"/>
      <c r="CCA15"/>
      <c r="CCB15"/>
      <c r="CCC15"/>
      <c r="CCD15"/>
      <c r="CCE15"/>
      <c r="CCF15"/>
      <c r="CCG15"/>
      <c r="CCH15"/>
      <c r="CCI15"/>
      <c r="CCJ15"/>
      <c r="CCK15"/>
      <c r="CCL15"/>
      <c r="CCM15"/>
      <c r="CCN15"/>
      <c r="CCO15"/>
      <c r="CCP15"/>
      <c r="CCQ15"/>
      <c r="CCR15"/>
      <c r="CCS15"/>
      <c r="CCT15"/>
      <c r="CCU15"/>
      <c r="CCV15"/>
      <c r="CCW15"/>
      <c r="CCX15"/>
      <c r="CCY15"/>
      <c r="CCZ15"/>
      <c r="CDA15"/>
      <c r="CDB15"/>
      <c r="CDC15"/>
      <c r="CDD15"/>
      <c r="CDE15"/>
      <c r="CDF15"/>
      <c r="CDG15"/>
      <c r="CDH15"/>
      <c r="CDI15"/>
      <c r="CDJ15"/>
      <c r="CDK15"/>
      <c r="CDL15"/>
      <c r="CDM15"/>
      <c r="CDN15"/>
      <c r="CDO15"/>
      <c r="CDP15"/>
      <c r="CDQ15"/>
      <c r="CDR15"/>
      <c r="CDS15"/>
      <c r="CDT15"/>
      <c r="CDU15"/>
      <c r="CDV15"/>
      <c r="CDW15"/>
      <c r="CDX15"/>
      <c r="CDY15"/>
      <c r="CDZ15"/>
      <c r="CEA15"/>
      <c r="CEB15"/>
      <c r="CEC15"/>
      <c r="CED15"/>
      <c r="CEE15"/>
      <c r="CEF15"/>
      <c r="CEG15"/>
      <c r="CEH15"/>
      <c r="CEI15"/>
      <c r="CEJ15"/>
      <c r="CEK15"/>
      <c r="CEL15"/>
      <c r="CEM15"/>
      <c r="CEN15"/>
      <c r="CEO15"/>
      <c r="CEP15"/>
      <c r="CEQ15"/>
      <c r="CER15"/>
      <c r="CES15"/>
      <c r="CET15"/>
      <c r="CEU15"/>
      <c r="CEV15"/>
      <c r="CEW15"/>
      <c r="CEX15"/>
      <c r="CEY15"/>
      <c r="CEZ15"/>
      <c r="CFA15"/>
      <c r="CFB15"/>
      <c r="CFC15"/>
      <c r="CFD15"/>
      <c r="CFE15"/>
      <c r="CFF15"/>
      <c r="CFG15"/>
      <c r="CFH15"/>
      <c r="CFI15"/>
      <c r="CFJ15"/>
      <c r="CFK15"/>
      <c r="CFL15"/>
      <c r="CFM15"/>
      <c r="CFN15"/>
      <c r="CFO15"/>
      <c r="CFP15"/>
      <c r="CFQ15"/>
      <c r="CFR15"/>
      <c r="CFS15"/>
      <c r="CFT15"/>
      <c r="CFU15"/>
      <c r="CFV15"/>
      <c r="CFW15"/>
      <c r="CFX15"/>
      <c r="CFY15"/>
      <c r="CFZ15"/>
      <c r="CGA15"/>
      <c r="CGB15"/>
      <c r="CGC15"/>
      <c r="CGD15"/>
      <c r="CGE15"/>
      <c r="CGF15"/>
      <c r="CGG15"/>
      <c r="CGH15"/>
      <c r="CGI15"/>
      <c r="CGJ15"/>
      <c r="CGK15"/>
      <c r="CGL15"/>
      <c r="CGM15"/>
      <c r="CGN15"/>
      <c r="CGO15"/>
      <c r="CGP15"/>
      <c r="CGQ15"/>
      <c r="CGR15"/>
      <c r="CGS15"/>
      <c r="CGT15"/>
      <c r="CGU15"/>
      <c r="CGV15"/>
      <c r="CGW15"/>
      <c r="CGX15"/>
      <c r="CGY15"/>
      <c r="CGZ15"/>
      <c r="CHA15"/>
      <c r="CHB15"/>
      <c r="CHC15"/>
      <c r="CHD15"/>
      <c r="CHE15"/>
      <c r="CHF15"/>
      <c r="CHG15"/>
      <c r="CHH15"/>
      <c r="CHI15"/>
      <c r="CHJ15"/>
      <c r="CHK15"/>
      <c r="CHL15"/>
      <c r="CHM15"/>
      <c r="CHN15"/>
      <c r="CHO15"/>
      <c r="CHP15"/>
      <c r="CHQ15"/>
      <c r="CHR15"/>
      <c r="CHS15"/>
      <c r="CHT15"/>
      <c r="CHU15"/>
      <c r="CHV15"/>
      <c r="CHW15"/>
      <c r="CHX15"/>
      <c r="CHY15"/>
      <c r="CHZ15"/>
      <c r="CIA15"/>
      <c r="CIB15"/>
      <c r="CIC15"/>
      <c r="CID15"/>
      <c r="CIE15"/>
      <c r="CIF15"/>
      <c r="CIG15"/>
      <c r="CIH15"/>
      <c r="CII15"/>
      <c r="CIJ15"/>
      <c r="CIK15"/>
      <c r="CIL15"/>
      <c r="CIM15"/>
      <c r="CIN15"/>
      <c r="CIO15"/>
      <c r="CIP15"/>
      <c r="CIQ15"/>
      <c r="CIR15"/>
      <c r="CIS15"/>
      <c r="CIT15"/>
      <c r="CIU15"/>
      <c r="CIV15"/>
      <c r="CIW15"/>
      <c r="CIX15"/>
      <c r="CIY15"/>
      <c r="CIZ15"/>
      <c r="CJA15"/>
      <c r="CJB15"/>
      <c r="CJC15"/>
      <c r="CJD15"/>
      <c r="CJE15"/>
      <c r="CJF15"/>
      <c r="CJG15"/>
      <c r="CJH15"/>
      <c r="CJI15"/>
      <c r="CJJ15"/>
      <c r="CJK15"/>
      <c r="CJL15"/>
      <c r="CJM15"/>
      <c r="CJN15"/>
      <c r="CJO15"/>
      <c r="CJP15"/>
      <c r="CJQ15"/>
      <c r="CJR15"/>
      <c r="CJS15"/>
      <c r="CJT15"/>
      <c r="CJU15"/>
      <c r="CJV15"/>
      <c r="CJW15"/>
      <c r="CJX15"/>
      <c r="CJY15"/>
      <c r="CJZ15"/>
      <c r="CKA15"/>
      <c r="CKB15"/>
      <c r="CKC15"/>
      <c r="CKD15"/>
      <c r="CKE15"/>
      <c r="CKF15"/>
      <c r="CKG15"/>
      <c r="CKH15"/>
      <c r="CKI15"/>
      <c r="CKJ15"/>
      <c r="CKK15"/>
      <c r="CKL15"/>
      <c r="CKM15"/>
      <c r="CKN15"/>
      <c r="CKO15"/>
      <c r="CKP15"/>
      <c r="CKQ15"/>
      <c r="CKR15"/>
      <c r="CKS15"/>
      <c r="CKT15"/>
      <c r="CKU15"/>
      <c r="CKV15"/>
      <c r="CKW15"/>
      <c r="CKX15"/>
      <c r="CKY15"/>
      <c r="CKZ15"/>
      <c r="CLA15"/>
      <c r="CLB15"/>
      <c r="CLC15"/>
      <c r="CLD15"/>
      <c r="CLE15"/>
      <c r="CLF15"/>
      <c r="CLG15"/>
      <c r="CLH15"/>
      <c r="CLI15"/>
      <c r="CLJ15"/>
      <c r="CLK15"/>
      <c r="CLL15"/>
      <c r="CLM15"/>
      <c r="CLN15"/>
      <c r="CLO15"/>
      <c r="CLP15"/>
      <c r="CLQ15"/>
      <c r="CLR15"/>
      <c r="CLS15"/>
      <c r="CLT15"/>
      <c r="CLU15"/>
      <c r="CLV15"/>
      <c r="CLW15"/>
      <c r="CLX15"/>
      <c r="CLY15"/>
      <c r="CLZ15"/>
      <c r="CMA15"/>
      <c r="CMB15"/>
      <c r="CMC15"/>
      <c r="CMD15"/>
      <c r="CME15"/>
      <c r="CMF15"/>
      <c r="CMG15"/>
      <c r="CMH15"/>
      <c r="CMI15"/>
      <c r="CMJ15"/>
      <c r="CMK15"/>
      <c r="CML15"/>
      <c r="CMM15"/>
      <c r="CMN15"/>
      <c r="CMO15"/>
      <c r="CMP15"/>
      <c r="CMQ15"/>
      <c r="CMR15"/>
      <c r="CMS15"/>
      <c r="CMT15"/>
      <c r="CMU15"/>
      <c r="CMV15"/>
      <c r="CMW15"/>
      <c r="CMX15"/>
      <c r="CMY15"/>
      <c r="CMZ15"/>
      <c r="CNA15"/>
      <c r="CNB15"/>
      <c r="CNC15"/>
      <c r="CND15"/>
      <c r="CNE15"/>
      <c r="CNF15"/>
      <c r="CNG15"/>
      <c r="CNH15"/>
      <c r="CNI15"/>
      <c r="CNJ15"/>
      <c r="CNK15"/>
      <c r="CNL15"/>
      <c r="CNM15"/>
      <c r="CNN15"/>
      <c r="CNO15"/>
      <c r="CNP15"/>
      <c r="CNQ15"/>
      <c r="CNR15"/>
      <c r="CNS15"/>
      <c r="CNT15"/>
      <c r="CNU15"/>
      <c r="CNV15"/>
      <c r="CNW15"/>
      <c r="CNX15"/>
      <c r="CNY15"/>
      <c r="CNZ15"/>
      <c r="COA15"/>
      <c r="COB15"/>
      <c r="COC15"/>
      <c r="COD15"/>
      <c r="COE15"/>
      <c r="COF15"/>
      <c r="COG15"/>
      <c r="COH15"/>
      <c r="COI15"/>
      <c r="COJ15"/>
      <c r="COK15"/>
      <c r="COL15"/>
      <c r="COM15"/>
      <c r="CON15"/>
      <c r="COO15"/>
      <c r="COP15"/>
      <c r="COQ15"/>
      <c r="COR15"/>
      <c r="COS15"/>
      <c r="COT15"/>
      <c r="COU15"/>
      <c r="COV15"/>
      <c r="COW15"/>
      <c r="COX15"/>
      <c r="COY15"/>
      <c r="COZ15"/>
      <c r="CPA15"/>
      <c r="CPB15"/>
      <c r="CPC15"/>
      <c r="CPD15"/>
      <c r="CPE15"/>
      <c r="CPF15"/>
      <c r="CPG15"/>
      <c r="CPH15"/>
      <c r="CPI15"/>
      <c r="CPJ15"/>
      <c r="CPK15"/>
      <c r="CPL15"/>
      <c r="CPM15"/>
      <c r="CPN15"/>
      <c r="CPO15"/>
      <c r="CPP15"/>
      <c r="CPQ15"/>
      <c r="CPR15"/>
      <c r="CPS15"/>
      <c r="CPT15"/>
      <c r="CPU15"/>
      <c r="CPV15"/>
      <c r="CPW15"/>
      <c r="CPX15"/>
      <c r="CPY15"/>
      <c r="CPZ15"/>
      <c r="CQA15"/>
      <c r="CQB15"/>
      <c r="CQC15"/>
      <c r="CQD15"/>
      <c r="CQE15"/>
      <c r="CQF15"/>
      <c r="CQG15"/>
      <c r="CQH15"/>
      <c r="CQI15"/>
      <c r="CQJ15"/>
      <c r="CQK15"/>
      <c r="CQL15"/>
      <c r="CQM15"/>
      <c r="CQN15"/>
      <c r="CQO15"/>
      <c r="CQP15"/>
      <c r="CQQ15"/>
      <c r="CQR15"/>
      <c r="CQS15"/>
      <c r="CQT15"/>
      <c r="CQU15"/>
      <c r="CQV15"/>
      <c r="CQW15"/>
      <c r="CQX15"/>
      <c r="CQY15"/>
      <c r="CQZ15"/>
      <c r="CRA15"/>
      <c r="CRB15"/>
      <c r="CRC15"/>
      <c r="CRD15"/>
      <c r="CRE15"/>
      <c r="CRF15"/>
      <c r="CRG15"/>
      <c r="CRH15"/>
      <c r="CRI15"/>
      <c r="CRJ15"/>
      <c r="CRK15"/>
      <c r="CRL15"/>
      <c r="CRM15"/>
      <c r="CRN15"/>
      <c r="CRO15"/>
      <c r="CRP15"/>
      <c r="CRQ15"/>
      <c r="CRR15"/>
      <c r="CRS15"/>
      <c r="CRT15"/>
      <c r="CRU15"/>
      <c r="CRV15"/>
      <c r="CRW15"/>
      <c r="CRX15"/>
      <c r="CRY15"/>
      <c r="CRZ15"/>
      <c r="CSA15"/>
      <c r="CSB15"/>
      <c r="CSC15"/>
      <c r="CSD15"/>
      <c r="CSE15"/>
      <c r="CSF15"/>
      <c r="CSG15"/>
      <c r="CSH15"/>
      <c r="CSI15"/>
      <c r="CSJ15"/>
      <c r="CSK15"/>
      <c r="CSL15"/>
      <c r="CSM15"/>
      <c r="CSN15"/>
      <c r="CSO15"/>
      <c r="CSP15"/>
      <c r="CSQ15"/>
      <c r="CSR15"/>
      <c r="CSS15"/>
      <c r="CST15"/>
      <c r="CSU15"/>
      <c r="CSV15"/>
      <c r="CSW15"/>
      <c r="CSX15"/>
      <c r="CSY15"/>
      <c r="CSZ15"/>
      <c r="CTA15"/>
      <c r="CTB15"/>
      <c r="CTC15"/>
      <c r="CTD15"/>
      <c r="CTE15"/>
      <c r="CTF15"/>
      <c r="CTG15"/>
      <c r="CTH15"/>
      <c r="CTI15"/>
      <c r="CTJ15"/>
      <c r="CTK15"/>
      <c r="CTL15"/>
      <c r="CTM15"/>
      <c r="CTN15"/>
      <c r="CTO15"/>
      <c r="CTP15"/>
      <c r="CTQ15"/>
      <c r="CTR15"/>
      <c r="CTS15"/>
      <c r="CTT15"/>
      <c r="CTU15"/>
      <c r="CTV15"/>
      <c r="CTW15"/>
      <c r="CTX15"/>
      <c r="CTY15"/>
      <c r="CTZ15"/>
      <c r="CUA15"/>
      <c r="CUB15"/>
      <c r="CUC15"/>
      <c r="CUD15"/>
      <c r="CUE15"/>
      <c r="CUF15"/>
      <c r="CUG15"/>
      <c r="CUH15"/>
      <c r="CUI15"/>
      <c r="CUJ15"/>
      <c r="CUK15"/>
      <c r="CUL15"/>
      <c r="CUM15"/>
      <c r="CUN15"/>
      <c r="CUO15"/>
      <c r="CUP15"/>
      <c r="CUQ15"/>
      <c r="CUR15"/>
      <c r="CUS15"/>
      <c r="CUT15"/>
      <c r="CUU15"/>
      <c r="CUV15"/>
      <c r="CUW15"/>
      <c r="CUX15"/>
      <c r="CUY15"/>
      <c r="CUZ15"/>
      <c r="CVA15"/>
      <c r="CVB15"/>
      <c r="CVC15"/>
      <c r="CVD15"/>
      <c r="CVE15"/>
      <c r="CVF15"/>
      <c r="CVG15"/>
      <c r="CVH15"/>
      <c r="CVI15"/>
      <c r="CVJ15"/>
      <c r="CVK15"/>
      <c r="CVL15"/>
      <c r="CVM15"/>
      <c r="CVN15"/>
      <c r="CVO15"/>
      <c r="CVP15"/>
      <c r="CVQ15"/>
      <c r="CVR15"/>
      <c r="CVS15"/>
      <c r="CVT15"/>
      <c r="CVU15"/>
      <c r="CVV15"/>
      <c r="CVW15"/>
      <c r="CVX15"/>
      <c r="CVY15"/>
      <c r="CVZ15"/>
      <c r="CWA15"/>
      <c r="CWB15"/>
      <c r="CWC15"/>
      <c r="CWD15"/>
      <c r="CWE15"/>
      <c r="CWF15"/>
      <c r="CWG15"/>
      <c r="CWH15"/>
      <c r="CWI15"/>
      <c r="CWJ15"/>
      <c r="CWK15"/>
      <c r="CWL15"/>
      <c r="CWM15"/>
      <c r="CWN15"/>
      <c r="CWO15"/>
      <c r="CWP15"/>
      <c r="CWQ15"/>
      <c r="CWR15"/>
      <c r="CWS15"/>
      <c r="CWT15"/>
      <c r="CWU15"/>
      <c r="CWV15"/>
      <c r="CWW15"/>
      <c r="CWX15"/>
      <c r="CWY15"/>
      <c r="CWZ15"/>
      <c r="CXA15"/>
      <c r="CXB15"/>
      <c r="CXC15"/>
      <c r="CXD15"/>
      <c r="CXE15"/>
      <c r="CXF15"/>
      <c r="CXG15"/>
      <c r="CXH15"/>
      <c r="CXI15"/>
      <c r="CXJ15"/>
      <c r="CXK15"/>
      <c r="CXL15"/>
      <c r="CXM15"/>
      <c r="CXN15"/>
      <c r="CXO15"/>
      <c r="CXP15"/>
      <c r="CXQ15"/>
      <c r="CXR15"/>
      <c r="CXS15"/>
      <c r="CXT15"/>
      <c r="CXU15"/>
      <c r="CXV15"/>
      <c r="CXW15"/>
      <c r="CXX15"/>
      <c r="CXY15"/>
      <c r="CXZ15"/>
      <c r="CYA15"/>
      <c r="CYB15"/>
      <c r="CYC15"/>
      <c r="CYD15"/>
      <c r="CYE15"/>
      <c r="CYF15"/>
      <c r="CYG15"/>
      <c r="CYH15"/>
      <c r="CYI15"/>
      <c r="CYJ15"/>
      <c r="CYK15"/>
      <c r="CYL15"/>
      <c r="CYM15"/>
      <c r="CYN15"/>
      <c r="CYO15"/>
      <c r="CYP15"/>
      <c r="CYQ15"/>
      <c r="CYR15"/>
      <c r="CYS15"/>
      <c r="CYT15"/>
      <c r="CYU15"/>
      <c r="CYV15"/>
      <c r="CYW15"/>
      <c r="CYX15"/>
      <c r="CYY15"/>
      <c r="CYZ15"/>
      <c r="CZA15"/>
      <c r="CZB15"/>
      <c r="CZC15"/>
      <c r="CZD15"/>
      <c r="CZE15"/>
      <c r="CZF15"/>
      <c r="CZG15"/>
      <c r="CZH15"/>
      <c r="CZI15"/>
      <c r="CZJ15"/>
      <c r="CZK15"/>
      <c r="CZL15"/>
      <c r="CZM15"/>
      <c r="CZN15"/>
      <c r="CZO15"/>
      <c r="CZP15"/>
      <c r="CZQ15"/>
      <c r="CZR15"/>
      <c r="CZS15"/>
      <c r="CZT15"/>
      <c r="CZU15"/>
      <c r="CZV15"/>
      <c r="CZW15"/>
      <c r="CZX15"/>
      <c r="CZY15"/>
      <c r="CZZ15"/>
      <c r="DAA15"/>
      <c r="DAB15"/>
      <c r="DAC15"/>
      <c r="DAD15"/>
      <c r="DAE15"/>
      <c r="DAF15"/>
      <c r="DAG15"/>
      <c r="DAH15"/>
      <c r="DAI15"/>
      <c r="DAJ15"/>
      <c r="DAK15"/>
      <c r="DAL15"/>
      <c r="DAM15"/>
      <c r="DAN15"/>
      <c r="DAO15"/>
      <c r="DAP15"/>
      <c r="DAQ15"/>
      <c r="DAR15"/>
      <c r="DAS15"/>
      <c r="DAT15"/>
      <c r="DAU15"/>
      <c r="DAV15"/>
      <c r="DAW15"/>
      <c r="DAX15"/>
      <c r="DAY15"/>
      <c r="DAZ15"/>
      <c r="DBA15"/>
      <c r="DBB15"/>
      <c r="DBC15"/>
      <c r="DBD15"/>
      <c r="DBE15"/>
      <c r="DBF15"/>
      <c r="DBG15"/>
      <c r="DBH15"/>
      <c r="DBI15"/>
      <c r="DBJ15"/>
      <c r="DBK15"/>
      <c r="DBL15"/>
      <c r="DBM15"/>
      <c r="DBN15"/>
      <c r="DBO15"/>
      <c r="DBP15"/>
      <c r="DBQ15"/>
      <c r="DBR15"/>
      <c r="DBS15"/>
      <c r="DBT15"/>
      <c r="DBU15"/>
      <c r="DBV15"/>
      <c r="DBW15"/>
      <c r="DBX15"/>
      <c r="DBY15"/>
      <c r="DBZ15"/>
      <c r="DCA15"/>
      <c r="DCB15"/>
      <c r="DCC15"/>
      <c r="DCD15"/>
      <c r="DCE15"/>
      <c r="DCF15"/>
      <c r="DCG15"/>
      <c r="DCH15"/>
      <c r="DCI15"/>
      <c r="DCJ15"/>
      <c r="DCK15"/>
      <c r="DCL15"/>
      <c r="DCM15"/>
      <c r="DCN15"/>
      <c r="DCO15"/>
      <c r="DCP15"/>
      <c r="DCQ15"/>
      <c r="DCR15"/>
      <c r="DCS15"/>
      <c r="DCT15"/>
      <c r="DCU15"/>
      <c r="DCV15"/>
      <c r="DCW15"/>
      <c r="DCX15"/>
      <c r="DCY15"/>
      <c r="DCZ15"/>
      <c r="DDA15"/>
      <c r="DDB15"/>
      <c r="DDC15"/>
      <c r="DDD15"/>
      <c r="DDE15"/>
      <c r="DDF15"/>
      <c r="DDG15"/>
      <c r="DDH15"/>
      <c r="DDI15"/>
      <c r="DDJ15"/>
      <c r="DDK15"/>
      <c r="DDL15"/>
      <c r="DDM15"/>
      <c r="DDN15"/>
      <c r="DDO15"/>
      <c r="DDP15"/>
      <c r="DDQ15"/>
      <c r="DDR15"/>
      <c r="DDS15"/>
      <c r="DDT15"/>
      <c r="DDU15"/>
      <c r="DDV15"/>
      <c r="DDW15"/>
      <c r="DDX15"/>
      <c r="DDY15"/>
      <c r="DDZ15"/>
      <c r="DEA15"/>
      <c r="DEB15"/>
      <c r="DEC15"/>
      <c r="DED15"/>
      <c r="DEE15"/>
      <c r="DEF15"/>
      <c r="DEG15"/>
      <c r="DEH15"/>
      <c r="DEI15"/>
      <c r="DEJ15"/>
      <c r="DEK15"/>
      <c r="DEL15"/>
      <c r="DEM15"/>
      <c r="DEN15"/>
      <c r="DEO15"/>
      <c r="DEP15"/>
      <c r="DEQ15"/>
      <c r="DER15"/>
      <c r="DES15"/>
      <c r="DET15"/>
      <c r="DEU15"/>
      <c r="DEV15"/>
      <c r="DEW15"/>
      <c r="DEX15"/>
      <c r="DEY15"/>
      <c r="DEZ15"/>
      <c r="DFA15"/>
      <c r="DFB15"/>
      <c r="DFC15"/>
      <c r="DFD15"/>
      <c r="DFE15"/>
      <c r="DFF15"/>
      <c r="DFG15"/>
      <c r="DFH15"/>
      <c r="DFI15"/>
      <c r="DFJ15"/>
      <c r="DFK15"/>
      <c r="DFL15"/>
      <c r="DFM15"/>
      <c r="DFN15"/>
      <c r="DFO15"/>
      <c r="DFP15"/>
      <c r="DFQ15"/>
      <c r="DFR15"/>
      <c r="DFS15"/>
      <c r="DFT15"/>
      <c r="DFU15"/>
      <c r="DFV15"/>
      <c r="DFW15"/>
      <c r="DFX15"/>
      <c r="DFY15"/>
      <c r="DFZ15"/>
      <c r="DGA15"/>
      <c r="DGB15"/>
      <c r="DGC15"/>
      <c r="DGD15"/>
      <c r="DGE15"/>
      <c r="DGF15"/>
      <c r="DGG15"/>
      <c r="DGH15"/>
      <c r="DGI15"/>
      <c r="DGJ15"/>
      <c r="DGK15"/>
      <c r="DGL15"/>
      <c r="DGM15"/>
      <c r="DGN15"/>
      <c r="DGO15"/>
      <c r="DGP15"/>
      <c r="DGQ15"/>
      <c r="DGR15"/>
      <c r="DGS15"/>
      <c r="DGT15"/>
      <c r="DGU15"/>
      <c r="DGV15"/>
      <c r="DGW15"/>
      <c r="DGX15"/>
      <c r="DGY15"/>
      <c r="DGZ15"/>
      <c r="DHA15"/>
      <c r="DHB15"/>
      <c r="DHC15"/>
      <c r="DHD15"/>
      <c r="DHE15"/>
      <c r="DHF15"/>
      <c r="DHG15"/>
      <c r="DHH15"/>
      <c r="DHI15"/>
      <c r="DHJ15"/>
      <c r="DHK15"/>
      <c r="DHL15"/>
      <c r="DHM15"/>
      <c r="DHN15"/>
      <c r="DHO15"/>
      <c r="DHP15"/>
      <c r="DHQ15"/>
      <c r="DHR15"/>
      <c r="DHS15"/>
      <c r="DHT15"/>
      <c r="DHU15"/>
      <c r="DHV15"/>
      <c r="DHW15"/>
      <c r="DHX15"/>
      <c r="DHY15"/>
      <c r="DHZ15"/>
      <c r="DIA15"/>
      <c r="DIB15"/>
      <c r="DIC15"/>
      <c r="DID15"/>
      <c r="DIE15"/>
      <c r="DIF15"/>
      <c r="DIG15"/>
      <c r="DIH15"/>
      <c r="DII15"/>
      <c r="DIJ15"/>
      <c r="DIK15"/>
      <c r="DIL15"/>
      <c r="DIM15"/>
      <c r="DIN15"/>
      <c r="DIO15"/>
      <c r="DIP15"/>
      <c r="DIQ15"/>
      <c r="DIR15"/>
      <c r="DIS15"/>
      <c r="DIT15"/>
      <c r="DIU15"/>
      <c r="DIV15"/>
      <c r="DIW15"/>
      <c r="DIX15"/>
      <c r="DIY15"/>
      <c r="DIZ15"/>
      <c r="DJA15"/>
      <c r="DJB15"/>
      <c r="DJC15"/>
      <c r="DJD15"/>
      <c r="DJE15"/>
      <c r="DJF15"/>
      <c r="DJG15"/>
      <c r="DJH15"/>
      <c r="DJI15"/>
      <c r="DJJ15"/>
      <c r="DJK15"/>
      <c r="DJL15"/>
      <c r="DJM15"/>
      <c r="DJN15"/>
      <c r="DJO15"/>
      <c r="DJP15"/>
      <c r="DJQ15"/>
      <c r="DJR15"/>
      <c r="DJS15"/>
      <c r="DJT15"/>
      <c r="DJU15"/>
      <c r="DJV15"/>
      <c r="DJW15"/>
      <c r="DJX15"/>
      <c r="DJY15"/>
      <c r="DJZ15"/>
      <c r="DKA15"/>
      <c r="DKB15"/>
      <c r="DKC15"/>
      <c r="DKD15"/>
      <c r="DKE15"/>
      <c r="DKF15"/>
      <c r="DKG15"/>
      <c r="DKH15"/>
      <c r="DKI15"/>
      <c r="DKJ15"/>
      <c r="DKK15"/>
      <c r="DKL15"/>
      <c r="DKM15"/>
      <c r="DKN15"/>
      <c r="DKO15"/>
      <c r="DKP15"/>
      <c r="DKQ15"/>
      <c r="DKR15"/>
      <c r="DKS15"/>
      <c r="DKT15"/>
      <c r="DKU15"/>
      <c r="DKV15"/>
      <c r="DKW15"/>
      <c r="DKX15"/>
      <c r="DKY15"/>
      <c r="DKZ15"/>
      <c r="DLA15"/>
      <c r="DLB15"/>
      <c r="DLC15"/>
      <c r="DLD15"/>
      <c r="DLE15"/>
      <c r="DLF15"/>
      <c r="DLG15"/>
      <c r="DLH15"/>
      <c r="DLI15"/>
      <c r="DLJ15"/>
      <c r="DLK15"/>
      <c r="DLL15"/>
      <c r="DLM15"/>
      <c r="DLN15"/>
      <c r="DLO15"/>
      <c r="DLP15"/>
      <c r="DLQ15"/>
      <c r="DLR15"/>
      <c r="DLS15"/>
      <c r="DLT15"/>
      <c r="DLU15"/>
      <c r="DLV15"/>
      <c r="DLW15"/>
      <c r="DLX15"/>
      <c r="DLY15"/>
      <c r="DLZ15"/>
      <c r="DMA15"/>
      <c r="DMB15"/>
      <c r="DMC15"/>
      <c r="DMD15"/>
      <c r="DME15"/>
      <c r="DMF15"/>
      <c r="DMG15"/>
      <c r="DMH15"/>
      <c r="DMI15"/>
      <c r="DMJ15"/>
      <c r="DMK15"/>
      <c r="DML15"/>
      <c r="DMM15"/>
      <c r="DMN15"/>
      <c r="DMO15"/>
      <c r="DMP15"/>
      <c r="DMQ15"/>
      <c r="DMR15"/>
      <c r="DMS15"/>
      <c r="DMT15"/>
      <c r="DMU15"/>
      <c r="DMV15"/>
      <c r="DMW15"/>
      <c r="DMX15"/>
      <c r="DMY15"/>
      <c r="DMZ15"/>
      <c r="DNA15"/>
      <c r="DNB15"/>
      <c r="DNC15"/>
      <c r="DND15"/>
      <c r="DNE15"/>
      <c r="DNF15"/>
      <c r="DNG15"/>
      <c r="DNH15"/>
      <c r="DNI15"/>
      <c r="DNJ15"/>
      <c r="DNK15"/>
      <c r="DNL15"/>
      <c r="DNM15"/>
      <c r="DNN15"/>
      <c r="DNO15"/>
      <c r="DNP15"/>
      <c r="DNQ15"/>
      <c r="DNR15"/>
      <c r="DNS15"/>
      <c r="DNT15"/>
      <c r="DNU15"/>
      <c r="DNV15"/>
      <c r="DNW15"/>
      <c r="DNX15"/>
      <c r="DNY15"/>
      <c r="DNZ15"/>
      <c r="DOA15"/>
      <c r="DOB15"/>
      <c r="DOC15"/>
      <c r="DOD15"/>
      <c r="DOE15"/>
      <c r="DOF15"/>
      <c r="DOG15"/>
      <c r="DOH15"/>
      <c r="DOI15"/>
      <c r="DOJ15"/>
      <c r="DOK15"/>
      <c r="DOL15"/>
      <c r="DOM15"/>
      <c r="DON15"/>
      <c r="DOO15"/>
      <c r="DOP15"/>
      <c r="DOQ15"/>
      <c r="DOR15"/>
      <c r="DOS15"/>
      <c r="DOT15"/>
      <c r="DOU15"/>
      <c r="DOV15"/>
      <c r="DOW15"/>
      <c r="DOX15"/>
      <c r="DOY15"/>
      <c r="DOZ15"/>
      <c r="DPA15"/>
      <c r="DPB15"/>
      <c r="DPC15"/>
      <c r="DPD15"/>
      <c r="DPE15"/>
      <c r="DPF15"/>
      <c r="DPG15"/>
      <c r="DPH15"/>
      <c r="DPI15"/>
      <c r="DPJ15"/>
      <c r="DPK15"/>
      <c r="DPL15"/>
      <c r="DPM15"/>
      <c r="DPN15"/>
      <c r="DPO15"/>
      <c r="DPP15"/>
      <c r="DPQ15"/>
      <c r="DPR15"/>
      <c r="DPS15"/>
      <c r="DPT15"/>
      <c r="DPU15"/>
      <c r="DPV15"/>
      <c r="DPW15"/>
      <c r="DPX15"/>
      <c r="DPY15"/>
      <c r="DPZ15"/>
      <c r="DQA15"/>
      <c r="DQB15"/>
      <c r="DQC15"/>
      <c r="DQD15"/>
      <c r="DQE15"/>
      <c r="DQF15"/>
      <c r="DQG15"/>
      <c r="DQH15"/>
      <c r="DQI15"/>
      <c r="DQJ15"/>
      <c r="DQK15"/>
      <c r="DQL15"/>
      <c r="DQM15"/>
      <c r="DQN15"/>
      <c r="DQO15"/>
      <c r="DQP15"/>
      <c r="DQQ15"/>
      <c r="DQR15"/>
      <c r="DQS15"/>
      <c r="DQT15"/>
      <c r="DQU15"/>
      <c r="DQV15"/>
      <c r="DQW15"/>
      <c r="DQX15"/>
      <c r="DQY15"/>
      <c r="DQZ15"/>
      <c r="DRA15"/>
      <c r="DRB15"/>
      <c r="DRC15"/>
      <c r="DRD15"/>
      <c r="DRE15"/>
      <c r="DRF15"/>
      <c r="DRG15"/>
      <c r="DRH15"/>
      <c r="DRI15"/>
      <c r="DRJ15"/>
      <c r="DRK15"/>
      <c r="DRL15"/>
      <c r="DRM15"/>
      <c r="DRN15"/>
      <c r="DRO15"/>
      <c r="DRP15"/>
      <c r="DRQ15"/>
      <c r="DRR15"/>
      <c r="DRS15"/>
      <c r="DRT15"/>
      <c r="DRU15"/>
      <c r="DRV15"/>
      <c r="DRW15"/>
      <c r="DRX15"/>
      <c r="DRY15"/>
      <c r="DRZ15"/>
      <c r="DSA15"/>
      <c r="DSB15"/>
      <c r="DSC15"/>
      <c r="DSD15"/>
      <c r="DSE15"/>
      <c r="DSF15"/>
      <c r="DSG15"/>
      <c r="DSH15"/>
      <c r="DSI15"/>
      <c r="DSJ15"/>
      <c r="DSK15"/>
      <c r="DSL15"/>
      <c r="DSM15"/>
      <c r="DSN15"/>
      <c r="DSO15"/>
      <c r="DSP15"/>
      <c r="DSQ15"/>
      <c r="DSR15"/>
      <c r="DSS15"/>
      <c r="DST15"/>
      <c r="DSU15"/>
      <c r="DSV15"/>
      <c r="DSW15"/>
      <c r="DSX15"/>
      <c r="DSY15"/>
      <c r="DSZ15"/>
      <c r="DTA15"/>
      <c r="DTB15"/>
      <c r="DTC15"/>
      <c r="DTD15"/>
      <c r="DTE15"/>
      <c r="DTF15"/>
      <c r="DTG15"/>
      <c r="DTH15"/>
      <c r="DTI15"/>
      <c r="DTJ15"/>
      <c r="DTK15"/>
      <c r="DTL15"/>
      <c r="DTM15"/>
      <c r="DTN15"/>
      <c r="DTO15"/>
      <c r="DTP15"/>
      <c r="DTQ15"/>
      <c r="DTR15"/>
      <c r="DTS15"/>
      <c r="DTT15"/>
      <c r="DTU15"/>
      <c r="DTV15"/>
      <c r="DTW15"/>
      <c r="DTX15"/>
      <c r="DTY15"/>
      <c r="DTZ15"/>
      <c r="DUA15"/>
      <c r="DUB15"/>
      <c r="DUC15"/>
      <c r="DUD15"/>
      <c r="DUE15"/>
      <c r="DUF15"/>
      <c r="DUG15"/>
      <c r="DUH15"/>
      <c r="DUI15"/>
      <c r="DUJ15"/>
      <c r="DUK15"/>
      <c r="DUL15"/>
      <c r="DUM15"/>
      <c r="DUN15"/>
      <c r="DUO15"/>
      <c r="DUP15"/>
      <c r="DUQ15"/>
      <c r="DUR15"/>
      <c r="DUS15"/>
      <c r="DUT15"/>
      <c r="DUU15"/>
      <c r="DUV15"/>
      <c r="DUW15"/>
      <c r="DUX15"/>
      <c r="DUY15"/>
      <c r="DUZ15"/>
      <c r="DVA15"/>
      <c r="DVB15"/>
      <c r="DVC15"/>
      <c r="DVD15"/>
      <c r="DVE15"/>
      <c r="DVF15"/>
      <c r="DVG15"/>
      <c r="DVH15"/>
      <c r="DVI15"/>
      <c r="DVJ15"/>
      <c r="DVK15"/>
      <c r="DVL15"/>
      <c r="DVM15"/>
      <c r="DVN15"/>
      <c r="DVO15"/>
      <c r="DVP15"/>
      <c r="DVQ15"/>
      <c r="DVR15"/>
      <c r="DVS15"/>
      <c r="DVT15"/>
      <c r="DVU15"/>
      <c r="DVV15"/>
      <c r="DVW15"/>
      <c r="DVX15"/>
      <c r="DVY15"/>
      <c r="DVZ15"/>
      <c r="DWA15"/>
      <c r="DWB15"/>
      <c r="DWC15"/>
      <c r="DWD15"/>
      <c r="DWE15"/>
      <c r="DWF15"/>
      <c r="DWG15"/>
      <c r="DWH15"/>
      <c r="DWI15"/>
      <c r="DWJ15"/>
      <c r="DWK15"/>
      <c r="DWL15"/>
      <c r="DWM15"/>
      <c r="DWN15"/>
      <c r="DWO15"/>
      <c r="DWP15"/>
      <c r="DWQ15"/>
      <c r="DWR15"/>
      <c r="DWS15"/>
      <c r="DWT15"/>
      <c r="DWU15"/>
      <c r="DWV15"/>
      <c r="DWW15"/>
      <c r="DWX15"/>
      <c r="DWY15"/>
      <c r="DWZ15"/>
      <c r="DXA15"/>
      <c r="DXB15"/>
      <c r="DXC15"/>
      <c r="DXD15"/>
      <c r="DXE15"/>
      <c r="DXF15"/>
      <c r="DXG15"/>
      <c r="DXH15"/>
      <c r="DXI15"/>
      <c r="DXJ15"/>
      <c r="DXK15"/>
      <c r="DXL15"/>
      <c r="DXM15"/>
      <c r="DXN15"/>
      <c r="DXO15"/>
      <c r="DXP15"/>
      <c r="DXQ15"/>
      <c r="DXR15"/>
      <c r="DXS15"/>
      <c r="DXT15"/>
      <c r="DXU15"/>
      <c r="DXV15"/>
      <c r="DXW15"/>
      <c r="DXX15"/>
      <c r="DXY15"/>
      <c r="DXZ15"/>
      <c r="DYA15"/>
      <c r="DYB15"/>
      <c r="DYC15"/>
      <c r="DYD15"/>
      <c r="DYE15"/>
      <c r="DYF15"/>
      <c r="DYG15"/>
      <c r="DYH15"/>
      <c r="DYI15"/>
      <c r="DYJ15"/>
      <c r="DYK15"/>
      <c r="DYL15"/>
      <c r="DYM15"/>
      <c r="DYN15"/>
      <c r="DYO15"/>
      <c r="DYP15"/>
      <c r="DYQ15"/>
      <c r="DYR15"/>
      <c r="DYS15"/>
      <c r="DYT15"/>
      <c r="DYU15"/>
      <c r="DYV15"/>
      <c r="DYW15"/>
      <c r="DYX15"/>
      <c r="DYY15"/>
      <c r="DYZ15"/>
      <c r="DZA15"/>
      <c r="DZB15"/>
      <c r="DZC15"/>
      <c r="DZD15"/>
      <c r="DZE15"/>
      <c r="DZF15"/>
      <c r="DZG15"/>
      <c r="DZH15"/>
      <c r="DZI15"/>
      <c r="DZJ15"/>
      <c r="DZK15"/>
      <c r="DZL15"/>
      <c r="DZM15"/>
      <c r="DZN15"/>
      <c r="DZO15"/>
      <c r="DZP15"/>
      <c r="DZQ15"/>
      <c r="DZR15"/>
      <c r="DZS15"/>
      <c r="DZT15"/>
      <c r="DZU15"/>
      <c r="DZV15"/>
      <c r="DZW15"/>
      <c r="DZX15"/>
      <c r="DZY15"/>
      <c r="DZZ15"/>
      <c r="EAA15"/>
      <c r="EAB15"/>
      <c r="EAC15"/>
      <c r="EAD15"/>
      <c r="EAE15"/>
      <c r="EAF15"/>
      <c r="EAG15"/>
      <c r="EAH15"/>
      <c r="EAI15"/>
      <c r="EAJ15"/>
      <c r="EAK15"/>
      <c r="EAL15"/>
      <c r="EAM15"/>
      <c r="EAN15"/>
      <c r="EAO15"/>
      <c r="EAP15"/>
      <c r="EAQ15"/>
      <c r="EAR15"/>
      <c r="EAS15"/>
      <c r="EAT15"/>
      <c r="EAU15"/>
      <c r="EAV15"/>
      <c r="EAW15"/>
      <c r="EAX15"/>
      <c r="EAY15"/>
      <c r="EAZ15"/>
      <c r="EBA15"/>
      <c r="EBB15"/>
      <c r="EBC15"/>
      <c r="EBD15"/>
      <c r="EBE15"/>
      <c r="EBF15"/>
      <c r="EBG15"/>
      <c r="EBH15"/>
      <c r="EBI15"/>
      <c r="EBJ15"/>
      <c r="EBK15"/>
      <c r="EBL15"/>
      <c r="EBM15"/>
      <c r="EBN15"/>
      <c r="EBO15"/>
      <c r="EBP15"/>
      <c r="EBQ15"/>
      <c r="EBR15"/>
      <c r="EBS15"/>
      <c r="EBT15"/>
      <c r="EBU15"/>
      <c r="EBV15"/>
      <c r="EBW15"/>
      <c r="EBX15"/>
      <c r="EBY15"/>
      <c r="EBZ15"/>
      <c r="ECA15"/>
      <c r="ECB15"/>
      <c r="ECC15"/>
      <c r="ECD15"/>
      <c r="ECE15"/>
      <c r="ECF15"/>
      <c r="ECG15"/>
      <c r="ECH15"/>
      <c r="ECI15"/>
      <c r="ECJ15"/>
      <c r="ECK15"/>
      <c r="ECL15"/>
      <c r="ECM15"/>
      <c r="ECN15"/>
      <c r="ECO15"/>
      <c r="ECP15"/>
      <c r="ECQ15"/>
      <c r="ECR15"/>
      <c r="ECS15"/>
      <c r="ECT15"/>
      <c r="ECU15"/>
      <c r="ECV15"/>
      <c r="ECW15"/>
      <c r="ECX15"/>
      <c r="ECY15"/>
      <c r="ECZ15"/>
      <c r="EDA15"/>
      <c r="EDB15"/>
      <c r="EDC15"/>
      <c r="EDD15"/>
      <c r="EDE15"/>
      <c r="EDF15"/>
      <c r="EDG15"/>
      <c r="EDH15"/>
      <c r="EDI15"/>
      <c r="EDJ15"/>
      <c r="EDK15"/>
      <c r="EDL15"/>
      <c r="EDM15"/>
      <c r="EDN15"/>
      <c r="EDO15"/>
      <c r="EDP15"/>
      <c r="EDQ15"/>
      <c r="EDR15"/>
      <c r="EDS15"/>
      <c r="EDT15"/>
      <c r="EDU15"/>
      <c r="EDV15"/>
      <c r="EDW15"/>
      <c r="EDX15"/>
      <c r="EDY15"/>
      <c r="EDZ15"/>
      <c r="EEA15"/>
      <c r="EEB15"/>
      <c r="EEC15"/>
      <c r="EED15"/>
      <c r="EEE15"/>
      <c r="EEF15"/>
      <c r="EEG15"/>
      <c r="EEH15"/>
      <c r="EEI15"/>
      <c r="EEJ15"/>
      <c r="EEK15"/>
      <c r="EEL15"/>
      <c r="EEM15"/>
      <c r="EEN15"/>
      <c r="EEO15"/>
      <c r="EEP15"/>
      <c r="EEQ15"/>
      <c r="EER15"/>
      <c r="EES15"/>
      <c r="EET15"/>
      <c r="EEU15"/>
      <c r="EEV15"/>
      <c r="EEW15"/>
      <c r="EEX15"/>
      <c r="EEY15"/>
      <c r="EEZ15"/>
      <c r="EFA15"/>
      <c r="EFB15"/>
      <c r="EFC15"/>
      <c r="EFD15"/>
      <c r="EFE15"/>
      <c r="EFF15"/>
      <c r="EFG15"/>
      <c r="EFH15"/>
      <c r="EFI15"/>
      <c r="EFJ15"/>
      <c r="EFK15"/>
      <c r="EFL15"/>
      <c r="EFM15"/>
      <c r="EFN15"/>
      <c r="EFO15"/>
      <c r="EFP15"/>
      <c r="EFQ15"/>
      <c r="EFR15"/>
      <c r="EFS15"/>
      <c r="EFT15"/>
      <c r="EFU15"/>
      <c r="EFV15"/>
      <c r="EFW15"/>
      <c r="EFX15"/>
      <c r="EFY15"/>
      <c r="EFZ15"/>
      <c r="EGA15"/>
      <c r="EGB15"/>
      <c r="EGC15"/>
      <c r="EGD15"/>
      <c r="EGE15"/>
      <c r="EGF15"/>
      <c r="EGG15"/>
      <c r="EGH15"/>
      <c r="EGI15"/>
      <c r="EGJ15"/>
      <c r="EGK15"/>
      <c r="EGL15"/>
      <c r="EGM15"/>
      <c r="EGN15"/>
      <c r="EGO15"/>
      <c r="EGP15"/>
      <c r="EGQ15"/>
      <c r="EGR15"/>
      <c r="EGS15"/>
      <c r="EGT15"/>
      <c r="EGU15"/>
      <c r="EGV15"/>
      <c r="EGW15"/>
      <c r="EGX15"/>
      <c r="EGY15"/>
      <c r="EGZ15"/>
      <c r="EHA15"/>
      <c r="EHB15"/>
      <c r="EHC15"/>
      <c r="EHD15"/>
      <c r="EHE15"/>
      <c r="EHF15"/>
      <c r="EHG15"/>
      <c r="EHH15"/>
      <c r="EHI15"/>
      <c r="EHJ15"/>
      <c r="EHK15"/>
      <c r="EHL15"/>
      <c r="EHM15"/>
      <c r="EHN15"/>
      <c r="EHO15"/>
      <c r="EHP15"/>
      <c r="EHQ15"/>
      <c r="EHR15"/>
      <c r="EHS15"/>
      <c r="EHT15"/>
      <c r="EHU15"/>
      <c r="EHV15"/>
      <c r="EHW15"/>
      <c r="EHX15"/>
      <c r="EHY15"/>
      <c r="EHZ15"/>
      <c r="EIA15"/>
      <c r="EIB15"/>
      <c r="EIC15"/>
      <c r="EID15"/>
      <c r="EIE15"/>
      <c r="EIF15"/>
      <c r="EIG15"/>
      <c r="EIH15"/>
      <c r="EII15"/>
      <c r="EIJ15"/>
      <c r="EIK15"/>
      <c r="EIL15"/>
      <c r="EIM15"/>
      <c r="EIN15"/>
      <c r="EIO15"/>
      <c r="EIP15"/>
      <c r="EIQ15"/>
      <c r="EIR15"/>
      <c r="EIS15"/>
      <c r="EIT15"/>
      <c r="EIU15"/>
      <c r="EIV15"/>
      <c r="EIW15"/>
      <c r="EIX15"/>
      <c r="EIY15"/>
      <c r="EIZ15"/>
      <c r="EJA15"/>
      <c r="EJB15"/>
      <c r="EJC15"/>
      <c r="EJD15"/>
      <c r="EJE15"/>
      <c r="EJF15"/>
      <c r="EJG15"/>
      <c r="EJH15"/>
      <c r="EJI15"/>
      <c r="EJJ15"/>
      <c r="EJK15"/>
      <c r="EJL15"/>
      <c r="EJM15"/>
      <c r="EJN15"/>
      <c r="EJO15"/>
      <c r="EJP15"/>
      <c r="EJQ15"/>
      <c r="EJR15"/>
      <c r="EJS15"/>
      <c r="EJT15"/>
      <c r="EJU15"/>
      <c r="EJV15"/>
      <c r="EJW15"/>
      <c r="EJX15"/>
      <c r="EJY15"/>
      <c r="EJZ15"/>
      <c r="EKA15"/>
      <c r="EKB15"/>
      <c r="EKC15"/>
      <c r="EKD15"/>
      <c r="EKE15"/>
      <c r="EKF15"/>
      <c r="EKG15"/>
      <c r="EKH15"/>
      <c r="EKI15"/>
      <c r="EKJ15"/>
      <c r="EKK15"/>
      <c r="EKL15"/>
      <c r="EKM15"/>
      <c r="EKN15"/>
      <c r="EKO15"/>
      <c r="EKP15"/>
      <c r="EKQ15"/>
      <c r="EKR15"/>
      <c r="EKS15"/>
      <c r="EKT15"/>
      <c r="EKU15"/>
      <c r="EKV15"/>
      <c r="EKW15"/>
      <c r="EKX15"/>
      <c r="EKY15"/>
      <c r="EKZ15"/>
      <c r="ELA15"/>
      <c r="ELB15"/>
      <c r="ELC15"/>
      <c r="ELD15"/>
      <c r="ELE15"/>
      <c r="ELF15"/>
      <c r="ELG15"/>
      <c r="ELH15"/>
      <c r="ELI15"/>
      <c r="ELJ15"/>
      <c r="ELK15"/>
      <c r="ELL15"/>
      <c r="ELM15"/>
      <c r="ELN15"/>
      <c r="ELO15"/>
      <c r="ELP15"/>
      <c r="ELQ15"/>
      <c r="ELR15"/>
      <c r="ELS15"/>
      <c r="ELT15"/>
      <c r="ELU15"/>
      <c r="ELV15"/>
      <c r="ELW15"/>
      <c r="ELX15"/>
      <c r="ELY15"/>
      <c r="ELZ15"/>
      <c r="EMA15"/>
      <c r="EMB15"/>
      <c r="EMC15"/>
      <c r="EMD15"/>
      <c r="EME15"/>
      <c r="EMF15"/>
      <c r="EMG15"/>
      <c r="EMH15"/>
      <c r="EMI15"/>
      <c r="EMJ15"/>
      <c r="EMK15"/>
      <c r="EML15"/>
      <c r="EMM15"/>
      <c r="EMN15"/>
      <c r="EMO15"/>
      <c r="EMP15"/>
      <c r="EMQ15"/>
      <c r="EMR15"/>
      <c r="EMS15"/>
      <c r="EMT15"/>
      <c r="EMU15"/>
      <c r="EMV15"/>
      <c r="EMW15"/>
      <c r="EMX15"/>
      <c r="EMY15"/>
      <c r="EMZ15"/>
      <c r="ENA15"/>
      <c r="ENB15"/>
      <c r="ENC15"/>
      <c r="END15"/>
      <c r="ENE15"/>
      <c r="ENF15"/>
      <c r="ENG15"/>
      <c r="ENH15"/>
      <c r="ENI15"/>
      <c r="ENJ15"/>
      <c r="ENK15"/>
      <c r="ENL15"/>
      <c r="ENM15"/>
      <c r="ENN15"/>
      <c r="ENO15"/>
      <c r="ENP15"/>
      <c r="ENQ15"/>
      <c r="ENR15"/>
      <c r="ENS15"/>
      <c r="ENT15"/>
      <c r="ENU15"/>
      <c r="ENV15"/>
      <c r="ENW15"/>
      <c r="ENX15"/>
      <c r="ENY15"/>
      <c r="ENZ15"/>
      <c r="EOA15"/>
      <c r="EOB15"/>
      <c r="EOC15"/>
      <c r="EOD15"/>
      <c r="EOE15"/>
      <c r="EOF15"/>
      <c r="EOG15"/>
      <c r="EOH15"/>
      <c r="EOI15"/>
      <c r="EOJ15"/>
      <c r="EOK15"/>
      <c r="EOL15"/>
      <c r="EOM15"/>
      <c r="EON15"/>
      <c r="EOO15"/>
      <c r="EOP15"/>
      <c r="EOQ15"/>
      <c r="EOR15"/>
      <c r="EOS15"/>
      <c r="EOT15"/>
      <c r="EOU15"/>
      <c r="EOV15"/>
      <c r="EOW15"/>
      <c r="EOX15"/>
      <c r="EOY15"/>
      <c r="EOZ15"/>
      <c r="EPA15"/>
      <c r="EPB15"/>
      <c r="EPC15"/>
      <c r="EPD15"/>
      <c r="EPE15"/>
      <c r="EPF15"/>
      <c r="EPG15"/>
      <c r="EPH15"/>
      <c r="EPI15"/>
      <c r="EPJ15"/>
      <c r="EPK15"/>
      <c r="EPL15"/>
      <c r="EPM15"/>
      <c r="EPN15"/>
      <c r="EPO15"/>
      <c r="EPP15"/>
      <c r="EPQ15"/>
      <c r="EPR15"/>
      <c r="EPS15"/>
      <c r="EPT15"/>
      <c r="EPU15"/>
      <c r="EPV15"/>
      <c r="EPW15"/>
      <c r="EPX15"/>
      <c r="EPY15"/>
      <c r="EPZ15"/>
      <c r="EQA15"/>
      <c r="EQB15"/>
      <c r="EQC15"/>
      <c r="EQD15"/>
      <c r="EQE15"/>
      <c r="EQF15"/>
      <c r="EQG15"/>
      <c r="EQH15"/>
      <c r="EQI15"/>
      <c r="EQJ15"/>
      <c r="EQK15"/>
      <c r="EQL15"/>
      <c r="EQM15"/>
      <c r="EQN15"/>
      <c r="EQO15"/>
      <c r="EQP15"/>
      <c r="EQQ15"/>
      <c r="EQR15"/>
      <c r="EQS15"/>
      <c r="EQT15"/>
      <c r="EQU15"/>
      <c r="EQV15"/>
      <c r="EQW15"/>
      <c r="EQX15"/>
      <c r="EQY15"/>
      <c r="EQZ15"/>
      <c r="ERA15"/>
      <c r="ERB15"/>
      <c r="ERC15"/>
      <c r="ERD15"/>
      <c r="ERE15"/>
      <c r="ERF15"/>
      <c r="ERG15"/>
      <c r="ERH15"/>
      <c r="ERI15"/>
      <c r="ERJ15"/>
      <c r="ERK15"/>
      <c r="ERL15"/>
      <c r="ERM15"/>
      <c r="ERN15"/>
      <c r="ERO15"/>
      <c r="ERP15"/>
      <c r="ERQ15"/>
      <c r="ERR15"/>
      <c r="ERS15"/>
      <c r="ERT15"/>
      <c r="ERU15"/>
      <c r="ERV15"/>
      <c r="ERW15"/>
      <c r="ERX15"/>
      <c r="ERY15"/>
      <c r="ERZ15"/>
      <c r="ESA15"/>
      <c r="ESB15"/>
      <c r="ESC15"/>
      <c r="ESD15"/>
      <c r="ESE15"/>
      <c r="ESF15"/>
      <c r="ESG15"/>
      <c r="ESH15"/>
      <c r="ESI15"/>
      <c r="ESJ15"/>
      <c r="ESK15"/>
      <c r="ESL15"/>
      <c r="ESM15"/>
      <c r="ESN15"/>
      <c r="ESO15"/>
      <c r="ESP15"/>
      <c r="ESQ15"/>
      <c r="ESR15"/>
      <c r="ESS15"/>
      <c r="EST15"/>
      <c r="ESU15"/>
      <c r="ESV15"/>
      <c r="ESW15"/>
      <c r="ESX15"/>
      <c r="ESY15"/>
      <c r="ESZ15"/>
      <c r="ETA15"/>
      <c r="ETB15"/>
      <c r="ETC15"/>
      <c r="ETD15"/>
      <c r="ETE15"/>
      <c r="ETF15"/>
      <c r="ETG15"/>
      <c r="ETH15"/>
      <c r="ETI15"/>
      <c r="ETJ15"/>
      <c r="ETK15"/>
      <c r="ETL15"/>
      <c r="ETM15"/>
      <c r="ETN15"/>
      <c r="ETO15"/>
      <c r="ETP15"/>
      <c r="ETQ15"/>
      <c r="ETR15"/>
      <c r="ETS15"/>
      <c r="ETT15"/>
      <c r="ETU15"/>
      <c r="ETV15"/>
      <c r="ETW15"/>
      <c r="ETX15"/>
      <c r="ETY15"/>
      <c r="ETZ15"/>
      <c r="EUA15"/>
      <c r="EUB15"/>
      <c r="EUC15"/>
      <c r="EUD15"/>
      <c r="EUE15"/>
      <c r="EUF15"/>
      <c r="EUG15"/>
      <c r="EUH15"/>
      <c r="EUI15"/>
      <c r="EUJ15"/>
      <c r="EUK15"/>
      <c r="EUL15"/>
      <c r="EUM15"/>
      <c r="EUN15"/>
      <c r="EUO15"/>
      <c r="EUP15"/>
      <c r="EUQ15"/>
      <c r="EUR15"/>
      <c r="EUS15"/>
      <c r="EUT15"/>
      <c r="EUU15"/>
      <c r="EUV15"/>
      <c r="EUW15"/>
      <c r="EUX15"/>
      <c r="EUY15"/>
      <c r="EUZ15"/>
      <c r="EVA15"/>
      <c r="EVB15"/>
      <c r="EVC15"/>
      <c r="EVD15"/>
      <c r="EVE15"/>
      <c r="EVF15"/>
      <c r="EVG15"/>
      <c r="EVH15"/>
      <c r="EVI15"/>
      <c r="EVJ15"/>
      <c r="EVK15"/>
      <c r="EVL15"/>
      <c r="EVM15"/>
      <c r="EVN15"/>
      <c r="EVO15"/>
      <c r="EVP15"/>
      <c r="EVQ15"/>
      <c r="EVR15"/>
      <c r="EVS15"/>
      <c r="EVT15"/>
      <c r="EVU15"/>
      <c r="EVV15"/>
      <c r="EVW15"/>
      <c r="EVX15"/>
      <c r="EVY15"/>
      <c r="EVZ15"/>
      <c r="EWA15"/>
      <c r="EWB15"/>
      <c r="EWC15"/>
      <c r="EWD15"/>
      <c r="EWE15"/>
      <c r="EWF15"/>
      <c r="EWG15"/>
      <c r="EWH15"/>
      <c r="EWI15"/>
      <c r="EWJ15"/>
      <c r="EWK15"/>
      <c r="EWL15"/>
      <c r="EWM15"/>
      <c r="EWN15"/>
      <c r="EWO15"/>
      <c r="EWP15"/>
      <c r="EWQ15"/>
      <c r="EWR15"/>
      <c r="EWS15"/>
      <c r="EWT15"/>
      <c r="EWU15"/>
      <c r="EWV15"/>
      <c r="EWW15"/>
      <c r="EWX15"/>
      <c r="EWY15"/>
      <c r="EWZ15"/>
      <c r="EXA15"/>
      <c r="EXB15"/>
      <c r="EXC15"/>
      <c r="EXD15"/>
      <c r="EXE15"/>
      <c r="EXF15"/>
      <c r="EXG15"/>
      <c r="EXH15"/>
      <c r="EXI15"/>
      <c r="EXJ15"/>
      <c r="EXK15"/>
      <c r="EXL15"/>
      <c r="EXM15"/>
      <c r="EXN15"/>
      <c r="EXO15"/>
      <c r="EXP15"/>
      <c r="EXQ15"/>
      <c r="EXR15"/>
      <c r="EXS15"/>
      <c r="EXT15"/>
      <c r="EXU15"/>
      <c r="EXV15"/>
      <c r="EXW15"/>
      <c r="EXX15"/>
      <c r="EXY15"/>
      <c r="EXZ15"/>
      <c r="EYA15"/>
      <c r="EYB15"/>
      <c r="EYC15"/>
      <c r="EYD15"/>
      <c r="EYE15"/>
      <c r="EYF15"/>
      <c r="EYG15"/>
      <c r="EYH15"/>
      <c r="EYI15"/>
      <c r="EYJ15"/>
      <c r="EYK15"/>
      <c r="EYL15"/>
      <c r="EYM15"/>
      <c r="EYN15"/>
      <c r="EYO15"/>
      <c r="EYP15"/>
      <c r="EYQ15"/>
      <c r="EYR15"/>
      <c r="EYS15"/>
      <c r="EYT15"/>
      <c r="EYU15"/>
      <c r="EYV15"/>
      <c r="EYW15"/>
      <c r="EYX15"/>
      <c r="EYY15"/>
      <c r="EYZ15"/>
      <c r="EZA15"/>
      <c r="EZB15"/>
      <c r="EZC15"/>
      <c r="EZD15"/>
      <c r="EZE15"/>
      <c r="EZF15"/>
      <c r="EZG15"/>
      <c r="EZH15"/>
      <c r="EZI15"/>
      <c r="EZJ15"/>
      <c r="EZK15"/>
      <c r="EZL15"/>
      <c r="EZM15"/>
      <c r="EZN15"/>
      <c r="EZO15"/>
      <c r="EZP15"/>
      <c r="EZQ15"/>
      <c r="EZR15"/>
      <c r="EZS15"/>
      <c r="EZT15"/>
      <c r="EZU15"/>
      <c r="EZV15"/>
      <c r="EZW15"/>
      <c r="EZX15"/>
      <c r="EZY15"/>
      <c r="EZZ15"/>
      <c r="FAA15"/>
      <c r="FAB15"/>
      <c r="FAC15"/>
      <c r="FAD15"/>
      <c r="FAE15"/>
      <c r="FAF15"/>
      <c r="FAG15"/>
      <c r="FAH15"/>
      <c r="FAI15"/>
      <c r="FAJ15"/>
      <c r="FAK15"/>
      <c r="FAL15"/>
      <c r="FAM15"/>
      <c r="FAN15"/>
      <c r="FAO15"/>
      <c r="FAP15"/>
      <c r="FAQ15"/>
      <c r="FAR15"/>
      <c r="FAS15"/>
      <c r="FAT15"/>
      <c r="FAU15"/>
      <c r="FAV15"/>
      <c r="FAW15"/>
      <c r="FAX15"/>
      <c r="FAY15"/>
      <c r="FAZ15"/>
      <c r="FBA15"/>
      <c r="FBB15"/>
      <c r="FBC15"/>
      <c r="FBD15"/>
      <c r="FBE15"/>
      <c r="FBF15"/>
      <c r="FBG15"/>
      <c r="FBH15"/>
      <c r="FBI15"/>
      <c r="FBJ15"/>
      <c r="FBK15"/>
      <c r="FBL15"/>
      <c r="FBM15"/>
      <c r="FBN15"/>
      <c r="FBO15"/>
      <c r="FBP15"/>
      <c r="FBQ15"/>
      <c r="FBR15"/>
      <c r="FBS15"/>
      <c r="FBT15"/>
      <c r="FBU15"/>
      <c r="FBV15"/>
      <c r="FBW15"/>
      <c r="FBX15"/>
      <c r="FBY15"/>
      <c r="FBZ15"/>
      <c r="FCA15"/>
      <c r="FCB15"/>
      <c r="FCC15"/>
      <c r="FCD15"/>
      <c r="FCE15"/>
      <c r="FCF15"/>
      <c r="FCG15"/>
      <c r="FCH15"/>
      <c r="FCI15"/>
      <c r="FCJ15"/>
      <c r="FCK15"/>
      <c r="FCL15"/>
      <c r="FCM15"/>
      <c r="FCN15"/>
      <c r="FCO15"/>
      <c r="FCP15"/>
      <c r="FCQ15"/>
      <c r="FCR15"/>
      <c r="FCS15"/>
      <c r="FCT15"/>
      <c r="FCU15"/>
      <c r="FCV15"/>
      <c r="FCW15"/>
      <c r="FCX15"/>
      <c r="FCY15"/>
      <c r="FCZ15"/>
      <c r="FDA15"/>
      <c r="FDB15"/>
      <c r="FDC15"/>
      <c r="FDD15"/>
      <c r="FDE15"/>
      <c r="FDF15"/>
      <c r="FDG15"/>
      <c r="FDH15"/>
      <c r="FDI15"/>
      <c r="FDJ15"/>
      <c r="FDK15"/>
      <c r="FDL15"/>
      <c r="FDM15"/>
      <c r="FDN15"/>
      <c r="FDO15"/>
      <c r="FDP15"/>
      <c r="FDQ15"/>
      <c r="FDR15"/>
      <c r="FDS15"/>
      <c r="FDT15"/>
      <c r="FDU15"/>
      <c r="FDV15"/>
      <c r="FDW15"/>
      <c r="FDX15"/>
      <c r="FDY15"/>
      <c r="FDZ15"/>
      <c r="FEA15"/>
      <c r="FEB15"/>
      <c r="FEC15"/>
      <c r="FED15"/>
      <c r="FEE15"/>
      <c r="FEF15"/>
      <c r="FEG15"/>
      <c r="FEH15"/>
      <c r="FEI15"/>
      <c r="FEJ15"/>
      <c r="FEK15"/>
      <c r="FEL15"/>
      <c r="FEM15"/>
      <c r="FEN15"/>
      <c r="FEO15"/>
      <c r="FEP15"/>
      <c r="FEQ15"/>
      <c r="FER15"/>
      <c r="FES15"/>
      <c r="FET15"/>
      <c r="FEU15"/>
      <c r="FEV15"/>
      <c r="FEW15"/>
      <c r="FEX15"/>
      <c r="FEY15"/>
      <c r="FEZ15"/>
      <c r="FFA15"/>
      <c r="FFB15"/>
      <c r="FFC15"/>
      <c r="FFD15"/>
      <c r="FFE15"/>
      <c r="FFF15"/>
      <c r="FFG15"/>
      <c r="FFH15"/>
      <c r="FFI15"/>
      <c r="FFJ15"/>
      <c r="FFK15"/>
      <c r="FFL15"/>
      <c r="FFM15"/>
      <c r="FFN15"/>
      <c r="FFO15"/>
      <c r="FFP15"/>
      <c r="FFQ15"/>
      <c r="FFR15"/>
      <c r="FFS15"/>
      <c r="FFT15"/>
      <c r="FFU15"/>
      <c r="FFV15"/>
      <c r="FFW15"/>
      <c r="FFX15"/>
      <c r="FFY15"/>
      <c r="FFZ15"/>
      <c r="FGA15"/>
      <c r="FGB15"/>
      <c r="FGC15"/>
      <c r="FGD15"/>
      <c r="FGE15"/>
      <c r="FGF15"/>
      <c r="FGG15"/>
      <c r="FGH15"/>
      <c r="FGI15"/>
      <c r="FGJ15"/>
      <c r="FGK15"/>
      <c r="FGL15"/>
      <c r="FGM15"/>
      <c r="FGN15"/>
      <c r="FGO15"/>
      <c r="FGP15"/>
      <c r="FGQ15"/>
      <c r="FGR15"/>
      <c r="FGS15"/>
      <c r="FGT15"/>
      <c r="FGU15"/>
      <c r="FGV15"/>
      <c r="FGW15"/>
      <c r="FGX15"/>
      <c r="FGY15"/>
      <c r="FGZ15"/>
      <c r="FHA15"/>
      <c r="FHB15"/>
      <c r="FHC15"/>
      <c r="FHD15"/>
      <c r="FHE15"/>
      <c r="FHF15"/>
      <c r="FHG15"/>
      <c r="FHH15"/>
      <c r="FHI15"/>
      <c r="FHJ15"/>
      <c r="FHK15"/>
      <c r="FHL15"/>
      <c r="FHM15"/>
      <c r="FHN15"/>
      <c r="FHO15"/>
      <c r="FHP15"/>
      <c r="FHQ15"/>
      <c r="FHR15"/>
      <c r="FHS15"/>
      <c r="FHT15"/>
      <c r="FHU15"/>
      <c r="FHV15"/>
      <c r="FHW15"/>
      <c r="FHX15"/>
      <c r="FHY15"/>
      <c r="FHZ15"/>
      <c r="FIA15"/>
      <c r="FIB15"/>
      <c r="FIC15"/>
      <c r="FID15"/>
      <c r="FIE15"/>
      <c r="FIF15"/>
      <c r="FIG15"/>
      <c r="FIH15"/>
      <c r="FII15"/>
      <c r="FIJ15"/>
      <c r="FIK15"/>
      <c r="FIL15"/>
      <c r="FIM15"/>
      <c r="FIN15"/>
      <c r="FIO15"/>
      <c r="FIP15"/>
      <c r="FIQ15"/>
      <c r="FIR15"/>
      <c r="FIS15"/>
      <c r="FIT15"/>
      <c r="FIU15"/>
      <c r="FIV15"/>
      <c r="FIW15"/>
      <c r="FIX15"/>
      <c r="FIY15"/>
      <c r="FIZ15"/>
      <c r="FJA15"/>
      <c r="FJB15"/>
      <c r="FJC15"/>
      <c r="FJD15"/>
      <c r="FJE15"/>
      <c r="FJF15"/>
      <c r="FJG15"/>
      <c r="FJH15"/>
      <c r="FJI15"/>
      <c r="FJJ15"/>
      <c r="FJK15"/>
      <c r="FJL15"/>
      <c r="FJM15"/>
      <c r="FJN15"/>
      <c r="FJO15"/>
      <c r="FJP15"/>
      <c r="FJQ15"/>
      <c r="FJR15"/>
      <c r="FJS15"/>
      <c r="FJT15"/>
      <c r="FJU15"/>
      <c r="FJV15"/>
      <c r="FJW15"/>
      <c r="FJX15"/>
      <c r="FJY15"/>
      <c r="FJZ15"/>
      <c r="FKA15"/>
      <c r="FKB15"/>
      <c r="FKC15"/>
      <c r="FKD15"/>
      <c r="FKE15"/>
      <c r="FKF15"/>
      <c r="FKG15"/>
      <c r="FKH15"/>
      <c r="FKI15"/>
      <c r="FKJ15"/>
      <c r="FKK15"/>
      <c r="FKL15"/>
      <c r="FKM15"/>
      <c r="FKN15"/>
      <c r="FKO15"/>
      <c r="FKP15"/>
      <c r="FKQ15"/>
      <c r="FKR15"/>
      <c r="FKS15"/>
      <c r="FKT15"/>
      <c r="FKU15"/>
      <c r="FKV15"/>
      <c r="FKW15"/>
      <c r="FKX15"/>
      <c r="FKY15"/>
      <c r="FKZ15"/>
      <c r="FLA15"/>
      <c r="FLB15"/>
      <c r="FLC15"/>
      <c r="FLD15"/>
      <c r="FLE15"/>
      <c r="FLF15"/>
      <c r="FLG15"/>
      <c r="FLH15"/>
      <c r="FLI15"/>
      <c r="FLJ15"/>
      <c r="FLK15"/>
      <c r="FLL15"/>
      <c r="FLM15"/>
      <c r="FLN15"/>
      <c r="FLO15"/>
      <c r="FLP15"/>
      <c r="FLQ15"/>
      <c r="FLR15"/>
      <c r="FLS15"/>
      <c r="FLT15"/>
      <c r="FLU15"/>
      <c r="FLV15"/>
      <c r="FLW15"/>
      <c r="FLX15"/>
      <c r="FLY15"/>
      <c r="FLZ15"/>
      <c r="FMA15"/>
      <c r="FMB15"/>
      <c r="FMC15"/>
      <c r="FMD15"/>
      <c r="FME15"/>
      <c r="FMF15"/>
      <c r="FMG15"/>
      <c r="FMH15"/>
      <c r="FMI15"/>
      <c r="FMJ15"/>
      <c r="FMK15"/>
      <c r="FML15"/>
      <c r="FMM15"/>
      <c r="FMN15"/>
      <c r="FMO15"/>
      <c r="FMP15"/>
      <c r="FMQ15"/>
      <c r="FMR15"/>
      <c r="FMS15"/>
      <c r="FMT15"/>
      <c r="FMU15"/>
      <c r="FMV15"/>
      <c r="FMW15"/>
      <c r="FMX15"/>
      <c r="FMY15"/>
      <c r="FMZ15"/>
      <c r="FNA15"/>
      <c r="FNB15"/>
      <c r="FNC15"/>
      <c r="FND15"/>
      <c r="FNE15"/>
      <c r="FNF15"/>
      <c r="FNG15"/>
      <c r="FNH15"/>
      <c r="FNI15"/>
      <c r="FNJ15"/>
      <c r="FNK15"/>
      <c r="FNL15"/>
      <c r="FNM15"/>
      <c r="FNN15"/>
      <c r="FNO15"/>
      <c r="FNP15"/>
      <c r="FNQ15"/>
      <c r="FNR15"/>
      <c r="FNS15"/>
      <c r="FNT15"/>
      <c r="FNU15"/>
      <c r="FNV15"/>
      <c r="FNW15"/>
      <c r="FNX15"/>
      <c r="FNY15"/>
      <c r="FNZ15"/>
      <c r="FOA15"/>
      <c r="FOB15"/>
      <c r="FOC15"/>
      <c r="FOD15"/>
      <c r="FOE15"/>
      <c r="FOF15"/>
      <c r="FOG15"/>
      <c r="FOH15"/>
      <c r="FOI15"/>
      <c r="FOJ15"/>
      <c r="FOK15"/>
      <c r="FOL15"/>
      <c r="FOM15"/>
      <c r="FON15"/>
      <c r="FOO15"/>
      <c r="FOP15"/>
      <c r="FOQ15"/>
      <c r="FOR15"/>
      <c r="FOS15"/>
      <c r="FOT15"/>
      <c r="FOU15"/>
      <c r="FOV15"/>
      <c r="FOW15"/>
      <c r="FOX15"/>
      <c r="FOY15"/>
      <c r="FOZ15"/>
      <c r="FPA15"/>
      <c r="FPB15"/>
      <c r="FPC15"/>
      <c r="FPD15"/>
      <c r="FPE15"/>
      <c r="FPF15"/>
      <c r="FPG15"/>
      <c r="FPH15"/>
      <c r="FPI15"/>
      <c r="FPJ15"/>
      <c r="FPK15"/>
      <c r="FPL15"/>
      <c r="FPM15"/>
      <c r="FPN15"/>
      <c r="FPO15"/>
      <c r="FPP15"/>
      <c r="FPQ15"/>
      <c r="FPR15"/>
      <c r="FPS15"/>
      <c r="FPT15"/>
      <c r="FPU15"/>
      <c r="FPV15"/>
      <c r="FPW15"/>
      <c r="FPX15"/>
      <c r="FPY15"/>
      <c r="FPZ15"/>
      <c r="FQA15"/>
      <c r="FQB15"/>
      <c r="FQC15"/>
      <c r="FQD15"/>
      <c r="FQE15"/>
      <c r="FQF15"/>
      <c r="FQG15"/>
      <c r="FQH15"/>
      <c r="FQI15"/>
      <c r="FQJ15"/>
      <c r="FQK15"/>
      <c r="FQL15"/>
      <c r="FQM15"/>
      <c r="FQN15"/>
      <c r="FQO15"/>
      <c r="FQP15"/>
      <c r="FQQ15"/>
      <c r="FQR15"/>
      <c r="FQS15"/>
      <c r="FQT15"/>
      <c r="FQU15"/>
      <c r="FQV15"/>
      <c r="FQW15"/>
      <c r="FQX15"/>
      <c r="FQY15"/>
      <c r="FQZ15"/>
      <c r="FRA15"/>
      <c r="FRB15"/>
      <c r="FRC15"/>
      <c r="FRD15"/>
      <c r="FRE15"/>
      <c r="FRF15"/>
      <c r="FRG15"/>
      <c r="FRH15"/>
      <c r="FRI15"/>
      <c r="FRJ15"/>
      <c r="FRK15"/>
      <c r="FRL15"/>
      <c r="FRM15"/>
      <c r="FRN15"/>
      <c r="FRO15"/>
      <c r="FRP15"/>
      <c r="FRQ15"/>
      <c r="FRR15"/>
      <c r="FRS15"/>
      <c r="FRT15"/>
      <c r="FRU15"/>
      <c r="FRV15"/>
      <c r="FRW15"/>
      <c r="FRX15"/>
      <c r="FRY15"/>
      <c r="FRZ15"/>
      <c r="FSA15"/>
      <c r="FSB15"/>
      <c r="FSC15"/>
      <c r="FSD15"/>
      <c r="FSE15"/>
      <c r="FSF15"/>
      <c r="FSG15"/>
      <c r="FSH15"/>
      <c r="FSI15"/>
      <c r="FSJ15"/>
      <c r="FSK15"/>
      <c r="FSL15"/>
      <c r="FSM15"/>
      <c r="FSN15"/>
      <c r="FSO15"/>
      <c r="FSP15"/>
      <c r="FSQ15"/>
      <c r="FSR15"/>
      <c r="FSS15"/>
      <c r="FST15"/>
      <c r="FSU15"/>
      <c r="FSV15"/>
      <c r="FSW15"/>
      <c r="FSX15"/>
      <c r="FSY15"/>
      <c r="FSZ15"/>
      <c r="FTA15"/>
      <c r="FTB15"/>
      <c r="FTC15"/>
      <c r="FTD15"/>
      <c r="FTE15"/>
      <c r="FTF15"/>
      <c r="FTG15"/>
      <c r="FTH15"/>
      <c r="FTI15"/>
      <c r="FTJ15"/>
      <c r="FTK15"/>
      <c r="FTL15"/>
      <c r="FTM15"/>
      <c r="FTN15"/>
      <c r="FTO15"/>
      <c r="FTP15"/>
      <c r="FTQ15"/>
      <c r="FTR15"/>
      <c r="FTS15"/>
      <c r="FTT15"/>
      <c r="FTU15"/>
      <c r="FTV15"/>
      <c r="FTW15"/>
      <c r="FTX15"/>
      <c r="FTY15"/>
      <c r="FTZ15"/>
      <c r="FUA15"/>
      <c r="FUB15"/>
      <c r="FUC15"/>
      <c r="FUD15"/>
      <c r="FUE15"/>
      <c r="FUF15"/>
      <c r="FUG15"/>
      <c r="FUH15"/>
      <c r="FUI15"/>
      <c r="FUJ15"/>
      <c r="FUK15"/>
      <c r="FUL15"/>
      <c r="FUM15"/>
      <c r="FUN15"/>
      <c r="FUO15"/>
      <c r="FUP15"/>
      <c r="FUQ15"/>
      <c r="FUR15"/>
      <c r="FUS15"/>
      <c r="FUT15"/>
      <c r="FUU15"/>
      <c r="FUV15"/>
      <c r="FUW15"/>
      <c r="FUX15"/>
      <c r="FUY15"/>
      <c r="FUZ15"/>
      <c r="FVA15"/>
      <c r="FVB15"/>
      <c r="FVC15"/>
      <c r="FVD15"/>
      <c r="FVE15"/>
      <c r="FVF15"/>
      <c r="FVG15"/>
      <c r="FVH15"/>
      <c r="FVI15"/>
      <c r="FVJ15"/>
      <c r="FVK15"/>
      <c r="FVL15"/>
      <c r="FVM15"/>
      <c r="FVN15"/>
      <c r="FVO15"/>
      <c r="FVP15"/>
      <c r="FVQ15"/>
      <c r="FVR15"/>
      <c r="FVS15"/>
      <c r="FVT15"/>
      <c r="FVU15"/>
      <c r="FVV15"/>
      <c r="FVW15"/>
      <c r="FVX15"/>
      <c r="FVY15"/>
      <c r="FVZ15"/>
      <c r="FWA15"/>
      <c r="FWB15"/>
      <c r="FWC15"/>
      <c r="FWD15"/>
      <c r="FWE15"/>
      <c r="FWF15"/>
      <c r="FWG15"/>
      <c r="FWH15"/>
      <c r="FWI15"/>
      <c r="FWJ15"/>
      <c r="FWK15"/>
      <c r="FWL15"/>
      <c r="FWM15"/>
      <c r="FWN15"/>
      <c r="FWO15"/>
      <c r="FWP15"/>
      <c r="FWQ15"/>
      <c r="FWR15"/>
      <c r="FWS15"/>
      <c r="FWT15"/>
      <c r="FWU15"/>
      <c r="FWV15"/>
      <c r="FWW15"/>
      <c r="FWX15"/>
      <c r="FWY15"/>
      <c r="FWZ15"/>
      <c r="FXA15"/>
      <c r="FXB15"/>
      <c r="FXC15"/>
      <c r="FXD15"/>
      <c r="FXE15"/>
      <c r="FXF15"/>
      <c r="FXG15"/>
      <c r="FXH15"/>
      <c r="FXI15"/>
      <c r="FXJ15"/>
      <c r="FXK15"/>
      <c r="FXL15"/>
      <c r="FXM15"/>
      <c r="FXN15"/>
      <c r="FXO15"/>
      <c r="FXP15"/>
      <c r="FXQ15"/>
      <c r="FXR15"/>
      <c r="FXS15"/>
      <c r="FXT15"/>
      <c r="FXU15"/>
      <c r="FXV15"/>
      <c r="FXW15"/>
      <c r="FXX15"/>
      <c r="FXY15"/>
      <c r="FXZ15"/>
      <c r="FYA15"/>
      <c r="FYB15"/>
      <c r="FYC15"/>
      <c r="FYD15"/>
      <c r="FYE15"/>
      <c r="FYF15"/>
      <c r="FYG15"/>
      <c r="FYH15"/>
      <c r="FYI15"/>
      <c r="FYJ15"/>
      <c r="FYK15"/>
      <c r="FYL15"/>
      <c r="FYM15"/>
      <c r="FYN15"/>
      <c r="FYO15"/>
      <c r="FYP15"/>
      <c r="FYQ15"/>
      <c r="FYR15"/>
      <c r="FYS15"/>
      <c r="FYT15"/>
      <c r="FYU15"/>
      <c r="FYV15"/>
      <c r="FYW15"/>
      <c r="FYX15"/>
      <c r="FYY15"/>
      <c r="FYZ15"/>
      <c r="FZA15"/>
      <c r="FZB15"/>
      <c r="FZC15"/>
      <c r="FZD15"/>
      <c r="FZE15"/>
      <c r="FZF15"/>
      <c r="FZG15"/>
      <c r="FZH15"/>
      <c r="FZI15"/>
      <c r="FZJ15"/>
      <c r="FZK15"/>
      <c r="FZL15"/>
      <c r="FZM15"/>
      <c r="FZN15"/>
      <c r="FZO15"/>
      <c r="FZP15"/>
      <c r="FZQ15"/>
      <c r="FZR15"/>
      <c r="FZS15"/>
      <c r="FZT15"/>
      <c r="FZU15"/>
      <c r="FZV15"/>
      <c r="FZW15"/>
      <c r="FZX15"/>
      <c r="FZY15"/>
      <c r="FZZ15"/>
      <c r="GAA15"/>
      <c r="GAB15"/>
      <c r="GAC15"/>
      <c r="GAD15"/>
      <c r="GAE15"/>
      <c r="GAF15"/>
      <c r="GAG15"/>
      <c r="GAH15"/>
      <c r="GAI15"/>
      <c r="GAJ15"/>
      <c r="GAK15"/>
      <c r="GAL15"/>
      <c r="GAM15"/>
      <c r="GAN15"/>
      <c r="GAO15"/>
      <c r="GAP15"/>
      <c r="GAQ15"/>
      <c r="GAR15"/>
      <c r="GAS15"/>
      <c r="GAT15"/>
      <c r="GAU15"/>
      <c r="GAV15"/>
      <c r="GAW15"/>
      <c r="GAX15"/>
      <c r="GAY15"/>
      <c r="GAZ15"/>
      <c r="GBA15"/>
      <c r="GBB15"/>
      <c r="GBC15"/>
      <c r="GBD15"/>
      <c r="GBE15"/>
      <c r="GBF15"/>
      <c r="GBG15"/>
      <c r="GBH15"/>
      <c r="GBI15"/>
      <c r="GBJ15"/>
      <c r="GBK15"/>
      <c r="GBL15"/>
      <c r="GBM15"/>
      <c r="GBN15"/>
      <c r="GBO15"/>
      <c r="GBP15"/>
      <c r="GBQ15"/>
      <c r="GBR15"/>
      <c r="GBS15"/>
      <c r="GBT15"/>
      <c r="GBU15"/>
      <c r="GBV15"/>
      <c r="GBW15"/>
      <c r="GBX15"/>
      <c r="GBY15"/>
      <c r="GBZ15"/>
      <c r="GCA15"/>
      <c r="GCB15"/>
      <c r="GCC15"/>
      <c r="GCD15"/>
      <c r="GCE15"/>
      <c r="GCF15"/>
      <c r="GCG15"/>
      <c r="GCH15"/>
      <c r="GCI15"/>
      <c r="GCJ15"/>
      <c r="GCK15"/>
      <c r="GCL15"/>
      <c r="GCM15"/>
      <c r="GCN15"/>
      <c r="GCO15"/>
      <c r="GCP15"/>
      <c r="GCQ15"/>
      <c r="GCR15"/>
      <c r="GCS15"/>
      <c r="GCT15"/>
      <c r="GCU15"/>
      <c r="GCV15"/>
      <c r="GCW15"/>
      <c r="GCX15"/>
      <c r="GCY15"/>
      <c r="GCZ15"/>
      <c r="GDA15"/>
      <c r="GDB15"/>
      <c r="GDC15"/>
      <c r="GDD15"/>
      <c r="GDE15"/>
      <c r="GDF15"/>
      <c r="GDG15"/>
      <c r="GDH15"/>
      <c r="GDI15"/>
      <c r="GDJ15"/>
      <c r="GDK15"/>
      <c r="GDL15"/>
      <c r="GDM15"/>
      <c r="GDN15"/>
      <c r="GDO15"/>
      <c r="GDP15"/>
      <c r="GDQ15"/>
      <c r="GDR15"/>
      <c r="GDS15"/>
      <c r="GDT15"/>
      <c r="GDU15"/>
      <c r="GDV15"/>
      <c r="GDW15"/>
      <c r="GDX15"/>
      <c r="GDY15"/>
      <c r="GDZ15"/>
      <c r="GEA15"/>
      <c r="GEB15"/>
      <c r="GEC15"/>
      <c r="GED15"/>
      <c r="GEE15"/>
      <c r="GEF15"/>
      <c r="GEG15"/>
      <c r="GEH15"/>
      <c r="GEI15"/>
      <c r="GEJ15"/>
      <c r="GEK15"/>
      <c r="GEL15"/>
      <c r="GEM15"/>
      <c r="GEN15"/>
      <c r="GEO15"/>
      <c r="GEP15"/>
      <c r="GEQ15"/>
      <c r="GER15"/>
      <c r="GES15"/>
      <c r="GET15"/>
      <c r="GEU15"/>
      <c r="GEV15"/>
      <c r="GEW15"/>
      <c r="GEX15"/>
      <c r="GEY15"/>
      <c r="GEZ15"/>
      <c r="GFA15"/>
      <c r="GFB15"/>
      <c r="GFC15"/>
      <c r="GFD15"/>
      <c r="GFE15"/>
      <c r="GFF15"/>
      <c r="GFG15"/>
      <c r="GFH15"/>
      <c r="GFI15"/>
      <c r="GFJ15"/>
      <c r="GFK15"/>
      <c r="GFL15"/>
      <c r="GFM15"/>
      <c r="GFN15"/>
      <c r="GFO15"/>
      <c r="GFP15"/>
      <c r="GFQ15"/>
      <c r="GFR15"/>
      <c r="GFS15"/>
      <c r="GFT15"/>
      <c r="GFU15"/>
      <c r="GFV15"/>
      <c r="GFW15"/>
      <c r="GFX15"/>
      <c r="GFY15"/>
      <c r="GFZ15"/>
      <c r="GGA15"/>
      <c r="GGB15"/>
      <c r="GGC15"/>
      <c r="GGD15"/>
      <c r="GGE15"/>
      <c r="GGF15"/>
      <c r="GGG15"/>
      <c r="GGH15"/>
      <c r="GGI15"/>
      <c r="GGJ15"/>
      <c r="GGK15"/>
      <c r="GGL15"/>
      <c r="GGM15"/>
      <c r="GGN15"/>
      <c r="GGO15"/>
      <c r="GGP15"/>
      <c r="GGQ15"/>
      <c r="GGR15"/>
      <c r="GGS15"/>
      <c r="GGT15"/>
      <c r="GGU15"/>
      <c r="GGV15"/>
      <c r="GGW15"/>
      <c r="GGX15"/>
      <c r="GGY15"/>
      <c r="GGZ15"/>
      <c r="GHA15"/>
      <c r="GHB15"/>
      <c r="GHC15"/>
      <c r="GHD15"/>
      <c r="GHE15"/>
      <c r="GHF15"/>
      <c r="GHG15"/>
      <c r="GHH15"/>
      <c r="GHI15"/>
      <c r="GHJ15"/>
      <c r="GHK15"/>
      <c r="GHL15"/>
      <c r="GHM15"/>
      <c r="GHN15"/>
      <c r="GHO15"/>
      <c r="GHP15"/>
      <c r="GHQ15"/>
      <c r="GHR15"/>
      <c r="GHS15"/>
      <c r="GHT15"/>
      <c r="GHU15"/>
      <c r="GHV15"/>
      <c r="GHW15"/>
      <c r="GHX15"/>
      <c r="GHY15"/>
      <c r="GHZ15"/>
      <c r="GIA15"/>
      <c r="GIB15"/>
      <c r="GIC15"/>
      <c r="GID15"/>
      <c r="GIE15"/>
      <c r="GIF15"/>
      <c r="GIG15"/>
      <c r="GIH15"/>
      <c r="GII15"/>
      <c r="GIJ15"/>
      <c r="GIK15"/>
      <c r="GIL15"/>
      <c r="GIM15"/>
      <c r="GIN15"/>
      <c r="GIO15"/>
      <c r="GIP15"/>
      <c r="GIQ15"/>
      <c r="GIR15"/>
      <c r="GIS15"/>
      <c r="GIT15"/>
      <c r="GIU15"/>
      <c r="GIV15"/>
      <c r="GIW15"/>
      <c r="GIX15"/>
      <c r="GIY15"/>
      <c r="GIZ15"/>
      <c r="GJA15"/>
      <c r="GJB15"/>
      <c r="GJC15"/>
      <c r="GJD15"/>
      <c r="GJE15"/>
      <c r="GJF15"/>
      <c r="GJG15"/>
      <c r="GJH15"/>
      <c r="GJI15"/>
      <c r="GJJ15"/>
      <c r="GJK15"/>
      <c r="GJL15"/>
      <c r="GJM15"/>
      <c r="GJN15"/>
      <c r="GJO15"/>
      <c r="GJP15"/>
      <c r="GJQ15"/>
      <c r="GJR15"/>
      <c r="GJS15"/>
      <c r="GJT15"/>
      <c r="GJU15"/>
      <c r="GJV15"/>
      <c r="GJW15"/>
      <c r="GJX15"/>
      <c r="GJY15"/>
      <c r="GJZ15"/>
      <c r="GKA15"/>
      <c r="GKB15"/>
      <c r="GKC15"/>
      <c r="GKD15"/>
      <c r="GKE15"/>
      <c r="GKF15"/>
      <c r="GKG15"/>
      <c r="GKH15"/>
      <c r="GKI15"/>
      <c r="GKJ15"/>
      <c r="GKK15"/>
      <c r="GKL15"/>
      <c r="GKM15"/>
      <c r="GKN15"/>
      <c r="GKO15"/>
      <c r="GKP15"/>
      <c r="GKQ15"/>
      <c r="GKR15"/>
      <c r="GKS15"/>
      <c r="GKT15"/>
      <c r="GKU15"/>
      <c r="GKV15"/>
      <c r="GKW15"/>
      <c r="GKX15"/>
      <c r="GKY15"/>
      <c r="GKZ15"/>
      <c r="GLA15"/>
      <c r="GLB15"/>
      <c r="GLC15"/>
      <c r="GLD15"/>
      <c r="GLE15"/>
      <c r="GLF15"/>
      <c r="GLG15"/>
      <c r="GLH15"/>
      <c r="GLI15"/>
      <c r="GLJ15"/>
      <c r="GLK15"/>
      <c r="GLL15"/>
      <c r="GLM15"/>
      <c r="GLN15"/>
      <c r="GLO15"/>
      <c r="GLP15"/>
      <c r="GLQ15"/>
      <c r="GLR15"/>
      <c r="GLS15"/>
      <c r="GLT15"/>
      <c r="GLU15"/>
      <c r="GLV15"/>
      <c r="GLW15"/>
      <c r="GLX15"/>
      <c r="GLY15"/>
      <c r="GLZ15"/>
      <c r="GMA15"/>
      <c r="GMB15"/>
      <c r="GMC15"/>
      <c r="GMD15"/>
      <c r="GME15"/>
      <c r="GMF15"/>
      <c r="GMG15"/>
      <c r="GMH15"/>
      <c r="GMI15"/>
      <c r="GMJ15"/>
      <c r="GMK15"/>
      <c r="GML15"/>
      <c r="GMM15"/>
      <c r="GMN15"/>
      <c r="GMO15"/>
      <c r="GMP15"/>
      <c r="GMQ15"/>
      <c r="GMR15"/>
      <c r="GMS15"/>
      <c r="GMT15"/>
      <c r="GMU15"/>
      <c r="GMV15"/>
      <c r="GMW15"/>
      <c r="GMX15"/>
      <c r="GMY15"/>
      <c r="GMZ15"/>
      <c r="GNA15"/>
      <c r="GNB15"/>
      <c r="GNC15"/>
      <c r="GND15"/>
      <c r="GNE15"/>
      <c r="GNF15"/>
      <c r="GNG15"/>
      <c r="GNH15"/>
      <c r="GNI15"/>
      <c r="GNJ15"/>
      <c r="GNK15"/>
      <c r="GNL15"/>
      <c r="GNM15"/>
      <c r="GNN15"/>
      <c r="GNO15"/>
      <c r="GNP15"/>
      <c r="GNQ15"/>
      <c r="GNR15"/>
      <c r="GNS15"/>
      <c r="GNT15"/>
      <c r="GNU15"/>
      <c r="GNV15"/>
      <c r="GNW15"/>
      <c r="GNX15"/>
      <c r="GNY15"/>
      <c r="GNZ15"/>
      <c r="GOA15"/>
      <c r="GOB15"/>
      <c r="GOC15"/>
      <c r="GOD15"/>
      <c r="GOE15"/>
      <c r="GOF15"/>
      <c r="GOG15"/>
      <c r="GOH15"/>
      <c r="GOI15"/>
      <c r="GOJ15"/>
      <c r="GOK15"/>
      <c r="GOL15"/>
      <c r="GOM15"/>
      <c r="GON15"/>
      <c r="GOO15"/>
      <c r="GOP15"/>
      <c r="GOQ15"/>
      <c r="GOR15"/>
      <c r="GOS15"/>
      <c r="GOT15"/>
      <c r="GOU15"/>
      <c r="GOV15"/>
      <c r="GOW15"/>
      <c r="GOX15"/>
      <c r="GOY15"/>
      <c r="GOZ15"/>
      <c r="GPA15"/>
      <c r="GPB15"/>
      <c r="GPC15"/>
      <c r="GPD15"/>
      <c r="GPE15"/>
      <c r="GPF15"/>
      <c r="GPG15"/>
      <c r="GPH15"/>
      <c r="GPI15"/>
      <c r="GPJ15"/>
      <c r="GPK15"/>
      <c r="GPL15"/>
      <c r="GPM15"/>
      <c r="GPN15"/>
      <c r="GPO15"/>
      <c r="GPP15"/>
      <c r="GPQ15"/>
      <c r="GPR15"/>
      <c r="GPS15"/>
      <c r="GPT15"/>
      <c r="GPU15"/>
      <c r="GPV15"/>
      <c r="GPW15"/>
      <c r="GPX15"/>
      <c r="GPY15"/>
      <c r="GPZ15"/>
      <c r="GQA15"/>
      <c r="GQB15"/>
      <c r="GQC15"/>
      <c r="GQD15"/>
      <c r="GQE15"/>
      <c r="GQF15"/>
      <c r="GQG15"/>
      <c r="GQH15"/>
      <c r="GQI15"/>
      <c r="GQJ15"/>
      <c r="GQK15"/>
      <c r="GQL15"/>
      <c r="GQM15"/>
      <c r="GQN15"/>
      <c r="GQO15"/>
      <c r="GQP15"/>
      <c r="GQQ15"/>
      <c r="GQR15"/>
      <c r="GQS15"/>
      <c r="GQT15"/>
      <c r="GQU15"/>
      <c r="GQV15"/>
      <c r="GQW15"/>
      <c r="GQX15"/>
      <c r="GQY15"/>
      <c r="GQZ15"/>
      <c r="GRA15"/>
      <c r="GRB15"/>
      <c r="GRC15"/>
      <c r="GRD15"/>
      <c r="GRE15"/>
      <c r="GRF15"/>
      <c r="GRG15"/>
      <c r="GRH15"/>
      <c r="GRI15"/>
      <c r="GRJ15"/>
      <c r="GRK15"/>
      <c r="GRL15"/>
      <c r="GRM15"/>
      <c r="GRN15"/>
      <c r="GRO15"/>
      <c r="GRP15"/>
      <c r="GRQ15"/>
      <c r="GRR15"/>
      <c r="GRS15"/>
      <c r="GRT15"/>
      <c r="GRU15"/>
      <c r="GRV15"/>
      <c r="GRW15"/>
      <c r="GRX15"/>
      <c r="GRY15"/>
      <c r="GRZ15"/>
      <c r="GSA15"/>
      <c r="GSB15"/>
      <c r="GSC15"/>
      <c r="GSD15"/>
      <c r="GSE15"/>
      <c r="GSF15"/>
      <c r="GSG15"/>
      <c r="GSH15"/>
      <c r="GSI15"/>
      <c r="GSJ15"/>
      <c r="GSK15"/>
      <c r="GSL15"/>
      <c r="GSM15"/>
      <c r="GSN15"/>
      <c r="GSO15"/>
      <c r="GSP15"/>
      <c r="GSQ15"/>
      <c r="GSR15"/>
      <c r="GSS15"/>
      <c r="GST15"/>
      <c r="GSU15"/>
      <c r="GSV15"/>
      <c r="GSW15"/>
      <c r="GSX15"/>
      <c r="GSY15"/>
      <c r="GSZ15"/>
      <c r="GTA15"/>
      <c r="GTB15"/>
      <c r="GTC15"/>
      <c r="GTD15"/>
      <c r="GTE15"/>
      <c r="GTF15"/>
      <c r="GTG15"/>
      <c r="GTH15"/>
      <c r="GTI15"/>
      <c r="GTJ15"/>
      <c r="GTK15"/>
      <c r="GTL15"/>
      <c r="GTM15"/>
      <c r="GTN15"/>
      <c r="GTO15"/>
      <c r="GTP15"/>
      <c r="GTQ15"/>
      <c r="GTR15"/>
      <c r="GTS15"/>
      <c r="GTT15"/>
      <c r="GTU15"/>
      <c r="GTV15"/>
      <c r="GTW15"/>
      <c r="GTX15"/>
      <c r="GTY15"/>
      <c r="GTZ15"/>
      <c r="GUA15"/>
      <c r="GUB15"/>
      <c r="GUC15"/>
      <c r="GUD15"/>
      <c r="GUE15"/>
      <c r="GUF15"/>
      <c r="GUG15"/>
      <c r="GUH15"/>
      <c r="GUI15"/>
      <c r="GUJ15"/>
      <c r="GUK15"/>
      <c r="GUL15"/>
      <c r="GUM15"/>
      <c r="GUN15"/>
      <c r="GUO15"/>
      <c r="GUP15"/>
      <c r="GUQ15"/>
      <c r="GUR15"/>
      <c r="GUS15"/>
      <c r="GUT15"/>
      <c r="GUU15"/>
      <c r="GUV15"/>
      <c r="GUW15"/>
      <c r="GUX15"/>
      <c r="GUY15"/>
      <c r="GUZ15"/>
      <c r="GVA15"/>
      <c r="GVB15"/>
      <c r="GVC15"/>
      <c r="GVD15"/>
      <c r="GVE15"/>
      <c r="GVF15"/>
      <c r="GVG15"/>
      <c r="GVH15"/>
      <c r="GVI15"/>
      <c r="GVJ15"/>
      <c r="GVK15"/>
      <c r="GVL15"/>
      <c r="GVM15"/>
      <c r="GVN15"/>
      <c r="GVO15"/>
      <c r="GVP15"/>
      <c r="GVQ15"/>
      <c r="GVR15"/>
      <c r="GVS15"/>
      <c r="GVT15"/>
      <c r="GVU15"/>
      <c r="GVV15"/>
      <c r="GVW15"/>
      <c r="GVX15"/>
      <c r="GVY15"/>
      <c r="GVZ15"/>
      <c r="GWA15"/>
      <c r="GWB15"/>
      <c r="GWC15"/>
      <c r="GWD15"/>
      <c r="GWE15"/>
      <c r="GWF15"/>
      <c r="GWG15"/>
      <c r="GWH15"/>
      <c r="GWI15"/>
      <c r="GWJ15"/>
      <c r="GWK15"/>
      <c r="GWL15"/>
      <c r="GWM15"/>
      <c r="GWN15"/>
      <c r="GWO15"/>
      <c r="GWP15"/>
      <c r="GWQ15"/>
      <c r="GWR15"/>
      <c r="GWS15"/>
      <c r="GWT15"/>
      <c r="GWU15"/>
      <c r="GWV15"/>
      <c r="GWW15"/>
      <c r="GWX15"/>
      <c r="GWY15"/>
      <c r="GWZ15"/>
      <c r="GXA15"/>
      <c r="GXB15"/>
      <c r="GXC15"/>
      <c r="GXD15"/>
      <c r="GXE15"/>
      <c r="GXF15"/>
      <c r="GXG15"/>
      <c r="GXH15"/>
      <c r="GXI15"/>
      <c r="GXJ15"/>
      <c r="GXK15"/>
      <c r="GXL15"/>
      <c r="GXM15"/>
      <c r="GXN15"/>
      <c r="GXO15"/>
      <c r="GXP15"/>
      <c r="GXQ15"/>
      <c r="GXR15"/>
      <c r="GXS15"/>
      <c r="GXT15"/>
      <c r="GXU15"/>
      <c r="GXV15"/>
      <c r="GXW15"/>
      <c r="GXX15"/>
      <c r="GXY15"/>
      <c r="GXZ15"/>
      <c r="GYA15"/>
      <c r="GYB15"/>
      <c r="GYC15"/>
      <c r="GYD15"/>
      <c r="GYE15"/>
      <c r="GYF15"/>
      <c r="GYG15"/>
      <c r="GYH15"/>
      <c r="GYI15"/>
      <c r="GYJ15"/>
      <c r="GYK15"/>
      <c r="GYL15"/>
      <c r="GYM15"/>
      <c r="GYN15"/>
      <c r="GYO15"/>
      <c r="GYP15"/>
      <c r="GYQ15"/>
      <c r="GYR15"/>
      <c r="GYS15"/>
      <c r="GYT15"/>
      <c r="GYU15"/>
      <c r="GYV15"/>
      <c r="GYW15"/>
      <c r="GYX15"/>
      <c r="GYY15"/>
      <c r="GYZ15"/>
      <c r="GZA15"/>
      <c r="GZB15"/>
      <c r="GZC15"/>
      <c r="GZD15"/>
      <c r="GZE15"/>
      <c r="GZF15"/>
      <c r="GZG15"/>
      <c r="GZH15"/>
      <c r="GZI15"/>
      <c r="GZJ15"/>
      <c r="GZK15"/>
      <c r="GZL15"/>
      <c r="GZM15"/>
      <c r="GZN15"/>
      <c r="GZO15"/>
      <c r="GZP15"/>
      <c r="GZQ15"/>
      <c r="GZR15"/>
      <c r="GZS15"/>
      <c r="GZT15"/>
      <c r="GZU15"/>
      <c r="GZV15"/>
      <c r="GZW15"/>
      <c r="GZX15"/>
      <c r="GZY15"/>
      <c r="GZZ15"/>
      <c r="HAA15"/>
      <c r="HAB15"/>
      <c r="HAC15"/>
      <c r="HAD15"/>
      <c r="HAE15"/>
      <c r="HAF15"/>
      <c r="HAG15"/>
      <c r="HAH15"/>
      <c r="HAI15"/>
      <c r="HAJ15"/>
      <c r="HAK15"/>
      <c r="HAL15"/>
      <c r="HAM15"/>
      <c r="HAN15"/>
      <c r="HAO15"/>
      <c r="HAP15"/>
      <c r="HAQ15"/>
      <c r="HAR15"/>
      <c r="HAS15"/>
      <c r="HAT15"/>
      <c r="HAU15"/>
      <c r="HAV15"/>
      <c r="HAW15"/>
      <c r="HAX15"/>
      <c r="HAY15"/>
      <c r="HAZ15"/>
      <c r="HBA15"/>
      <c r="HBB15"/>
      <c r="HBC15"/>
      <c r="HBD15"/>
      <c r="HBE15"/>
      <c r="HBF15"/>
      <c r="HBG15"/>
      <c r="HBH15"/>
      <c r="HBI15"/>
      <c r="HBJ15"/>
      <c r="HBK15"/>
      <c r="HBL15"/>
      <c r="HBM15"/>
      <c r="HBN15"/>
      <c r="HBO15"/>
      <c r="HBP15"/>
      <c r="HBQ15"/>
      <c r="HBR15"/>
      <c r="HBS15"/>
      <c r="HBT15"/>
      <c r="HBU15"/>
      <c r="HBV15"/>
      <c r="HBW15"/>
      <c r="HBX15"/>
      <c r="HBY15"/>
      <c r="HBZ15"/>
      <c r="HCA15"/>
      <c r="HCB15"/>
      <c r="HCC15"/>
      <c r="HCD15"/>
      <c r="HCE15"/>
      <c r="HCF15"/>
      <c r="HCG15"/>
      <c r="HCH15"/>
      <c r="HCI15"/>
      <c r="HCJ15"/>
      <c r="HCK15"/>
      <c r="HCL15"/>
      <c r="HCM15"/>
      <c r="HCN15"/>
      <c r="HCO15"/>
      <c r="HCP15"/>
      <c r="HCQ15"/>
      <c r="HCR15"/>
      <c r="HCS15"/>
      <c r="HCT15"/>
      <c r="HCU15"/>
      <c r="HCV15"/>
      <c r="HCW15"/>
      <c r="HCX15"/>
      <c r="HCY15"/>
      <c r="HCZ15"/>
      <c r="HDA15"/>
      <c r="HDB15"/>
      <c r="HDC15"/>
      <c r="HDD15"/>
      <c r="HDE15"/>
      <c r="HDF15"/>
      <c r="HDG15"/>
      <c r="HDH15"/>
      <c r="HDI15"/>
      <c r="HDJ15"/>
      <c r="HDK15"/>
      <c r="HDL15"/>
      <c r="HDM15"/>
      <c r="HDN15"/>
      <c r="HDO15"/>
      <c r="HDP15"/>
      <c r="HDQ15"/>
      <c r="HDR15"/>
      <c r="HDS15"/>
      <c r="HDT15"/>
      <c r="HDU15"/>
      <c r="HDV15"/>
      <c r="HDW15"/>
      <c r="HDX15"/>
      <c r="HDY15"/>
      <c r="HDZ15"/>
      <c r="HEA15"/>
      <c r="HEB15"/>
      <c r="HEC15"/>
      <c r="HED15"/>
      <c r="HEE15"/>
      <c r="HEF15"/>
      <c r="HEG15"/>
      <c r="HEH15"/>
      <c r="HEI15"/>
      <c r="HEJ15"/>
      <c r="HEK15"/>
      <c r="HEL15"/>
      <c r="HEM15"/>
      <c r="HEN15"/>
      <c r="HEO15"/>
      <c r="HEP15"/>
      <c r="HEQ15"/>
      <c r="HER15"/>
      <c r="HES15"/>
      <c r="HET15"/>
      <c r="HEU15"/>
      <c r="HEV15"/>
      <c r="HEW15"/>
      <c r="HEX15"/>
      <c r="HEY15"/>
      <c r="HEZ15"/>
      <c r="HFA15"/>
      <c r="HFB15"/>
      <c r="HFC15"/>
      <c r="HFD15"/>
      <c r="HFE15"/>
      <c r="HFF15"/>
      <c r="HFG15"/>
      <c r="HFH15"/>
      <c r="HFI15"/>
      <c r="HFJ15"/>
      <c r="HFK15"/>
      <c r="HFL15"/>
      <c r="HFM15"/>
      <c r="HFN15"/>
      <c r="HFO15"/>
      <c r="HFP15"/>
      <c r="HFQ15"/>
      <c r="HFR15"/>
      <c r="HFS15"/>
      <c r="HFT15"/>
      <c r="HFU15"/>
      <c r="HFV15"/>
      <c r="HFW15"/>
      <c r="HFX15"/>
      <c r="HFY15"/>
      <c r="HFZ15"/>
      <c r="HGA15"/>
      <c r="HGB15"/>
      <c r="HGC15"/>
      <c r="HGD15"/>
      <c r="HGE15"/>
      <c r="HGF15"/>
      <c r="HGG15"/>
      <c r="HGH15"/>
      <c r="HGI15"/>
      <c r="HGJ15"/>
      <c r="HGK15"/>
      <c r="HGL15"/>
      <c r="HGM15"/>
      <c r="HGN15"/>
      <c r="HGO15"/>
      <c r="HGP15"/>
      <c r="HGQ15"/>
      <c r="HGR15"/>
      <c r="HGS15"/>
      <c r="HGT15"/>
      <c r="HGU15"/>
      <c r="HGV15"/>
      <c r="HGW15"/>
      <c r="HGX15"/>
      <c r="HGY15"/>
      <c r="HGZ15"/>
      <c r="HHA15"/>
      <c r="HHB15"/>
      <c r="HHC15"/>
      <c r="HHD15"/>
      <c r="HHE15"/>
      <c r="HHF15"/>
      <c r="HHG15"/>
      <c r="HHH15"/>
      <c r="HHI15"/>
      <c r="HHJ15"/>
      <c r="HHK15"/>
      <c r="HHL15"/>
      <c r="HHM15"/>
      <c r="HHN15"/>
      <c r="HHO15"/>
      <c r="HHP15"/>
      <c r="HHQ15"/>
      <c r="HHR15"/>
      <c r="HHS15"/>
      <c r="HHT15"/>
      <c r="HHU15"/>
      <c r="HHV15"/>
      <c r="HHW15"/>
      <c r="HHX15"/>
      <c r="HHY15"/>
      <c r="HHZ15"/>
      <c r="HIA15"/>
      <c r="HIB15"/>
      <c r="HIC15"/>
      <c r="HID15"/>
      <c r="HIE15"/>
      <c r="HIF15"/>
      <c r="HIG15"/>
      <c r="HIH15"/>
      <c r="HII15"/>
      <c r="HIJ15"/>
      <c r="HIK15"/>
      <c r="HIL15"/>
      <c r="HIM15"/>
      <c r="HIN15"/>
      <c r="HIO15"/>
      <c r="HIP15"/>
      <c r="HIQ15"/>
      <c r="HIR15"/>
      <c r="HIS15"/>
      <c r="HIT15"/>
      <c r="HIU15"/>
      <c r="HIV15"/>
      <c r="HIW15"/>
      <c r="HIX15"/>
      <c r="HIY15"/>
      <c r="HIZ15"/>
      <c r="HJA15"/>
      <c r="HJB15"/>
      <c r="HJC15"/>
      <c r="HJD15"/>
      <c r="HJE15"/>
      <c r="HJF15"/>
      <c r="HJG15"/>
      <c r="HJH15"/>
      <c r="HJI15"/>
      <c r="HJJ15"/>
      <c r="HJK15"/>
      <c r="HJL15"/>
      <c r="HJM15"/>
      <c r="HJN15"/>
      <c r="HJO15"/>
      <c r="HJP15"/>
      <c r="HJQ15"/>
      <c r="HJR15"/>
      <c r="HJS15"/>
      <c r="HJT15"/>
      <c r="HJU15"/>
      <c r="HJV15"/>
      <c r="HJW15"/>
      <c r="HJX15"/>
      <c r="HJY15"/>
      <c r="HJZ15"/>
      <c r="HKA15"/>
      <c r="HKB15"/>
      <c r="HKC15"/>
      <c r="HKD15"/>
      <c r="HKE15"/>
      <c r="HKF15"/>
      <c r="HKG15"/>
      <c r="HKH15"/>
      <c r="HKI15"/>
      <c r="HKJ15"/>
      <c r="HKK15"/>
      <c r="HKL15"/>
      <c r="HKM15"/>
      <c r="HKN15"/>
      <c r="HKO15"/>
      <c r="HKP15"/>
      <c r="HKQ15"/>
      <c r="HKR15"/>
      <c r="HKS15"/>
      <c r="HKT15"/>
      <c r="HKU15"/>
      <c r="HKV15"/>
      <c r="HKW15"/>
      <c r="HKX15"/>
      <c r="HKY15"/>
      <c r="HKZ15"/>
      <c r="HLA15"/>
      <c r="HLB15"/>
      <c r="HLC15"/>
      <c r="HLD15"/>
      <c r="HLE15"/>
      <c r="HLF15"/>
      <c r="HLG15"/>
      <c r="HLH15"/>
      <c r="HLI15"/>
      <c r="HLJ15"/>
      <c r="HLK15"/>
      <c r="HLL15"/>
      <c r="HLM15"/>
      <c r="HLN15"/>
      <c r="HLO15"/>
      <c r="HLP15"/>
      <c r="HLQ15"/>
      <c r="HLR15"/>
      <c r="HLS15"/>
      <c r="HLT15"/>
      <c r="HLU15"/>
      <c r="HLV15"/>
      <c r="HLW15"/>
      <c r="HLX15"/>
      <c r="HLY15"/>
      <c r="HLZ15"/>
      <c r="HMA15"/>
      <c r="HMB15"/>
      <c r="HMC15"/>
      <c r="HMD15"/>
      <c r="HME15"/>
      <c r="HMF15"/>
      <c r="HMG15"/>
      <c r="HMH15"/>
      <c r="HMI15"/>
      <c r="HMJ15"/>
      <c r="HMK15"/>
      <c r="HML15"/>
      <c r="HMM15"/>
      <c r="HMN15"/>
      <c r="HMO15"/>
      <c r="HMP15"/>
      <c r="HMQ15"/>
      <c r="HMR15"/>
      <c r="HMS15"/>
      <c r="HMT15"/>
      <c r="HMU15"/>
      <c r="HMV15"/>
      <c r="HMW15"/>
      <c r="HMX15"/>
      <c r="HMY15"/>
      <c r="HMZ15"/>
      <c r="HNA15"/>
      <c r="HNB15"/>
      <c r="HNC15"/>
      <c r="HND15"/>
      <c r="HNE15"/>
      <c r="HNF15"/>
      <c r="HNG15"/>
      <c r="HNH15"/>
      <c r="HNI15"/>
      <c r="HNJ15"/>
      <c r="HNK15"/>
      <c r="HNL15"/>
      <c r="HNM15"/>
      <c r="HNN15"/>
      <c r="HNO15"/>
      <c r="HNP15"/>
      <c r="HNQ15"/>
      <c r="HNR15"/>
      <c r="HNS15"/>
      <c r="HNT15"/>
      <c r="HNU15"/>
      <c r="HNV15"/>
      <c r="HNW15"/>
      <c r="HNX15"/>
      <c r="HNY15"/>
      <c r="HNZ15"/>
      <c r="HOA15"/>
      <c r="HOB15"/>
      <c r="HOC15"/>
      <c r="HOD15"/>
      <c r="HOE15"/>
      <c r="HOF15"/>
      <c r="HOG15"/>
      <c r="HOH15"/>
      <c r="HOI15"/>
      <c r="HOJ15"/>
      <c r="HOK15"/>
      <c r="HOL15"/>
      <c r="HOM15"/>
      <c r="HON15"/>
      <c r="HOO15"/>
      <c r="HOP15"/>
      <c r="HOQ15"/>
      <c r="HOR15"/>
      <c r="HOS15"/>
      <c r="HOT15"/>
      <c r="HOU15"/>
      <c r="HOV15"/>
      <c r="HOW15"/>
      <c r="HOX15"/>
      <c r="HOY15"/>
      <c r="HOZ15"/>
      <c r="HPA15"/>
      <c r="HPB15"/>
      <c r="HPC15"/>
      <c r="HPD15"/>
      <c r="HPE15"/>
      <c r="HPF15"/>
      <c r="HPG15"/>
      <c r="HPH15"/>
      <c r="HPI15"/>
      <c r="HPJ15"/>
      <c r="HPK15"/>
      <c r="HPL15"/>
      <c r="HPM15"/>
      <c r="HPN15"/>
      <c r="HPO15"/>
      <c r="HPP15"/>
      <c r="HPQ15"/>
      <c r="HPR15"/>
      <c r="HPS15"/>
      <c r="HPT15"/>
      <c r="HPU15"/>
      <c r="HPV15"/>
      <c r="HPW15"/>
      <c r="HPX15"/>
      <c r="HPY15"/>
      <c r="HPZ15"/>
      <c r="HQA15"/>
      <c r="HQB15"/>
      <c r="HQC15"/>
      <c r="HQD15"/>
      <c r="HQE15"/>
      <c r="HQF15"/>
      <c r="HQG15"/>
      <c r="HQH15"/>
      <c r="HQI15"/>
      <c r="HQJ15"/>
      <c r="HQK15"/>
      <c r="HQL15"/>
      <c r="HQM15"/>
      <c r="HQN15"/>
      <c r="HQO15"/>
      <c r="HQP15"/>
      <c r="HQQ15"/>
      <c r="HQR15"/>
      <c r="HQS15"/>
      <c r="HQT15"/>
      <c r="HQU15"/>
      <c r="HQV15"/>
      <c r="HQW15"/>
      <c r="HQX15"/>
      <c r="HQY15"/>
      <c r="HQZ15"/>
      <c r="HRA15"/>
      <c r="HRB15"/>
      <c r="HRC15"/>
      <c r="HRD15"/>
      <c r="HRE15"/>
      <c r="HRF15"/>
      <c r="HRG15"/>
      <c r="HRH15"/>
      <c r="HRI15"/>
      <c r="HRJ15"/>
      <c r="HRK15"/>
      <c r="HRL15"/>
      <c r="HRM15"/>
      <c r="HRN15"/>
      <c r="HRO15"/>
      <c r="HRP15"/>
      <c r="HRQ15"/>
      <c r="HRR15"/>
      <c r="HRS15"/>
      <c r="HRT15"/>
      <c r="HRU15"/>
      <c r="HRV15"/>
      <c r="HRW15"/>
      <c r="HRX15"/>
      <c r="HRY15"/>
      <c r="HRZ15"/>
      <c r="HSA15"/>
      <c r="HSB15"/>
      <c r="HSC15"/>
      <c r="HSD15"/>
      <c r="HSE15"/>
      <c r="HSF15"/>
      <c r="HSG15"/>
      <c r="HSH15"/>
      <c r="HSI15"/>
      <c r="HSJ15"/>
      <c r="HSK15"/>
      <c r="HSL15"/>
      <c r="HSM15"/>
      <c r="HSN15"/>
      <c r="HSO15"/>
      <c r="HSP15"/>
      <c r="HSQ15"/>
      <c r="HSR15"/>
      <c r="HSS15"/>
      <c r="HST15"/>
      <c r="HSU15"/>
      <c r="HSV15"/>
      <c r="HSW15"/>
      <c r="HSX15"/>
      <c r="HSY15"/>
      <c r="HSZ15"/>
      <c r="HTA15"/>
      <c r="HTB15"/>
      <c r="HTC15"/>
      <c r="HTD15"/>
      <c r="HTE15"/>
      <c r="HTF15"/>
      <c r="HTG15"/>
      <c r="HTH15"/>
      <c r="HTI15"/>
      <c r="HTJ15"/>
      <c r="HTK15"/>
      <c r="HTL15"/>
      <c r="HTM15"/>
      <c r="HTN15"/>
      <c r="HTO15"/>
      <c r="HTP15"/>
      <c r="HTQ15"/>
      <c r="HTR15"/>
      <c r="HTS15"/>
      <c r="HTT15"/>
      <c r="HTU15"/>
      <c r="HTV15"/>
      <c r="HTW15"/>
      <c r="HTX15"/>
      <c r="HTY15"/>
      <c r="HTZ15"/>
      <c r="HUA15"/>
      <c r="HUB15"/>
      <c r="HUC15"/>
      <c r="HUD15"/>
      <c r="HUE15"/>
      <c r="HUF15"/>
      <c r="HUG15"/>
      <c r="HUH15"/>
      <c r="HUI15"/>
      <c r="HUJ15"/>
      <c r="HUK15"/>
      <c r="HUL15"/>
      <c r="HUM15"/>
      <c r="HUN15"/>
      <c r="HUO15"/>
      <c r="HUP15"/>
      <c r="HUQ15"/>
      <c r="HUR15"/>
      <c r="HUS15"/>
      <c r="HUT15"/>
      <c r="HUU15"/>
      <c r="HUV15"/>
      <c r="HUW15"/>
      <c r="HUX15"/>
      <c r="HUY15"/>
      <c r="HUZ15"/>
      <c r="HVA15"/>
      <c r="HVB15"/>
      <c r="HVC15"/>
      <c r="HVD15"/>
      <c r="HVE15"/>
      <c r="HVF15"/>
      <c r="HVG15"/>
      <c r="HVH15"/>
      <c r="HVI15"/>
      <c r="HVJ15"/>
      <c r="HVK15"/>
      <c r="HVL15"/>
      <c r="HVM15"/>
      <c r="HVN15"/>
      <c r="HVO15"/>
      <c r="HVP15"/>
      <c r="HVQ15"/>
      <c r="HVR15"/>
      <c r="HVS15"/>
      <c r="HVT15"/>
      <c r="HVU15"/>
      <c r="HVV15"/>
      <c r="HVW15"/>
      <c r="HVX15"/>
      <c r="HVY15"/>
      <c r="HVZ15"/>
      <c r="HWA15"/>
      <c r="HWB15"/>
      <c r="HWC15"/>
      <c r="HWD15"/>
      <c r="HWE15"/>
      <c r="HWF15"/>
      <c r="HWG15"/>
      <c r="HWH15"/>
      <c r="HWI15"/>
      <c r="HWJ15"/>
      <c r="HWK15"/>
      <c r="HWL15"/>
      <c r="HWM15"/>
      <c r="HWN15"/>
      <c r="HWO15"/>
      <c r="HWP15"/>
      <c r="HWQ15"/>
      <c r="HWR15"/>
      <c r="HWS15"/>
      <c r="HWT15"/>
      <c r="HWU15"/>
      <c r="HWV15"/>
      <c r="HWW15"/>
      <c r="HWX15"/>
      <c r="HWY15"/>
      <c r="HWZ15"/>
      <c r="HXA15"/>
      <c r="HXB15"/>
      <c r="HXC15"/>
      <c r="HXD15"/>
      <c r="HXE15"/>
      <c r="HXF15"/>
      <c r="HXG15"/>
      <c r="HXH15"/>
      <c r="HXI15"/>
      <c r="HXJ15"/>
      <c r="HXK15"/>
      <c r="HXL15"/>
      <c r="HXM15"/>
      <c r="HXN15"/>
      <c r="HXO15"/>
      <c r="HXP15"/>
      <c r="HXQ15"/>
      <c r="HXR15"/>
      <c r="HXS15"/>
      <c r="HXT15"/>
      <c r="HXU15"/>
      <c r="HXV15"/>
      <c r="HXW15"/>
      <c r="HXX15"/>
      <c r="HXY15"/>
      <c r="HXZ15"/>
      <c r="HYA15"/>
      <c r="HYB15"/>
      <c r="HYC15"/>
      <c r="HYD15"/>
      <c r="HYE15"/>
      <c r="HYF15"/>
      <c r="HYG15"/>
      <c r="HYH15"/>
      <c r="HYI15"/>
      <c r="HYJ15"/>
      <c r="HYK15"/>
      <c r="HYL15"/>
      <c r="HYM15"/>
      <c r="HYN15"/>
      <c r="HYO15"/>
      <c r="HYP15"/>
      <c r="HYQ15"/>
      <c r="HYR15"/>
      <c r="HYS15"/>
      <c r="HYT15"/>
      <c r="HYU15"/>
      <c r="HYV15"/>
      <c r="HYW15"/>
      <c r="HYX15"/>
      <c r="HYY15"/>
      <c r="HYZ15"/>
      <c r="HZA15"/>
      <c r="HZB15"/>
      <c r="HZC15"/>
      <c r="HZD15"/>
      <c r="HZE15"/>
      <c r="HZF15"/>
      <c r="HZG15"/>
      <c r="HZH15"/>
      <c r="HZI15"/>
      <c r="HZJ15"/>
      <c r="HZK15"/>
      <c r="HZL15"/>
      <c r="HZM15"/>
      <c r="HZN15"/>
      <c r="HZO15"/>
      <c r="HZP15"/>
      <c r="HZQ15"/>
      <c r="HZR15"/>
      <c r="HZS15"/>
      <c r="HZT15"/>
      <c r="HZU15"/>
      <c r="HZV15"/>
      <c r="HZW15"/>
      <c r="HZX15"/>
      <c r="HZY15"/>
      <c r="HZZ15"/>
      <c r="IAA15"/>
      <c r="IAB15"/>
      <c r="IAC15"/>
      <c r="IAD15"/>
      <c r="IAE15"/>
      <c r="IAF15"/>
      <c r="IAG15"/>
      <c r="IAH15"/>
      <c r="IAI15"/>
      <c r="IAJ15"/>
      <c r="IAK15"/>
      <c r="IAL15"/>
      <c r="IAM15"/>
      <c r="IAN15"/>
      <c r="IAO15"/>
      <c r="IAP15"/>
      <c r="IAQ15"/>
      <c r="IAR15"/>
      <c r="IAS15"/>
      <c r="IAT15"/>
      <c r="IAU15"/>
      <c r="IAV15"/>
      <c r="IAW15"/>
      <c r="IAX15"/>
      <c r="IAY15"/>
      <c r="IAZ15"/>
      <c r="IBA15"/>
      <c r="IBB15"/>
      <c r="IBC15"/>
      <c r="IBD15"/>
      <c r="IBE15"/>
      <c r="IBF15"/>
      <c r="IBG15"/>
      <c r="IBH15"/>
      <c r="IBI15"/>
      <c r="IBJ15"/>
      <c r="IBK15"/>
      <c r="IBL15"/>
      <c r="IBM15"/>
      <c r="IBN15"/>
      <c r="IBO15"/>
      <c r="IBP15"/>
      <c r="IBQ15"/>
      <c r="IBR15"/>
      <c r="IBS15"/>
      <c r="IBT15"/>
      <c r="IBU15"/>
      <c r="IBV15"/>
      <c r="IBW15"/>
      <c r="IBX15"/>
      <c r="IBY15"/>
      <c r="IBZ15"/>
      <c r="ICA15"/>
      <c r="ICB15"/>
      <c r="ICC15"/>
      <c r="ICD15"/>
      <c r="ICE15"/>
      <c r="ICF15"/>
      <c r="ICG15"/>
      <c r="ICH15"/>
      <c r="ICI15"/>
      <c r="ICJ15"/>
      <c r="ICK15"/>
      <c r="ICL15"/>
      <c r="ICM15"/>
      <c r="ICN15"/>
      <c r="ICO15"/>
      <c r="ICP15"/>
      <c r="ICQ15"/>
      <c r="ICR15"/>
      <c r="ICS15"/>
      <c r="ICT15"/>
      <c r="ICU15"/>
      <c r="ICV15"/>
      <c r="ICW15"/>
      <c r="ICX15"/>
      <c r="ICY15"/>
      <c r="ICZ15"/>
      <c r="IDA15"/>
      <c r="IDB15"/>
      <c r="IDC15"/>
      <c r="IDD15"/>
      <c r="IDE15"/>
      <c r="IDF15"/>
      <c r="IDG15"/>
      <c r="IDH15"/>
      <c r="IDI15"/>
      <c r="IDJ15"/>
      <c r="IDK15"/>
      <c r="IDL15"/>
      <c r="IDM15"/>
      <c r="IDN15"/>
      <c r="IDO15"/>
      <c r="IDP15"/>
      <c r="IDQ15"/>
      <c r="IDR15"/>
      <c r="IDS15"/>
      <c r="IDT15"/>
      <c r="IDU15"/>
      <c r="IDV15"/>
      <c r="IDW15"/>
      <c r="IDX15"/>
      <c r="IDY15"/>
      <c r="IDZ15"/>
      <c r="IEA15"/>
      <c r="IEB15"/>
      <c r="IEC15"/>
      <c r="IED15"/>
      <c r="IEE15"/>
      <c r="IEF15"/>
      <c r="IEG15"/>
      <c r="IEH15"/>
      <c r="IEI15"/>
      <c r="IEJ15"/>
      <c r="IEK15"/>
      <c r="IEL15"/>
      <c r="IEM15"/>
      <c r="IEN15"/>
      <c r="IEO15"/>
      <c r="IEP15"/>
      <c r="IEQ15"/>
      <c r="IER15"/>
      <c r="IES15"/>
      <c r="IET15"/>
      <c r="IEU15"/>
      <c r="IEV15"/>
      <c r="IEW15"/>
      <c r="IEX15"/>
      <c r="IEY15"/>
      <c r="IEZ15"/>
      <c r="IFA15"/>
      <c r="IFB15"/>
      <c r="IFC15"/>
      <c r="IFD15"/>
      <c r="IFE15"/>
      <c r="IFF15"/>
      <c r="IFG15"/>
      <c r="IFH15"/>
      <c r="IFI15"/>
      <c r="IFJ15"/>
      <c r="IFK15"/>
      <c r="IFL15"/>
      <c r="IFM15"/>
      <c r="IFN15"/>
      <c r="IFO15"/>
      <c r="IFP15"/>
      <c r="IFQ15"/>
      <c r="IFR15"/>
      <c r="IFS15"/>
      <c r="IFT15"/>
      <c r="IFU15"/>
      <c r="IFV15"/>
      <c r="IFW15"/>
      <c r="IFX15"/>
      <c r="IFY15"/>
      <c r="IFZ15"/>
      <c r="IGA15"/>
      <c r="IGB15"/>
      <c r="IGC15"/>
      <c r="IGD15"/>
      <c r="IGE15"/>
      <c r="IGF15"/>
      <c r="IGG15"/>
      <c r="IGH15"/>
      <c r="IGI15"/>
      <c r="IGJ15"/>
      <c r="IGK15"/>
      <c r="IGL15"/>
      <c r="IGM15"/>
      <c r="IGN15"/>
      <c r="IGO15"/>
      <c r="IGP15"/>
      <c r="IGQ15"/>
      <c r="IGR15"/>
      <c r="IGS15"/>
      <c r="IGT15"/>
      <c r="IGU15"/>
      <c r="IGV15"/>
      <c r="IGW15"/>
      <c r="IGX15"/>
      <c r="IGY15"/>
      <c r="IGZ15"/>
      <c r="IHA15"/>
      <c r="IHB15"/>
      <c r="IHC15"/>
      <c r="IHD15"/>
      <c r="IHE15"/>
      <c r="IHF15"/>
      <c r="IHG15"/>
      <c r="IHH15"/>
      <c r="IHI15"/>
      <c r="IHJ15"/>
      <c r="IHK15"/>
      <c r="IHL15"/>
      <c r="IHM15"/>
      <c r="IHN15"/>
      <c r="IHO15"/>
      <c r="IHP15"/>
      <c r="IHQ15"/>
      <c r="IHR15"/>
      <c r="IHS15"/>
      <c r="IHT15"/>
      <c r="IHU15"/>
      <c r="IHV15"/>
      <c r="IHW15"/>
      <c r="IHX15"/>
      <c r="IHY15"/>
      <c r="IHZ15"/>
      <c r="IIA15"/>
      <c r="IIB15"/>
      <c r="IIC15"/>
      <c r="IID15"/>
      <c r="IIE15"/>
      <c r="IIF15"/>
      <c r="IIG15"/>
      <c r="IIH15"/>
      <c r="III15"/>
      <c r="IIJ15"/>
      <c r="IIK15"/>
      <c r="IIL15"/>
      <c r="IIM15"/>
      <c r="IIN15"/>
      <c r="IIO15"/>
      <c r="IIP15"/>
      <c r="IIQ15"/>
      <c r="IIR15"/>
      <c r="IIS15"/>
      <c r="IIT15"/>
      <c r="IIU15"/>
      <c r="IIV15"/>
      <c r="IIW15"/>
      <c r="IIX15"/>
      <c r="IIY15"/>
      <c r="IIZ15"/>
      <c r="IJA15"/>
      <c r="IJB15"/>
      <c r="IJC15"/>
      <c r="IJD15"/>
      <c r="IJE15"/>
      <c r="IJF15"/>
      <c r="IJG15"/>
      <c r="IJH15"/>
      <c r="IJI15"/>
      <c r="IJJ15"/>
      <c r="IJK15"/>
      <c r="IJL15"/>
      <c r="IJM15"/>
      <c r="IJN15"/>
      <c r="IJO15"/>
      <c r="IJP15"/>
      <c r="IJQ15"/>
      <c r="IJR15"/>
      <c r="IJS15"/>
      <c r="IJT15"/>
      <c r="IJU15"/>
      <c r="IJV15"/>
      <c r="IJW15"/>
      <c r="IJX15"/>
      <c r="IJY15"/>
      <c r="IJZ15"/>
      <c r="IKA15"/>
      <c r="IKB15"/>
      <c r="IKC15"/>
      <c r="IKD15"/>
      <c r="IKE15"/>
      <c r="IKF15"/>
      <c r="IKG15"/>
      <c r="IKH15"/>
      <c r="IKI15"/>
      <c r="IKJ15"/>
      <c r="IKK15"/>
      <c r="IKL15"/>
      <c r="IKM15"/>
      <c r="IKN15"/>
      <c r="IKO15"/>
      <c r="IKP15"/>
      <c r="IKQ15"/>
      <c r="IKR15"/>
      <c r="IKS15"/>
      <c r="IKT15"/>
      <c r="IKU15"/>
      <c r="IKV15"/>
      <c r="IKW15"/>
      <c r="IKX15"/>
      <c r="IKY15"/>
      <c r="IKZ15"/>
      <c r="ILA15"/>
      <c r="ILB15"/>
      <c r="ILC15"/>
      <c r="ILD15"/>
      <c r="ILE15"/>
      <c r="ILF15"/>
      <c r="ILG15"/>
      <c r="ILH15"/>
      <c r="ILI15"/>
      <c r="ILJ15"/>
      <c r="ILK15"/>
      <c r="ILL15"/>
      <c r="ILM15"/>
      <c r="ILN15"/>
      <c r="ILO15"/>
      <c r="ILP15"/>
      <c r="ILQ15"/>
      <c r="ILR15"/>
      <c r="ILS15"/>
      <c r="ILT15"/>
      <c r="ILU15"/>
      <c r="ILV15"/>
      <c r="ILW15"/>
      <c r="ILX15"/>
      <c r="ILY15"/>
      <c r="ILZ15"/>
      <c r="IMA15"/>
      <c r="IMB15"/>
      <c r="IMC15"/>
      <c r="IMD15"/>
      <c r="IME15"/>
      <c r="IMF15"/>
      <c r="IMG15"/>
      <c r="IMH15"/>
      <c r="IMI15"/>
      <c r="IMJ15"/>
      <c r="IMK15"/>
      <c r="IML15"/>
      <c r="IMM15"/>
      <c r="IMN15"/>
      <c r="IMO15"/>
      <c r="IMP15"/>
      <c r="IMQ15"/>
      <c r="IMR15"/>
      <c r="IMS15"/>
      <c r="IMT15"/>
      <c r="IMU15"/>
      <c r="IMV15"/>
      <c r="IMW15"/>
      <c r="IMX15"/>
      <c r="IMY15"/>
      <c r="IMZ15"/>
      <c r="INA15"/>
      <c r="INB15"/>
      <c r="INC15"/>
      <c r="IND15"/>
      <c r="INE15"/>
      <c r="INF15"/>
      <c r="ING15"/>
      <c r="INH15"/>
      <c r="INI15"/>
      <c r="INJ15"/>
      <c r="INK15"/>
      <c r="INL15"/>
      <c r="INM15"/>
      <c r="INN15"/>
      <c r="INO15"/>
      <c r="INP15"/>
      <c r="INQ15"/>
      <c r="INR15"/>
      <c r="INS15"/>
      <c r="INT15"/>
      <c r="INU15"/>
      <c r="INV15"/>
      <c r="INW15"/>
      <c r="INX15"/>
      <c r="INY15"/>
      <c r="INZ15"/>
      <c r="IOA15"/>
      <c r="IOB15"/>
      <c r="IOC15"/>
      <c r="IOD15"/>
      <c r="IOE15"/>
      <c r="IOF15"/>
      <c r="IOG15"/>
      <c r="IOH15"/>
      <c r="IOI15"/>
      <c r="IOJ15"/>
      <c r="IOK15"/>
      <c r="IOL15"/>
      <c r="IOM15"/>
      <c r="ION15"/>
      <c r="IOO15"/>
      <c r="IOP15"/>
      <c r="IOQ15"/>
      <c r="IOR15"/>
      <c r="IOS15"/>
      <c r="IOT15"/>
      <c r="IOU15"/>
      <c r="IOV15"/>
      <c r="IOW15"/>
      <c r="IOX15"/>
      <c r="IOY15"/>
      <c r="IOZ15"/>
      <c r="IPA15"/>
      <c r="IPB15"/>
      <c r="IPC15"/>
      <c r="IPD15"/>
      <c r="IPE15"/>
      <c r="IPF15"/>
      <c r="IPG15"/>
      <c r="IPH15"/>
      <c r="IPI15"/>
      <c r="IPJ15"/>
      <c r="IPK15"/>
      <c r="IPL15"/>
      <c r="IPM15"/>
      <c r="IPN15"/>
      <c r="IPO15"/>
      <c r="IPP15"/>
      <c r="IPQ15"/>
      <c r="IPR15"/>
      <c r="IPS15"/>
      <c r="IPT15"/>
      <c r="IPU15"/>
      <c r="IPV15"/>
      <c r="IPW15"/>
      <c r="IPX15"/>
      <c r="IPY15"/>
      <c r="IPZ15"/>
      <c r="IQA15"/>
      <c r="IQB15"/>
      <c r="IQC15"/>
      <c r="IQD15"/>
      <c r="IQE15"/>
      <c r="IQF15"/>
      <c r="IQG15"/>
      <c r="IQH15"/>
      <c r="IQI15"/>
      <c r="IQJ15"/>
      <c r="IQK15"/>
      <c r="IQL15"/>
      <c r="IQM15"/>
      <c r="IQN15"/>
      <c r="IQO15"/>
      <c r="IQP15"/>
      <c r="IQQ15"/>
      <c r="IQR15"/>
      <c r="IQS15"/>
      <c r="IQT15"/>
      <c r="IQU15"/>
      <c r="IQV15"/>
      <c r="IQW15"/>
      <c r="IQX15"/>
      <c r="IQY15"/>
      <c r="IQZ15"/>
      <c r="IRA15"/>
      <c r="IRB15"/>
      <c r="IRC15"/>
      <c r="IRD15"/>
      <c r="IRE15"/>
      <c r="IRF15"/>
      <c r="IRG15"/>
      <c r="IRH15"/>
      <c r="IRI15"/>
      <c r="IRJ15"/>
      <c r="IRK15"/>
      <c r="IRL15"/>
      <c r="IRM15"/>
      <c r="IRN15"/>
      <c r="IRO15"/>
      <c r="IRP15"/>
      <c r="IRQ15"/>
      <c r="IRR15"/>
      <c r="IRS15"/>
      <c r="IRT15"/>
      <c r="IRU15"/>
      <c r="IRV15"/>
      <c r="IRW15"/>
      <c r="IRX15"/>
      <c r="IRY15"/>
      <c r="IRZ15"/>
      <c r="ISA15"/>
      <c r="ISB15"/>
      <c r="ISC15"/>
      <c r="ISD15"/>
      <c r="ISE15"/>
      <c r="ISF15"/>
      <c r="ISG15"/>
      <c r="ISH15"/>
      <c r="ISI15"/>
      <c r="ISJ15"/>
      <c r="ISK15"/>
      <c r="ISL15"/>
      <c r="ISM15"/>
      <c r="ISN15"/>
      <c r="ISO15"/>
      <c r="ISP15"/>
      <c r="ISQ15"/>
      <c r="ISR15"/>
      <c r="ISS15"/>
      <c r="IST15"/>
      <c r="ISU15"/>
      <c r="ISV15"/>
      <c r="ISW15"/>
      <c r="ISX15"/>
      <c r="ISY15"/>
      <c r="ISZ15"/>
      <c r="ITA15"/>
      <c r="ITB15"/>
      <c r="ITC15"/>
      <c r="ITD15"/>
      <c r="ITE15"/>
      <c r="ITF15"/>
      <c r="ITG15"/>
      <c r="ITH15"/>
      <c r="ITI15"/>
      <c r="ITJ15"/>
      <c r="ITK15"/>
      <c r="ITL15"/>
      <c r="ITM15"/>
      <c r="ITN15"/>
      <c r="ITO15"/>
      <c r="ITP15"/>
      <c r="ITQ15"/>
      <c r="ITR15"/>
      <c r="ITS15"/>
      <c r="ITT15"/>
      <c r="ITU15"/>
      <c r="ITV15"/>
      <c r="ITW15"/>
      <c r="ITX15"/>
      <c r="ITY15"/>
      <c r="ITZ15"/>
      <c r="IUA15"/>
      <c r="IUB15"/>
      <c r="IUC15"/>
      <c r="IUD15"/>
      <c r="IUE15"/>
      <c r="IUF15"/>
      <c r="IUG15"/>
      <c r="IUH15"/>
      <c r="IUI15"/>
      <c r="IUJ15"/>
      <c r="IUK15"/>
      <c r="IUL15"/>
      <c r="IUM15"/>
      <c r="IUN15"/>
      <c r="IUO15"/>
      <c r="IUP15"/>
      <c r="IUQ15"/>
      <c r="IUR15"/>
      <c r="IUS15"/>
      <c r="IUT15"/>
      <c r="IUU15"/>
      <c r="IUV15"/>
      <c r="IUW15"/>
      <c r="IUX15"/>
      <c r="IUY15"/>
      <c r="IUZ15"/>
      <c r="IVA15"/>
      <c r="IVB15"/>
      <c r="IVC15"/>
      <c r="IVD15"/>
      <c r="IVE15"/>
      <c r="IVF15"/>
      <c r="IVG15"/>
      <c r="IVH15"/>
      <c r="IVI15"/>
      <c r="IVJ15"/>
      <c r="IVK15"/>
      <c r="IVL15"/>
      <c r="IVM15"/>
      <c r="IVN15"/>
      <c r="IVO15"/>
      <c r="IVP15"/>
      <c r="IVQ15"/>
      <c r="IVR15"/>
      <c r="IVS15"/>
      <c r="IVT15"/>
      <c r="IVU15"/>
      <c r="IVV15"/>
      <c r="IVW15"/>
      <c r="IVX15"/>
      <c r="IVY15"/>
      <c r="IVZ15"/>
      <c r="IWA15"/>
      <c r="IWB15"/>
      <c r="IWC15"/>
      <c r="IWD15"/>
      <c r="IWE15"/>
      <c r="IWF15"/>
      <c r="IWG15"/>
      <c r="IWH15"/>
      <c r="IWI15"/>
      <c r="IWJ15"/>
      <c r="IWK15"/>
      <c r="IWL15"/>
      <c r="IWM15"/>
      <c r="IWN15"/>
      <c r="IWO15"/>
      <c r="IWP15"/>
      <c r="IWQ15"/>
      <c r="IWR15"/>
      <c r="IWS15"/>
      <c r="IWT15"/>
      <c r="IWU15"/>
      <c r="IWV15"/>
      <c r="IWW15"/>
      <c r="IWX15"/>
      <c r="IWY15"/>
      <c r="IWZ15"/>
      <c r="IXA15"/>
      <c r="IXB15"/>
      <c r="IXC15"/>
      <c r="IXD15"/>
      <c r="IXE15"/>
      <c r="IXF15"/>
      <c r="IXG15"/>
      <c r="IXH15"/>
      <c r="IXI15"/>
      <c r="IXJ15"/>
      <c r="IXK15"/>
      <c r="IXL15"/>
      <c r="IXM15"/>
      <c r="IXN15"/>
      <c r="IXO15"/>
      <c r="IXP15"/>
      <c r="IXQ15"/>
      <c r="IXR15"/>
      <c r="IXS15"/>
      <c r="IXT15"/>
      <c r="IXU15"/>
      <c r="IXV15"/>
      <c r="IXW15"/>
      <c r="IXX15"/>
      <c r="IXY15"/>
      <c r="IXZ15"/>
      <c r="IYA15"/>
      <c r="IYB15"/>
      <c r="IYC15"/>
      <c r="IYD15"/>
      <c r="IYE15"/>
      <c r="IYF15"/>
      <c r="IYG15"/>
      <c r="IYH15"/>
      <c r="IYI15"/>
      <c r="IYJ15"/>
      <c r="IYK15"/>
      <c r="IYL15"/>
      <c r="IYM15"/>
      <c r="IYN15"/>
      <c r="IYO15"/>
      <c r="IYP15"/>
      <c r="IYQ15"/>
      <c r="IYR15"/>
      <c r="IYS15"/>
      <c r="IYT15"/>
      <c r="IYU15"/>
      <c r="IYV15"/>
      <c r="IYW15"/>
      <c r="IYX15"/>
      <c r="IYY15"/>
      <c r="IYZ15"/>
      <c r="IZA15"/>
      <c r="IZB15"/>
      <c r="IZC15"/>
      <c r="IZD15"/>
      <c r="IZE15"/>
      <c r="IZF15"/>
      <c r="IZG15"/>
      <c r="IZH15"/>
      <c r="IZI15"/>
      <c r="IZJ15"/>
      <c r="IZK15"/>
      <c r="IZL15"/>
      <c r="IZM15"/>
      <c r="IZN15"/>
      <c r="IZO15"/>
      <c r="IZP15"/>
      <c r="IZQ15"/>
      <c r="IZR15"/>
      <c r="IZS15"/>
      <c r="IZT15"/>
      <c r="IZU15"/>
      <c r="IZV15"/>
      <c r="IZW15"/>
      <c r="IZX15"/>
      <c r="IZY15"/>
      <c r="IZZ15"/>
      <c r="JAA15"/>
      <c r="JAB15"/>
      <c r="JAC15"/>
      <c r="JAD15"/>
      <c r="JAE15"/>
      <c r="JAF15"/>
      <c r="JAG15"/>
      <c r="JAH15"/>
      <c r="JAI15"/>
      <c r="JAJ15"/>
      <c r="JAK15"/>
      <c r="JAL15"/>
      <c r="JAM15"/>
      <c r="JAN15"/>
      <c r="JAO15"/>
      <c r="JAP15"/>
      <c r="JAQ15"/>
      <c r="JAR15"/>
      <c r="JAS15"/>
      <c r="JAT15"/>
      <c r="JAU15"/>
      <c r="JAV15"/>
      <c r="JAW15"/>
      <c r="JAX15"/>
      <c r="JAY15"/>
      <c r="JAZ15"/>
      <c r="JBA15"/>
      <c r="JBB15"/>
      <c r="JBC15"/>
      <c r="JBD15"/>
      <c r="JBE15"/>
      <c r="JBF15"/>
      <c r="JBG15"/>
      <c r="JBH15"/>
      <c r="JBI15"/>
      <c r="JBJ15"/>
      <c r="JBK15"/>
      <c r="JBL15"/>
      <c r="JBM15"/>
      <c r="JBN15"/>
      <c r="JBO15"/>
      <c r="JBP15"/>
      <c r="JBQ15"/>
      <c r="JBR15"/>
      <c r="JBS15"/>
      <c r="JBT15"/>
      <c r="JBU15"/>
      <c r="JBV15"/>
      <c r="JBW15"/>
      <c r="JBX15"/>
      <c r="JBY15"/>
      <c r="JBZ15"/>
      <c r="JCA15"/>
      <c r="JCB15"/>
      <c r="JCC15"/>
      <c r="JCD15"/>
      <c r="JCE15"/>
      <c r="JCF15"/>
      <c r="JCG15"/>
      <c r="JCH15"/>
      <c r="JCI15"/>
      <c r="JCJ15"/>
      <c r="JCK15"/>
      <c r="JCL15"/>
      <c r="JCM15"/>
      <c r="JCN15"/>
      <c r="JCO15"/>
      <c r="JCP15"/>
      <c r="JCQ15"/>
      <c r="JCR15"/>
      <c r="JCS15"/>
      <c r="JCT15"/>
      <c r="JCU15"/>
      <c r="JCV15"/>
      <c r="JCW15"/>
      <c r="JCX15"/>
      <c r="JCY15"/>
      <c r="JCZ15"/>
      <c r="JDA15"/>
      <c r="JDB15"/>
      <c r="JDC15"/>
      <c r="JDD15"/>
      <c r="JDE15"/>
      <c r="JDF15"/>
      <c r="JDG15"/>
      <c r="JDH15"/>
      <c r="JDI15"/>
      <c r="JDJ15"/>
      <c r="JDK15"/>
      <c r="JDL15"/>
      <c r="JDM15"/>
      <c r="JDN15"/>
      <c r="JDO15"/>
      <c r="JDP15"/>
      <c r="JDQ15"/>
      <c r="JDR15"/>
      <c r="JDS15"/>
      <c r="JDT15"/>
      <c r="JDU15"/>
      <c r="JDV15"/>
      <c r="JDW15"/>
      <c r="JDX15"/>
      <c r="JDY15"/>
      <c r="JDZ15"/>
      <c r="JEA15"/>
      <c r="JEB15"/>
      <c r="JEC15"/>
      <c r="JED15"/>
      <c r="JEE15"/>
      <c r="JEF15"/>
      <c r="JEG15"/>
      <c r="JEH15"/>
      <c r="JEI15"/>
      <c r="JEJ15"/>
      <c r="JEK15"/>
      <c r="JEL15"/>
      <c r="JEM15"/>
      <c r="JEN15"/>
      <c r="JEO15"/>
      <c r="JEP15"/>
      <c r="JEQ15"/>
      <c r="JER15"/>
      <c r="JES15"/>
      <c r="JET15"/>
      <c r="JEU15"/>
      <c r="JEV15"/>
      <c r="JEW15"/>
      <c r="JEX15"/>
      <c r="JEY15"/>
      <c r="JEZ15"/>
      <c r="JFA15"/>
      <c r="JFB15"/>
      <c r="JFC15"/>
      <c r="JFD15"/>
      <c r="JFE15"/>
      <c r="JFF15"/>
      <c r="JFG15"/>
      <c r="JFH15"/>
      <c r="JFI15"/>
      <c r="JFJ15"/>
      <c r="JFK15"/>
      <c r="JFL15"/>
      <c r="JFM15"/>
      <c r="JFN15"/>
      <c r="JFO15"/>
      <c r="JFP15"/>
      <c r="JFQ15"/>
      <c r="JFR15"/>
      <c r="JFS15"/>
      <c r="JFT15"/>
      <c r="JFU15"/>
      <c r="JFV15"/>
      <c r="JFW15"/>
      <c r="JFX15"/>
      <c r="JFY15"/>
      <c r="JFZ15"/>
      <c r="JGA15"/>
      <c r="JGB15"/>
      <c r="JGC15"/>
      <c r="JGD15"/>
      <c r="JGE15"/>
      <c r="JGF15"/>
      <c r="JGG15"/>
      <c r="JGH15"/>
      <c r="JGI15"/>
      <c r="JGJ15"/>
      <c r="JGK15"/>
      <c r="JGL15"/>
      <c r="JGM15"/>
      <c r="JGN15"/>
      <c r="JGO15"/>
      <c r="JGP15"/>
      <c r="JGQ15"/>
      <c r="JGR15"/>
      <c r="JGS15"/>
      <c r="JGT15"/>
      <c r="JGU15"/>
      <c r="JGV15"/>
      <c r="JGW15"/>
      <c r="JGX15"/>
      <c r="JGY15"/>
      <c r="JGZ15"/>
      <c r="JHA15"/>
      <c r="JHB15"/>
      <c r="JHC15"/>
      <c r="JHD15"/>
      <c r="JHE15"/>
      <c r="JHF15"/>
      <c r="JHG15"/>
      <c r="JHH15"/>
      <c r="JHI15"/>
      <c r="JHJ15"/>
      <c r="JHK15"/>
      <c r="JHL15"/>
      <c r="JHM15"/>
      <c r="JHN15"/>
      <c r="JHO15"/>
      <c r="JHP15"/>
      <c r="JHQ15"/>
      <c r="JHR15"/>
      <c r="JHS15"/>
      <c r="JHT15"/>
      <c r="JHU15"/>
      <c r="JHV15"/>
      <c r="JHW15"/>
      <c r="JHX15"/>
      <c r="JHY15"/>
      <c r="JHZ15"/>
      <c r="JIA15"/>
      <c r="JIB15"/>
      <c r="JIC15"/>
      <c r="JID15"/>
      <c r="JIE15"/>
      <c r="JIF15"/>
      <c r="JIG15"/>
      <c r="JIH15"/>
      <c r="JII15"/>
      <c r="JIJ15"/>
      <c r="JIK15"/>
      <c r="JIL15"/>
      <c r="JIM15"/>
      <c r="JIN15"/>
      <c r="JIO15"/>
      <c r="JIP15"/>
      <c r="JIQ15"/>
      <c r="JIR15"/>
      <c r="JIS15"/>
      <c r="JIT15"/>
      <c r="JIU15"/>
      <c r="JIV15"/>
      <c r="JIW15"/>
      <c r="JIX15"/>
      <c r="JIY15"/>
      <c r="JIZ15"/>
      <c r="JJA15"/>
      <c r="JJB15"/>
      <c r="JJC15"/>
      <c r="JJD15"/>
      <c r="JJE15"/>
      <c r="JJF15"/>
      <c r="JJG15"/>
      <c r="JJH15"/>
      <c r="JJI15"/>
      <c r="JJJ15"/>
      <c r="JJK15"/>
      <c r="JJL15"/>
      <c r="JJM15"/>
      <c r="JJN15"/>
      <c r="JJO15"/>
      <c r="JJP15"/>
      <c r="JJQ15"/>
      <c r="JJR15"/>
      <c r="JJS15"/>
      <c r="JJT15"/>
      <c r="JJU15"/>
      <c r="JJV15"/>
      <c r="JJW15"/>
      <c r="JJX15"/>
      <c r="JJY15"/>
      <c r="JJZ15"/>
      <c r="JKA15"/>
      <c r="JKB15"/>
      <c r="JKC15"/>
      <c r="JKD15"/>
      <c r="JKE15"/>
      <c r="JKF15"/>
      <c r="JKG15"/>
      <c r="JKH15"/>
      <c r="JKI15"/>
      <c r="JKJ15"/>
      <c r="JKK15"/>
      <c r="JKL15"/>
      <c r="JKM15"/>
      <c r="JKN15"/>
      <c r="JKO15"/>
      <c r="JKP15"/>
      <c r="JKQ15"/>
      <c r="JKR15"/>
      <c r="JKS15"/>
      <c r="JKT15"/>
      <c r="JKU15"/>
      <c r="JKV15"/>
      <c r="JKW15"/>
      <c r="JKX15"/>
      <c r="JKY15"/>
      <c r="JKZ15"/>
      <c r="JLA15"/>
      <c r="JLB15"/>
      <c r="JLC15"/>
      <c r="JLD15"/>
      <c r="JLE15"/>
      <c r="JLF15"/>
      <c r="JLG15"/>
      <c r="JLH15"/>
      <c r="JLI15"/>
      <c r="JLJ15"/>
      <c r="JLK15"/>
      <c r="JLL15"/>
      <c r="JLM15"/>
      <c r="JLN15"/>
      <c r="JLO15"/>
      <c r="JLP15"/>
      <c r="JLQ15"/>
      <c r="JLR15"/>
      <c r="JLS15"/>
      <c r="JLT15"/>
      <c r="JLU15"/>
      <c r="JLV15"/>
      <c r="JLW15"/>
      <c r="JLX15"/>
      <c r="JLY15"/>
      <c r="JLZ15"/>
      <c r="JMA15"/>
      <c r="JMB15"/>
      <c r="JMC15"/>
      <c r="JMD15"/>
      <c r="JME15"/>
      <c r="JMF15"/>
      <c r="JMG15"/>
      <c r="JMH15"/>
      <c r="JMI15"/>
      <c r="JMJ15"/>
      <c r="JMK15"/>
      <c r="JML15"/>
      <c r="JMM15"/>
      <c r="JMN15"/>
      <c r="JMO15"/>
      <c r="JMP15"/>
      <c r="JMQ15"/>
      <c r="JMR15"/>
      <c r="JMS15"/>
      <c r="JMT15"/>
      <c r="JMU15"/>
      <c r="JMV15"/>
      <c r="JMW15"/>
      <c r="JMX15"/>
      <c r="JMY15"/>
      <c r="JMZ15"/>
      <c r="JNA15"/>
      <c r="JNB15"/>
      <c r="JNC15"/>
      <c r="JND15"/>
      <c r="JNE15"/>
      <c r="JNF15"/>
      <c r="JNG15"/>
      <c r="JNH15"/>
      <c r="JNI15"/>
      <c r="JNJ15"/>
      <c r="JNK15"/>
      <c r="JNL15"/>
      <c r="JNM15"/>
      <c r="JNN15"/>
      <c r="JNO15"/>
      <c r="JNP15"/>
      <c r="JNQ15"/>
      <c r="JNR15"/>
      <c r="JNS15"/>
      <c r="JNT15"/>
      <c r="JNU15"/>
      <c r="JNV15"/>
      <c r="JNW15"/>
      <c r="JNX15"/>
      <c r="JNY15"/>
      <c r="JNZ15"/>
      <c r="JOA15"/>
      <c r="JOB15"/>
      <c r="JOC15"/>
      <c r="JOD15"/>
      <c r="JOE15"/>
      <c r="JOF15"/>
      <c r="JOG15"/>
      <c r="JOH15"/>
      <c r="JOI15"/>
      <c r="JOJ15"/>
      <c r="JOK15"/>
      <c r="JOL15"/>
      <c r="JOM15"/>
      <c r="JON15"/>
      <c r="JOO15"/>
      <c r="JOP15"/>
      <c r="JOQ15"/>
      <c r="JOR15"/>
      <c r="JOS15"/>
      <c r="JOT15"/>
      <c r="JOU15"/>
      <c r="JOV15"/>
      <c r="JOW15"/>
      <c r="JOX15"/>
      <c r="JOY15"/>
      <c r="JOZ15"/>
      <c r="JPA15"/>
      <c r="JPB15"/>
      <c r="JPC15"/>
      <c r="JPD15"/>
      <c r="JPE15"/>
      <c r="JPF15"/>
      <c r="JPG15"/>
      <c r="JPH15"/>
      <c r="JPI15"/>
      <c r="JPJ15"/>
      <c r="JPK15"/>
      <c r="JPL15"/>
      <c r="JPM15"/>
      <c r="JPN15"/>
      <c r="JPO15"/>
      <c r="JPP15"/>
      <c r="JPQ15"/>
      <c r="JPR15"/>
      <c r="JPS15"/>
      <c r="JPT15"/>
      <c r="JPU15"/>
      <c r="JPV15"/>
      <c r="JPW15"/>
      <c r="JPX15"/>
      <c r="JPY15"/>
      <c r="JPZ15"/>
      <c r="JQA15"/>
      <c r="JQB15"/>
      <c r="JQC15"/>
      <c r="JQD15"/>
      <c r="JQE15"/>
      <c r="JQF15"/>
      <c r="JQG15"/>
      <c r="JQH15"/>
      <c r="JQI15"/>
      <c r="JQJ15"/>
      <c r="JQK15"/>
      <c r="JQL15"/>
      <c r="JQM15"/>
      <c r="JQN15"/>
      <c r="JQO15"/>
      <c r="JQP15"/>
      <c r="JQQ15"/>
      <c r="JQR15"/>
      <c r="JQS15"/>
      <c r="JQT15"/>
      <c r="JQU15"/>
      <c r="JQV15"/>
      <c r="JQW15"/>
      <c r="JQX15"/>
      <c r="JQY15"/>
      <c r="JQZ15"/>
      <c r="JRA15"/>
      <c r="JRB15"/>
      <c r="JRC15"/>
      <c r="JRD15"/>
      <c r="JRE15"/>
      <c r="JRF15"/>
      <c r="JRG15"/>
      <c r="JRH15"/>
      <c r="JRI15"/>
      <c r="JRJ15"/>
      <c r="JRK15"/>
      <c r="JRL15"/>
      <c r="JRM15"/>
      <c r="JRN15"/>
      <c r="JRO15"/>
      <c r="JRP15"/>
      <c r="JRQ15"/>
      <c r="JRR15"/>
      <c r="JRS15"/>
      <c r="JRT15"/>
      <c r="JRU15"/>
      <c r="JRV15"/>
      <c r="JRW15"/>
      <c r="JRX15"/>
      <c r="JRY15"/>
      <c r="JRZ15"/>
      <c r="JSA15"/>
      <c r="JSB15"/>
      <c r="JSC15"/>
      <c r="JSD15"/>
      <c r="JSE15"/>
      <c r="JSF15"/>
      <c r="JSG15"/>
      <c r="JSH15"/>
      <c r="JSI15"/>
      <c r="JSJ15"/>
      <c r="JSK15"/>
      <c r="JSL15"/>
      <c r="JSM15"/>
      <c r="JSN15"/>
      <c r="JSO15"/>
      <c r="JSP15"/>
      <c r="JSQ15"/>
      <c r="JSR15"/>
      <c r="JSS15"/>
      <c r="JST15"/>
      <c r="JSU15"/>
      <c r="JSV15"/>
      <c r="JSW15"/>
      <c r="JSX15"/>
      <c r="JSY15"/>
      <c r="JSZ15"/>
      <c r="JTA15"/>
      <c r="JTB15"/>
      <c r="JTC15"/>
      <c r="JTD15"/>
      <c r="JTE15"/>
      <c r="JTF15"/>
      <c r="JTG15"/>
      <c r="JTH15"/>
      <c r="JTI15"/>
      <c r="JTJ15"/>
      <c r="JTK15"/>
      <c r="JTL15"/>
      <c r="JTM15"/>
      <c r="JTN15"/>
      <c r="JTO15"/>
      <c r="JTP15"/>
      <c r="JTQ15"/>
      <c r="JTR15"/>
      <c r="JTS15"/>
      <c r="JTT15"/>
      <c r="JTU15"/>
      <c r="JTV15"/>
      <c r="JTW15"/>
      <c r="JTX15"/>
      <c r="JTY15"/>
      <c r="JTZ15"/>
      <c r="JUA15"/>
      <c r="JUB15"/>
      <c r="JUC15"/>
      <c r="JUD15"/>
      <c r="JUE15"/>
      <c r="JUF15"/>
      <c r="JUG15"/>
      <c r="JUH15"/>
      <c r="JUI15"/>
      <c r="JUJ15"/>
      <c r="JUK15"/>
      <c r="JUL15"/>
      <c r="JUM15"/>
      <c r="JUN15"/>
      <c r="JUO15"/>
      <c r="JUP15"/>
      <c r="JUQ15"/>
      <c r="JUR15"/>
      <c r="JUS15"/>
      <c r="JUT15"/>
      <c r="JUU15"/>
      <c r="JUV15"/>
      <c r="JUW15"/>
      <c r="JUX15"/>
      <c r="JUY15"/>
      <c r="JUZ15"/>
      <c r="JVA15"/>
      <c r="JVB15"/>
      <c r="JVC15"/>
      <c r="JVD15"/>
      <c r="JVE15"/>
      <c r="JVF15"/>
      <c r="JVG15"/>
      <c r="JVH15"/>
      <c r="JVI15"/>
      <c r="JVJ15"/>
      <c r="JVK15"/>
      <c r="JVL15"/>
      <c r="JVM15"/>
      <c r="JVN15"/>
      <c r="JVO15"/>
      <c r="JVP15"/>
      <c r="JVQ15"/>
      <c r="JVR15"/>
      <c r="JVS15"/>
      <c r="JVT15"/>
      <c r="JVU15"/>
      <c r="JVV15"/>
      <c r="JVW15"/>
      <c r="JVX15"/>
      <c r="JVY15"/>
      <c r="JVZ15"/>
      <c r="JWA15"/>
      <c r="JWB15"/>
      <c r="JWC15"/>
      <c r="JWD15"/>
      <c r="JWE15"/>
      <c r="JWF15"/>
      <c r="JWG15"/>
      <c r="JWH15"/>
      <c r="JWI15"/>
      <c r="JWJ15"/>
      <c r="JWK15"/>
      <c r="JWL15"/>
      <c r="JWM15"/>
      <c r="JWN15"/>
      <c r="JWO15"/>
      <c r="JWP15"/>
      <c r="JWQ15"/>
      <c r="JWR15"/>
      <c r="JWS15"/>
      <c r="JWT15"/>
      <c r="JWU15"/>
      <c r="JWV15"/>
      <c r="JWW15"/>
      <c r="JWX15"/>
      <c r="JWY15"/>
      <c r="JWZ15"/>
      <c r="JXA15"/>
      <c r="JXB15"/>
      <c r="JXC15"/>
      <c r="JXD15"/>
      <c r="JXE15"/>
      <c r="JXF15"/>
      <c r="JXG15"/>
      <c r="JXH15"/>
      <c r="JXI15"/>
      <c r="JXJ15"/>
      <c r="JXK15"/>
      <c r="JXL15"/>
      <c r="JXM15"/>
      <c r="JXN15"/>
      <c r="JXO15"/>
      <c r="JXP15"/>
      <c r="JXQ15"/>
      <c r="JXR15"/>
      <c r="JXS15"/>
      <c r="JXT15"/>
      <c r="JXU15"/>
      <c r="JXV15"/>
      <c r="JXW15"/>
      <c r="JXX15"/>
      <c r="JXY15"/>
      <c r="JXZ15"/>
      <c r="JYA15"/>
      <c r="JYB15"/>
      <c r="JYC15"/>
      <c r="JYD15"/>
      <c r="JYE15"/>
      <c r="JYF15"/>
      <c r="JYG15"/>
      <c r="JYH15"/>
      <c r="JYI15"/>
      <c r="JYJ15"/>
      <c r="JYK15"/>
      <c r="JYL15"/>
      <c r="JYM15"/>
      <c r="JYN15"/>
      <c r="JYO15"/>
      <c r="JYP15"/>
      <c r="JYQ15"/>
      <c r="JYR15"/>
      <c r="JYS15"/>
      <c r="JYT15"/>
      <c r="JYU15"/>
      <c r="JYV15"/>
      <c r="JYW15"/>
      <c r="JYX15"/>
      <c r="JYY15"/>
      <c r="JYZ15"/>
      <c r="JZA15"/>
      <c r="JZB15"/>
      <c r="JZC15"/>
      <c r="JZD15"/>
      <c r="JZE15"/>
      <c r="JZF15"/>
      <c r="JZG15"/>
      <c r="JZH15"/>
      <c r="JZI15"/>
      <c r="JZJ15"/>
      <c r="JZK15"/>
      <c r="JZL15"/>
      <c r="JZM15"/>
      <c r="JZN15"/>
      <c r="JZO15"/>
      <c r="JZP15"/>
      <c r="JZQ15"/>
      <c r="JZR15"/>
      <c r="JZS15"/>
      <c r="JZT15"/>
      <c r="JZU15"/>
      <c r="JZV15"/>
      <c r="JZW15"/>
      <c r="JZX15"/>
      <c r="JZY15"/>
      <c r="JZZ15"/>
      <c r="KAA15"/>
      <c r="KAB15"/>
      <c r="KAC15"/>
      <c r="KAD15"/>
      <c r="KAE15"/>
      <c r="KAF15"/>
      <c r="KAG15"/>
      <c r="KAH15"/>
      <c r="KAI15"/>
      <c r="KAJ15"/>
      <c r="KAK15"/>
      <c r="KAL15"/>
      <c r="KAM15"/>
      <c r="KAN15"/>
      <c r="KAO15"/>
      <c r="KAP15"/>
      <c r="KAQ15"/>
      <c r="KAR15"/>
      <c r="KAS15"/>
      <c r="KAT15"/>
      <c r="KAU15"/>
      <c r="KAV15"/>
      <c r="KAW15"/>
      <c r="KAX15"/>
      <c r="KAY15"/>
      <c r="KAZ15"/>
      <c r="KBA15"/>
      <c r="KBB15"/>
      <c r="KBC15"/>
      <c r="KBD15"/>
      <c r="KBE15"/>
      <c r="KBF15"/>
      <c r="KBG15"/>
      <c r="KBH15"/>
      <c r="KBI15"/>
      <c r="KBJ15"/>
      <c r="KBK15"/>
      <c r="KBL15"/>
      <c r="KBM15"/>
      <c r="KBN15"/>
      <c r="KBO15"/>
      <c r="KBP15"/>
      <c r="KBQ15"/>
      <c r="KBR15"/>
      <c r="KBS15"/>
      <c r="KBT15"/>
      <c r="KBU15"/>
      <c r="KBV15"/>
      <c r="KBW15"/>
      <c r="KBX15"/>
      <c r="KBY15"/>
      <c r="KBZ15"/>
      <c r="KCA15"/>
      <c r="KCB15"/>
      <c r="KCC15"/>
      <c r="KCD15"/>
      <c r="KCE15"/>
      <c r="KCF15"/>
      <c r="KCG15"/>
      <c r="KCH15"/>
      <c r="KCI15"/>
      <c r="KCJ15"/>
      <c r="KCK15"/>
      <c r="KCL15"/>
      <c r="KCM15"/>
      <c r="KCN15"/>
      <c r="KCO15"/>
      <c r="KCP15"/>
      <c r="KCQ15"/>
      <c r="KCR15"/>
      <c r="KCS15"/>
      <c r="KCT15"/>
      <c r="KCU15"/>
      <c r="KCV15"/>
      <c r="KCW15"/>
      <c r="KCX15"/>
      <c r="KCY15"/>
      <c r="KCZ15"/>
      <c r="KDA15"/>
      <c r="KDB15"/>
      <c r="KDC15"/>
      <c r="KDD15"/>
      <c r="KDE15"/>
      <c r="KDF15"/>
      <c r="KDG15"/>
      <c r="KDH15"/>
      <c r="KDI15"/>
      <c r="KDJ15"/>
      <c r="KDK15"/>
      <c r="KDL15"/>
      <c r="KDM15"/>
      <c r="KDN15"/>
      <c r="KDO15"/>
      <c r="KDP15"/>
      <c r="KDQ15"/>
      <c r="KDR15"/>
      <c r="KDS15"/>
      <c r="KDT15"/>
      <c r="KDU15"/>
      <c r="KDV15"/>
      <c r="KDW15"/>
      <c r="KDX15"/>
      <c r="KDY15"/>
      <c r="KDZ15"/>
      <c r="KEA15"/>
      <c r="KEB15"/>
      <c r="KEC15"/>
      <c r="KED15"/>
      <c r="KEE15"/>
      <c r="KEF15"/>
      <c r="KEG15"/>
      <c r="KEH15"/>
      <c r="KEI15"/>
      <c r="KEJ15"/>
      <c r="KEK15"/>
      <c r="KEL15"/>
      <c r="KEM15"/>
      <c r="KEN15"/>
      <c r="KEO15"/>
      <c r="KEP15"/>
      <c r="KEQ15"/>
      <c r="KER15"/>
      <c r="KES15"/>
      <c r="KET15"/>
      <c r="KEU15"/>
      <c r="KEV15"/>
      <c r="KEW15"/>
      <c r="KEX15"/>
      <c r="KEY15"/>
      <c r="KEZ15"/>
      <c r="KFA15"/>
      <c r="KFB15"/>
      <c r="KFC15"/>
      <c r="KFD15"/>
      <c r="KFE15"/>
      <c r="KFF15"/>
      <c r="KFG15"/>
      <c r="KFH15"/>
      <c r="KFI15"/>
      <c r="KFJ15"/>
      <c r="KFK15"/>
      <c r="KFL15"/>
      <c r="KFM15"/>
      <c r="KFN15"/>
      <c r="KFO15"/>
      <c r="KFP15"/>
      <c r="KFQ15"/>
      <c r="KFR15"/>
      <c r="KFS15"/>
      <c r="KFT15"/>
      <c r="KFU15"/>
      <c r="KFV15"/>
      <c r="KFW15"/>
      <c r="KFX15"/>
      <c r="KFY15"/>
      <c r="KFZ15"/>
      <c r="KGA15"/>
      <c r="KGB15"/>
      <c r="KGC15"/>
      <c r="KGD15"/>
      <c r="KGE15"/>
      <c r="KGF15"/>
      <c r="KGG15"/>
      <c r="KGH15"/>
      <c r="KGI15"/>
      <c r="KGJ15"/>
      <c r="KGK15"/>
      <c r="KGL15"/>
      <c r="KGM15"/>
      <c r="KGN15"/>
      <c r="KGO15"/>
      <c r="KGP15"/>
      <c r="KGQ15"/>
      <c r="KGR15"/>
      <c r="KGS15"/>
      <c r="KGT15"/>
      <c r="KGU15"/>
      <c r="KGV15"/>
      <c r="KGW15"/>
      <c r="KGX15"/>
      <c r="KGY15"/>
      <c r="KGZ15"/>
      <c r="KHA15"/>
      <c r="KHB15"/>
      <c r="KHC15"/>
      <c r="KHD15"/>
      <c r="KHE15"/>
      <c r="KHF15"/>
      <c r="KHG15"/>
      <c r="KHH15"/>
      <c r="KHI15"/>
      <c r="KHJ15"/>
      <c r="KHK15"/>
      <c r="KHL15"/>
      <c r="KHM15"/>
      <c r="KHN15"/>
      <c r="KHO15"/>
      <c r="KHP15"/>
      <c r="KHQ15"/>
      <c r="KHR15"/>
      <c r="KHS15"/>
      <c r="KHT15"/>
      <c r="KHU15"/>
      <c r="KHV15"/>
      <c r="KHW15"/>
      <c r="KHX15"/>
      <c r="KHY15"/>
      <c r="KHZ15"/>
      <c r="KIA15"/>
      <c r="KIB15"/>
      <c r="KIC15"/>
      <c r="KID15"/>
      <c r="KIE15"/>
      <c r="KIF15"/>
      <c r="KIG15"/>
      <c r="KIH15"/>
      <c r="KII15"/>
      <c r="KIJ15"/>
      <c r="KIK15"/>
      <c r="KIL15"/>
      <c r="KIM15"/>
      <c r="KIN15"/>
      <c r="KIO15"/>
      <c r="KIP15"/>
      <c r="KIQ15"/>
      <c r="KIR15"/>
      <c r="KIS15"/>
      <c r="KIT15"/>
      <c r="KIU15"/>
      <c r="KIV15"/>
      <c r="KIW15"/>
      <c r="KIX15"/>
      <c r="KIY15"/>
      <c r="KIZ15"/>
      <c r="KJA15"/>
      <c r="KJB15"/>
      <c r="KJC15"/>
      <c r="KJD15"/>
      <c r="KJE15"/>
      <c r="KJF15"/>
      <c r="KJG15"/>
      <c r="KJH15"/>
      <c r="KJI15"/>
      <c r="KJJ15"/>
      <c r="KJK15"/>
      <c r="KJL15"/>
      <c r="KJM15"/>
      <c r="KJN15"/>
      <c r="KJO15"/>
      <c r="KJP15"/>
      <c r="KJQ15"/>
      <c r="KJR15"/>
      <c r="KJS15"/>
      <c r="KJT15"/>
      <c r="KJU15"/>
      <c r="KJV15"/>
      <c r="KJW15"/>
      <c r="KJX15"/>
      <c r="KJY15"/>
      <c r="KJZ15"/>
      <c r="KKA15"/>
      <c r="KKB15"/>
      <c r="KKC15"/>
      <c r="KKD15"/>
      <c r="KKE15"/>
      <c r="KKF15"/>
      <c r="KKG15"/>
      <c r="KKH15"/>
      <c r="KKI15"/>
      <c r="KKJ15"/>
      <c r="KKK15"/>
      <c r="KKL15"/>
      <c r="KKM15"/>
      <c r="KKN15"/>
      <c r="KKO15"/>
      <c r="KKP15"/>
      <c r="KKQ15"/>
      <c r="KKR15"/>
      <c r="KKS15"/>
      <c r="KKT15"/>
      <c r="KKU15"/>
      <c r="KKV15"/>
      <c r="KKW15"/>
      <c r="KKX15"/>
      <c r="KKY15"/>
      <c r="KKZ15"/>
      <c r="KLA15"/>
      <c r="KLB15"/>
      <c r="KLC15"/>
      <c r="KLD15"/>
      <c r="KLE15"/>
      <c r="KLF15"/>
      <c r="KLG15"/>
      <c r="KLH15"/>
      <c r="KLI15"/>
      <c r="KLJ15"/>
      <c r="KLK15"/>
      <c r="KLL15"/>
      <c r="KLM15"/>
      <c r="KLN15"/>
      <c r="KLO15"/>
      <c r="KLP15"/>
      <c r="KLQ15"/>
      <c r="KLR15"/>
      <c r="KLS15"/>
      <c r="KLT15"/>
      <c r="KLU15"/>
      <c r="KLV15"/>
      <c r="KLW15"/>
      <c r="KLX15"/>
      <c r="KLY15"/>
      <c r="KLZ15"/>
      <c r="KMA15"/>
      <c r="KMB15"/>
      <c r="KMC15"/>
      <c r="KMD15"/>
      <c r="KME15"/>
      <c r="KMF15"/>
      <c r="KMG15"/>
      <c r="KMH15"/>
      <c r="KMI15"/>
      <c r="KMJ15"/>
      <c r="KMK15"/>
      <c r="KML15"/>
      <c r="KMM15"/>
      <c r="KMN15"/>
      <c r="KMO15"/>
      <c r="KMP15"/>
      <c r="KMQ15"/>
      <c r="KMR15"/>
      <c r="KMS15"/>
      <c r="KMT15"/>
      <c r="KMU15"/>
      <c r="KMV15"/>
      <c r="KMW15"/>
      <c r="KMX15"/>
      <c r="KMY15"/>
      <c r="KMZ15"/>
      <c r="KNA15"/>
      <c r="KNB15"/>
      <c r="KNC15"/>
      <c r="KND15"/>
      <c r="KNE15"/>
      <c r="KNF15"/>
      <c r="KNG15"/>
      <c r="KNH15"/>
      <c r="KNI15"/>
      <c r="KNJ15"/>
      <c r="KNK15"/>
      <c r="KNL15"/>
      <c r="KNM15"/>
      <c r="KNN15"/>
      <c r="KNO15"/>
      <c r="KNP15"/>
      <c r="KNQ15"/>
      <c r="KNR15"/>
      <c r="KNS15"/>
      <c r="KNT15"/>
      <c r="KNU15"/>
      <c r="KNV15"/>
      <c r="KNW15"/>
      <c r="KNX15"/>
      <c r="KNY15"/>
      <c r="KNZ15"/>
      <c r="KOA15"/>
      <c r="KOB15"/>
      <c r="KOC15"/>
      <c r="KOD15"/>
      <c r="KOE15"/>
      <c r="KOF15"/>
      <c r="KOG15"/>
      <c r="KOH15"/>
      <c r="KOI15"/>
      <c r="KOJ15"/>
      <c r="KOK15"/>
      <c r="KOL15"/>
      <c r="KOM15"/>
      <c r="KON15"/>
      <c r="KOO15"/>
      <c r="KOP15"/>
      <c r="KOQ15"/>
      <c r="KOR15"/>
      <c r="KOS15"/>
      <c r="KOT15"/>
      <c r="KOU15"/>
      <c r="KOV15"/>
      <c r="KOW15"/>
      <c r="KOX15"/>
      <c r="KOY15"/>
      <c r="KOZ15"/>
      <c r="KPA15"/>
      <c r="KPB15"/>
      <c r="KPC15"/>
      <c r="KPD15"/>
      <c r="KPE15"/>
      <c r="KPF15"/>
      <c r="KPG15"/>
      <c r="KPH15"/>
      <c r="KPI15"/>
      <c r="KPJ15"/>
      <c r="KPK15"/>
      <c r="KPL15"/>
      <c r="KPM15"/>
      <c r="KPN15"/>
      <c r="KPO15"/>
      <c r="KPP15"/>
      <c r="KPQ15"/>
      <c r="KPR15"/>
      <c r="KPS15"/>
      <c r="KPT15"/>
      <c r="KPU15"/>
      <c r="KPV15"/>
      <c r="KPW15"/>
      <c r="KPX15"/>
      <c r="KPY15"/>
      <c r="KPZ15"/>
      <c r="KQA15"/>
      <c r="KQB15"/>
      <c r="KQC15"/>
      <c r="KQD15"/>
      <c r="KQE15"/>
      <c r="KQF15"/>
      <c r="KQG15"/>
      <c r="KQH15"/>
      <c r="KQI15"/>
      <c r="KQJ15"/>
      <c r="KQK15"/>
      <c r="KQL15"/>
      <c r="KQM15"/>
      <c r="KQN15"/>
      <c r="KQO15"/>
      <c r="KQP15"/>
      <c r="KQQ15"/>
      <c r="KQR15"/>
      <c r="KQS15"/>
      <c r="KQT15"/>
      <c r="KQU15"/>
      <c r="KQV15"/>
      <c r="KQW15"/>
      <c r="KQX15"/>
      <c r="KQY15"/>
      <c r="KQZ15"/>
      <c r="KRA15"/>
      <c r="KRB15"/>
      <c r="KRC15"/>
      <c r="KRD15"/>
      <c r="KRE15"/>
      <c r="KRF15"/>
      <c r="KRG15"/>
      <c r="KRH15"/>
      <c r="KRI15"/>
      <c r="KRJ15"/>
      <c r="KRK15"/>
      <c r="KRL15"/>
      <c r="KRM15"/>
      <c r="KRN15"/>
      <c r="KRO15"/>
      <c r="KRP15"/>
      <c r="KRQ15"/>
      <c r="KRR15"/>
      <c r="KRS15"/>
      <c r="KRT15"/>
      <c r="KRU15"/>
      <c r="KRV15"/>
      <c r="KRW15"/>
      <c r="KRX15"/>
      <c r="KRY15"/>
      <c r="KRZ15"/>
      <c r="KSA15"/>
      <c r="KSB15"/>
      <c r="KSC15"/>
      <c r="KSD15"/>
      <c r="KSE15"/>
      <c r="KSF15"/>
      <c r="KSG15"/>
      <c r="KSH15"/>
      <c r="KSI15"/>
      <c r="KSJ15"/>
      <c r="KSK15"/>
      <c r="KSL15"/>
      <c r="KSM15"/>
      <c r="KSN15"/>
      <c r="KSO15"/>
      <c r="KSP15"/>
      <c r="KSQ15"/>
      <c r="KSR15"/>
      <c r="KSS15"/>
      <c r="KST15"/>
      <c r="KSU15"/>
      <c r="KSV15"/>
      <c r="KSW15"/>
      <c r="KSX15"/>
      <c r="KSY15"/>
      <c r="KSZ15"/>
      <c r="KTA15"/>
      <c r="KTB15"/>
      <c r="KTC15"/>
      <c r="KTD15"/>
      <c r="KTE15"/>
      <c r="KTF15"/>
      <c r="KTG15"/>
      <c r="KTH15"/>
      <c r="KTI15"/>
      <c r="KTJ15"/>
      <c r="KTK15"/>
      <c r="KTL15"/>
      <c r="KTM15"/>
      <c r="KTN15"/>
      <c r="KTO15"/>
      <c r="KTP15"/>
      <c r="KTQ15"/>
      <c r="KTR15"/>
      <c r="KTS15"/>
      <c r="KTT15"/>
      <c r="KTU15"/>
      <c r="KTV15"/>
      <c r="KTW15"/>
      <c r="KTX15"/>
      <c r="KTY15"/>
      <c r="KTZ15"/>
      <c r="KUA15"/>
      <c r="KUB15"/>
      <c r="KUC15"/>
      <c r="KUD15"/>
      <c r="KUE15"/>
      <c r="KUF15"/>
      <c r="KUG15"/>
      <c r="KUH15"/>
      <c r="KUI15"/>
      <c r="KUJ15"/>
      <c r="KUK15"/>
      <c r="KUL15"/>
      <c r="KUM15"/>
      <c r="KUN15"/>
      <c r="KUO15"/>
      <c r="KUP15"/>
      <c r="KUQ15"/>
      <c r="KUR15"/>
      <c r="KUS15"/>
      <c r="KUT15"/>
      <c r="KUU15"/>
      <c r="KUV15"/>
      <c r="KUW15"/>
      <c r="KUX15"/>
      <c r="KUY15"/>
      <c r="KUZ15"/>
      <c r="KVA15"/>
      <c r="KVB15"/>
      <c r="KVC15"/>
      <c r="KVD15"/>
      <c r="KVE15"/>
      <c r="KVF15"/>
      <c r="KVG15"/>
      <c r="KVH15"/>
      <c r="KVI15"/>
      <c r="KVJ15"/>
      <c r="KVK15"/>
      <c r="KVL15"/>
      <c r="KVM15"/>
      <c r="KVN15"/>
      <c r="KVO15"/>
      <c r="KVP15"/>
      <c r="KVQ15"/>
      <c r="KVR15"/>
      <c r="KVS15"/>
      <c r="KVT15"/>
      <c r="KVU15"/>
      <c r="KVV15"/>
      <c r="KVW15"/>
      <c r="KVX15"/>
      <c r="KVY15"/>
      <c r="KVZ15"/>
      <c r="KWA15"/>
      <c r="KWB15"/>
      <c r="KWC15"/>
      <c r="KWD15"/>
      <c r="KWE15"/>
      <c r="KWF15"/>
      <c r="KWG15"/>
      <c r="KWH15"/>
      <c r="KWI15"/>
      <c r="KWJ15"/>
      <c r="KWK15"/>
      <c r="KWL15"/>
      <c r="KWM15"/>
      <c r="KWN15"/>
      <c r="KWO15"/>
      <c r="KWP15"/>
      <c r="KWQ15"/>
      <c r="KWR15"/>
      <c r="KWS15"/>
      <c r="KWT15"/>
      <c r="KWU15"/>
      <c r="KWV15"/>
      <c r="KWW15"/>
      <c r="KWX15"/>
      <c r="KWY15"/>
      <c r="KWZ15"/>
      <c r="KXA15"/>
      <c r="KXB15"/>
      <c r="KXC15"/>
      <c r="KXD15"/>
      <c r="KXE15"/>
      <c r="KXF15"/>
      <c r="KXG15"/>
      <c r="KXH15"/>
      <c r="KXI15"/>
      <c r="KXJ15"/>
      <c r="KXK15"/>
      <c r="KXL15"/>
      <c r="KXM15"/>
      <c r="KXN15"/>
      <c r="KXO15"/>
      <c r="KXP15"/>
      <c r="KXQ15"/>
      <c r="KXR15"/>
      <c r="KXS15"/>
      <c r="KXT15"/>
      <c r="KXU15"/>
      <c r="KXV15"/>
      <c r="KXW15"/>
      <c r="KXX15"/>
      <c r="KXY15"/>
      <c r="KXZ15"/>
      <c r="KYA15"/>
      <c r="KYB15"/>
      <c r="KYC15"/>
      <c r="KYD15"/>
      <c r="KYE15"/>
      <c r="KYF15"/>
      <c r="KYG15"/>
      <c r="KYH15"/>
      <c r="KYI15"/>
      <c r="KYJ15"/>
      <c r="KYK15"/>
      <c r="KYL15"/>
      <c r="KYM15"/>
      <c r="KYN15"/>
      <c r="KYO15"/>
      <c r="KYP15"/>
      <c r="KYQ15"/>
      <c r="KYR15"/>
      <c r="KYS15"/>
      <c r="KYT15"/>
      <c r="KYU15"/>
      <c r="KYV15"/>
      <c r="KYW15"/>
      <c r="KYX15"/>
      <c r="KYY15"/>
      <c r="KYZ15"/>
      <c r="KZA15"/>
      <c r="KZB15"/>
      <c r="KZC15"/>
      <c r="KZD15"/>
      <c r="KZE15"/>
      <c r="KZF15"/>
      <c r="KZG15"/>
      <c r="KZH15"/>
      <c r="KZI15"/>
      <c r="KZJ15"/>
      <c r="KZK15"/>
      <c r="KZL15"/>
      <c r="KZM15"/>
      <c r="KZN15"/>
      <c r="KZO15"/>
      <c r="KZP15"/>
      <c r="KZQ15"/>
      <c r="KZR15"/>
      <c r="KZS15"/>
      <c r="KZT15"/>
      <c r="KZU15"/>
      <c r="KZV15"/>
      <c r="KZW15"/>
      <c r="KZX15"/>
      <c r="KZY15"/>
      <c r="KZZ15"/>
      <c r="LAA15"/>
      <c r="LAB15"/>
      <c r="LAC15"/>
      <c r="LAD15"/>
      <c r="LAE15"/>
      <c r="LAF15"/>
      <c r="LAG15"/>
      <c r="LAH15"/>
      <c r="LAI15"/>
      <c r="LAJ15"/>
      <c r="LAK15"/>
      <c r="LAL15"/>
      <c r="LAM15"/>
      <c r="LAN15"/>
      <c r="LAO15"/>
      <c r="LAP15"/>
      <c r="LAQ15"/>
      <c r="LAR15"/>
      <c r="LAS15"/>
      <c r="LAT15"/>
      <c r="LAU15"/>
      <c r="LAV15"/>
      <c r="LAW15"/>
      <c r="LAX15"/>
      <c r="LAY15"/>
      <c r="LAZ15"/>
      <c r="LBA15"/>
      <c r="LBB15"/>
      <c r="LBC15"/>
      <c r="LBD15"/>
      <c r="LBE15"/>
      <c r="LBF15"/>
      <c r="LBG15"/>
      <c r="LBH15"/>
      <c r="LBI15"/>
      <c r="LBJ15"/>
      <c r="LBK15"/>
      <c r="LBL15"/>
      <c r="LBM15"/>
      <c r="LBN15"/>
      <c r="LBO15"/>
      <c r="LBP15"/>
      <c r="LBQ15"/>
      <c r="LBR15"/>
      <c r="LBS15"/>
      <c r="LBT15"/>
      <c r="LBU15"/>
      <c r="LBV15"/>
      <c r="LBW15"/>
      <c r="LBX15"/>
      <c r="LBY15"/>
      <c r="LBZ15"/>
      <c r="LCA15"/>
      <c r="LCB15"/>
      <c r="LCC15"/>
      <c r="LCD15"/>
      <c r="LCE15"/>
      <c r="LCF15"/>
      <c r="LCG15"/>
      <c r="LCH15"/>
      <c r="LCI15"/>
      <c r="LCJ15"/>
      <c r="LCK15"/>
      <c r="LCL15"/>
      <c r="LCM15"/>
      <c r="LCN15"/>
      <c r="LCO15"/>
      <c r="LCP15"/>
      <c r="LCQ15"/>
      <c r="LCR15"/>
      <c r="LCS15"/>
      <c r="LCT15"/>
      <c r="LCU15"/>
      <c r="LCV15"/>
      <c r="LCW15"/>
      <c r="LCX15"/>
      <c r="LCY15"/>
      <c r="LCZ15"/>
      <c r="LDA15"/>
      <c r="LDB15"/>
      <c r="LDC15"/>
      <c r="LDD15"/>
      <c r="LDE15"/>
      <c r="LDF15"/>
      <c r="LDG15"/>
      <c r="LDH15"/>
      <c r="LDI15"/>
      <c r="LDJ15"/>
      <c r="LDK15"/>
      <c r="LDL15"/>
      <c r="LDM15"/>
      <c r="LDN15"/>
      <c r="LDO15"/>
      <c r="LDP15"/>
      <c r="LDQ15"/>
      <c r="LDR15"/>
      <c r="LDS15"/>
      <c r="LDT15"/>
      <c r="LDU15"/>
      <c r="LDV15"/>
      <c r="LDW15"/>
      <c r="LDX15"/>
      <c r="LDY15"/>
      <c r="LDZ15"/>
      <c r="LEA15"/>
      <c r="LEB15"/>
      <c r="LEC15"/>
      <c r="LED15"/>
      <c r="LEE15"/>
      <c r="LEF15"/>
      <c r="LEG15"/>
      <c r="LEH15"/>
      <c r="LEI15"/>
      <c r="LEJ15"/>
      <c r="LEK15"/>
      <c r="LEL15"/>
      <c r="LEM15"/>
      <c r="LEN15"/>
      <c r="LEO15"/>
      <c r="LEP15"/>
      <c r="LEQ15"/>
      <c r="LER15"/>
      <c r="LES15"/>
      <c r="LET15"/>
      <c r="LEU15"/>
      <c r="LEV15"/>
      <c r="LEW15"/>
      <c r="LEX15"/>
      <c r="LEY15"/>
      <c r="LEZ15"/>
      <c r="LFA15"/>
      <c r="LFB15"/>
      <c r="LFC15"/>
      <c r="LFD15"/>
      <c r="LFE15"/>
      <c r="LFF15"/>
      <c r="LFG15"/>
      <c r="LFH15"/>
      <c r="LFI15"/>
      <c r="LFJ15"/>
      <c r="LFK15"/>
      <c r="LFL15"/>
      <c r="LFM15"/>
      <c r="LFN15"/>
      <c r="LFO15"/>
      <c r="LFP15"/>
      <c r="LFQ15"/>
      <c r="LFR15"/>
      <c r="LFS15"/>
      <c r="LFT15"/>
      <c r="LFU15"/>
      <c r="LFV15"/>
      <c r="LFW15"/>
      <c r="LFX15"/>
      <c r="LFY15"/>
      <c r="LFZ15"/>
      <c r="LGA15"/>
      <c r="LGB15"/>
      <c r="LGC15"/>
      <c r="LGD15"/>
      <c r="LGE15"/>
      <c r="LGF15"/>
      <c r="LGG15"/>
      <c r="LGH15"/>
      <c r="LGI15"/>
      <c r="LGJ15"/>
      <c r="LGK15"/>
      <c r="LGL15"/>
      <c r="LGM15"/>
      <c r="LGN15"/>
      <c r="LGO15"/>
      <c r="LGP15"/>
      <c r="LGQ15"/>
      <c r="LGR15"/>
      <c r="LGS15"/>
      <c r="LGT15"/>
      <c r="LGU15"/>
      <c r="LGV15"/>
      <c r="LGW15"/>
      <c r="LGX15"/>
      <c r="LGY15"/>
      <c r="LGZ15"/>
      <c r="LHA15"/>
      <c r="LHB15"/>
      <c r="LHC15"/>
      <c r="LHD15"/>
      <c r="LHE15"/>
      <c r="LHF15"/>
      <c r="LHG15"/>
      <c r="LHH15"/>
      <c r="LHI15"/>
      <c r="LHJ15"/>
      <c r="LHK15"/>
      <c r="LHL15"/>
      <c r="LHM15"/>
      <c r="LHN15"/>
      <c r="LHO15"/>
      <c r="LHP15"/>
      <c r="LHQ15"/>
      <c r="LHR15"/>
      <c r="LHS15"/>
      <c r="LHT15"/>
      <c r="LHU15"/>
      <c r="LHV15"/>
      <c r="LHW15"/>
      <c r="LHX15"/>
      <c r="LHY15"/>
      <c r="LHZ15"/>
      <c r="LIA15"/>
      <c r="LIB15"/>
      <c r="LIC15"/>
      <c r="LID15"/>
      <c r="LIE15"/>
      <c r="LIF15"/>
      <c r="LIG15"/>
      <c r="LIH15"/>
      <c r="LII15"/>
      <c r="LIJ15"/>
      <c r="LIK15"/>
      <c r="LIL15"/>
      <c r="LIM15"/>
      <c r="LIN15"/>
      <c r="LIO15"/>
      <c r="LIP15"/>
      <c r="LIQ15"/>
      <c r="LIR15"/>
      <c r="LIS15"/>
      <c r="LIT15"/>
      <c r="LIU15"/>
      <c r="LIV15"/>
      <c r="LIW15"/>
      <c r="LIX15"/>
      <c r="LIY15"/>
      <c r="LIZ15"/>
      <c r="LJA15"/>
      <c r="LJB15"/>
      <c r="LJC15"/>
      <c r="LJD15"/>
      <c r="LJE15"/>
      <c r="LJF15"/>
      <c r="LJG15"/>
      <c r="LJH15"/>
      <c r="LJI15"/>
      <c r="LJJ15"/>
      <c r="LJK15"/>
      <c r="LJL15"/>
      <c r="LJM15"/>
      <c r="LJN15"/>
      <c r="LJO15"/>
      <c r="LJP15"/>
      <c r="LJQ15"/>
      <c r="LJR15"/>
      <c r="LJS15"/>
      <c r="LJT15"/>
      <c r="LJU15"/>
      <c r="LJV15"/>
      <c r="LJW15"/>
      <c r="LJX15"/>
      <c r="LJY15"/>
      <c r="LJZ15"/>
      <c r="LKA15"/>
      <c r="LKB15"/>
      <c r="LKC15"/>
      <c r="LKD15"/>
      <c r="LKE15"/>
      <c r="LKF15"/>
      <c r="LKG15"/>
      <c r="LKH15"/>
      <c r="LKI15"/>
      <c r="LKJ15"/>
      <c r="LKK15"/>
      <c r="LKL15"/>
      <c r="LKM15"/>
      <c r="LKN15"/>
      <c r="LKO15"/>
      <c r="LKP15"/>
      <c r="LKQ15"/>
      <c r="LKR15"/>
      <c r="LKS15"/>
      <c r="LKT15"/>
      <c r="LKU15"/>
      <c r="LKV15"/>
      <c r="LKW15"/>
      <c r="LKX15"/>
      <c r="LKY15"/>
      <c r="LKZ15"/>
      <c r="LLA15"/>
      <c r="LLB15"/>
      <c r="LLC15"/>
      <c r="LLD15"/>
      <c r="LLE15"/>
      <c r="LLF15"/>
      <c r="LLG15"/>
      <c r="LLH15"/>
      <c r="LLI15"/>
      <c r="LLJ15"/>
      <c r="LLK15"/>
      <c r="LLL15"/>
      <c r="LLM15"/>
      <c r="LLN15"/>
      <c r="LLO15"/>
      <c r="LLP15"/>
      <c r="LLQ15"/>
      <c r="LLR15"/>
      <c r="LLS15"/>
      <c r="LLT15"/>
      <c r="LLU15"/>
      <c r="LLV15"/>
      <c r="LLW15"/>
      <c r="LLX15"/>
      <c r="LLY15"/>
      <c r="LLZ15"/>
      <c r="LMA15"/>
      <c r="LMB15"/>
      <c r="LMC15"/>
      <c r="LMD15"/>
      <c r="LME15"/>
      <c r="LMF15"/>
      <c r="LMG15"/>
      <c r="LMH15"/>
      <c r="LMI15"/>
      <c r="LMJ15"/>
      <c r="LMK15"/>
      <c r="LML15"/>
      <c r="LMM15"/>
      <c r="LMN15"/>
      <c r="LMO15"/>
      <c r="LMP15"/>
      <c r="LMQ15"/>
      <c r="LMR15"/>
      <c r="LMS15"/>
      <c r="LMT15"/>
      <c r="LMU15"/>
      <c r="LMV15"/>
      <c r="LMW15"/>
      <c r="LMX15"/>
      <c r="LMY15"/>
      <c r="LMZ15"/>
      <c r="LNA15"/>
      <c r="LNB15"/>
      <c r="LNC15"/>
      <c r="LND15"/>
      <c r="LNE15"/>
      <c r="LNF15"/>
      <c r="LNG15"/>
      <c r="LNH15"/>
      <c r="LNI15"/>
      <c r="LNJ15"/>
      <c r="LNK15"/>
      <c r="LNL15"/>
      <c r="LNM15"/>
      <c r="LNN15"/>
      <c r="LNO15"/>
      <c r="LNP15"/>
      <c r="LNQ15"/>
      <c r="LNR15"/>
      <c r="LNS15"/>
      <c r="LNT15"/>
      <c r="LNU15"/>
      <c r="LNV15"/>
      <c r="LNW15"/>
      <c r="LNX15"/>
      <c r="LNY15"/>
      <c r="LNZ15"/>
      <c r="LOA15"/>
      <c r="LOB15"/>
      <c r="LOC15"/>
      <c r="LOD15"/>
      <c r="LOE15"/>
      <c r="LOF15"/>
      <c r="LOG15"/>
      <c r="LOH15"/>
      <c r="LOI15"/>
      <c r="LOJ15"/>
      <c r="LOK15"/>
      <c r="LOL15"/>
      <c r="LOM15"/>
      <c r="LON15"/>
      <c r="LOO15"/>
      <c r="LOP15"/>
      <c r="LOQ15"/>
      <c r="LOR15"/>
      <c r="LOS15"/>
      <c r="LOT15"/>
      <c r="LOU15"/>
      <c r="LOV15"/>
      <c r="LOW15"/>
      <c r="LOX15"/>
      <c r="LOY15"/>
      <c r="LOZ15"/>
      <c r="LPA15"/>
      <c r="LPB15"/>
      <c r="LPC15"/>
      <c r="LPD15"/>
      <c r="LPE15"/>
      <c r="LPF15"/>
      <c r="LPG15"/>
      <c r="LPH15"/>
      <c r="LPI15"/>
      <c r="LPJ15"/>
      <c r="LPK15"/>
      <c r="LPL15"/>
      <c r="LPM15"/>
      <c r="LPN15"/>
      <c r="LPO15"/>
      <c r="LPP15"/>
      <c r="LPQ15"/>
      <c r="LPR15"/>
      <c r="LPS15"/>
      <c r="LPT15"/>
      <c r="LPU15"/>
      <c r="LPV15"/>
      <c r="LPW15"/>
      <c r="LPX15"/>
      <c r="LPY15"/>
      <c r="LPZ15"/>
      <c r="LQA15"/>
      <c r="LQB15"/>
      <c r="LQC15"/>
      <c r="LQD15"/>
      <c r="LQE15"/>
      <c r="LQF15"/>
      <c r="LQG15"/>
      <c r="LQH15"/>
      <c r="LQI15"/>
      <c r="LQJ15"/>
      <c r="LQK15"/>
      <c r="LQL15"/>
      <c r="LQM15"/>
      <c r="LQN15"/>
      <c r="LQO15"/>
      <c r="LQP15"/>
      <c r="LQQ15"/>
      <c r="LQR15"/>
      <c r="LQS15"/>
      <c r="LQT15"/>
      <c r="LQU15"/>
      <c r="LQV15"/>
      <c r="LQW15"/>
      <c r="LQX15"/>
      <c r="LQY15"/>
      <c r="LQZ15"/>
      <c r="LRA15"/>
      <c r="LRB15"/>
      <c r="LRC15"/>
      <c r="LRD15"/>
      <c r="LRE15"/>
      <c r="LRF15"/>
      <c r="LRG15"/>
      <c r="LRH15"/>
      <c r="LRI15"/>
      <c r="LRJ15"/>
      <c r="LRK15"/>
      <c r="LRL15"/>
      <c r="LRM15"/>
      <c r="LRN15"/>
      <c r="LRO15"/>
      <c r="LRP15"/>
      <c r="LRQ15"/>
      <c r="LRR15"/>
      <c r="LRS15"/>
      <c r="LRT15"/>
      <c r="LRU15"/>
      <c r="LRV15"/>
      <c r="LRW15"/>
      <c r="LRX15"/>
      <c r="LRY15"/>
      <c r="LRZ15"/>
      <c r="LSA15"/>
      <c r="LSB15"/>
      <c r="LSC15"/>
      <c r="LSD15"/>
      <c r="LSE15"/>
      <c r="LSF15"/>
      <c r="LSG15"/>
      <c r="LSH15"/>
      <c r="LSI15"/>
      <c r="LSJ15"/>
      <c r="LSK15"/>
      <c r="LSL15"/>
      <c r="LSM15"/>
      <c r="LSN15"/>
      <c r="LSO15"/>
      <c r="LSP15"/>
      <c r="LSQ15"/>
      <c r="LSR15"/>
      <c r="LSS15"/>
      <c r="LST15"/>
      <c r="LSU15"/>
      <c r="LSV15"/>
      <c r="LSW15"/>
      <c r="LSX15"/>
      <c r="LSY15"/>
      <c r="LSZ15"/>
      <c r="LTA15"/>
      <c r="LTB15"/>
      <c r="LTC15"/>
      <c r="LTD15"/>
      <c r="LTE15"/>
      <c r="LTF15"/>
      <c r="LTG15"/>
      <c r="LTH15"/>
      <c r="LTI15"/>
      <c r="LTJ15"/>
      <c r="LTK15"/>
      <c r="LTL15"/>
      <c r="LTM15"/>
      <c r="LTN15"/>
      <c r="LTO15"/>
      <c r="LTP15"/>
      <c r="LTQ15"/>
      <c r="LTR15"/>
      <c r="LTS15"/>
      <c r="LTT15"/>
      <c r="LTU15"/>
      <c r="LTV15"/>
      <c r="LTW15"/>
      <c r="LTX15"/>
      <c r="LTY15"/>
      <c r="LTZ15"/>
      <c r="LUA15"/>
      <c r="LUB15"/>
      <c r="LUC15"/>
      <c r="LUD15"/>
      <c r="LUE15"/>
      <c r="LUF15"/>
      <c r="LUG15"/>
      <c r="LUH15"/>
      <c r="LUI15"/>
      <c r="LUJ15"/>
      <c r="LUK15"/>
      <c r="LUL15"/>
      <c r="LUM15"/>
      <c r="LUN15"/>
      <c r="LUO15"/>
      <c r="LUP15"/>
      <c r="LUQ15"/>
      <c r="LUR15"/>
      <c r="LUS15"/>
      <c r="LUT15"/>
      <c r="LUU15"/>
      <c r="LUV15"/>
      <c r="LUW15"/>
      <c r="LUX15"/>
      <c r="LUY15"/>
      <c r="LUZ15"/>
      <c r="LVA15"/>
      <c r="LVB15"/>
      <c r="LVC15"/>
      <c r="LVD15"/>
      <c r="LVE15"/>
      <c r="LVF15"/>
      <c r="LVG15"/>
      <c r="LVH15"/>
      <c r="LVI15"/>
      <c r="LVJ15"/>
      <c r="LVK15"/>
      <c r="LVL15"/>
      <c r="LVM15"/>
      <c r="LVN15"/>
      <c r="LVO15"/>
      <c r="LVP15"/>
      <c r="LVQ15"/>
      <c r="LVR15"/>
      <c r="LVS15"/>
      <c r="LVT15"/>
      <c r="LVU15"/>
      <c r="LVV15"/>
      <c r="LVW15"/>
      <c r="LVX15"/>
      <c r="LVY15"/>
      <c r="LVZ15"/>
      <c r="LWA15"/>
      <c r="LWB15"/>
      <c r="LWC15"/>
      <c r="LWD15"/>
      <c r="LWE15"/>
      <c r="LWF15"/>
      <c r="LWG15"/>
      <c r="LWH15"/>
      <c r="LWI15"/>
      <c r="LWJ15"/>
      <c r="LWK15"/>
      <c r="LWL15"/>
      <c r="LWM15"/>
      <c r="LWN15"/>
      <c r="LWO15"/>
      <c r="LWP15"/>
      <c r="LWQ15"/>
      <c r="LWR15"/>
      <c r="LWS15"/>
      <c r="LWT15"/>
      <c r="LWU15"/>
      <c r="LWV15"/>
      <c r="LWW15"/>
      <c r="LWX15"/>
      <c r="LWY15"/>
      <c r="LWZ15"/>
      <c r="LXA15"/>
      <c r="LXB15"/>
      <c r="LXC15"/>
      <c r="LXD15"/>
      <c r="LXE15"/>
      <c r="LXF15"/>
      <c r="LXG15"/>
      <c r="LXH15"/>
      <c r="LXI15"/>
      <c r="LXJ15"/>
      <c r="LXK15"/>
      <c r="LXL15"/>
      <c r="LXM15"/>
      <c r="LXN15"/>
      <c r="LXO15"/>
      <c r="LXP15"/>
      <c r="LXQ15"/>
      <c r="LXR15"/>
      <c r="LXS15"/>
      <c r="LXT15"/>
      <c r="LXU15"/>
      <c r="LXV15"/>
      <c r="LXW15"/>
      <c r="LXX15"/>
      <c r="LXY15"/>
      <c r="LXZ15"/>
      <c r="LYA15"/>
      <c r="LYB15"/>
      <c r="LYC15"/>
      <c r="LYD15"/>
      <c r="LYE15"/>
      <c r="LYF15"/>
      <c r="LYG15"/>
      <c r="LYH15"/>
      <c r="LYI15"/>
      <c r="LYJ15"/>
      <c r="LYK15"/>
      <c r="LYL15"/>
      <c r="LYM15"/>
      <c r="LYN15"/>
      <c r="LYO15"/>
      <c r="LYP15"/>
      <c r="LYQ15"/>
      <c r="LYR15"/>
      <c r="LYS15"/>
      <c r="LYT15"/>
      <c r="LYU15"/>
      <c r="LYV15"/>
      <c r="LYW15"/>
      <c r="LYX15"/>
      <c r="LYY15"/>
      <c r="LYZ15"/>
      <c r="LZA15"/>
      <c r="LZB15"/>
      <c r="LZC15"/>
      <c r="LZD15"/>
      <c r="LZE15"/>
      <c r="LZF15"/>
      <c r="LZG15"/>
      <c r="LZH15"/>
      <c r="LZI15"/>
      <c r="LZJ15"/>
      <c r="LZK15"/>
      <c r="LZL15"/>
      <c r="LZM15"/>
      <c r="LZN15"/>
      <c r="LZO15"/>
      <c r="LZP15"/>
      <c r="LZQ15"/>
      <c r="LZR15"/>
      <c r="LZS15"/>
      <c r="LZT15"/>
      <c r="LZU15"/>
      <c r="LZV15"/>
      <c r="LZW15"/>
      <c r="LZX15"/>
      <c r="LZY15"/>
      <c r="LZZ15"/>
      <c r="MAA15"/>
      <c r="MAB15"/>
      <c r="MAC15"/>
      <c r="MAD15"/>
      <c r="MAE15"/>
      <c r="MAF15"/>
      <c r="MAG15"/>
      <c r="MAH15"/>
      <c r="MAI15"/>
      <c r="MAJ15"/>
      <c r="MAK15"/>
      <c r="MAL15"/>
      <c r="MAM15"/>
      <c r="MAN15"/>
      <c r="MAO15"/>
      <c r="MAP15"/>
      <c r="MAQ15"/>
      <c r="MAR15"/>
      <c r="MAS15"/>
      <c r="MAT15"/>
      <c r="MAU15"/>
      <c r="MAV15"/>
      <c r="MAW15"/>
      <c r="MAX15"/>
      <c r="MAY15"/>
      <c r="MAZ15"/>
      <c r="MBA15"/>
      <c r="MBB15"/>
      <c r="MBC15"/>
      <c r="MBD15"/>
      <c r="MBE15"/>
      <c r="MBF15"/>
      <c r="MBG15"/>
      <c r="MBH15"/>
      <c r="MBI15"/>
      <c r="MBJ15"/>
      <c r="MBK15"/>
      <c r="MBL15"/>
      <c r="MBM15"/>
      <c r="MBN15"/>
      <c r="MBO15"/>
      <c r="MBP15"/>
      <c r="MBQ15"/>
      <c r="MBR15"/>
      <c r="MBS15"/>
      <c r="MBT15"/>
      <c r="MBU15"/>
      <c r="MBV15"/>
      <c r="MBW15"/>
      <c r="MBX15"/>
      <c r="MBY15"/>
      <c r="MBZ15"/>
      <c r="MCA15"/>
      <c r="MCB15"/>
      <c r="MCC15"/>
      <c r="MCD15"/>
      <c r="MCE15"/>
      <c r="MCF15"/>
      <c r="MCG15"/>
      <c r="MCH15"/>
      <c r="MCI15"/>
      <c r="MCJ15"/>
      <c r="MCK15"/>
      <c r="MCL15"/>
      <c r="MCM15"/>
      <c r="MCN15"/>
      <c r="MCO15"/>
      <c r="MCP15"/>
      <c r="MCQ15"/>
      <c r="MCR15"/>
      <c r="MCS15"/>
      <c r="MCT15"/>
      <c r="MCU15"/>
      <c r="MCV15"/>
      <c r="MCW15"/>
      <c r="MCX15"/>
      <c r="MCY15"/>
      <c r="MCZ15"/>
      <c r="MDA15"/>
      <c r="MDB15"/>
      <c r="MDC15"/>
      <c r="MDD15"/>
      <c r="MDE15"/>
      <c r="MDF15"/>
      <c r="MDG15"/>
      <c r="MDH15"/>
      <c r="MDI15"/>
      <c r="MDJ15"/>
      <c r="MDK15"/>
      <c r="MDL15"/>
      <c r="MDM15"/>
      <c r="MDN15"/>
      <c r="MDO15"/>
      <c r="MDP15"/>
      <c r="MDQ15"/>
      <c r="MDR15"/>
      <c r="MDS15"/>
      <c r="MDT15"/>
      <c r="MDU15"/>
      <c r="MDV15"/>
      <c r="MDW15"/>
      <c r="MDX15"/>
      <c r="MDY15"/>
      <c r="MDZ15"/>
      <c r="MEA15"/>
      <c r="MEB15"/>
      <c r="MEC15"/>
      <c r="MED15"/>
      <c r="MEE15"/>
      <c r="MEF15"/>
      <c r="MEG15"/>
      <c r="MEH15"/>
      <c r="MEI15"/>
      <c r="MEJ15"/>
      <c r="MEK15"/>
      <c r="MEL15"/>
      <c r="MEM15"/>
      <c r="MEN15"/>
      <c r="MEO15"/>
      <c r="MEP15"/>
      <c r="MEQ15"/>
      <c r="MER15"/>
      <c r="MES15"/>
      <c r="MET15"/>
      <c r="MEU15"/>
      <c r="MEV15"/>
      <c r="MEW15"/>
      <c r="MEX15"/>
      <c r="MEY15"/>
      <c r="MEZ15"/>
      <c r="MFA15"/>
      <c r="MFB15"/>
      <c r="MFC15"/>
      <c r="MFD15"/>
      <c r="MFE15"/>
      <c r="MFF15"/>
      <c r="MFG15"/>
      <c r="MFH15"/>
      <c r="MFI15"/>
      <c r="MFJ15"/>
      <c r="MFK15"/>
      <c r="MFL15"/>
      <c r="MFM15"/>
      <c r="MFN15"/>
      <c r="MFO15"/>
      <c r="MFP15"/>
      <c r="MFQ15"/>
      <c r="MFR15"/>
      <c r="MFS15"/>
      <c r="MFT15"/>
      <c r="MFU15"/>
      <c r="MFV15"/>
      <c r="MFW15"/>
      <c r="MFX15"/>
      <c r="MFY15"/>
      <c r="MFZ15"/>
      <c r="MGA15"/>
      <c r="MGB15"/>
      <c r="MGC15"/>
      <c r="MGD15"/>
      <c r="MGE15"/>
      <c r="MGF15"/>
      <c r="MGG15"/>
      <c r="MGH15"/>
      <c r="MGI15"/>
      <c r="MGJ15"/>
      <c r="MGK15"/>
      <c r="MGL15"/>
      <c r="MGM15"/>
      <c r="MGN15"/>
      <c r="MGO15"/>
      <c r="MGP15"/>
      <c r="MGQ15"/>
      <c r="MGR15"/>
      <c r="MGS15"/>
      <c r="MGT15"/>
      <c r="MGU15"/>
      <c r="MGV15"/>
      <c r="MGW15"/>
      <c r="MGX15"/>
      <c r="MGY15"/>
      <c r="MGZ15"/>
      <c r="MHA15"/>
      <c r="MHB15"/>
      <c r="MHC15"/>
      <c r="MHD15"/>
      <c r="MHE15"/>
      <c r="MHF15"/>
      <c r="MHG15"/>
      <c r="MHH15"/>
      <c r="MHI15"/>
      <c r="MHJ15"/>
      <c r="MHK15"/>
      <c r="MHL15"/>
      <c r="MHM15"/>
      <c r="MHN15"/>
      <c r="MHO15"/>
      <c r="MHP15"/>
      <c r="MHQ15"/>
      <c r="MHR15"/>
      <c r="MHS15"/>
      <c r="MHT15"/>
      <c r="MHU15"/>
      <c r="MHV15"/>
      <c r="MHW15"/>
      <c r="MHX15"/>
      <c r="MHY15"/>
      <c r="MHZ15"/>
      <c r="MIA15"/>
      <c r="MIB15"/>
      <c r="MIC15"/>
      <c r="MID15"/>
      <c r="MIE15"/>
      <c r="MIF15"/>
      <c r="MIG15"/>
      <c r="MIH15"/>
      <c r="MII15"/>
      <c r="MIJ15"/>
      <c r="MIK15"/>
      <c r="MIL15"/>
      <c r="MIM15"/>
      <c r="MIN15"/>
      <c r="MIO15"/>
      <c r="MIP15"/>
      <c r="MIQ15"/>
      <c r="MIR15"/>
      <c r="MIS15"/>
      <c r="MIT15"/>
      <c r="MIU15"/>
      <c r="MIV15"/>
      <c r="MIW15"/>
      <c r="MIX15"/>
      <c r="MIY15"/>
      <c r="MIZ15"/>
      <c r="MJA15"/>
      <c r="MJB15"/>
      <c r="MJC15"/>
      <c r="MJD15"/>
      <c r="MJE15"/>
      <c r="MJF15"/>
      <c r="MJG15"/>
      <c r="MJH15"/>
      <c r="MJI15"/>
      <c r="MJJ15"/>
      <c r="MJK15"/>
      <c r="MJL15"/>
      <c r="MJM15"/>
      <c r="MJN15"/>
      <c r="MJO15"/>
      <c r="MJP15"/>
      <c r="MJQ15"/>
      <c r="MJR15"/>
      <c r="MJS15"/>
      <c r="MJT15"/>
      <c r="MJU15"/>
      <c r="MJV15"/>
      <c r="MJW15"/>
      <c r="MJX15"/>
      <c r="MJY15"/>
      <c r="MJZ15"/>
      <c r="MKA15"/>
      <c r="MKB15"/>
      <c r="MKC15"/>
      <c r="MKD15"/>
      <c r="MKE15"/>
      <c r="MKF15"/>
      <c r="MKG15"/>
      <c r="MKH15"/>
      <c r="MKI15"/>
      <c r="MKJ15"/>
      <c r="MKK15"/>
      <c r="MKL15"/>
      <c r="MKM15"/>
      <c r="MKN15"/>
      <c r="MKO15"/>
      <c r="MKP15"/>
      <c r="MKQ15"/>
      <c r="MKR15"/>
      <c r="MKS15"/>
      <c r="MKT15"/>
      <c r="MKU15"/>
      <c r="MKV15"/>
      <c r="MKW15"/>
      <c r="MKX15"/>
      <c r="MKY15"/>
      <c r="MKZ15"/>
      <c r="MLA15"/>
      <c r="MLB15"/>
      <c r="MLC15"/>
      <c r="MLD15"/>
      <c r="MLE15"/>
      <c r="MLF15"/>
      <c r="MLG15"/>
      <c r="MLH15"/>
      <c r="MLI15"/>
      <c r="MLJ15"/>
      <c r="MLK15"/>
      <c r="MLL15"/>
      <c r="MLM15"/>
      <c r="MLN15"/>
      <c r="MLO15"/>
      <c r="MLP15"/>
      <c r="MLQ15"/>
      <c r="MLR15"/>
      <c r="MLS15"/>
      <c r="MLT15"/>
      <c r="MLU15"/>
      <c r="MLV15"/>
      <c r="MLW15"/>
      <c r="MLX15"/>
      <c r="MLY15"/>
      <c r="MLZ15"/>
      <c r="MMA15"/>
      <c r="MMB15"/>
      <c r="MMC15"/>
      <c r="MMD15"/>
      <c r="MME15"/>
      <c r="MMF15"/>
      <c r="MMG15"/>
      <c r="MMH15"/>
      <c r="MMI15"/>
      <c r="MMJ15"/>
      <c r="MMK15"/>
      <c r="MML15"/>
      <c r="MMM15"/>
      <c r="MMN15"/>
      <c r="MMO15"/>
      <c r="MMP15"/>
      <c r="MMQ15"/>
      <c r="MMR15"/>
      <c r="MMS15"/>
      <c r="MMT15"/>
      <c r="MMU15"/>
      <c r="MMV15"/>
      <c r="MMW15"/>
      <c r="MMX15"/>
      <c r="MMY15"/>
      <c r="MMZ15"/>
      <c r="MNA15"/>
      <c r="MNB15"/>
      <c r="MNC15"/>
      <c r="MND15"/>
      <c r="MNE15"/>
      <c r="MNF15"/>
      <c r="MNG15"/>
      <c r="MNH15"/>
      <c r="MNI15"/>
      <c r="MNJ15"/>
      <c r="MNK15"/>
      <c r="MNL15"/>
      <c r="MNM15"/>
      <c r="MNN15"/>
      <c r="MNO15"/>
      <c r="MNP15"/>
      <c r="MNQ15"/>
      <c r="MNR15"/>
      <c r="MNS15"/>
      <c r="MNT15"/>
      <c r="MNU15"/>
      <c r="MNV15"/>
      <c r="MNW15"/>
      <c r="MNX15"/>
      <c r="MNY15"/>
      <c r="MNZ15"/>
      <c r="MOA15"/>
      <c r="MOB15"/>
      <c r="MOC15"/>
      <c r="MOD15"/>
      <c r="MOE15"/>
      <c r="MOF15"/>
      <c r="MOG15"/>
      <c r="MOH15"/>
      <c r="MOI15"/>
      <c r="MOJ15"/>
      <c r="MOK15"/>
      <c r="MOL15"/>
      <c r="MOM15"/>
      <c r="MON15"/>
      <c r="MOO15"/>
      <c r="MOP15"/>
      <c r="MOQ15"/>
      <c r="MOR15"/>
      <c r="MOS15"/>
      <c r="MOT15"/>
      <c r="MOU15"/>
      <c r="MOV15"/>
      <c r="MOW15"/>
      <c r="MOX15"/>
      <c r="MOY15"/>
      <c r="MOZ15"/>
      <c r="MPA15"/>
      <c r="MPB15"/>
      <c r="MPC15"/>
      <c r="MPD15"/>
      <c r="MPE15"/>
      <c r="MPF15"/>
      <c r="MPG15"/>
      <c r="MPH15"/>
      <c r="MPI15"/>
      <c r="MPJ15"/>
      <c r="MPK15"/>
      <c r="MPL15"/>
      <c r="MPM15"/>
      <c r="MPN15"/>
      <c r="MPO15"/>
      <c r="MPP15"/>
      <c r="MPQ15"/>
      <c r="MPR15"/>
      <c r="MPS15"/>
      <c r="MPT15"/>
      <c r="MPU15"/>
      <c r="MPV15"/>
      <c r="MPW15"/>
      <c r="MPX15"/>
      <c r="MPY15"/>
      <c r="MPZ15"/>
      <c r="MQA15"/>
      <c r="MQB15"/>
      <c r="MQC15"/>
      <c r="MQD15"/>
      <c r="MQE15"/>
      <c r="MQF15"/>
      <c r="MQG15"/>
      <c r="MQH15"/>
      <c r="MQI15"/>
      <c r="MQJ15"/>
      <c r="MQK15"/>
      <c r="MQL15"/>
      <c r="MQM15"/>
      <c r="MQN15"/>
      <c r="MQO15"/>
      <c r="MQP15"/>
      <c r="MQQ15"/>
      <c r="MQR15"/>
      <c r="MQS15"/>
      <c r="MQT15"/>
      <c r="MQU15"/>
      <c r="MQV15"/>
      <c r="MQW15"/>
      <c r="MQX15"/>
      <c r="MQY15"/>
      <c r="MQZ15"/>
      <c r="MRA15"/>
      <c r="MRB15"/>
      <c r="MRC15"/>
      <c r="MRD15"/>
      <c r="MRE15"/>
      <c r="MRF15"/>
      <c r="MRG15"/>
      <c r="MRH15"/>
      <c r="MRI15"/>
      <c r="MRJ15"/>
      <c r="MRK15"/>
      <c r="MRL15"/>
      <c r="MRM15"/>
      <c r="MRN15"/>
      <c r="MRO15"/>
      <c r="MRP15"/>
      <c r="MRQ15"/>
      <c r="MRR15"/>
      <c r="MRS15"/>
      <c r="MRT15"/>
      <c r="MRU15"/>
      <c r="MRV15"/>
      <c r="MRW15"/>
      <c r="MRX15"/>
      <c r="MRY15"/>
      <c r="MRZ15"/>
      <c r="MSA15"/>
      <c r="MSB15"/>
      <c r="MSC15"/>
      <c r="MSD15"/>
      <c r="MSE15"/>
      <c r="MSF15"/>
      <c r="MSG15"/>
      <c r="MSH15"/>
      <c r="MSI15"/>
      <c r="MSJ15"/>
      <c r="MSK15"/>
      <c r="MSL15"/>
      <c r="MSM15"/>
      <c r="MSN15"/>
      <c r="MSO15"/>
      <c r="MSP15"/>
      <c r="MSQ15"/>
      <c r="MSR15"/>
      <c r="MSS15"/>
      <c r="MST15"/>
      <c r="MSU15"/>
      <c r="MSV15"/>
      <c r="MSW15"/>
      <c r="MSX15"/>
      <c r="MSY15"/>
      <c r="MSZ15"/>
      <c r="MTA15"/>
      <c r="MTB15"/>
      <c r="MTC15"/>
      <c r="MTD15"/>
      <c r="MTE15"/>
      <c r="MTF15"/>
      <c r="MTG15"/>
      <c r="MTH15"/>
      <c r="MTI15"/>
      <c r="MTJ15"/>
      <c r="MTK15"/>
      <c r="MTL15"/>
      <c r="MTM15"/>
      <c r="MTN15"/>
      <c r="MTO15"/>
      <c r="MTP15"/>
      <c r="MTQ15"/>
      <c r="MTR15"/>
      <c r="MTS15"/>
      <c r="MTT15"/>
      <c r="MTU15"/>
      <c r="MTV15"/>
      <c r="MTW15"/>
      <c r="MTX15"/>
      <c r="MTY15"/>
      <c r="MTZ15"/>
      <c r="MUA15"/>
      <c r="MUB15"/>
      <c r="MUC15"/>
      <c r="MUD15"/>
      <c r="MUE15"/>
      <c r="MUF15"/>
      <c r="MUG15"/>
      <c r="MUH15"/>
      <c r="MUI15"/>
      <c r="MUJ15"/>
      <c r="MUK15"/>
      <c r="MUL15"/>
      <c r="MUM15"/>
      <c r="MUN15"/>
      <c r="MUO15"/>
      <c r="MUP15"/>
      <c r="MUQ15"/>
      <c r="MUR15"/>
      <c r="MUS15"/>
      <c r="MUT15"/>
      <c r="MUU15"/>
      <c r="MUV15"/>
      <c r="MUW15"/>
      <c r="MUX15"/>
      <c r="MUY15"/>
      <c r="MUZ15"/>
      <c r="MVA15"/>
      <c r="MVB15"/>
      <c r="MVC15"/>
      <c r="MVD15"/>
      <c r="MVE15"/>
      <c r="MVF15"/>
      <c r="MVG15"/>
      <c r="MVH15"/>
      <c r="MVI15"/>
      <c r="MVJ15"/>
      <c r="MVK15"/>
      <c r="MVL15"/>
      <c r="MVM15"/>
      <c r="MVN15"/>
      <c r="MVO15"/>
      <c r="MVP15"/>
      <c r="MVQ15"/>
      <c r="MVR15"/>
      <c r="MVS15"/>
      <c r="MVT15"/>
      <c r="MVU15"/>
      <c r="MVV15"/>
      <c r="MVW15"/>
      <c r="MVX15"/>
      <c r="MVY15"/>
      <c r="MVZ15"/>
      <c r="MWA15"/>
      <c r="MWB15"/>
      <c r="MWC15"/>
      <c r="MWD15"/>
      <c r="MWE15"/>
      <c r="MWF15"/>
      <c r="MWG15"/>
      <c r="MWH15"/>
      <c r="MWI15"/>
      <c r="MWJ15"/>
      <c r="MWK15"/>
      <c r="MWL15"/>
      <c r="MWM15"/>
      <c r="MWN15"/>
      <c r="MWO15"/>
      <c r="MWP15"/>
      <c r="MWQ15"/>
      <c r="MWR15"/>
      <c r="MWS15"/>
      <c r="MWT15"/>
      <c r="MWU15"/>
      <c r="MWV15"/>
      <c r="MWW15"/>
      <c r="MWX15"/>
      <c r="MWY15"/>
      <c r="MWZ15"/>
      <c r="MXA15"/>
      <c r="MXB15"/>
      <c r="MXC15"/>
      <c r="MXD15"/>
      <c r="MXE15"/>
      <c r="MXF15"/>
      <c r="MXG15"/>
      <c r="MXH15"/>
      <c r="MXI15"/>
      <c r="MXJ15"/>
      <c r="MXK15"/>
      <c r="MXL15"/>
      <c r="MXM15"/>
      <c r="MXN15"/>
      <c r="MXO15"/>
      <c r="MXP15"/>
      <c r="MXQ15"/>
      <c r="MXR15"/>
      <c r="MXS15"/>
      <c r="MXT15"/>
      <c r="MXU15"/>
      <c r="MXV15"/>
      <c r="MXW15"/>
      <c r="MXX15"/>
      <c r="MXY15"/>
      <c r="MXZ15"/>
      <c r="MYA15"/>
      <c r="MYB15"/>
      <c r="MYC15"/>
      <c r="MYD15"/>
      <c r="MYE15"/>
      <c r="MYF15"/>
      <c r="MYG15"/>
      <c r="MYH15"/>
      <c r="MYI15"/>
      <c r="MYJ15"/>
      <c r="MYK15"/>
      <c r="MYL15"/>
      <c r="MYM15"/>
      <c r="MYN15"/>
      <c r="MYO15"/>
      <c r="MYP15"/>
      <c r="MYQ15"/>
      <c r="MYR15"/>
      <c r="MYS15"/>
      <c r="MYT15"/>
      <c r="MYU15"/>
      <c r="MYV15"/>
      <c r="MYW15"/>
      <c r="MYX15"/>
      <c r="MYY15"/>
      <c r="MYZ15"/>
      <c r="MZA15"/>
      <c r="MZB15"/>
      <c r="MZC15"/>
      <c r="MZD15"/>
      <c r="MZE15"/>
      <c r="MZF15"/>
      <c r="MZG15"/>
      <c r="MZH15"/>
      <c r="MZI15"/>
      <c r="MZJ15"/>
      <c r="MZK15"/>
      <c r="MZL15"/>
      <c r="MZM15"/>
      <c r="MZN15"/>
      <c r="MZO15"/>
      <c r="MZP15"/>
      <c r="MZQ15"/>
      <c r="MZR15"/>
      <c r="MZS15"/>
      <c r="MZT15"/>
      <c r="MZU15"/>
      <c r="MZV15"/>
      <c r="MZW15"/>
      <c r="MZX15"/>
      <c r="MZY15"/>
      <c r="MZZ15"/>
      <c r="NAA15"/>
      <c r="NAB15"/>
      <c r="NAC15"/>
      <c r="NAD15"/>
      <c r="NAE15"/>
      <c r="NAF15"/>
      <c r="NAG15"/>
      <c r="NAH15"/>
      <c r="NAI15"/>
      <c r="NAJ15"/>
      <c r="NAK15"/>
      <c r="NAL15"/>
      <c r="NAM15"/>
      <c r="NAN15"/>
      <c r="NAO15"/>
      <c r="NAP15"/>
      <c r="NAQ15"/>
      <c r="NAR15"/>
      <c r="NAS15"/>
      <c r="NAT15"/>
      <c r="NAU15"/>
      <c r="NAV15"/>
      <c r="NAW15"/>
      <c r="NAX15"/>
      <c r="NAY15"/>
      <c r="NAZ15"/>
      <c r="NBA15"/>
      <c r="NBB15"/>
      <c r="NBC15"/>
      <c r="NBD15"/>
      <c r="NBE15"/>
      <c r="NBF15"/>
      <c r="NBG15"/>
      <c r="NBH15"/>
      <c r="NBI15"/>
      <c r="NBJ15"/>
      <c r="NBK15"/>
      <c r="NBL15"/>
      <c r="NBM15"/>
      <c r="NBN15"/>
      <c r="NBO15"/>
      <c r="NBP15"/>
      <c r="NBQ15"/>
      <c r="NBR15"/>
      <c r="NBS15"/>
      <c r="NBT15"/>
      <c r="NBU15"/>
      <c r="NBV15"/>
      <c r="NBW15"/>
      <c r="NBX15"/>
      <c r="NBY15"/>
      <c r="NBZ15"/>
      <c r="NCA15"/>
      <c r="NCB15"/>
      <c r="NCC15"/>
      <c r="NCD15"/>
      <c r="NCE15"/>
      <c r="NCF15"/>
      <c r="NCG15"/>
      <c r="NCH15"/>
      <c r="NCI15"/>
      <c r="NCJ15"/>
      <c r="NCK15"/>
      <c r="NCL15"/>
      <c r="NCM15"/>
      <c r="NCN15"/>
      <c r="NCO15"/>
      <c r="NCP15"/>
      <c r="NCQ15"/>
      <c r="NCR15"/>
      <c r="NCS15"/>
      <c r="NCT15"/>
      <c r="NCU15"/>
      <c r="NCV15"/>
      <c r="NCW15"/>
      <c r="NCX15"/>
      <c r="NCY15"/>
      <c r="NCZ15"/>
      <c r="NDA15"/>
      <c r="NDB15"/>
      <c r="NDC15"/>
      <c r="NDD15"/>
      <c r="NDE15"/>
      <c r="NDF15"/>
      <c r="NDG15"/>
      <c r="NDH15"/>
      <c r="NDI15"/>
      <c r="NDJ15"/>
      <c r="NDK15"/>
      <c r="NDL15"/>
      <c r="NDM15"/>
      <c r="NDN15"/>
      <c r="NDO15"/>
      <c r="NDP15"/>
      <c r="NDQ15"/>
      <c r="NDR15"/>
      <c r="NDS15"/>
      <c r="NDT15"/>
      <c r="NDU15"/>
      <c r="NDV15"/>
      <c r="NDW15"/>
      <c r="NDX15"/>
      <c r="NDY15"/>
      <c r="NDZ15"/>
      <c r="NEA15"/>
      <c r="NEB15"/>
      <c r="NEC15"/>
      <c r="NED15"/>
      <c r="NEE15"/>
      <c r="NEF15"/>
      <c r="NEG15"/>
      <c r="NEH15"/>
      <c r="NEI15"/>
      <c r="NEJ15"/>
      <c r="NEK15"/>
      <c r="NEL15"/>
      <c r="NEM15"/>
      <c r="NEN15"/>
      <c r="NEO15"/>
      <c r="NEP15"/>
      <c r="NEQ15"/>
      <c r="NER15"/>
      <c r="NES15"/>
      <c r="NET15"/>
      <c r="NEU15"/>
      <c r="NEV15"/>
      <c r="NEW15"/>
      <c r="NEX15"/>
      <c r="NEY15"/>
      <c r="NEZ15"/>
      <c r="NFA15"/>
      <c r="NFB15"/>
      <c r="NFC15"/>
      <c r="NFD15"/>
      <c r="NFE15"/>
      <c r="NFF15"/>
      <c r="NFG15"/>
      <c r="NFH15"/>
      <c r="NFI15"/>
      <c r="NFJ15"/>
      <c r="NFK15"/>
      <c r="NFL15"/>
      <c r="NFM15"/>
      <c r="NFN15"/>
      <c r="NFO15"/>
      <c r="NFP15"/>
      <c r="NFQ15"/>
      <c r="NFR15"/>
      <c r="NFS15"/>
      <c r="NFT15"/>
      <c r="NFU15"/>
      <c r="NFV15"/>
      <c r="NFW15"/>
      <c r="NFX15"/>
      <c r="NFY15"/>
      <c r="NFZ15"/>
      <c r="NGA15"/>
      <c r="NGB15"/>
      <c r="NGC15"/>
      <c r="NGD15"/>
      <c r="NGE15"/>
      <c r="NGF15"/>
      <c r="NGG15"/>
      <c r="NGH15"/>
      <c r="NGI15"/>
      <c r="NGJ15"/>
      <c r="NGK15"/>
      <c r="NGL15"/>
      <c r="NGM15"/>
      <c r="NGN15"/>
      <c r="NGO15"/>
      <c r="NGP15"/>
      <c r="NGQ15"/>
      <c r="NGR15"/>
      <c r="NGS15"/>
      <c r="NGT15"/>
      <c r="NGU15"/>
      <c r="NGV15"/>
      <c r="NGW15"/>
      <c r="NGX15"/>
      <c r="NGY15"/>
      <c r="NGZ15"/>
      <c r="NHA15"/>
      <c r="NHB15"/>
      <c r="NHC15"/>
      <c r="NHD15"/>
      <c r="NHE15"/>
      <c r="NHF15"/>
      <c r="NHG15"/>
      <c r="NHH15"/>
      <c r="NHI15"/>
      <c r="NHJ15"/>
      <c r="NHK15"/>
      <c r="NHL15"/>
      <c r="NHM15"/>
      <c r="NHN15"/>
      <c r="NHO15"/>
      <c r="NHP15"/>
      <c r="NHQ15"/>
      <c r="NHR15"/>
      <c r="NHS15"/>
      <c r="NHT15"/>
      <c r="NHU15"/>
      <c r="NHV15"/>
      <c r="NHW15"/>
      <c r="NHX15"/>
      <c r="NHY15"/>
      <c r="NHZ15"/>
      <c r="NIA15"/>
      <c r="NIB15"/>
      <c r="NIC15"/>
      <c r="NID15"/>
      <c r="NIE15"/>
      <c r="NIF15"/>
      <c r="NIG15"/>
      <c r="NIH15"/>
      <c r="NII15"/>
      <c r="NIJ15"/>
      <c r="NIK15"/>
      <c r="NIL15"/>
      <c r="NIM15"/>
      <c r="NIN15"/>
      <c r="NIO15"/>
      <c r="NIP15"/>
      <c r="NIQ15"/>
      <c r="NIR15"/>
      <c r="NIS15"/>
      <c r="NIT15"/>
      <c r="NIU15"/>
      <c r="NIV15"/>
      <c r="NIW15"/>
      <c r="NIX15"/>
      <c r="NIY15"/>
      <c r="NIZ15"/>
      <c r="NJA15"/>
      <c r="NJB15"/>
      <c r="NJC15"/>
      <c r="NJD15"/>
      <c r="NJE15"/>
      <c r="NJF15"/>
      <c r="NJG15"/>
      <c r="NJH15"/>
      <c r="NJI15"/>
      <c r="NJJ15"/>
      <c r="NJK15"/>
      <c r="NJL15"/>
      <c r="NJM15"/>
      <c r="NJN15"/>
      <c r="NJO15"/>
      <c r="NJP15"/>
      <c r="NJQ15"/>
      <c r="NJR15"/>
      <c r="NJS15"/>
      <c r="NJT15"/>
      <c r="NJU15"/>
      <c r="NJV15"/>
      <c r="NJW15"/>
      <c r="NJX15"/>
      <c r="NJY15"/>
      <c r="NJZ15"/>
      <c r="NKA15"/>
      <c r="NKB15"/>
      <c r="NKC15"/>
      <c r="NKD15"/>
      <c r="NKE15"/>
      <c r="NKF15"/>
      <c r="NKG15"/>
      <c r="NKH15"/>
      <c r="NKI15"/>
      <c r="NKJ15"/>
      <c r="NKK15"/>
      <c r="NKL15"/>
      <c r="NKM15"/>
      <c r="NKN15"/>
      <c r="NKO15"/>
      <c r="NKP15"/>
      <c r="NKQ15"/>
      <c r="NKR15"/>
      <c r="NKS15"/>
      <c r="NKT15"/>
      <c r="NKU15"/>
      <c r="NKV15"/>
      <c r="NKW15"/>
      <c r="NKX15"/>
      <c r="NKY15"/>
      <c r="NKZ15"/>
      <c r="NLA15"/>
      <c r="NLB15"/>
      <c r="NLC15"/>
      <c r="NLD15"/>
      <c r="NLE15"/>
      <c r="NLF15"/>
      <c r="NLG15"/>
      <c r="NLH15"/>
      <c r="NLI15"/>
      <c r="NLJ15"/>
      <c r="NLK15"/>
      <c r="NLL15"/>
      <c r="NLM15"/>
      <c r="NLN15"/>
      <c r="NLO15"/>
      <c r="NLP15"/>
      <c r="NLQ15"/>
      <c r="NLR15"/>
      <c r="NLS15"/>
      <c r="NLT15"/>
      <c r="NLU15"/>
      <c r="NLV15"/>
      <c r="NLW15"/>
      <c r="NLX15"/>
      <c r="NLY15"/>
      <c r="NLZ15"/>
      <c r="NMA15"/>
      <c r="NMB15"/>
      <c r="NMC15"/>
      <c r="NMD15"/>
      <c r="NME15"/>
      <c r="NMF15"/>
      <c r="NMG15"/>
      <c r="NMH15"/>
      <c r="NMI15"/>
      <c r="NMJ15"/>
      <c r="NMK15"/>
      <c r="NML15"/>
      <c r="NMM15"/>
      <c r="NMN15"/>
      <c r="NMO15"/>
      <c r="NMP15"/>
      <c r="NMQ15"/>
      <c r="NMR15"/>
      <c r="NMS15"/>
      <c r="NMT15"/>
      <c r="NMU15"/>
      <c r="NMV15"/>
      <c r="NMW15"/>
      <c r="NMX15"/>
      <c r="NMY15"/>
      <c r="NMZ15"/>
      <c r="NNA15"/>
      <c r="NNB15"/>
      <c r="NNC15"/>
      <c r="NND15"/>
      <c r="NNE15"/>
      <c r="NNF15"/>
      <c r="NNG15"/>
      <c r="NNH15"/>
      <c r="NNI15"/>
      <c r="NNJ15"/>
      <c r="NNK15"/>
      <c r="NNL15"/>
      <c r="NNM15"/>
      <c r="NNN15"/>
      <c r="NNO15"/>
      <c r="NNP15"/>
      <c r="NNQ15"/>
      <c r="NNR15"/>
      <c r="NNS15"/>
      <c r="NNT15"/>
      <c r="NNU15"/>
      <c r="NNV15"/>
      <c r="NNW15"/>
      <c r="NNX15"/>
      <c r="NNY15"/>
      <c r="NNZ15"/>
      <c r="NOA15"/>
      <c r="NOB15"/>
      <c r="NOC15"/>
      <c r="NOD15"/>
      <c r="NOE15"/>
      <c r="NOF15"/>
      <c r="NOG15"/>
      <c r="NOH15"/>
      <c r="NOI15"/>
      <c r="NOJ15"/>
      <c r="NOK15"/>
      <c r="NOL15"/>
      <c r="NOM15"/>
      <c r="NON15"/>
      <c r="NOO15"/>
      <c r="NOP15"/>
      <c r="NOQ15"/>
      <c r="NOR15"/>
      <c r="NOS15"/>
      <c r="NOT15"/>
      <c r="NOU15"/>
      <c r="NOV15"/>
      <c r="NOW15"/>
      <c r="NOX15"/>
      <c r="NOY15"/>
      <c r="NOZ15"/>
      <c r="NPA15"/>
      <c r="NPB15"/>
      <c r="NPC15"/>
      <c r="NPD15"/>
      <c r="NPE15"/>
      <c r="NPF15"/>
      <c r="NPG15"/>
      <c r="NPH15"/>
      <c r="NPI15"/>
      <c r="NPJ15"/>
      <c r="NPK15"/>
      <c r="NPL15"/>
      <c r="NPM15"/>
      <c r="NPN15"/>
      <c r="NPO15"/>
      <c r="NPP15"/>
      <c r="NPQ15"/>
      <c r="NPR15"/>
      <c r="NPS15"/>
      <c r="NPT15"/>
      <c r="NPU15"/>
      <c r="NPV15"/>
      <c r="NPW15"/>
      <c r="NPX15"/>
      <c r="NPY15"/>
      <c r="NPZ15"/>
      <c r="NQA15"/>
      <c r="NQB15"/>
      <c r="NQC15"/>
      <c r="NQD15"/>
      <c r="NQE15"/>
      <c r="NQF15"/>
      <c r="NQG15"/>
      <c r="NQH15"/>
      <c r="NQI15"/>
      <c r="NQJ15"/>
      <c r="NQK15"/>
      <c r="NQL15"/>
      <c r="NQM15"/>
      <c r="NQN15"/>
      <c r="NQO15"/>
      <c r="NQP15"/>
      <c r="NQQ15"/>
      <c r="NQR15"/>
      <c r="NQS15"/>
      <c r="NQT15"/>
      <c r="NQU15"/>
      <c r="NQV15"/>
      <c r="NQW15"/>
      <c r="NQX15"/>
      <c r="NQY15"/>
      <c r="NQZ15"/>
      <c r="NRA15"/>
      <c r="NRB15"/>
      <c r="NRC15"/>
      <c r="NRD15"/>
      <c r="NRE15"/>
      <c r="NRF15"/>
      <c r="NRG15"/>
      <c r="NRH15"/>
      <c r="NRI15"/>
      <c r="NRJ15"/>
      <c r="NRK15"/>
      <c r="NRL15"/>
      <c r="NRM15"/>
      <c r="NRN15"/>
      <c r="NRO15"/>
      <c r="NRP15"/>
      <c r="NRQ15"/>
      <c r="NRR15"/>
      <c r="NRS15"/>
      <c r="NRT15"/>
      <c r="NRU15"/>
      <c r="NRV15"/>
      <c r="NRW15"/>
      <c r="NRX15"/>
      <c r="NRY15"/>
      <c r="NRZ15"/>
      <c r="NSA15"/>
      <c r="NSB15"/>
      <c r="NSC15"/>
      <c r="NSD15"/>
      <c r="NSE15"/>
      <c r="NSF15"/>
      <c r="NSG15"/>
      <c r="NSH15"/>
      <c r="NSI15"/>
      <c r="NSJ15"/>
      <c r="NSK15"/>
      <c r="NSL15"/>
      <c r="NSM15"/>
      <c r="NSN15"/>
      <c r="NSO15"/>
      <c r="NSP15"/>
      <c r="NSQ15"/>
      <c r="NSR15"/>
      <c r="NSS15"/>
      <c r="NST15"/>
      <c r="NSU15"/>
      <c r="NSV15"/>
      <c r="NSW15"/>
      <c r="NSX15"/>
      <c r="NSY15"/>
      <c r="NSZ15"/>
      <c r="NTA15"/>
      <c r="NTB15"/>
      <c r="NTC15"/>
      <c r="NTD15"/>
      <c r="NTE15"/>
      <c r="NTF15"/>
      <c r="NTG15"/>
      <c r="NTH15"/>
      <c r="NTI15"/>
      <c r="NTJ15"/>
      <c r="NTK15"/>
      <c r="NTL15"/>
      <c r="NTM15"/>
      <c r="NTN15"/>
      <c r="NTO15"/>
      <c r="NTP15"/>
      <c r="NTQ15"/>
      <c r="NTR15"/>
      <c r="NTS15"/>
      <c r="NTT15"/>
      <c r="NTU15"/>
      <c r="NTV15"/>
      <c r="NTW15"/>
      <c r="NTX15"/>
      <c r="NTY15"/>
      <c r="NTZ15"/>
      <c r="NUA15"/>
      <c r="NUB15"/>
      <c r="NUC15"/>
      <c r="NUD15"/>
      <c r="NUE15"/>
      <c r="NUF15"/>
      <c r="NUG15"/>
      <c r="NUH15"/>
      <c r="NUI15"/>
      <c r="NUJ15"/>
      <c r="NUK15"/>
      <c r="NUL15"/>
      <c r="NUM15"/>
      <c r="NUN15"/>
      <c r="NUO15"/>
      <c r="NUP15"/>
      <c r="NUQ15"/>
      <c r="NUR15"/>
      <c r="NUS15"/>
      <c r="NUT15"/>
      <c r="NUU15"/>
      <c r="NUV15"/>
      <c r="NUW15"/>
      <c r="NUX15"/>
      <c r="NUY15"/>
      <c r="NUZ15"/>
      <c r="NVA15"/>
      <c r="NVB15"/>
      <c r="NVC15"/>
      <c r="NVD15"/>
      <c r="NVE15"/>
      <c r="NVF15"/>
      <c r="NVG15"/>
      <c r="NVH15"/>
      <c r="NVI15"/>
      <c r="NVJ15"/>
      <c r="NVK15"/>
      <c r="NVL15"/>
      <c r="NVM15"/>
      <c r="NVN15"/>
      <c r="NVO15"/>
      <c r="NVP15"/>
      <c r="NVQ15"/>
      <c r="NVR15"/>
      <c r="NVS15"/>
      <c r="NVT15"/>
      <c r="NVU15"/>
      <c r="NVV15"/>
      <c r="NVW15"/>
      <c r="NVX15"/>
      <c r="NVY15"/>
      <c r="NVZ15"/>
      <c r="NWA15"/>
      <c r="NWB15"/>
      <c r="NWC15"/>
      <c r="NWD15"/>
      <c r="NWE15"/>
      <c r="NWF15"/>
      <c r="NWG15"/>
      <c r="NWH15"/>
      <c r="NWI15"/>
      <c r="NWJ15"/>
      <c r="NWK15"/>
      <c r="NWL15"/>
      <c r="NWM15"/>
      <c r="NWN15"/>
      <c r="NWO15"/>
      <c r="NWP15"/>
      <c r="NWQ15"/>
      <c r="NWR15"/>
      <c r="NWS15"/>
      <c r="NWT15"/>
      <c r="NWU15"/>
      <c r="NWV15"/>
      <c r="NWW15"/>
      <c r="NWX15"/>
      <c r="NWY15"/>
      <c r="NWZ15"/>
      <c r="NXA15"/>
      <c r="NXB15"/>
      <c r="NXC15"/>
      <c r="NXD15"/>
      <c r="NXE15"/>
      <c r="NXF15"/>
      <c r="NXG15"/>
      <c r="NXH15"/>
      <c r="NXI15"/>
      <c r="NXJ15"/>
      <c r="NXK15"/>
      <c r="NXL15"/>
      <c r="NXM15"/>
      <c r="NXN15"/>
      <c r="NXO15"/>
      <c r="NXP15"/>
      <c r="NXQ15"/>
      <c r="NXR15"/>
      <c r="NXS15"/>
      <c r="NXT15"/>
      <c r="NXU15"/>
      <c r="NXV15"/>
      <c r="NXW15"/>
      <c r="NXX15"/>
      <c r="NXY15"/>
      <c r="NXZ15"/>
      <c r="NYA15"/>
      <c r="NYB15"/>
      <c r="NYC15"/>
      <c r="NYD15"/>
      <c r="NYE15"/>
      <c r="NYF15"/>
      <c r="NYG15"/>
      <c r="NYH15"/>
      <c r="NYI15"/>
      <c r="NYJ15"/>
      <c r="NYK15"/>
      <c r="NYL15"/>
      <c r="NYM15"/>
      <c r="NYN15"/>
      <c r="NYO15"/>
      <c r="NYP15"/>
      <c r="NYQ15"/>
      <c r="NYR15"/>
      <c r="NYS15"/>
      <c r="NYT15"/>
      <c r="NYU15"/>
      <c r="NYV15"/>
      <c r="NYW15"/>
      <c r="NYX15"/>
      <c r="NYY15"/>
      <c r="NYZ15"/>
      <c r="NZA15"/>
      <c r="NZB15"/>
      <c r="NZC15"/>
      <c r="NZD15"/>
      <c r="NZE15"/>
      <c r="NZF15"/>
      <c r="NZG15"/>
      <c r="NZH15"/>
      <c r="NZI15"/>
      <c r="NZJ15"/>
      <c r="NZK15"/>
      <c r="NZL15"/>
      <c r="NZM15"/>
      <c r="NZN15"/>
      <c r="NZO15"/>
      <c r="NZP15"/>
      <c r="NZQ15"/>
      <c r="NZR15"/>
      <c r="NZS15"/>
      <c r="NZT15"/>
      <c r="NZU15"/>
      <c r="NZV15"/>
      <c r="NZW15"/>
      <c r="NZX15"/>
      <c r="NZY15"/>
      <c r="NZZ15"/>
      <c r="OAA15"/>
      <c r="OAB15"/>
      <c r="OAC15"/>
      <c r="OAD15"/>
      <c r="OAE15"/>
      <c r="OAF15"/>
      <c r="OAG15"/>
      <c r="OAH15"/>
      <c r="OAI15"/>
      <c r="OAJ15"/>
      <c r="OAK15"/>
      <c r="OAL15"/>
      <c r="OAM15"/>
      <c r="OAN15"/>
      <c r="OAO15"/>
      <c r="OAP15"/>
      <c r="OAQ15"/>
      <c r="OAR15"/>
      <c r="OAS15"/>
      <c r="OAT15"/>
      <c r="OAU15"/>
      <c r="OAV15"/>
      <c r="OAW15"/>
      <c r="OAX15"/>
      <c r="OAY15"/>
      <c r="OAZ15"/>
      <c r="OBA15"/>
      <c r="OBB15"/>
      <c r="OBC15"/>
      <c r="OBD15"/>
      <c r="OBE15"/>
      <c r="OBF15"/>
      <c r="OBG15"/>
      <c r="OBH15"/>
      <c r="OBI15"/>
      <c r="OBJ15"/>
      <c r="OBK15"/>
      <c r="OBL15"/>
      <c r="OBM15"/>
      <c r="OBN15"/>
      <c r="OBO15"/>
      <c r="OBP15"/>
      <c r="OBQ15"/>
      <c r="OBR15"/>
      <c r="OBS15"/>
      <c r="OBT15"/>
      <c r="OBU15"/>
      <c r="OBV15"/>
      <c r="OBW15"/>
      <c r="OBX15"/>
      <c r="OBY15"/>
      <c r="OBZ15"/>
      <c r="OCA15"/>
      <c r="OCB15"/>
      <c r="OCC15"/>
      <c r="OCD15"/>
      <c r="OCE15"/>
      <c r="OCF15"/>
      <c r="OCG15"/>
      <c r="OCH15"/>
      <c r="OCI15"/>
      <c r="OCJ15"/>
      <c r="OCK15"/>
      <c r="OCL15"/>
      <c r="OCM15"/>
      <c r="OCN15"/>
      <c r="OCO15"/>
      <c r="OCP15"/>
      <c r="OCQ15"/>
      <c r="OCR15"/>
      <c r="OCS15"/>
      <c r="OCT15"/>
      <c r="OCU15"/>
      <c r="OCV15"/>
      <c r="OCW15"/>
      <c r="OCX15"/>
      <c r="OCY15"/>
      <c r="OCZ15"/>
      <c r="ODA15"/>
      <c r="ODB15"/>
      <c r="ODC15"/>
      <c r="ODD15"/>
      <c r="ODE15"/>
      <c r="ODF15"/>
      <c r="ODG15"/>
      <c r="ODH15"/>
      <c r="ODI15"/>
      <c r="ODJ15"/>
      <c r="ODK15"/>
      <c r="ODL15"/>
      <c r="ODM15"/>
      <c r="ODN15"/>
      <c r="ODO15"/>
      <c r="ODP15"/>
      <c r="ODQ15"/>
      <c r="ODR15"/>
      <c r="ODS15"/>
      <c r="ODT15"/>
      <c r="ODU15"/>
      <c r="ODV15"/>
      <c r="ODW15"/>
      <c r="ODX15"/>
      <c r="ODY15"/>
      <c r="ODZ15"/>
      <c r="OEA15"/>
      <c r="OEB15"/>
      <c r="OEC15"/>
      <c r="OED15"/>
      <c r="OEE15"/>
      <c r="OEF15"/>
      <c r="OEG15"/>
      <c r="OEH15"/>
      <c r="OEI15"/>
      <c r="OEJ15"/>
      <c r="OEK15"/>
      <c r="OEL15"/>
      <c r="OEM15"/>
      <c r="OEN15"/>
      <c r="OEO15"/>
      <c r="OEP15"/>
      <c r="OEQ15"/>
      <c r="OER15"/>
      <c r="OES15"/>
      <c r="OET15"/>
      <c r="OEU15"/>
      <c r="OEV15"/>
      <c r="OEW15"/>
      <c r="OEX15"/>
      <c r="OEY15"/>
      <c r="OEZ15"/>
      <c r="OFA15"/>
      <c r="OFB15"/>
      <c r="OFC15"/>
      <c r="OFD15"/>
      <c r="OFE15"/>
      <c r="OFF15"/>
      <c r="OFG15"/>
      <c r="OFH15"/>
      <c r="OFI15"/>
      <c r="OFJ15"/>
      <c r="OFK15"/>
      <c r="OFL15"/>
      <c r="OFM15"/>
      <c r="OFN15"/>
      <c r="OFO15"/>
      <c r="OFP15"/>
      <c r="OFQ15"/>
      <c r="OFR15"/>
      <c r="OFS15"/>
      <c r="OFT15"/>
      <c r="OFU15"/>
      <c r="OFV15"/>
      <c r="OFW15"/>
      <c r="OFX15"/>
      <c r="OFY15"/>
      <c r="OFZ15"/>
      <c r="OGA15"/>
      <c r="OGB15"/>
      <c r="OGC15"/>
      <c r="OGD15"/>
      <c r="OGE15"/>
      <c r="OGF15"/>
      <c r="OGG15"/>
      <c r="OGH15"/>
      <c r="OGI15"/>
      <c r="OGJ15"/>
      <c r="OGK15"/>
      <c r="OGL15"/>
      <c r="OGM15"/>
      <c r="OGN15"/>
      <c r="OGO15"/>
      <c r="OGP15"/>
      <c r="OGQ15"/>
      <c r="OGR15"/>
      <c r="OGS15"/>
      <c r="OGT15"/>
      <c r="OGU15"/>
      <c r="OGV15"/>
      <c r="OGW15"/>
      <c r="OGX15"/>
      <c r="OGY15"/>
      <c r="OGZ15"/>
      <c r="OHA15"/>
      <c r="OHB15"/>
      <c r="OHC15"/>
      <c r="OHD15"/>
      <c r="OHE15"/>
      <c r="OHF15"/>
      <c r="OHG15"/>
      <c r="OHH15"/>
      <c r="OHI15"/>
      <c r="OHJ15"/>
      <c r="OHK15"/>
      <c r="OHL15"/>
      <c r="OHM15"/>
      <c r="OHN15"/>
      <c r="OHO15"/>
      <c r="OHP15"/>
      <c r="OHQ15"/>
      <c r="OHR15"/>
      <c r="OHS15"/>
      <c r="OHT15"/>
      <c r="OHU15"/>
      <c r="OHV15"/>
      <c r="OHW15"/>
      <c r="OHX15"/>
      <c r="OHY15"/>
      <c r="OHZ15"/>
      <c r="OIA15"/>
      <c r="OIB15"/>
      <c r="OIC15"/>
      <c r="OID15"/>
      <c r="OIE15"/>
      <c r="OIF15"/>
      <c r="OIG15"/>
      <c r="OIH15"/>
      <c r="OII15"/>
      <c r="OIJ15"/>
      <c r="OIK15"/>
      <c r="OIL15"/>
      <c r="OIM15"/>
      <c r="OIN15"/>
      <c r="OIO15"/>
      <c r="OIP15"/>
      <c r="OIQ15"/>
      <c r="OIR15"/>
      <c r="OIS15"/>
      <c r="OIT15"/>
      <c r="OIU15"/>
      <c r="OIV15"/>
      <c r="OIW15"/>
      <c r="OIX15"/>
      <c r="OIY15"/>
      <c r="OIZ15"/>
      <c r="OJA15"/>
      <c r="OJB15"/>
      <c r="OJC15"/>
      <c r="OJD15"/>
      <c r="OJE15"/>
      <c r="OJF15"/>
      <c r="OJG15"/>
      <c r="OJH15"/>
      <c r="OJI15"/>
      <c r="OJJ15"/>
      <c r="OJK15"/>
      <c r="OJL15"/>
      <c r="OJM15"/>
      <c r="OJN15"/>
      <c r="OJO15"/>
      <c r="OJP15"/>
      <c r="OJQ15"/>
      <c r="OJR15"/>
      <c r="OJS15"/>
      <c r="OJT15"/>
      <c r="OJU15"/>
      <c r="OJV15"/>
      <c r="OJW15"/>
      <c r="OJX15"/>
      <c r="OJY15"/>
      <c r="OJZ15"/>
      <c r="OKA15"/>
      <c r="OKB15"/>
      <c r="OKC15"/>
      <c r="OKD15"/>
      <c r="OKE15"/>
      <c r="OKF15"/>
      <c r="OKG15"/>
      <c r="OKH15"/>
      <c r="OKI15"/>
      <c r="OKJ15"/>
      <c r="OKK15"/>
      <c r="OKL15"/>
      <c r="OKM15"/>
      <c r="OKN15"/>
      <c r="OKO15"/>
      <c r="OKP15"/>
      <c r="OKQ15"/>
      <c r="OKR15"/>
      <c r="OKS15"/>
      <c r="OKT15"/>
      <c r="OKU15"/>
      <c r="OKV15"/>
      <c r="OKW15"/>
      <c r="OKX15"/>
      <c r="OKY15"/>
      <c r="OKZ15"/>
      <c r="OLA15"/>
      <c r="OLB15"/>
      <c r="OLC15"/>
      <c r="OLD15"/>
      <c r="OLE15"/>
      <c r="OLF15"/>
      <c r="OLG15"/>
      <c r="OLH15"/>
      <c r="OLI15"/>
      <c r="OLJ15"/>
      <c r="OLK15"/>
      <c r="OLL15"/>
      <c r="OLM15"/>
      <c r="OLN15"/>
      <c r="OLO15"/>
      <c r="OLP15"/>
      <c r="OLQ15"/>
      <c r="OLR15"/>
      <c r="OLS15"/>
      <c r="OLT15"/>
      <c r="OLU15"/>
      <c r="OLV15"/>
      <c r="OLW15"/>
      <c r="OLX15"/>
      <c r="OLY15"/>
      <c r="OLZ15"/>
      <c r="OMA15"/>
      <c r="OMB15"/>
      <c r="OMC15"/>
      <c r="OMD15"/>
      <c r="OME15"/>
      <c r="OMF15"/>
      <c r="OMG15"/>
      <c r="OMH15"/>
      <c r="OMI15"/>
      <c r="OMJ15"/>
      <c r="OMK15"/>
      <c r="OML15"/>
      <c r="OMM15"/>
      <c r="OMN15"/>
      <c r="OMO15"/>
      <c r="OMP15"/>
      <c r="OMQ15"/>
      <c r="OMR15"/>
      <c r="OMS15"/>
      <c r="OMT15"/>
      <c r="OMU15"/>
      <c r="OMV15"/>
      <c r="OMW15"/>
      <c r="OMX15"/>
      <c r="OMY15"/>
      <c r="OMZ15"/>
      <c r="ONA15"/>
      <c r="ONB15"/>
      <c r="ONC15"/>
      <c r="OND15"/>
      <c r="ONE15"/>
      <c r="ONF15"/>
      <c r="ONG15"/>
      <c r="ONH15"/>
      <c r="ONI15"/>
      <c r="ONJ15"/>
      <c r="ONK15"/>
      <c r="ONL15"/>
      <c r="ONM15"/>
      <c r="ONN15"/>
      <c r="ONO15"/>
      <c r="ONP15"/>
      <c r="ONQ15"/>
      <c r="ONR15"/>
      <c r="ONS15"/>
      <c r="ONT15"/>
      <c r="ONU15"/>
      <c r="ONV15"/>
      <c r="ONW15"/>
      <c r="ONX15"/>
      <c r="ONY15"/>
      <c r="ONZ15"/>
      <c r="OOA15"/>
      <c r="OOB15"/>
      <c r="OOC15"/>
      <c r="OOD15"/>
      <c r="OOE15"/>
      <c r="OOF15"/>
      <c r="OOG15"/>
      <c r="OOH15"/>
      <c r="OOI15"/>
      <c r="OOJ15"/>
      <c r="OOK15"/>
      <c r="OOL15"/>
      <c r="OOM15"/>
      <c r="OON15"/>
      <c r="OOO15"/>
      <c r="OOP15"/>
      <c r="OOQ15"/>
      <c r="OOR15"/>
      <c r="OOS15"/>
      <c r="OOT15"/>
      <c r="OOU15"/>
      <c r="OOV15"/>
      <c r="OOW15"/>
      <c r="OOX15"/>
      <c r="OOY15"/>
      <c r="OOZ15"/>
      <c r="OPA15"/>
      <c r="OPB15"/>
      <c r="OPC15"/>
      <c r="OPD15"/>
      <c r="OPE15"/>
      <c r="OPF15"/>
      <c r="OPG15"/>
      <c r="OPH15"/>
      <c r="OPI15"/>
      <c r="OPJ15"/>
      <c r="OPK15"/>
      <c r="OPL15"/>
      <c r="OPM15"/>
      <c r="OPN15"/>
      <c r="OPO15"/>
      <c r="OPP15"/>
      <c r="OPQ15"/>
      <c r="OPR15"/>
      <c r="OPS15"/>
      <c r="OPT15"/>
      <c r="OPU15"/>
      <c r="OPV15"/>
      <c r="OPW15"/>
      <c r="OPX15"/>
      <c r="OPY15"/>
      <c r="OPZ15"/>
      <c r="OQA15"/>
      <c r="OQB15"/>
      <c r="OQC15"/>
      <c r="OQD15"/>
      <c r="OQE15"/>
      <c r="OQF15"/>
      <c r="OQG15"/>
      <c r="OQH15"/>
      <c r="OQI15"/>
      <c r="OQJ15"/>
      <c r="OQK15"/>
      <c r="OQL15"/>
      <c r="OQM15"/>
      <c r="OQN15"/>
      <c r="OQO15"/>
      <c r="OQP15"/>
      <c r="OQQ15"/>
      <c r="OQR15"/>
      <c r="OQS15"/>
      <c r="OQT15"/>
      <c r="OQU15"/>
      <c r="OQV15"/>
      <c r="OQW15"/>
      <c r="OQX15"/>
      <c r="OQY15"/>
      <c r="OQZ15"/>
      <c r="ORA15"/>
      <c r="ORB15"/>
      <c r="ORC15"/>
      <c r="ORD15"/>
      <c r="ORE15"/>
      <c r="ORF15"/>
      <c r="ORG15"/>
      <c r="ORH15"/>
      <c r="ORI15"/>
      <c r="ORJ15"/>
      <c r="ORK15"/>
      <c r="ORL15"/>
      <c r="ORM15"/>
      <c r="ORN15"/>
      <c r="ORO15"/>
      <c r="ORP15"/>
      <c r="ORQ15"/>
      <c r="ORR15"/>
      <c r="ORS15"/>
      <c r="ORT15"/>
      <c r="ORU15"/>
      <c r="ORV15"/>
      <c r="ORW15"/>
      <c r="ORX15"/>
      <c r="ORY15"/>
      <c r="ORZ15"/>
      <c r="OSA15"/>
      <c r="OSB15"/>
      <c r="OSC15"/>
      <c r="OSD15"/>
      <c r="OSE15"/>
      <c r="OSF15"/>
      <c r="OSG15"/>
      <c r="OSH15"/>
      <c r="OSI15"/>
      <c r="OSJ15"/>
      <c r="OSK15"/>
      <c r="OSL15"/>
      <c r="OSM15"/>
      <c r="OSN15"/>
      <c r="OSO15"/>
      <c r="OSP15"/>
      <c r="OSQ15"/>
      <c r="OSR15"/>
      <c r="OSS15"/>
      <c r="OST15"/>
      <c r="OSU15"/>
      <c r="OSV15"/>
      <c r="OSW15"/>
      <c r="OSX15"/>
      <c r="OSY15"/>
      <c r="OSZ15"/>
      <c r="OTA15"/>
      <c r="OTB15"/>
      <c r="OTC15"/>
      <c r="OTD15"/>
      <c r="OTE15"/>
      <c r="OTF15"/>
      <c r="OTG15"/>
      <c r="OTH15"/>
      <c r="OTI15"/>
      <c r="OTJ15"/>
      <c r="OTK15"/>
      <c r="OTL15"/>
      <c r="OTM15"/>
      <c r="OTN15"/>
      <c r="OTO15"/>
      <c r="OTP15"/>
      <c r="OTQ15"/>
      <c r="OTR15"/>
      <c r="OTS15"/>
      <c r="OTT15"/>
      <c r="OTU15"/>
      <c r="OTV15"/>
      <c r="OTW15"/>
      <c r="OTX15"/>
      <c r="OTY15"/>
      <c r="OTZ15"/>
      <c r="OUA15"/>
      <c r="OUB15"/>
      <c r="OUC15"/>
      <c r="OUD15"/>
      <c r="OUE15"/>
      <c r="OUF15"/>
      <c r="OUG15"/>
      <c r="OUH15"/>
      <c r="OUI15"/>
      <c r="OUJ15"/>
      <c r="OUK15"/>
      <c r="OUL15"/>
      <c r="OUM15"/>
      <c r="OUN15"/>
      <c r="OUO15"/>
      <c r="OUP15"/>
      <c r="OUQ15"/>
      <c r="OUR15"/>
      <c r="OUS15"/>
      <c r="OUT15"/>
      <c r="OUU15"/>
      <c r="OUV15"/>
      <c r="OUW15"/>
      <c r="OUX15"/>
      <c r="OUY15"/>
      <c r="OUZ15"/>
      <c r="OVA15"/>
      <c r="OVB15"/>
      <c r="OVC15"/>
      <c r="OVD15"/>
      <c r="OVE15"/>
      <c r="OVF15"/>
      <c r="OVG15"/>
      <c r="OVH15"/>
      <c r="OVI15"/>
      <c r="OVJ15"/>
      <c r="OVK15"/>
      <c r="OVL15"/>
      <c r="OVM15"/>
      <c r="OVN15"/>
      <c r="OVO15"/>
      <c r="OVP15"/>
      <c r="OVQ15"/>
      <c r="OVR15"/>
      <c r="OVS15"/>
      <c r="OVT15"/>
      <c r="OVU15"/>
      <c r="OVV15"/>
      <c r="OVW15"/>
      <c r="OVX15"/>
      <c r="OVY15"/>
      <c r="OVZ15"/>
      <c r="OWA15"/>
      <c r="OWB15"/>
      <c r="OWC15"/>
      <c r="OWD15"/>
      <c r="OWE15"/>
      <c r="OWF15"/>
      <c r="OWG15"/>
      <c r="OWH15"/>
      <c r="OWI15"/>
      <c r="OWJ15"/>
      <c r="OWK15"/>
      <c r="OWL15"/>
      <c r="OWM15"/>
      <c r="OWN15"/>
      <c r="OWO15"/>
      <c r="OWP15"/>
      <c r="OWQ15"/>
      <c r="OWR15"/>
      <c r="OWS15"/>
      <c r="OWT15"/>
      <c r="OWU15"/>
      <c r="OWV15"/>
      <c r="OWW15"/>
      <c r="OWX15"/>
      <c r="OWY15"/>
      <c r="OWZ15"/>
      <c r="OXA15"/>
      <c r="OXB15"/>
      <c r="OXC15"/>
      <c r="OXD15"/>
      <c r="OXE15"/>
      <c r="OXF15"/>
      <c r="OXG15"/>
      <c r="OXH15"/>
      <c r="OXI15"/>
      <c r="OXJ15"/>
      <c r="OXK15"/>
      <c r="OXL15"/>
      <c r="OXM15"/>
      <c r="OXN15"/>
      <c r="OXO15"/>
      <c r="OXP15"/>
      <c r="OXQ15"/>
      <c r="OXR15"/>
      <c r="OXS15"/>
      <c r="OXT15"/>
      <c r="OXU15"/>
      <c r="OXV15"/>
      <c r="OXW15"/>
      <c r="OXX15"/>
      <c r="OXY15"/>
      <c r="OXZ15"/>
      <c r="OYA15"/>
      <c r="OYB15"/>
      <c r="OYC15"/>
      <c r="OYD15"/>
      <c r="OYE15"/>
      <c r="OYF15"/>
      <c r="OYG15"/>
      <c r="OYH15"/>
      <c r="OYI15"/>
      <c r="OYJ15"/>
      <c r="OYK15"/>
      <c r="OYL15"/>
      <c r="OYM15"/>
      <c r="OYN15"/>
      <c r="OYO15"/>
      <c r="OYP15"/>
      <c r="OYQ15"/>
      <c r="OYR15"/>
      <c r="OYS15"/>
      <c r="OYT15"/>
      <c r="OYU15"/>
      <c r="OYV15"/>
      <c r="OYW15"/>
      <c r="OYX15"/>
      <c r="OYY15"/>
      <c r="OYZ15"/>
      <c r="OZA15"/>
      <c r="OZB15"/>
      <c r="OZC15"/>
      <c r="OZD15"/>
      <c r="OZE15"/>
      <c r="OZF15"/>
      <c r="OZG15"/>
      <c r="OZH15"/>
      <c r="OZI15"/>
      <c r="OZJ15"/>
      <c r="OZK15"/>
      <c r="OZL15"/>
      <c r="OZM15"/>
      <c r="OZN15"/>
      <c r="OZO15"/>
      <c r="OZP15"/>
      <c r="OZQ15"/>
      <c r="OZR15"/>
      <c r="OZS15"/>
      <c r="OZT15"/>
      <c r="OZU15"/>
      <c r="OZV15"/>
      <c r="OZW15"/>
      <c r="OZX15"/>
      <c r="OZY15"/>
      <c r="OZZ15"/>
      <c r="PAA15"/>
      <c r="PAB15"/>
      <c r="PAC15"/>
      <c r="PAD15"/>
      <c r="PAE15"/>
      <c r="PAF15"/>
      <c r="PAG15"/>
      <c r="PAH15"/>
      <c r="PAI15"/>
      <c r="PAJ15"/>
      <c r="PAK15"/>
      <c r="PAL15"/>
      <c r="PAM15"/>
      <c r="PAN15"/>
      <c r="PAO15"/>
      <c r="PAP15"/>
      <c r="PAQ15"/>
      <c r="PAR15"/>
      <c r="PAS15"/>
      <c r="PAT15"/>
      <c r="PAU15"/>
      <c r="PAV15"/>
      <c r="PAW15"/>
      <c r="PAX15"/>
      <c r="PAY15"/>
      <c r="PAZ15"/>
      <c r="PBA15"/>
      <c r="PBB15"/>
      <c r="PBC15"/>
      <c r="PBD15"/>
      <c r="PBE15"/>
      <c r="PBF15"/>
      <c r="PBG15"/>
      <c r="PBH15"/>
      <c r="PBI15"/>
      <c r="PBJ15"/>
      <c r="PBK15"/>
      <c r="PBL15"/>
      <c r="PBM15"/>
      <c r="PBN15"/>
      <c r="PBO15"/>
      <c r="PBP15"/>
      <c r="PBQ15"/>
      <c r="PBR15"/>
      <c r="PBS15"/>
      <c r="PBT15"/>
      <c r="PBU15"/>
      <c r="PBV15"/>
      <c r="PBW15"/>
      <c r="PBX15"/>
      <c r="PBY15"/>
      <c r="PBZ15"/>
      <c r="PCA15"/>
      <c r="PCB15"/>
      <c r="PCC15"/>
      <c r="PCD15"/>
      <c r="PCE15"/>
      <c r="PCF15"/>
      <c r="PCG15"/>
      <c r="PCH15"/>
      <c r="PCI15"/>
      <c r="PCJ15"/>
      <c r="PCK15"/>
      <c r="PCL15"/>
      <c r="PCM15"/>
      <c r="PCN15"/>
      <c r="PCO15"/>
      <c r="PCP15"/>
      <c r="PCQ15"/>
      <c r="PCR15"/>
      <c r="PCS15"/>
      <c r="PCT15"/>
      <c r="PCU15"/>
      <c r="PCV15"/>
      <c r="PCW15"/>
      <c r="PCX15"/>
      <c r="PCY15"/>
      <c r="PCZ15"/>
      <c r="PDA15"/>
      <c r="PDB15"/>
      <c r="PDC15"/>
      <c r="PDD15"/>
      <c r="PDE15"/>
      <c r="PDF15"/>
      <c r="PDG15"/>
      <c r="PDH15"/>
      <c r="PDI15"/>
      <c r="PDJ15"/>
      <c r="PDK15"/>
      <c r="PDL15"/>
      <c r="PDM15"/>
      <c r="PDN15"/>
      <c r="PDO15"/>
      <c r="PDP15"/>
      <c r="PDQ15"/>
      <c r="PDR15"/>
      <c r="PDS15"/>
      <c r="PDT15"/>
      <c r="PDU15"/>
      <c r="PDV15"/>
      <c r="PDW15"/>
      <c r="PDX15"/>
      <c r="PDY15"/>
      <c r="PDZ15"/>
      <c r="PEA15"/>
      <c r="PEB15"/>
      <c r="PEC15"/>
      <c r="PED15"/>
      <c r="PEE15"/>
      <c r="PEF15"/>
      <c r="PEG15"/>
      <c r="PEH15"/>
      <c r="PEI15"/>
      <c r="PEJ15"/>
      <c r="PEK15"/>
      <c r="PEL15"/>
      <c r="PEM15"/>
      <c r="PEN15"/>
      <c r="PEO15"/>
      <c r="PEP15"/>
      <c r="PEQ15"/>
      <c r="PER15"/>
      <c r="PES15"/>
      <c r="PET15"/>
      <c r="PEU15"/>
      <c r="PEV15"/>
      <c r="PEW15"/>
      <c r="PEX15"/>
      <c r="PEY15"/>
      <c r="PEZ15"/>
      <c r="PFA15"/>
      <c r="PFB15"/>
      <c r="PFC15"/>
      <c r="PFD15"/>
      <c r="PFE15"/>
      <c r="PFF15"/>
      <c r="PFG15"/>
      <c r="PFH15"/>
      <c r="PFI15"/>
      <c r="PFJ15"/>
      <c r="PFK15"/>
      <c r="PFL15"/>
      <c r="PFM15"/>
      <c r="PFN15"/>
      <c r="PFO15"/>
      <c r="PFP15"/>
      <c r="PFQ15"/>
      <c r="PFR15"/>
      <c r="PFS15"/>
      <c r="PFT15"/>
      <c r="PFU15"/>
      <c r="PFV15"/>
      <c r="PFW15"/>
      <c r="PFX15"/>
      <c r="PFY15"/>
      <c r="PFZ15"/>
      <c r="PGA15"/>
      <c r="PGB15"/>
      <c r="PGC15"/>
      <c r="PGD15"/>
      <c r="PGE15"/>
      <c r="PGF15"/>
      <c r="PGG15"/>
      <c r="PGH15"/>
      <c r="PGI15"/>
      <c r="PGJ15"/>
      <c r="PGK15"/>
      <c r="PGL15"/>
      <c r="PGM15"/>
      <c r="PGN15"/>
      <c r="PGO15"/>
      <c r="PGP15"/>
      <c r="PGQ15"/>
      <c r="PGR15"/>
      <c r="PGS15"/>
      <c r="PGT15"/>
      <c r="PGU15"/>
      <c r="PGV15"/>
      <c r="PGW15"/>
      <c r="PGX15"/>
      <c r="PGY15"/>
      <c r="PGZ15"/>
      <c r="PHA15"/>
      <c r="PHB15"/>
      <c r="PHC15"/>
      <c r="PHD15"/>
      <c r="PHE15"/>
      <c r="PHF15"/>
      <c r="PHG15"/>
      <c r="PHH15"/>
      <c r="PHI15"/>
      <c r="PHJ15"/>
      <c r="PHK15"/>
      <c r="PHL15"/>
      <c r="PHM15"/>
      <c r="PHN15"/>
      <c r="PHO15"/>
      <c r="PHP15"/>
      <c r="PHQ15"/>
      <c r="PHR15"/>
      <c r="PHS15"/>
      <c r="PHT15"/>
      <c r="PHU15"/>
      <c r="PHV15"/>
      <c r="PHW15"/>
      <c r="PHX15"/>
      <c r="PHY15"/>
      <c r="PHZ15"/>
      <c r="PIA15"/>
      <c r="PIB15"/>
      <c r="PIC15"/>
      <c r="PID15"/>
      <c r="PIE15"/>
      <c r="PIF15"/>
      <c r="PIG15"/>
      <c r="PIH15"/>
      <c r="PII15"/>
      <c r="PIJ15"/>
      <c r="PIK15"/>
      <c r="PIL15"/>
      <c r="PIM15"/>
      <c r="PIN15"/>
      <c r="PIO15"/>
      <c r="PIP15"/>
      <c r="PIQ15"/>
      <c r="PIR15"/>
      <c r="PIS15"/>
      <c r="PIT15"/>
      <c r="PIU15"/>
      <c r="PIV15"/>
      <c r="PIW15"/>
      <c r="PIX15"/>
      <c r="PIY15"/>
      <c r="PIZ15"/>
      <c r="PJA15"/>
      <c r="PJB15"/>
      <c r="PJC15"/>
      <c r="PJD15"/>
      <c r="PJE15"/>
      <c r="PJF15"/>
      <c r="PJG15"/>
      <c r="PJH15"/>
      <c r="PJI15"/>
      <c r="PJJ15"/>
      <c r="PJK15"/>
      <c r="PJL15"/>
      <c r="PJM15"/>
      <c r="PJN15"/>
      <c r="PJO15"/>
      <c r="PJP15"/>
      <c r="PJQ15"/>
      <c r="PJR15"/>
      <c r="PJS15"/>
      <c r="PJT15"/>
      <c r="PJU15"/>
      <c r="PJV15"/>
      <c r="PJW15"/>
      <c r="PJX15"/>
      <c r="PJY15"/>
      <c r="PJZ15"/>
      <c r="PKA15"/>
      <c r="PKB15"/>
      <c r="PKC15"/>
      <c r="PKD15"/>
      <c r="PKE15"/>
      <c r="PKF15"/>
      <c r="PKG15"/>
      <c r="PKH15"/>
      <c r="PKI15"/>
      <c r="PKJ15"/>
      <c r="PKK15"/>
      <c r="PKL15"/>
      <c r="PKM15"/>
      <c r="PKN15"/>
      <c r="PKO15"/>
      <c r="PKP15"/>
      <c r="PKQ15"/>
      <c r="PKR15"/>
      <c r="PKS15"/>
      <c r="PKT15"/>
      <c r="PKU15"/>
      <c r="PKV15"/>
      <c r="PKW15"/>
      <c r="PKX15"/>
      <c r="PKY15"/>
      <c r="PKZ15"/>
      <c r="PLA15"/>
      <c r="PLB15"/>
      <c r="PLC15"/>
      <c r="PLD15"/>
      <c r="PLE15"/>
      <c r="PLF15"/>
      <c r="PLG15"/>
      <c r="PLH15"/>
      <c r="PLI15"/>
      <c r="PLJ15"/>
      <c r="PLK15"/>
      <c r="PLL15"/>
      <c r="PLM15"/>
      <c r="PLN15"/>
      <c r="PLO15"/>
      <c r="PLP15"/>
      <c r="PLQ15"/>
      <c r="PLR15"/>
      <c r="PLS15"/>
      <c r="PLT15"/>
      <c r="PLU15"/>
      <c r="PLV15"/>
      <c r="PLW15"/>
      <c r="PLX15"/>
      <c r="PLY15"/>
      <c r="PLZ15"/>
      <c r="PMA15"/>
      <c r="PMB15"/>
      <c r="PMC15"/>
      <c r="PMD15"/>
      <c r="PME15"/>
      <c r="PMF15"/>
      <c r="PMG15"/>
      <c r="PMH15"/>
      <c r="PMI15"/>
      <c r="PMJ15"/>
      <c r="PMK15"/>
      <c r="PML15"/>
      <c r="PMM15"/>
      <c r="PMN15"/>
      <c r="PMO15"/>
      <c r="PMP15"/>
      <c r="PMQ15"/>
      <c r="PMR15"/>
      <c r="PMS15"/>
      <c r="PMT15"/>
      <c r="PMU15"/>
      <c r="PMV15"/>
      <c r="PMW15"/>
      <c r="PMX15"/>
      <c r="PMY15"/>
      <c r="PMZ15"/>
      <c r="PNA15"/>
      <c r="PNB15"/>
      <c r="PNC15"/>
      <c r="PND15"/>
      <c r="PNE15"/>
      <c r="PNF15"/>
      <c r="PNG15"/>
      <c r="PNH15"/>
      <c r="PNI15"/>
      <c r="PNJ15"/>
      <c r="PNK15"/>
      <c r="PNL15"/>
      <c r="PNM15"/>
      <c r="PNN15"/>
      <c r="PNO15"/>
      <c r="PNP15"/>
      <c r="PNQ15"/>
      <c r="PNR15"/>
      <c r="PNS15"/>
      <c r="PNT15"/>
      <c r="PNU15"/>
      <c r="PNV15"/>
      <c r="PNW15"/>
      <c r="PNX15"/>
      <c r="PNY15"/>
      <c r="PNZ15"/>
      <c r="POA15"/>
      <c r="POB15"/>
      <c r="POC15"/>
      <c r="POD15"/>
      <c r="POE15"/>
      <c r="POF15"/>
      <c r="POG15"/>
      <c r="POH15"/>
      <c r="POI15"/>
      <c r="POJ15"/>
      <c r="POK15"/>
      <c r="POL15"/>
      <c r="POM15"/>
      <c r="PON15"/>
      <c r="POO15"/>
      <c r="POP15"/>
      <c r="POQ15"/>
      <c r="POR15"/>
      <c r="POS15"/>
      <c r="POT15"/>
      <c r="POU15"/>
      <c r="POV15"/>
      <c r="POW15"/>
      <c r="POX15"/>
      <c r="POY15"/>
      <c r="POZ15"/>
      <c r="PPA15"/>
      <c r="PPB15"/>
      <c r="PPC15"/>
      <c r="PPD15"/>
      <c r="PPE15"/>
      <c r="PPF15"/>
      <c r="PPG15"/>
      <c r="PPH15"/>
      <c r="PPI15"/>
      <c r="PPJ15"/>
      <c r="PPK15"/>
      <c r="PPL15"/>
      <c r="PPM15"/>
      <c r="PPN15"/>
      <c r="PPO15"/>
      <c r="PPP15"/>
      <c r="PPQ15"/>
      <c r="PPR15"/>
      <c r="PPS15"/>
      <c r="PPT15"/>
      <c r="PPU15"/>
      <c r="PPV15"/>
      <c r="PPW15"/>
      <c r="PPX15"/>
      <c r="PPY15"/>
      <c r="PPZ15"/>
      <c r="PQA15"/>
      <c r="PQB15"/>
      <c r="PQC15"/>
      <c r="PQD15"/>
      <c r="PQE15"/>
      <c r="PQF15"/>
      <c r="PQG15"/>
      <c r="PQH15"/>
      <c r="PQI15"/>
      <c r="PQJ15"/>
      <c r="PQK15"/>
      <c r="PQL15"/>
      <c r="PQM15"/>
      <c r="PQN15"/>
      <c r="PQO15"/>
      <c r="PQP15"/>
      <c r="PQQ15"/>
      <c r="PQR15"/>
      <c r="PQS15"/>
      <c r="PQT15"/>
      <c r="PQU15"/>
      <c r="PQV15"/>
      <c r="PQW15"/>
      <c r="PQX15"/>
      <c r="PQY15"/>
      <c r="PQZ15"/>
      <c r="PRA15"/>
      <c r="PRB15"/>
      <c r="PRC15"/>
      <c r="PRD15"/>
      <c r="PRE15"/>
      <c r="PRF15"/>
      <c r="PRG15"/>
      <c r="PRH15"/>
      <c r="PRI15"/>
      <c r="PRJ15"/>
      <c r="PRK15"/>
      <c r="PRL15"/>
      <c r="PRM15"/>
      <c r="PRN15"/>
      <c r="PRO15"/>
      <c r="PRP15"/>
      <c r="PRQ15"/>
      <c r="PRR15"/>
      <c r="PRS15"/>
      <c r="PRT15"/>
      <c r="PRU15"/>
      <c r="PRV15"/>
      <c r="PRW15"/>
      <c r="PRX15"/>
      <c r="PRY15"/>
      <c r="PRZ15"/>
      <c r="PSA15"/>
      <c r="PSB15"/>
      <c r="PSC15"/>
      <c r="PSD15"/>
      <c r="PSE15"/>
      <c r="PSF15"/>
      <c r="PSG15"/>
      <c r="PSH15"/>
      <c r="PSI15"/>
      <c r="PSJ15"/>
      <c r="PSK15"/>
      <c r="PSL15"/>
      <c r="PSM15"/>
      <c r="PSN15"/>
      <c r="PSO15"/>
      <c r="PSP15"/>
      <c r="PSQ15"/>
      <c r="PSR15"/>
      <c r="PSS15"/>
      <c r="PST15"/>
      <c r="PSU15"/>
      <c r="PSV15"/>
      <c r="PSW15"/>
      <c r="PSX15"/>
      <c r="PSY15"/>
      <c r="PSZ15"/>
      <c r="PTA15"/>
      <c r="PTB15"/>
      <c r="PTC15"/>
      <c r="PTD15"/>
      <c r="PTE15"/>
      <c r="PTF15"/>
      <c r="PTG15"/>
      <c r="PTH15"/>
      <c r="PTI15"/>
      <c r="PTJ15"/>
      <c r="PTK15"/>
      <c r="PTL15"/>
      <c r="PTM15"/>
      <c r="PTN15"/>
      <c r="PTO15"/>
      <c r="PTP15"/>
      <c r="PTQ15"/>
      <c r="PTR15"/>
      <c r="PTS15"/>
      <c r="PTT15"/>
      <c r="PTU15"/>
      <c r="PTV15"/>
      <c r="PTW15"/>
      <c r="PTX15"/>
      <c r="PTY15"/>
      <c r="PTZ15"/>
      <c r="PUA15"/>
      <c r="PUB15"/>
      <c r="PUC15"/>
      <c r="PUD15"/>
      <c r="PUE15"/>
      <c r="PUF15"/>
      <c r="PUG15"/>
      <c r="PUH15"/>
      <c r="PUI15"/>
      <c r="PUJ15"/>
      <c r="PUK15"/>
      <c r="PUL15"/>
      <c r="PUM15"/>
      <c r="PUN15"/>
      <c r="PUO15"/>
      <c r="PUP15"/>
      <c r="PUQ15"/>
      <c r="PUR15"/>
      <c r="PUS15"/>
      <c r="PUT15"/>
      <c r="PUU15"/>
      <c r="PUV15"/>
      <c r="PUW15"/>
      <c r="PUX15"/>
      <c r="PUY15"/>
      <c r="PUZ15"/>
      <c r="PVA15"/>
      <c r="PVB15"/>
      <c r="PVC15"/>
      <c r="PVD15"/>
      <c r="PVE15"/>
      <c r="PVF15"/>
      <c r="PVG15"/>
      <c r="PVH15"/>
      <c r="PVI15"/>
      <c r="PVJ15"/>
      <c r="PVK15"/>
      <c r="PVL15"/>
      <c r="PVM15"/>
      <c r="PVN15"/>
      <c r="PVO15"/>
      <c r="PVP15"/>
      <c r="PVQ15"/>
      <c r="PVR15"/>
      <c r="PVS15"/>
      <c r="PVT15"/>
      <c r="PVU15"/>
      <c r="PVV15"/>
      <c r="PVW15"/>
      <c r="PVX15"/>
      <c r="PVY15"/>
      <c r="PVZ15"/>
      <c r="PWA15"/>
      <c r="PWB15"/>
      <c r="PWC15"/>
      <c r="PWD15"/>
      <c r="PWE15"/>
      <c r="PWF15"/>
      <c r="PWG15"/>
      <c r="PWH15"/>
      <c r="PWI15"/>
      <c r="PWJ15"/>
      <c r="PWK15"/>
      <c r="PWL15"/>
      <c r="PWM15"/>
      <c r="PWN15"/>
      <c r="PWO15"/>
      <c r="PWP15"/>
      <c r="PWQ15"/>
      <c r="PWR15"/>
      <c r="PWS15"/>
      <c r="PWT15"/>
      <c r="PWU15"/>
      <c r="PWV15"/>
      <c r="PWW15"/>
      <c r="PWX15"/>
      <c r="PWY15"/>
      <c r="PWZ15"/>
      <c r="PXA15"/>
      <c r="PXB15"/>
      <c r="PXC15"/>
      <c r="PXD15"/>
      <c r="PXE15"/>
      <c r="PXF15"/>
      <c r="PXG15"/>
      <c r="PXH15"/>
      <c r="PXI15"/>
      <c r="PXJ15"/>
      <c r="PXK15"/>
      <c r="PXL15"/>
      <c r="PXM15"/>
      <c r="PXN15"/>
      <c r="PXO15"/>
      <c r="PXP15"/>
      <c r="PXQ15"/>
      <c r="PXR15"/>
      <c r="PXS15"/>
      <c r="PXT15"/>
      <c r="PXU15"/>
      <c r="PXV15"/>
      <c r="PXW15"/>
      <c r="PXX15"/>
      <c r="PXY15"/>
      <c r="PXZ15"/>
      <c r="PYA15"/>
      <c r="PYB15"/>
      <c r="PYC15"/>
      <c r="PYD15"/>
      <c r="PYE15"/>
      <c r="PYF15"/>
      <c r="PYG15"/>
      <c r="PYH15"/>
      <c r="PYI15"/>
      <c r="PYJ15"/>
      <c r="PYK15"/>
      <c r="PYL15"/>
      <c r="PYM15"/>
      <c r="PYN15"/>
      <c r="PYO15"/>
      <c r="PYP15"/>
      <c r="PYQ15"/>
      <c r="PYR15"/>
      <c r="PYS15"/>
      <c r="PYT15"/>
      <c r="PYU15"/>
      <c r="PYV15"/>
      <c r="PYW15"/>
      <c r="PYX15"/>
      <c r="PYY15"/>
      <c r="PYZ15"/>
      <c r="PZA15"/>
      <c r="PZB15"/>
      <c r="PZC15"/>
      <c r="PZD15"/>
      <c r="PZE15"/>
      <c r="PZF15"/>
      <c r="PZG15"/>
      <c r="PZH15"/>
      <c r="PZI15"/>
      <c r="PZJ15"/>
      <c r="PZK15"/>
      <c r="PZL15"/>
      <c r="PZM15"/>
      <c r="PZN15"/>
      <c r="PZO15"/>
      <c r="PZP15"/>
      <c r="PZQ15"/>
      <c r="PZR15"/>
      <c r="PZS15"/>
      <c r="PZT15"/>
      <c r="PZU15"/>
      <c r="PZV15"/>
      <c r="PZW15"/>
      <c r="PZX15"/>
      <c r="PZY15"/>
      <c r="PZZ15"/>
      <c r="QAA15"/>
      <c r="QAB15"/>
      <c r="QAC15"/>
      <c r="QAD15"/>
      <c r="QAE15"/>
      <c r="QAF15"/>
      <c r="QAG15"/>
      <c r="QAH15"/>
      <c r="QAI15"/>
      <c r="QAJ15"/>
      <c r="QAK15"/>
      <c r="QAL15"/>
      <c r="QAM15"/>
      <c r="QAN15"/>
      <c r="QAO15"/>
      <c r="QAP15"/>
      <c r="QAQ15"/>
      <c r="QAR15"/>
      <c r="QAS15"/>
      <c r="QAT15"/>
      <c r="QAU15"/>
      <c r="QAV15"/>
      <c r="QAW15"/>
      <c r="QAX15"/>
      <c r="QAY15"/>
      <c r="QAZ15"/>
      <c r="QBA15"/>
      <c r="QBB15"/>
      <c r="QBC15"/>
      <c r="QBD15"/>
      <c r="QBE15"/>
      <c r="QBF15"/>
      <c r="QBG15"/>
      <c r="QBH15"/>
      <c r="QBI15"/>
      <c r="QBJ15"/>
      <c r="QBK15"/>
      <c r="QBL15"/>
      <c r="QBM15"/>
      <c r="QBN15"/>
      <c r="QBO15"/>
      <c r="QBP15"/>
      <c r="QBQ15"/>
      <c r="QBR15"/>
      <c r="QBS15"/>
      <c r="QBT15"/>
      <c r="QBU15"/>
      <c r="QBV15"/>
      <c r="QBW15"/>
      <c r="QBX15"/>
      <c r="QBY15"/>
      <c r="QBZ15"/>
      <c r="QCA15"/>
      <c r="QCB15"/>
      <c r="QCC15"/>
      <c r="QCD15"/>
      <c r="QCE15"/>
      <c r="QCF15"/>
      <c r="QCG15"/>
      <c r="QCH15"/>
      <c r="QCI15"/>
      <c r="QCJ15"/>
      <c r="QCK15"/>
      <c r="QCL15"/>
      <c r="QCM15"/>
      <c r="QCN15"/>
      <c r="QCO15"/>
      <c r="QCP15"/>
      <c r="QCQ15"/>
      <c r="QCR15"/>
      <c r="QCS15"/>
      <c r="QCT15"/>
      <c r="QCU15"/>
      <c r="QCV15"/>
      <c r="QCW15"/>
      <c r="QCX15"/>
      <c r="QCY15"/>
      <c r="QCZ15"/>
      <c r="QDA15"/>
      <c r="QDB15"/>
      <c r="QDC15"/>
      <c r="QDD15"/>
      <c r="QDE15"/>
      <c r="QDF15"/>
      <c r="QDG15"/>
      <c r="QDH15"/>
      <c r="QDI15"/>
      <c r="QDJ15"/>
      <c r="QDK15"/>
      <c r="QDL15"/>
      <c r="QDM15"/>
      <c r="QDN15"/>
      <c r="QDO15"/>
      <c r="QDP15"/>
      <c r="QDQ15"/>
      <c r="QDR15"/>
      <c r="QDS15"/>
      <c r="QDT15"/>
      <c r="QDU15"/>
      <c r="QDV15"/>
      <c r="QDW15"/>
      <c r="QDX15"/>
      <c r="QDY15"/>
      <c r="QDZ15"/>
      <c r="QEA15"/>
      <c r="QEB15"/>
      <c r="QEC15"/>
      <c r="QED15"/>
      <c r="QEE15"/>
      <c r="QEF15"/>
      <c r="QEG15"/>
      <c r="QEH15"/>
      <c r="QEI15"/>
      <c r="QEJ15"/>
      <c r="QEK15"/>
      <c r="QEL15"/>
      <c r="QEM15"/>
      <c r="QEN15"/>
      <c r="QEO15"/>
      <c r="QEP15"/>
      <c r="QEQ15"/>
      <c r="QER15"/>
      <c r="QES15"/>
      <c r="QET15"/>
      <c r="QEU15"/>
      <c r="QEV15"/>
      <c r="QEW15"/>
      <c r="QEX15"/>
      <c r="QEY15"/>
      <c r="QEZ15"/>
      <c r="QFA15"/>
      <c r="QFB15"/>
      <c r="QFC15"/>
      <c r="QFD15"/>
      <c r="QFE15"/>
      <c r="QFF15"/>
      <c r="QFG15"/>
      <c r="QFH15"/>
      <c r="QFI15"/>
      <c r="QFJ15"/>
      <c r="QFK15"/>
      <c r="QFL15"/>
      <c r="QFM15"/>
      <c r="QFN15"/>
      <c r="QFO15"/>
      <c r="QFP15"/>
      <c r="QFQ15"/>
      <c r="QFR15"/>
      <c r="QFS15"/>
      <c r="QFT15"/>
      <c r="QFU15"/>
      <c r="QFV15"/>
      <c r="QFW15"/>
      <c r="QFX15"/>
      <c r="QFY15"/>
      <c r="QFZ15"/>
      <c r="QGA15"/>
      <c r="QGB15"/>
      <c r="QGC15"/>
      <c r="QGD15"/>
      <c r="QGE15"/>
      <c r="QGF15"/>
      <c r="QGG15"/>
      <c r="QGH15"/>
      <c r="QGI15"/>
      <c r="QGJ15"/>
      <c r="QGK15"/>
      <c r="QGL15"/>
      <c r="QGM15"/>
      <c r="QGN15"/>
      <c r="QGO15"/>
      <c r="QGP15"/>
      <c r="QGQ15"/>
      <c r="QGR15"/>
      <c r="QGS15"/>
      <c r="QGT15"/>
      <c r="QGU15"/>
      <c r="QGV15"/>
      <c r="QGW15"/>
      <c r="QGX15"/>
      <c r="QGY15"/>
      <c r="QGZ15"/>
      <c r="QHA15"/>
      <c r="QHB15"/>
      <c r="QHC15"/>
      <c r="QHD15"/>
      <c r="QHE15"/>
      <c r="QHF15"/>
      <c r="QHG15"/>
      <c r="QHH15"/>
      <c r="QHI15"/>
      <c r="QHJ15"/>
      <c r="QHK15"/>
      <c r="QHL15"/>
      <c r="QHM15"/>
      <c r="QHN15"/>
      <c r="QHO15"/>
      <c r="QHP15"/>
      <c r="QHQ15"/>
      <c r="QHR15"/>
      <c r="QHS15"/>
      <c r="QHT15"/>
      <c r="QHU15"/>
      <c r="QHV15"/>
      <c r="QHW15"/>
      <c r="QHX15"/>
      <c r="QHY15"/>
      <c r="QHZ15"/>
      <c r="QIA15"/>
      <c r="QIB15"/>
      <c r="QIC15"/>
      <c r="QID15"/>
      <c r="QIE15"/>
      <c r="QIF15"/>
      <c r="QIG15"/>
      <c r="QIH15"/>
      <c r="QII15"/>
      <c r="QIJ15"/>
      <c r="QIK15"/>
      <c r="QIL15"/>
      <c r="QIM15"/>
      <c r="QIN15"/>
      <c r="QIO15"/>
      <c r="QIP15"/>
      <c r="QIQ15"/>
      <c r="QIR15"/>
      <c r="QIS15"/>
      <c r="QIT15"/>
      <c r="QIU15"/>
      <c r="QIV15"/>
      <c r="QIW15"/>
      <c r="QIX15"/>
      <c r="QIY15"/>
      <c r="QIZ15"/>
      <c r="QJA15"/>
      <c r="QJB15"/>
      <c r="QJC15"/>
      <c r="QJD15"/>
      <c r="QJE15"/>
      <c r="QJF15"/>
      <c r="QJG15"/>
      <c r="QJH15"/>
      <c r="QJI15"/>
      <c r="QJJ15"/>
      <c r="QJK15"/>
      <c r="QJL15"/>
      <c r="QJM15"/>
      <c r="QJN15"/>
      <c r="QJO15"/>
      <c r="QJP15"/>
      <c r="QJQ15"/>
      <c r="QJR15"/>
      <c r="QJS15"/>
      <c r="QJT15"/>
      <c r="QJU15"/>
      <c r="QJV15"/>
      <c r="QJW15"/>
      <c r="QJX15"/>
      <c r="QJY15"/>
      <c r="QJZ15"/>
      <c r="QKA15"/>
      <c r="QKB15"/>
      <c r="QKC15"/>
      <c r="QKD15"/>
      <c r="QKE15"/>
      <c r="QKF15"/>
      <c r="QKG15"/>
      <c r="QKH15"/>
      <c r="QKI15"/>
      <c r="QKJ15"/>
      <c r="QKK15"/>
      <c r="QKL15"/>
      <c r="QKM15"/>
      <c r="QKN15"/>
      <c r="QKO15"/>
      <c r="QKP15"/>
      <c r="QKQ15"/>
      <c r="QKR15"/>
      <c r="QKS15"/>
      <c r="QKT15"/>
      <c r="QKU15"/>
      <c r="QKV15"/>
      <c r="QKW15"/>
      <c r="QKX15"/>
      <c r="QKY15"/>
      <c r="QKZ15"/>
      <c r="QLA15"/>
      <c r="QLB15"/>
      <c r="QLC15"/>
      <c r="QLD15"/>
      <c r="QLE15"/>
      <c r="QLF15"/>
      <c r="QLG15"/>
      <c r="QLH15"/>
      <c r="QLI15"/>
      <c r="QLJ15"/>
      <c r="QLK15"/>
      <c r="QLL15"/>
      <c r="QLM15"/>
      <c r="QLN15"/>
      <c r="QLO15"/>
      <c r="QLP15"/>
      <c r="QLQ15"/>
      <c r="QLR15"/>
      <c r="QLS15"/>
      <c r="QLT15"/>
      <c r="QLU15"/>
      <c r="QLV15"/>
      <c r="QLW15"/>
      <c r="QLX15"/>
      <c r="QLY15"/>
      <c r="QLZ15"/>
      <c r="QMA15"/>
      <c r="QMB15"/>
      <c r="QMC15"/>
      <c r="QMD15"/>
      <c r="QME15"/>
      <c r="QMF15"/>
      <c r="QMG15"/>
      <c r="QMH15"/>
      <c r="QMI15"/>
      <c r="QMJ15"/>
      <c r="QMK15"/>
      <c r="QML15"/>
      <c r="QMM15"/>
      <c r="QMN15"/>
      <c r="QMO15"/>
      <c r="QMP15"/>
      <c r="QMQ15"/>
      <c r="QMR15"/>
      <c r="QMS15"/>
      <c r="QMT15"/>
      <c r="QMU15"/>
      <c r="QMV15"/>
      <c r="QMW15"/>
      <c r="QMX15"/>
      <c r="QMY15"/>
      <c r="QMZ15"/>
      <c r="QNA15"/>
      <c r="QNB15"/>
      <c r="QNC15"/>
      <c r="QND15"/>
      <c r="QNE15"/>
      <c r="QNF15"/>
      <c r="QNG15"/>
      <c r="QNH15"/>
      <c r="QNI15"/>
      <c r="QNJ15"/>
      <c r="QNK15"/>
      <c r="QNL15"/>
      <c r="QNM15"/>
      <c r="QNN15"/>
      <c r="QNO15"/>
      <c r="QNP15"/>
      <c r="QNQ15"/>
      <c r="QNR15"/>
      <c r="QNS15"/>
      <c r="QNT15"/>
      <c r="QNU15"/>
      <c r="QNV15"/>
      <c r="QNW15"/>
      <c r="QNX15"/>
      <c r="QNY15"/>
      <c r="QNZ15"/>
      <c r="QOA15"/>
      <c r="QOB15"/>
      <c r="QOC15"/>
      <c r="QOD15"/>
      <c r="QOE15"/>
      <c r="QOF15"/>
      <c r="QOG15"/>
      <c r="QOH15"/>
      <c r="QOI15"/>
      <c r="QOJ15"/>
      <c r="QOK15"/>
      <c r="QOL15"/>
      <c r="QOM15"/>
      <c r="QON15"/>
      <c r="QOO15"/>
      <c r="QOP15"/>
      <c r="QOQ15"/>
      <c r="QOR15"/>
      <c r="QOS15"/>
      <c r="QOT15"/>
      <c r="QOU15"/>
      <c r="QOV15"/>
      <c r="QOW15"/>
      <c r="QOX15"/>
      <c r="QOY15"/>
      <c r="QOZ15"/>
      <c r="QPA15"/>
      <c r="QPB15"/>
      <c r="QPC15"/>
      <c r="QPD15"/>
      <c r="QPE15"/>
      <c r="QPF15"/>
      <c r="QPG15"/>
      <c r="QPH15"/>
      <c r="QPI15"/>
      <c r="QPJ15"/>
      <c r="QPK15"/>
      <c r="QPL15"/>
      <c r="QPM15"/>
      <c r="QPN15"/>
      <c r="QPO15"/>
      <c r="QPP15"/>
      <c r="QPQ15"/>
      <c r="QPR15"/>
      <c r="QPS15"/>
      <c r="QPT15"/>
      <c r="QPU15"/>
      <c r="QPV15"/>
      <c r="QPW15"/>
      <c r="QPX15"/>
      <c r="QPY15"/>
      <c r="QPZ15"/>
      <c r="QQA15"/>
      <c r="QQB15"/>
      <c r="QQC15"/>
      <c r="QQD15"/>
      <c r="QQE15"/>
      <c r="QQF15"/>
      <c r="QQG15"/>
      <c r="QQH15"/>
      <c r="QQI15"/>
      <c r="QQJ15"/>
      <c r="QQK15"/>
      <c r="QQL15"/>
      <c r="QQM15"/>
      <c r="QQN15"/>
      <c r="QQO15"/>
      <c r="QQP15"/>
      <c r="QQQ15"/>
      <c r="QQR15"/>
      <c r="QQS15"/>
      <c r="QQT15"/>
      <c r="QQU15"/>
      <c r="QQV15"/>
      <c r="QQW15"/>
      <c r="QQX15"/>
      <c r="QQY15"/>
      <c r="QQZ15"/>
      <c r="QRA15"/>
      <c r="QRB15"/>
      <c r="QRC15"/>
      <c r="QRD15"/>
      <c r="QRE15"/>
      <c r="QRF15"/>
      <c r="QRG15"/>
      <c r="QRH15"/>
      <c r="QRI15"/>
      <c r="QRJ15"/>
      <c r="QRK15"/>
      <c r="QRL15"/>
      <c r="QRM15"/>
      <c r="QRN15"/>
      <c r="QRO15"/>
      <c r="QRP15"/>
      <c r="QRQ15"/>
      <c r="QRR15"/>
      <c r="QRS15"/>
      <c r="QRT15"/>
      <c r="QRU15"/>
      <c r="QRV15"/>
      <c r="QRW15"/>
      <c r="QRX15"/>
      <c r="QRY15"/>
      <c r="QRZ15"/>
      <c r="QSA15"/>
      <c r="QSB15"/>
      <c r="QSC15"/>
      <c r="QSD15"/>
      <c r="QSE15"/>
      <c r="QSF15"/>
      <c r="QSG15"/>
      <c r="QSH15"/>
      <c r="QSI15"/>
      <c r="QSJ15"/>
      <c r="QSK15"/>
      <c r="QSL15"/>
      <c r="QSM15"/>
      <c r="QSN15"/>
      <c r="QSO15"/>
      <c r="QSP15"/>
      <c r="QSQ15"/>
      <c r="QSR15"/>
      <c r="QSS15"/>
      <c r="QST15"/>
      <c r="QSU15"/>
      <c r="QSV15"/>
      <c r="QSW15"/>
      <c r="QSX15"/>
      <c r="QSY15"/>
      <c r="QSZ15"/>
      <c r="QTA15"/>
      <c r="QTB15"/>
      <c r="QTC15"/>
      <c r="QTD15"/>
      <c r="QTE15"/>
      <c r="QTF15"/>
      <c r="QTG15"/>
      <c r="QTH15"/>
      <c r="QTI15"/>
      <c r="QTJ15"/>
      <c r="QTK15"/>
      <c r="QTL15"/>
      <c r="QTM15"/>
      <c r="QTN15"/>
      <c r="QTO15"/>
      <c r="QTP15"/>
      <c r="QTQ15"/>
      <c r="QTR15"/>
      <c r="QTS15"/>
      <c r="QTT15"/>
      <c r="QTU15"/>
      <c r="QTV15"/>
      <c r="QTW15"/>
      <c r="QTX15"/>
      <c r="QTY15"/>
      <c r="QTZ15"/>
      <c r="QUA15"/>
      <c r="QUB15"/>
      <c r="QUC15"/>
      <c r="QUD15"/>
      <c r="QUE15"/>
      <c r="QUF15"/>
      <c r="QUG15"/>
      <c r="QUH15"/>
      <c r="QUI15"/>
      <c r="QUJ15"/>
      <c r="QUK15"/>
      <c r="QUL15"/>
      <c r="QUM15"/>
      <c r="QUN15"/>
      <c r="QUO15"/>
      <c r="QUP15"/>
      <c r="QUQ15"/>
      <c r="QUR15"/>
      <c r="QUS15"/>
      <c r="QUT15"/>
      <c r="QUU15"/>
      <c r="QUV15"/>
      <c r="QUW15"/>
      <c r="QUX15"/>
      <c r="QUY15"/>
      <c r="QUZ15"/>
      <c r="QVA15"/>
      <c r="QVB15"/>
      <c r="QVC15"/>
      <c r="QVD15"/>
      <c r="QVE15"/>
      <c r="QVF15"/>
      <c r="QVG15"/>
      <c r="QVH15"/>
      <c r="QVI15"/>
      <c r="QVJ15"/>
      <c r="QVK15"/>
      <c r="QVL15"/>
      <c r="QVM15"/>
      <c r="QVN15"/>
      <c r="QVO15"/>
      <c r="QVP15"/>
      <c r="QVQ15"/>
      <c r="QVR15"/>
      <c r="QVS15"/>
      <c r="QVT15"/>
      <c r="QVU15"/>
      <c r="QVV15"/>
      <c r="QVW15"/>
      <c r="QVX15"/>
      <c r="QVY15"/>
      <c r="QVZ15"/>
      <c r="QWA15"/>
      <c r="QWB15"/>
      <c r="QWC15"/>
      <c r="QWD15"/>
      <c r="QWE15"/>
      <c r="QWF15"/>
      <c r="QWG15"/>
      <c r="QWH15"/>
      <c r="QWI15"/>
      <c r="QWJ15"/>
      <c r="QWK15"/>
      <c r="QWL15"/>
      <c r="QWM15"/>
      <c r="QWN15"/>
      <c r="QWO15"/>
      <c r="QWP15"/>
      <c r="QWQ15"/>
      <c r="QWR15"/>
      <c r="QWS15"/>
      <c r="QWT15"/>
      <c r="QWU15"/>
      <c r="QWV15"/>
      <c r="QWW15"/>
      <c r="QWX15"/>
      <c r="QWY15"/>
      <c r="QWZ15"/>
      <c r="QXA15"/>
      <c r="QXB15"/>
      <c r="QXC15"/>
      <c r="QXD15"/>
      <c r="QXE15"/>
      <c r="QXF15"/>
      <c r="QXG15"/>
      <c r="QXH15"/>
      <c r="QXI15"/>
      <c r="QXJ15"/>
      <c r="QXK15"/>
      <c r="QXL15"/>
      <c r="QXM15"/>
      <c r="QXN15"/>
      <c r="QXO15"/>
      <c r="QXP15"/>
      <c r="QXQ15"/>
      <c r="QXR15"/>
      <c r="QXS15"/>
      <c r="QXT15"/>
      <c r="QXU15"/>
      <c r="QXV15"/>
      <c r="QXW15"/>
      <c r="QXX15"/>
      <c r="QXY15"/>
      <c r="QXZ15"/>
      <c r="QYA15"/>
      <c r="QYB15"/>
      <c r="QYC15"/>
      <c r="QYD15"/>
      <c r="QYE15"/>
      <c r="QYF15"/>
      <c r="QYG15"/>
      <c r="QYH15"/>
      <c r="QYI15"/>
      <c r="QYJ15"/>
      <c r="QYK15"/>
      <c r="QYL15"/>
      <c r="QYM15"/>
      <c r="QYN15"/>
      <c r="QYO15"/>
      <c r="QYP15"/>
      <c r="QYQ15"/>
      <c r="QYR15"/>
      <c r="QYS15"/>
      <c r="QYT15"/>
      <c r="QYU15"/>
      <c r="QYV15"/>
      <c r="QYW15"/>
      <c r="QYX15"/>
      <c r="QYY15"/>
      <c r="QYZ15"/>
      <c r="QZA15"/>
      <c r="QZB15"/>
      <c r="QZC15"/>
      <c r="QZD15"/>
      <c r="QZE15"/>
      <c r="QZF15"/>
      <c r="QZG15"/>
      <c r="QZH15"/>
      <c r="QZI15"/>
      <c r="QZJ15"/>
      <c r="QZK15"/>
      <c r="QZL15"/>
      <c r="QZM15"/>
      <c r="QZN15"/>
      <c r="QZO15"/>
      <c r="QZP15"/>
      <c r="QZQ15"/>
      <c r="QZR15"/>
      <c r="QZS15"/>
      <c r="QZT15"/>
      <c r="QZU15"/>
      <c r="QZV15"/>
      <c r="QZW15"/>
      <c r="QZX15"/>
      <c r="QZY15"/>
      <c r="QZZ15"/>
      <c r="RAA15"/>
      <c r="RAB15"/>
      <c r="RAC15"/>
      <c r="RAD15"/>
      <c r="RAE15"/>
      <c r="RAF15"/>
      <c r="RAG15"/>
      <c r="RAH15"/>
      <c r="RAI15"/>
      <c r="RAJ15"/>
      <c r="RAK15"/>
      <c r="RAL15"/>
      <c r="RAM15"/>
      <c r="RAN15"/>
      <c r="RAO15"/>
      <c r="RAP15"/>
      <c r="RAQ15"/>
      <c r="RAR15"/>
      <c r="RAS15"/>
      <c r="RAT15"/>
      <c r="RAU15"/>
      <c r="RAV15"/>
      <c r="RAW15"/>
      <c r="RAX15"/>
      <c r="RAY15"/>
      <c r="RAZ15"/>
      <c r="RBA15"/>
      <c r="RBB15"/>
      <c r="RBC15"/>
      <c r="RBD15"/>
      <c r="RBE15"/>
      <c r="RBF15"/>
      <c r="RBG15"/>
      <c r="RBH15"/>
      <c r="RBI15"/>
      <c r="RBJ15"/>
      <c r="RBK15"/>
      <c r="RBL15"/>
      <c r="RBM15"/>
      <c r="RBN15"/>
      <c r="RBO15"/>
      <c r="RBP15"/>
      <c r="RBQ15"/>
      <c r="RBR15"/>
      <c r="RBS15"/>
      <c r="RBT15"/>
      <c r="RBU15"/>
      <c r="RBV15"/>
      <c r="RBW15"/>
      <c r="RBX15"/>
      <c r="RBY15"/>
      <c r="RBZ15"/>
      <c r="RCA15"/>
      <c r="RCB15"/>
      <c r="RCC15"/>
      <c r="RCD15"/>
      <c r="RCE15"/>
      <c r="RCF15"/>
      <c r="RCG15"/>
      <c r="RCH15"/>
      <c r="RCI15"/>
      <c r="RCJ15"/>
      <c r="RCK15"/>
      <c r="RCL15"/>
      <c r="RCM15"/>
      <c r="RCN15"/>
      <c r="RCO15"/>
      <c r="RCP15"/>
      <c r="RCQ15"/>
      <c r="RCR15"/>
      <c r="RCS15"/>
      <c r="RCT15"/>
      <c r="RCU15"/>
      <c r="RCV15"/>
      <c r="RCW15"/>
      <c r="RCX15"/>
      <c r="RCY15"/>
      <c r="RCZ15"/>
      <c r="RDA15"/>
      <c r="RDB15"/>
      <c r="RDC15"/>
      <c r="RDD15"/>
      <c r="RDE15"/>
      <c r="RDF15"/>
      <c r="RDG15"/>
      <c r="RDH15"/>
      <c r="RDI15"/>
      <c r="RDJ15"/>
      <c r="RDK15"/>
      <c r="RDL15"/>
      <c r="RDM15"/>
      <c r="RDN15"/>
      <c r="RDO15"/>
      <c r="RDP15"/>
      <c r="RDQ15"/>
      <c r="RDR15"/>
      <c r="RDS15"/>
      <c r="RDT15"/>
      <c r="RDU15"/>
      <c r="RDV15"/>
      <c r="RDW15"/>
      <c r="RDX15"/>
      <c r="RDY15"/>
      <c r="RDZ15"/>
      <c r="REA15"/>
      <c r="REB15"/>
      <c r="REC15"/>
      <c r="RED15"/>
      <c r="REE15"/>
      <c r="REF15"/>
      <c r="REG15"/>
      <c r="REH15"/>
      <c r="REI15"/>
      <c r="REJ15"/>
      <c r="REK15"/>
      <c r="REL15"/>
      <c r="REM15"/>
      <c r="REN15"/>
      <c r="REO15"/>
      <c r="REP15"/>
      <c r="REQ15"/>
      <c r="RER15"/>
      <c r="RES15"/>
      <c r="RET15"/>
      <c r="REU15"/>
      <c r="REV15"/>
      <c r="REW15"/>
      <c r="REX15"/>
      <c r="REY15"/>
      <c r="REZ15"/>
      <c r="RFA15"/>
      <c r="RFB15"/>
      <c r="RFC15"/>
      <c r="RFD15"/>
      <c r="RFE15"/>
      <c r="RFF15"/>
      <c r="RFG15"/>
      <c r="RFH15"/>
      <c r="RFI15"/>
      <c r="RFJ15"/>
      <c r="RFK15"/>
      <c r="RFL15"/>
      <c r="RFM15"/>
      <c r="RFN15"/>
      <c r="RFO15"/>
      <c r="RFP15"/>
      <c r="RFQ15"/>
      <c r="RFR15"/>
      <c r="RFS15"/>
      <c r="RFT15"/>
      <c r="RFU15"/>
      <c r="RFV15"/>
      <c r="RFW15"/>
      <c r="RFX15"/>
      <c r="RFY15"/>
      <c r="RFZ15"/>
      <c r="RGA15"/>
      <c r="RGB15"/>
      <c r="RGC15"/>
      <c r="RGD15"/>
      <c r="RGE15"/>
      <c r="RGF15"/>
      <c r="RGG15"/>
      <c r="RGH15"/>
      <c r="RGI15"/>
      <c r="RGJ15"/>
      <c r="RGK15"/>
      <c r="RGL15"/>
      <c r="RGM15"/>
      <c r="RGN15"/>
      <c r="RGO15"/>
      <c r="RGP15"/>
      <c r="RGQ15"/>
      <c r="RGR15"/>
      <c r="RGS15"/>
      <c r="RGT15"/>
      <c r="RGU15"/>
      <c r="RGV15"/>
      <c r="RGW15"/>
      <c r="RGX15"/>
      <c r="RGY15"/>
      <c r="RGZ15"/>
      <c r="RHA15"/>
      <c r="RHB15"/>
      <c r="RHC15"/>
      <c r="RHD15"/>
      <c r="RHE15"/>
      <c r="RHF15"/>
      <c r="RHG15"/>
      <c r="RHH15"/>
      <c r="RHI15"/>
      <c r="RHJ15"/>
      <c r="RHK15"/>
      <c r="RHL15"/>
      <c r="RHM15"/>
      <c r="RHN15"/>
      <c r="RHO15"/>
      <c r="RHP15"/>
      <c r="RHQ15"/>
      <c r="RHR15"/>
      <c r="RHS15"/>
      <c r="RHT15"/>
      <c r="RHU15"/>
      <c r="RHV15"/>
      <c r="RHW15"/>
      <c r="RHX15"/>
      <c r="RHY15"/>
      <c r="RHZ15"/>
      <c r="RIA15"/>
      <c r="RIB15"/>
      <c r="RIC15"/>
      <c r="RID15"/>
      <c r="RIE15"/>
      <c r="RIF15"/>
      <c r="RIG15"/>
      <c r="RIH15"/>
      <c r="RII15"/>
      <c r="RIJ15"/>
      <c r="RIK15"/>
      <c r="RIL15"/>
      <c r="RIM15"/>
      <c r="RIN15"/>
      <c r="RIO15"/>
      <c r="RIP15"/>
      <c r="RIQ15"/>
      <c r="RIR15"/>
      <c r="RIS15"/>
      <c r="RIT15"/>
      <c r="RIU15"/>
      <c r="RIV15"/>
      <c r="RIW15"/>
      <c r="RIX15"/>
      <c r="RIY15"/>
      <c r="RIZ15"/>
      <c r="RJA15"/>
      <c r="RJB15"/>
      <c r="RJC15"/>
      <c r="RJD15"/>
      <c r="RJE15"/>
      <c r="RJF15"/>
      <c r="RJG15"/>
      <c r="RJH15"/>
      <c r="RJI15"/>
      <c r="RJJ15"/>
      <c r="RJK15"/>
      <c r="RJL15"/>
      <c r="RJM15"/>
      <c r="RJN15"/>
      <c r="RJO15"/>
      <c r="RJP15"/>
      <c r="RJQ15"/>
      <c r="RJR15"/>
      <c r="RJS15"/>
      <c r="RJT15"/>
      <c r="RJU15"/>
      <c r="RJV15"/>
      <c r="RJW15"/>
      <c r="RJX15"/>
      <c r="RJY15"/>
      <c r="RJZ15"/>
      <c r="RKA15"/>
      <c r="RKB15"/>
      <c r="RKC15"/>
      <c r="RKD15"/>
      <c r="RKE15"/>
      <c r="RKF15"/>
      <c r="RKG15"/>
      <c r="RKH15"/>
      <c r="RKI15"/>
      <c r="RKJ15"/>
      <c r="RKK15"/>
      <c r="RKL15"/>
      <c r="RKM15"/>
      <c r="RKN15"/>
      <c r="RKO15"/>
      <c r="RKP15"/>
      <c r="RKQ15"/>
      <c r="RKR15"/>
      <c r="RKS15"/>
      <c r="RKT15"/>
      <c r="RKU15"/>
      <c r="RKV15"/>
      <c r="RKW15"/>
      <c r="RKX15"/>
      <c r="RKY15"/>
      <c r="RKZ15"/>
      <c r="RLA15"/>
      <c r="RLB15"/>
      <c r="RLC15"/>
      <c r="RLD15"/>
      <c r="RLE15"/>
      <c r="RLF15"/>
      <c r="RLG15"/>
      <c r="RLH15"/>
      <c r="RLI15"/>
      <c r="RLJ15"/>
      <c r="RLK15"/>
      <c r="RLL15"/>
      <c r="RLM15"/>
      <c r="RLN15"/>
      <c r="RLO15"/>
      <c r="RLP15"/>
      <c r="RLQ15"/>
      <c r="RLR15"/>
      <c r="RLS15"/>
      <c r="RLT15"/>
      <c r="RLU15"/>
      <c r="RLV15"/>
      <c r="RLW15"/>
      <c r="RLX15"/>
      <c r="RLY15"/>
      <c r="RLZ15"/>
      <c r="RMA15"/>
      <c r="RMB15"/>
      <c r="RMC15"/>
      <c r="RMD15"/>
      <c r="RME15"/>
      <c r="RMF15"/>
      <c r="RMG15"/>
      <c r="RMH15"/>
      <c r="RMI15"/>
      <c r="RMJ15"/>
      <c r="RMK15"/>
      <c r="RML15"/>
      <c r="RMM15"/>
      <c r="RMN15"/>
      <c r="RMO15"/>
      <c r="RMP15"/>
      <c r="RMQ15"/>
      <c r="RMR15"/>
      <c r="RMS15"/>
      <c r="RMT15"/>
      <c r="RMU15"/>
      <c r="RMV15"/>
      <c r="RMW15"/>
      <c r="RMX15"/>
      <c r="RMY15"/>
      <c r="RMZ15"/>
      <c r="RNA15"/>
      <c r="RNB15"/>
      <c r="RNC15"/>
      <c r="RND15"/>
      <c r="RNE15"/>
      <c r="RNF15"/>
      <c r="RNG15"/>
      <c r="RNH15"/>
      <c r="RNI15"/>
      <c r="RNJ15"/>
      <c r="RNK15"/>
      <c r="RNL15"/>
      <c r="RNM15"/>
      <c r="RNN15"/>
      <c r="RNO15"/>
      <c r="RNP15"/>
      <c r="RNQ15"/>
      <c r="RNR15"/>
      <c r="RNS15"/>
      <c r="RNT15"/>
      <c r="RNU15"/>
      <c r="RNV15"/>
      <c r="RNW15"/>
      <c r="RNX15"/>
      <c r="RNY15"/>
      <c r="RNZ15"/>
      <c r="ROA15"/>
      <c r="ROB15"/>
      <c r="ROC15"/>
      <c r="ROD15"/>
      <c r="ROE15"/>
      <c r="ROF15"/>
      <c r="ROG15"/>
      <c r="ROH15"/>
      <c r="ROI15"/>
      <c r="ROJ15"/>
      <c r="ROK15"/>
      <c r="ROL15"/>
      <c r="ROM15"/>
      <c r="RON15"/>
      <c r="ROO15"/>
      <c r="ROP15"/>
      <c r="ROQ15"/>
      <c r="ROR15"/>
      <c r="ROS15"/>
      <c r="ROT15"/>
      <c r="ROU15"/>
      <c r="ROV15"/>
      <c r="ROW15"/>
      <c r="ROX15"/>
      <c r="ROY15"/>
      <c r="ROZ15"/>
      <c r="RPA15"/>
      <c r="RPB15"/>
      <c r="RPC15"/>
      <c r="RPD15"/>
      <c r="RPE15"/>
      <c r="RPF15"/>
      <c r="RPG15"/>
      <c r="RPH15"/>
      <c r="RPI15"/>
      <c r="RPJ15"/>
      <c r="RPK15"/>
      <c r="RPL15"/>
      <c r="RPM15"/>
      <c r="RPN15"/>
      <c r="RPO15"/>
      <c r="RPP15"/>
      <c r="RPQ15"/>
      <c r="RPR15"/>
      <c r="RPS15"/>
      <c r="RPT15"/>
      <c r="RPU15"/>
      <c r="RPV15"/>
      <c r="RPW15"/>
      <c r="RPX15"/>
      <c r="RPY15"/>
      <c r="RPZ15"/>
      <c r="RQA15"/>
      <c r="RQB15"/>
      <c r="RQC15"/>
      <c r="RQD15"/>
      <c r="RQE15"/>
      <c r="RQF15"/>
      <c r="RQG15"/>
      <c r="RQH15"/>
      <c r="RQI15"/>
      <c r="RQJ15"/>
      <c r="RQK15"/>
      <c r="RQL15"/>
      <c r="RQM15"/>
      <c r="RQN15"/>
      <c r="RQO15"/>
      <c r="RQP15"/>
      <c r="RQQ15"/>
      <c r="RQR15"/>
      <c r="RQS15"/>
      <c r="RQT15"/>
      <c r="RQU15"/>
      <c r="RQV15"/>
      <c r="RQW15"/>
      <c r="RQX15"/>
      <c r="RQY15"/>
      <c r="RQZ15"/>
      <c r="RRA15"/>
      <c r="RRB15"/>
      <c r="RRC15"/>
      <c r="RRD15"/>
      <c r="RRE15"/>
      <c r="RRF15"/>
      <c r="RRG15"/>
      <c r="RRH15"/>
      <c r="RRI15"/>
      <c r="RRJ15"/>
      <c r="RRK15"/>
      <c r="RRL15"/>
      <c r="RRM15"/>
      <c r="RRN15"/>
      <c r="RRO15"/>
      <c r="RRP15"/>
      <c r="RRQ15"/>
      <c r="RRR15"/>
      <c r="RRS15"/>
      <c r="RRT15"/>
      <c r="RRU15"/>
      <c r="RRV15"/>
      <c r="RRW15"/>
      <c r="RRX15"/>
      <c r="RRY15"/>
      <c r="RRZ15"/>
      <c r="RSA15"/>
      <c r="RSB15"/>
      <c r="RSC15"/>
      <c r="RSD15"/>
      <c r="RSE15"/>
      <c r="RSF15"/>
      <c r="RSG15"/>
      <c r="RSH15"/>
      <c r="RSI15"/>
      <c r="RSJ15"/>
      <c r="RSK15"/>
      <c r="RSL15"/>
      <c r="RSM15"/>
      <c r="RSN15"/>
      <c r="RSO15"/>
      <c r="RSP15"/>
      <c r="RSQ15"/>
      <c r="RSR15"/>
      <c r="RSS15"/>
      <c r="RST15"/>
      <c r="RSU15"/>
      <c r="RSV15"/>
      <c r="RSW15"/>
      <c r="RSX15"/>
      <c r="RSY15"/>
      <c r="RSZ15"/>
      <c r="RTA15"/>
      <c r="RTB15"/>
      <c r="RTC15"/>
      <c r="RTD15"/>
      <c r="RTE15"/>
      <c r="RTF15"/>
      <c r="RTG15"/>
      <c r="RTH15"/>
      <c r="RTI15"/>
      <c r="RTJ15"/>
      <c r="RTK15"/>
      <c r="RTL15"/>
      <c r="RTM15"/>
      <c r="RTN15"/>
      <c r="RTO15"/>
      <c r="RTP15"/>
      <c r="RTQ15"/>
      <c r="RTR15"/>
      <c r="RTS15"/>
      <c r="RTT15"/>
      <c r="RTU15"/>
      <c r="RTV15"/>
      <c r="RTW15"/>
      <c r="RTX15"/>
      <c r="RTY15"/>
      <c r="RTZ15"/>
      <c r="RUA15"/>
      <c r="RUB15"/>
      <c r="RUC15"/>
      <c r="RUD15"/>
      <c r="RUE15"/>
      <c r="RUF15"/>
      <c r="RUG15"/>
      <c r="RUH15"/>
      <c r="RUI15"/>
      <c r="RUJ15"/>
      <c r="RUK15"/>
      <c r="RUL15"/>
      <c r="RUM15"/>
      <c r="RUN15"/>
      <c r="RUO15"/>
      <c r="RUP15"/>
      <c r="RUQ15"/>
      <c r="RUR15"/>
      <c r="RUS15"/>
      <c r="RUT15"/>
      <c r="RUU15"/>
      <c r="RUV15"/>
      <c r="RUW15"/>
      <c r="RUX15"/>
      <c r="RUY15"/>
      <c r="RUZ15"/>
      <c r="RVA15"/>
      <c r="RVB15"/>
      <c r="RVC15"/>
      <c r="RVD15"/>
      <c r="RVE15"/>
      <c r="RVF15"/>
      <c r="RVG15"/>
      <c r="RVH15"/>
      <c r="RVI15"/>
      <c r="RVJ15"/>
      <c r="RVK15"/>
      <c r="RVL15"/>
      <c r="RVM15"/>
      <c r="RVN15"/>
      <c r="RVO15"/>
      <c r="RVP15"/>
      <c r="RVQ15"/>
      <c r="RVR15"/>
      <c r="RVS15"/>
      <c r="RVT15"/>
      <c r="RVU15"/>
      <c r="RVV15"/>
      <c r="RVW15"/>
      <c r="RVX15"/>
      <c r="RVY15"/>
      <c r="RVZ15"/>
      <c r="RWA15"/>
      <c r="RWB15"/>
      <c r="RWC15"/>
      <c r="RWD15"/>
      <c r="RWE15"/>
      <c r="RWF15"/>
      <c r="RWG15"/>
      <c r="RWH15"/>
      <c r="RWI15"/>
      <c r="RWJ15"/>
      <c r="RWK15"/>
      <c r="RWL15"/>
      <c r="RWM15"/>
      <c r="RWN15"/>
      <c r="RWO15"/>
      <c r="RWP15"/>
      <c r="RWQ15"/>
      <c r="RWR15"/>
      <c r="RWS15"/>
      <c r="RWT15"/>
      <c r="RWU15"/>
      <c r="RWV15"/>
      <c r="RWW15"/>
      <c r="RWX15"/>
      <c r="RWY15"/>
      <c r="RWZ15"/>
      <c r="RXA15"/>
      <c r="RXB15"/>
      <c r="RXC15"/>
      <c r="RXD15"/>
      <c r="RXE15"/>
      <c r="RXF15"/>
      <c r="RXG15"/>
      <c r="RXH15"/>
      <c r="RXI15"/>
      <c r="RXJ15"/>
      <c r="RXK15"/>
      <c r="RXL15"/>
      <c r="RXM15"/>
      <c r="RXN15"/>
      <c r="RXO15"/>
      <c r="RXP15"/>
      <c r="RXQ15"/>
      <c r="RXR15"/>
      <c r="RXS15"/>
      <c r="RXT15"/>
      <c r="RXU15"/>
      <c r="RXV15"/>
      <c r="RXW15"/>
      <c r="RXX15"/>
      <c r="RXY15"/>
      <c r="RXZ15"/>
      <c r="RYA15"/>
      <c r="RYB15"/>
      <c r="RYC15"/>
      <c r="RYD15"/>
      <c r="RYE15"/>
      <c r="RYF15"/>
      <c r="RYG15"/>
      <c r="RYH15"/>
      <c r="RYI15"/>
      <c r="RYJ15"/>
      <c r="RYK15"/>
      <c r="RYL15"/>
      <c r="RYM15"/>
      <c r="RYN15"/>
      <c r="RYO15"/>
      <c r="RYP15"/>
      <c r="RYQ15"/>
      <c r="RYR15"/>
      <c r="RYS15"/>
      <c r="RYT15"/>
      <c r="RYU15"/>
      <c r="RYV15"/>
      <c r="RYW15"/>
      <c r="RYX15"/>
      <c r="RYY15"/>
      <c r="RYZ15"/>
      <c r="RZA15"/>
      <c r="RZB15"/>
      <c r="RZC15"/>
      <c r="RZD15"/>
      <c r="RZE15"/>
      <c r="RZF15"/>
      <c r="RZG15"/>
      <c r="RZH15"/>
      <c r="RZI15"/>
      <c r="RZJ15"/>
      <c r="RZK15"/>
      <c r="RZL15"/>
      <c r="RZM15"/>
      <c r="RZN15"/>
      <c r="RZO15"/>
      <c r="RZP15"/>
      <c r="RZQ15"/>
      <c r="RZR15"/>
      <c r="RZS15"/>
      <c r="RZT15"/>
      <c r="RZU15"/>
      <c r="RZV15"/>
      <c r="RZW15"/>
      <c r="RZX15"/>
      <c r="RZY15"/>
      <c r="RZZ15"/>
      <c r="SAA15"/>
      <c r="SAB15"/>
      <c r="SAC15"/>
      <c r="SAD15"/>
      <c r="SAE15"/>
      <c r="SAF15"/>
      <c r="SAG15"/>
      <c r="SAH15"/>
      <c r="SAI15"/>
      <c r="SAJ15"/>
      <c r="SAK15"/>
      <c r="SAL15"/>
      <c r="SAM15"/>
      <c r="SAN15"/>
      <c r="SAO15"/>
      <c r="SAP15"/>
      <c r="SAQ15"/>
      <c r="SAR15"/>
      <c r="SAS15"/>
      <c r="SAT15"/>
      <c r="SAU15"/>
      <c r="SAV15"/>
      <c r="SAW15"/>
      <c r="SAX15"/>
      <c r="SAY15"/>
      <c r="SAZ15"/>
      <c r="SBA15"/>
      <c r="SBB15"/>
      <c r="SBC15"/>
      <c r="SBD15"/>
      <c r="SBE15"/>
      <c r="SBF15"/>
      <c r="SBG15"/>
      <c r="SBH15"/>
      <c r="SBI15"/>
      <c r="SBJ15"/>
      <c r="SBK15"/>
      <c r="SBL15"/>
      <c r="SBM15"/>
      <c r="SBN15"/>
      <c r="SBO15"/>
      <c r="SBP15"/>
      <c r="SBQ15"/>
      <c r="SBR15"/>
      <c r="SBS15"/>
      <c r="SBT15"/>
      <c r="SBU15"/>
      <c r="SBV15"/>
      <c r="SBW15"/>
      <c r="SBX15"/>
      <c r="SBY15"/>
      <c r="SBZ15"/>
      <c r="SCA15"/>
      <c r="SCB15"/>
      <c r="SCC15"/>
      <c r="SCD15"/>
      <c r="SCE15"/>
      <c r="SCF15"/>
      <c r="SCG15"/>
      <c r="SCH15"/>
      <c r="SCI15"/>
      <c r="SCJ15"/>
      <c r="SCK15"/>
      <c r="SCL15"/>
      <c r="SCM15"/>
      <c r="SCN15"/>
      <c r="SCO15"/>
      <c r="SCP15"/>
      <c r="SCQ15"/>
      <c r="SCR15"/>
      <c r="SCS15"/>
      <c r="SCT15"/>
      <c r="SCU15"/>
      <c r="SCV15"/>
      <c r="SCW15"/>
      <c r="SCX15"/>
      <c r="SCY15"/>
      <c r="SCZ15"/>
      <c r="SDA15"/>
      <c r="SDB15"/>
      <c r="SDC15"/>
      <c r="SDD15"/>
      <c r="SDE15"/>
      <c r="SDF15"/>
      <c r="SDG15"/>
      <c r="SDH15"/>
      <c r="SDI15"/>
      <c r="SDJ15"/>
      <c r="SDK15"/>
      <c r="SDL15"/>
      <c r="SDM15"/>
      <c r="SDN15"/>
      <c r="SDO15"/>
      <c r="SDP15"/>
      <c r="SDQ15"/>
      <c r="SDR15"/>
      <c r="SDS15"/>
      <c r="SDT15"/>
      <c r="SDU15"/>
      <c r="SDV15"/>
      <c r="SDW15"/>
      <c r="SDX15"/>
      <c r="SDY15"/>
      <c r="SDZ15"/>
      <c r="SEA15"/>
      <c r="SEB15"/>
      <c r="SEC15"/>
      <c r="SED15"/>
      <c r="SEE15"/>
      <c r="SEF15"/>
      <c r="SEG15"/>
      <c r="SEH15"/>
      <c r="SEI15"/>
      <c r="SEJ15"/>
      <c r="SEK15"/>
      <c r="SEL15"/>
      <c r="SEM15"/>
      <c r="SEN15"/>
      <c r="SEO15"/>
      <c r="SEP15"/>
      <c r="SEQ15"/>
      <c r="SER15"/>
      <c r="SES15"/>
      <c r="SET15"/>
      <c r="SEU15"/>
      <c r="SEV15"/>
      <c r="SEW15"/>
      <c r="SEX15"/>
      <c r="SEY15"/>
      <c r="SEZ15"/>
      <c r="SFA15"/>
      <c r="SFB15"/>
      <c r="SFC15"/>
      <c r="SFD15"/>
      <c r="SFE15"/>
      <c r="SFF15"/>
      <c r="SFG15"/>
      <c r="SFH15"/>
      <c r="SFI15"/>
      <c r="SFJ15"/>
      <c r="SFK15"/>
      <c r="SFL15"/>
      <c r="SFM15"/>
      <c r="SFN15"/>
      <c r="SFO15"/>
      <c r="SFP15"/>
      <c r="SFQ15"/>
      <c r="SFR15"/>
      <c r="SFS15"/>
      <c r="SFT15"/>
      <c r="SFU15"/>
      <c r="SFV15"/>
      <c r="SFW15"/>
      <c r="SFX15"/>
      <c r="SFY15"/>
      <c r="SFZ15"/>
      <c r="SGA15"/>
      <c r="SGB15"/>
      <c r="SGC15"/>
      <c r="SGD15"/>
      <c r="SGE15"/>
      <c r="SGF15"/>
      <c r="SGG15"/>
      <c r="SGH15"/>
      <c r="SGI15"/>
      <c r="SGJ15"/>
      <c r="SGK15"/>
      <c r="SGL15"/>
      <c r="SGM15"/>
      <c r="SGN15"/>
      <c r="SGO15"/>
      <c r="SGP15"/>
      <c r="SGQ15"/>
      <c r="SGR15"/>
      <c r="SGS15"/>
      <c r="SGT15"/>
      <c r="SGU15"/>
      <c r="SGV15"/>
      <c r="SGW15"/>
      <c r="SGX15"/>
      <c r="SGY15"/>
      <c r="SGZ15"/>
      <c r="SHA15"/>
      <c r="SHB15"/>
      <c r="SHC15"/>
      <c r="SHD15"/>
      <c r="SHE15"/>
      <c r="SHF15"/>
      <c r="SHG15"/>
      <c r="SHH15"/>
      <c r="SHI15"/>
      <c r="SHJ15"/>
      <c r="SHK15"/>
      <c r="SHL15"/>
      <c r="SHM15"/>
      <c r="SHN15"/>
      <c r="SHO15"/>
      <c r="SHP15"/>
      <c r="SHQ15"/>
      <c r="SHR15"/>
      <c r="SHS15"/>
      <c r="SHT15"/>
      <c r="SHU15"/>
      <c r="SHV15"/>
      <c r="SHW15"/>
      <c r="SHX15"/>
      <c r="SHY15"/>
      <c r="SHZ15"/>
      <c r="SIA15"/>
      <c r="SIB15"/>
      <c r="SIC15"/>
      <c r="SID15"/>
      <c r="SIE15"/>
      <c r="SIF15"/>
      <c r="SIG15"/>
      <c r="SIH15"/>
      <c r="SII15"/>
      <c r="SIJ15"/>
      <c r="SIK15"/>
      <c r="SIL15"/>
      <c r="SIM15"/>
      <c r="SIN15"/>
      <c r="SIO15"/>
      <c r="SIP15"/>
      <c r="SIQ15"/>
      <c r="SIR15"/>
      <c r="SIS15"/>
      <c r="SIT15"/>
      <c r="SIU15"/>
      <c r="SIV15"/>
      <c r="SIW15"/>
      <c r="SIX15"/>
      <c r="SIY15"/>
      <c r="SIZ15"/>
      <c r="SJA15"/>
      <c r="SJB15"/>
      <c r="SJC15"/>
      <c r="SJD15"/>
      <c r="SJE15"/>
      <c r="SJF15"/>
      <c r="SJG15"/>
      <c r="SJH15"/>
      <c r="SJI15"/>
      <c r="SJJ15"/>
      <c r="SJK15"/>
      <c r="SJL15"/>
      <c r="SJM15"/>
      <c r="SJN15"/>
      <c r="SJO15"/>
      <c r="SJP15"/>
      <c r="SJQ15"/>
      <c r="SJR15"/>
      <c r="SJS15"/>
      <c r="SJT15"/>
      <c r="SJU15"/>
      <c r="SJV15"/>
      <c r="SJW15"/>
      <c r="SJX15"/>
      <c r="SJY15"/>
      <c r="SJZ15"/>
      <c r="SKA15"/>
      <c r="SKB15"/>
      <c r="SKC15"/>
      <c r="SKD15"/>
      <c r="SKE15"/>
      <c r="SKF15"/>
      <c r="SKG15"/>
      <c r="SKH15"/>
      <c r="SKI15"/>
      <c r="SKJ15"/>
      <c r="SKK15"/>
      <c r="SKL15"/>
      <c r="SKM15"/>
      <c r="SKN15"/>
      <c r="SKO15"/>
      <c r="SKP15"/>
      <c r="SKQ15"/>
      <c r="SKR15"/>
      <c r="SKS15"/>
      <c r="SKT15"/>
      <c r="SKU15"/>
      <c r="SKV15"/>
      <c r="SKW15"/>
      <c r="SKX15"/>
      <c r="SKY15"/>
      <c r="SKZ15"/>
      <c r="SLA15"/>
      <c r="SLB15"/>
      <c r="SLC15"/>
      <c r="SLD15"/>
      <c r="SLE15"/>
      <c r="SLF15"/>
      <c r="SLG15"/>
      <c r="SLH15"/>
      <c r="SLI15"/>
      <c r="SLJ15"/>
      <c r="SLK15"/>
      <c r="SLL15"/>
      <c r="SLM15"/>
      <c r="SLN15"/>
      <c r="SLO15"/>
      <c r="SLP15"/>
      <c r="SLQ15"/>
      <c r="SLR15"/>
      <c r="SLS15"/>
      <c r="SLT15"/>
      <c r="SLU15"/>
      <c r="SLV15"/>
      <c r="SLW15"/>
      <c r="SLX15"/>
      <c r="SLY15"/>
      <c r="SLZ15"/>
      <c r="SMA15"/>
      <c r="SMB15"/>
      <c r="SMC15"/>
      <c r="SMD15"/>
      <c r="SME15"/>
      <c r="SMF15"/>
      <c r="SMG15"/>
      <c r="SMH15"/>
      <c r="SMI15"/>
      <c r="SMJ15"/>
      <c r="SMK15"/>
      <c r="SML15"/>
      <c r="SMM15"/>
      <c r="SMN15"/>
      <c r="SMO15"/>
      <c r="SMP15"/>
      <c r="SMQ15"/>
      <c r="SMR15"/>
      <c r="SMS15"/>
      <c r="SMT15"/>
      <c r="SMU15"/>
      <c r="SMV15"/>
      <c r="SMW15"/>
      <c r="SMX15"/>
      <c r="SMY15"/>
      <c r="SMZ15"/>
      <c r="SNA15"/>
      <c r="SNB15"/>
      <c r="SNC15"/>
      <c r="SND15"/>
      <c r="SNE15"/>
      <c r="SNF15"/>
      <c r="SNG15"/>
      <c r="SNH15"/>
      <c r="SNI15"/>
      <c r="SNJ15"/>
      <c r="SNK15"/>
      <c r="SNL15"/>
      <c r="SNM15"/>
      <c r="SNN15"/>
      <c r="SNO15"/>
      <c r="SNP15"/>
      <c r="SNQ15"/>
      <c r="SNR15"/>
      <c r="SNS15"/>
      <c r="SNT15"/>
      <c r="SNU15"/>
      <c r="SNV15"/>
      <c r="SNW15"/>
      <c r="SNX15"/>
      <c r="SNY15"/>
      <c r="SNZ15"/>
      <c r="SOA15"/>
      <c r="SOB15"/>
      <c r="SOC15"/>
      <c r="SOD15"/>
      <c r="SOE15"/>
      <c r="SOF15"/>
      <c r="SOG15"/>
      <c r="SOH15"/>
      <c r="SOI15"/>
      <c r="SOJ15"/>
      <c r="SOK15"/>
      <c r="SOL15"/>
      <c r="SOM15"/>
      <c r="SON15"/>
      <c r="SOO15"/>
      <c r="SOP15"/>
      <c r="SOQ15"/>
      <c r="SOR15"/>
      <c r="SOS15"/>
      <c r="SOT15"/>
      <c r="SOU15"/>
      <c r="SOV15"/>
      <c r="SOW15"/>
      <c r="SOX15"/>
      <c r="SOY15"/>
      <c r="SOZ15"/>
      <c r="SPA15"/>
      <c r="SPB15"/>
      <c r="SPC15"/>
      <c r="SPD15"/>
      <c r="SPE15"/>
      <c r="SPF15"/>
      <c r="SPG15"/>
      <c r="SPH15"/>
      <c r="SPI15"/>
      <c r="SPJ15"/>
      <c r="SPK15"/>
      <c r="SPL15"/>
      <c r="SPM15"/>
      <c r="SPN15"/>
      <c r="SPO15"/>
      <c r="SPP15"/>
      <c r="SPQ15"/>
      <c r="SPR15"/>
      <c r="SPS15"/>
      <c r="SPT15"/>
      <c r="SPU15"/>
      <c r="SPV15"/>
      <c r="SPW15"/>
      <c r="SPX15"/>
      <c r="SPY15"/>
      <c r="SPZ15"/>
      <c r="SQA15"/>
      <c r="SQB15"/>
      <c r="SQC15"/>
      <c r="SQD15"/>
      <c r="SQE15"/>
      <c r="SQF15"/>
      <c r="SQG15"/>
      <c r="SQH15"/>
      <c r="SQI15"/>
      <c r="SQJ15"/>
      <c r="SQK15"/>
      <c r="SQL15"/>
      <c r="SQM15"/>
      <c r="SQN15"/>
      <c r="SQO15"/>
      <c r="SQP15"/>
      <c r="SQQ15"/>
      <c r="SQR15"/>
      <c r="SQS15"/>
      <c r="SQT15"/>
      <c r="SQU15"/>
      <c r="SQV15"/>
      <c r="SQW15"/>
      <c r="SQX15"/>
      <c r="SQY15"/>
      <c r="SQZ15"/>
      <c r="SRA15"/>
      <c r="SRB15"/>
      <c r="SRC15"/>
      <c r="SRD15"/>
      <c r="SRE15"/>
      <c r="SRF15"/>
      <c r="SRG15"/>
      <c r="SRH15"/>
      <c r="SRI15"/>
      <c r="SRJ15"/>
      <c r="SRK15"/>
      <c r="SRL15"/>
      <c r="SRM15"/>
      <c r="SRN15"/>
      <c r="SRO15"/>
      <c r="SRP15"/>
      <c r="SRQ15"/>
      <c r="SRR15"/>
      <c r="SRS15"/>
      <c r="SRT15"/>
      <c r="SRU15"/>
      <c r="SRV15"/>
      <c r="SRW15"/>
      <c r="SRX15"/>
      <c r="SRY15"/>
      <c r="SRZ15"/>
      <c r="SSA15"/>
      <c r="SSB15"/>
      <c r="SSC15"/>
      <c r="SSD15"/>
      <c r="SSE15"/>
      <c r="SSF15"/>
      <c r="SSG15"/>
      <c r="SSH15"/>
      <c r="SSI15"/>
      <c r="SSJ15"/>
      <c r="SSK15"/>
      <c r="SSL15"/>
      <c r="SSM15"/>
      <c r="SSN15"/>
      <c r="SSO15"/>
      <c r="SSP15"/>
      <c r="SSQ15"/>
      <c r="SSR15"/>
      <c r="SSS15"/>
      <c r="SST15"/>
      <c r="SSU15"/>
      <c r="SSV15"/>
      <c r="SSW15"/>
      <c r="SSX15"/>
      <c r="SSY15"/>
      <c r="SSZ15"/>
      <c r="STA15"/>
      <c r="STB15"/>
      <c r="STC15"/>
      <c r="STD15"/>
      <c r="STE15"/>
      <c r="STF15"/>
      <c r="STG15"/>
      <c r="STH15"/>
      <c r="STI15"/>
      <c r="STJ15"/>
      <c r="STK15"/>
      <c r="STL15"/>
      <c r="STM15"/>
      <c r="STN15"/>
      <c r="STO15"/>
      <c r="STP15"/>
      <c r="STQ15"/>
      <c r="STR15"/>
      <c r="STS15"/>
      <c r="STT15"/>
      <c r="STU15"/>
      <c r="STV15"/>
      <c r="STW15"/>
      <c r="STX15"/>
      <c r="STY15"/>
      <c r="STZ15"/>
      <c r="SUA15"/>
      <c r="SUB15"/>
      <c r="SUC15"/>
      <c r="SUD15"/>
      <c r="SUE15"/>
      <c r="SUF15"/>
      <c r="SUG15"/>
      <c r="SUH15"/>
      <c r="SUI15"/>
      <c r="SUJ15"/>
      <c r="SUK15"/>
      <c r="SUL15"/>
      <c r="SUM15"/>
      <c r="SUN15"/>
      <c r="SUO15"/>
      <c r="SUP15"/>
      <c r="SUQ15"/>
      <c r="SUR15"/>
      <c r="SUS15"/>
      <c r="SUT15"/>
      <c r="SUU15"/>
      <c r="SUV15"/>
      <c r="SUW15"/>
      <c r="SUX15"/>
      <c r="SUY15"/>
      <c r="SUZ15"/>
      <c r="SVA15"/>
      <c r="SVB15"/>
      <c r="SVC15"/>
      <c r="SVD15"/>
      <c r="SVE15"/>
      <c r="SVF15"/>
      <c r="SVG15"/>
      <c r="SVH15"/>
      <c r="SVI15"/>
      <c r="SVJ15"/>
      <c r="SVK15"/>
      <c r="SVL15"/>
      <c r="SVM15"/>
      <c r="SVN15"/>
      <c r="SVO15"/>
      <c r="SVP15"/>
      <c r="SVQ15"/>
      <c r="SVR15"/>
      <c r="SVS15"/>
      <c r="SVT15"/>
      <c r="SVU15"/>
      <c r="SVV15"/>
      <c r="SVW15"/>
      <c r="SVX15"/>
      <c r="SVY15"/>
      <c r="SVZ15"/>
      <c r="SWA15"/>
      <c r="SWB15"/>
      <c r="SWC15"/>
      <c r="SWD15"/>
      <c r="SWE15"/>
      <c r="SWF15"/>
      <c r="SWG15"/>
      <c r="SWH15"/>
      <c r="SWI15"/>
      <c r="SWJ15"/>
      <c r="SWK15"/>
      <c r="SWL15"/>
      <c r="SWM15"/>
      <c r="SWN15"/>
      <c r="SWO15"/>
      <c r="SWP15"/>
      <c r="SWQ15"/>
      <c r="SWR15"/>
      <c r="SWS15"/>
      <c r="SWT15"/>
      <c r="SWU15"/>
      <c r="SWV15"/>
      <c r="SWW15"/>
      <c r="SWX15"/>
      <c r="SWY15"/>
      <c r="SWZ15"/>
      <c r="SXA15"/>
      <c r="SXB15"/>
      <c r="SXC15"/>
      <c r="SXD15"/>
      <c r="SXE15"/>
      <c r="SXF15"/>
      <c r="SXG15"/>
      <c r="SXH15"/>
      <c r="SXI15"/>
      <c r="SXJ15"/>
      <c r="SXK15"/>
      <c r="SXL15"/>
      <c r="SXM15"/>
      <c r="SXN15"/>
      <c r="SXO15"/>
      <c r="SXP15"/>
      <c r="SXQ15"/>
      <c r="SXR15"/>
      <c r="SXS15"/>
      <c r="SXT15"/>
      <c r="SXU15"/>
      <c r="SXV15"/>
      <c r="SXW15"/>
      <c r="SXX15"/>
      <c r="SXY15"/>
      <c r="SXZ15"/>
      <c r="SYA15"/>
      <c r="SYB15"/>
      <c r="SYC15"/>
      <c r="SYD15"/>
      <c r="SYE15"/>
      <c r="SYF15"/>
      <c r="SYG15"/>
      <c r="SYH15"/>
      <c r="SYI15"/>
      <c r="SYJ15"/>
      <c r="SYK15"/>
      <c r="SYL15"/>
      <c r="SYM15"/>
      <c r="SYN15"/>
      <c r="SYO15"/>
      <c r="SYP15"/>
      <c r="SYQ15"/>
      <c r="SYR15"/>
      <c r="SYS15"/>
      <c r="SYT15"/>
      <c r="SYU15"/>
      <c r="SYV15"/>
      <c r="SYW15"/>
      <c r="SYX15"/>
      <c r="SYY15"/>
      <c r="SYZ15"/>
      <c r="SZA15"/>
      <c r="SZB15"/>
      <c r="SZC15"/>
      <c r="SZD15"/>
      <c r="SZE15"/>
      <c r="SZF15"/>
      <c r="SZG15"/>
      <c r="SZH15"/>
      <c r="SZI15"/>
      <c r="SZJ15"/>
      <c r="SZK15"/>
      <c r="SZL15"/>
      <c r="SZM15"/>
      <c r="SZN15"/>
      <c r="SZO15"/>
      <c r="SZP15"/>
      <c r="SZQ15"/>
      <c r="SZR15"/>
      <c r="SZS15"/>
      <c r="SZT15"/>
      <c r="SZU15"/>
      <c r="SZV15"/>
      <c r="SZW15"/>
      <c r="SZX15"/>
      <c r="SZY15"/>
      <c r="SZZ15"/>
      <c r="TAA15"/>
      <c r="TAB15"/>
      <c r="TAC15"/>
      <c r="TAD15"/>
      <c r="TAE15"/>
      <c r="TAF15"/>
      <c r="TAG15"/>
      <c r="TAH15"/>
      <c r="TAI15"/>
      <c r="TAJ15"/>
      <c r="TAK15"/>
      <c r="TAL15"/>
      <c r="TAM15"/>
      <c r="TAN15"/>
      <c r="TAO15"/>
      <c r="TAP15"/>
      <c r="TAQ15"/>
      <c r="TAR15"/>
      <c r="TAS15"/>
      <c r="TAT15"/>
      <c r="TAU15"/>
      <c r="TAV15"/>
      <c r="TAW15"/>
      <c r="TAX15"/>
      <c r="TAY15"/>
      <c r="TAZ15"/>
      <c r="TBA15"/>
      <c r="TBB15"/>
      <c r="TBC15"/>
      <c r="TBD15"/>
      <c r="TBE15"/>
      <c r="TBF15"/>
      <c r="TBG15"/>
      <c r="TBH15"/>
      <c r="TBI15"/>
      <c r="TBJ15"/>
      <c r="TBK15"/>
      <c r="TBL15"/>
      <c r="TBM15"/>
      <c r="TBN15"/>
      <c r="TBO15"/>
      <c r="TBP15"/>
      <c r="TBQ15"/>
      <c r="TBR15"/>
      <c r="TBS15"/>
      <c r="TBT15"/>
      <c r="TBU15"/>
      <c r="TBV15"/>
      <c r="TBW15"/>
      <c r="TBX15"/>
      <c r="TBY15"/>
      <c r="TBZ15"/>
      <c r="TCA15"/>
      <c r="TCB15"/>
      <c r="TCC15"/>
      <c r="TCD15"/>
      <c r="TCE15"/>
      <c r="TCF15"/>
      <c r="TCG15"/>
      <c r="TCH15"/>
      <c r="TCI15"/>
      <c r="TCJ15"/>
      <c r="TCK15"/>
      <c r="TCL15"/>
      <c r="TCM15"/>
      <c r="TCN15"/>
      <c r="TCO15"/>
      <c r="TCP15"/>
      <c r="TCQ15"/>
      <c r="TCR15"/>
      <c r="TCS15"/>
      <c r="TCT15"/>
      <c r="TCU15"/>
      <c r="TCV15"/>
      <c r="TCW15"/>
      <c r="TCX15"/>
      <c r="TCY15"/>
      <c r="TCZ15"/>
      <c r="TDA15"/>
      <c r="TDB15"/>
      <c r="TDC15"/>
      <c r="TDD15"/>
      <c r="TDE15"/>
      <c r="TDF15"/>
      <c r="TDG15"/>
      <c r="TDH15"/>
      <c r="TDI15"/>
      <c r="TDJ15"/>
      <c r="TDK15"/>
      <c r="TDL15"/>
      <c r="TDM15"/>
      <c r="TDN15"/>
      <c r="TDO15"/>
      <c r="TDP15"/>
      <c r="TDQ15"/>
      <c r="TDR15"/>
      <c r="TDS15"/>
      <c r="TDT15"/>
      <c r="TDU15"/>
      <c r="TDV15"/>
      <c r="TDW15"/>
      <c r="TDX15"/>
      <c r="TDY15"/>
      <c r="TDZ15"/>
      <c r="TEA15"/>
      <c r="TEB15"/>
      <c r="TEC15"/>
      <c r="TED15"/>
      <c r="TEE15"/>
      <c r="TEF15"/>
      <c r="TEG15"/>
      <c r="TEH15"/>
      <c r="TEI15"/>
      <c r="TEJ15"/>
      <c r="TEK15"/>
      <c r="TEL15"/>
      <c r="TEM15"/>
      <c r="TEN15"/>
      <c r="TEO15"/>
      <c r="TEP15"/>
      <c r="TEQ15"/>
      <c r="TER15"/>
      <c r="TES15"/>
      <c r="TET15"/>
      <c r="TEU15"/>
      <c r="TEV15"/>
      <c r="TEW15"/>
      <c r="TEX15"/>
      <c r="TEY15"/>
      <c r="TEZ15"/>
      <c r="TFA15"/>
      <c r="TFB15"/>
      <c r="TFC15"/>
      <c r="TFD15"/>
      <c r="TFE15"/>
      <c r="TFF15"/>
      <c r="TFG15"/>
      <c r="TFH15"/>
      <c r="TFI15"/>
      <c r="TFJ15"/>
      <c r="TFK15"/>
      <c r="TFL15"/>
      <c r="TFM15"/>
      <c r="TFN15"/>
      <c r="TFO15"/>
      <c r="TFP15"/>
      <c r="TFQ15"/>
      <c r="TFR15"/>
      <c r="TFS15"/>
      <c r="TFT15"/>
      <c r="TFU15"/>
      <c r="TFV15"/>
      <c r="TFW15"/>
      <c r="TFX15"/>
      <c r="TFY15"/>
      <c r="TFZ15"/>
      <c r="TGA15"/>
      <c r="TGB15"/>
      <c r="TGC15"/>
      <c r="TGD15"/>
      <c r="TGE15"/>
      <c r="TGF15"/>
      <c r="TGG15"/>
      <c r="TGH15"/>
      <c r="TGI15"/>
      <c r="TGJ15"/>
      <c r="TGK15"/>
      <c r="TGL15"/>
      <c r="TGM15"/>
      <c r="TGN15"/>
      <c r="TGO15"/>
      <c r="TGP15"/>
      <c r="TGQ15"/>
      <c r="TGR15"/>
      <c r="TGS15"/>
      <c r="TGT15"/>
      <c r="TGU15"/>
      <c r="TGV15"/>
      <c r="TGW15"/>
      <c r="TGX15"/>
      <c r="TGY15"/>
      <c r="TGZ15"/>
      <c r="THA15"/>
      <c r="THB15"/>
      <c r="THC15"/>
      <c r="THD15"/>
      <c r="THE15"/>
      <c r="THF15"/>
      <c r="THG15"/>
      <c r="THH15"/>
      <c r="THI15"/>
      <c r="THJ15"/>
      <c r="THK15"/>
      <c r="THL15"/>
      <c r="THM15"/>
      <c r="THN15"/>
      <c r="THO15"/>
      <c r="THP15"/>
      <c r="THQ15"/>
      <c r="THR15"/>
      <c r="THS15"/>
      <c r="THT15"/>
      <c r="THU15"/>
      <c r="THV15"/>
      <c r="THW15"/>
      <c r="THX15"/>
      <c r="THY15"/>
      <c r="THZ15"/>
      <c r="TIA15"/>
      <c r="TIB15"/>
      <c r="TIC15"/>
      <c r="TID15"/>
      <c r="TIE15"/>
      <c r="TIF15"/>
      <c r="TIG15"/>
      <c r="TIH15"/>
      <c r="TII15"/>
      <c r="TIJ15"/>
      <c r="TIK15"/>
      <c r="TIL15"/>
      <c r="TIM15"/>
      <c r="TIN15"/>
      <c r="TIO15"/>
      <c r="TIP15"/>
      <c r="TIQ15"/>
      <c r="TIR15"/>
      <c r="TIS15"/>
      <c r="TIT15"/>
      <c r="TIU15"/>
      <c r="TIV15"/>
      <c r="TIW15"/>
      <c r="TIX15"/>
      <c r="TIY15"/>
      <c r="TIZ15"/>
      <c r="TJA15"/>
      <c r="TJB15"/>
      <c r="TJC15"/>
      <c r="TJD15"/>
      <c r="TJE15"/>
      <c r="TJF15"/>
      <c r="TJG15"/>
      <c r="TJH15"/>
      <c r="TJI15"/>
      <c r="TJJ15"/>
      <c r="TJK15"/>
      <c r="TJL15"/>
      <c r="TJM15"/>
      <c r="TJN15"/>
      <c r="TJO15"/>
      <c r="TJP15"/>
      <c r="TJQ15"/>
      <c r="TJR15"/>
      <c r="TJS15"/>
      <c r="TJT15"/>
      <c r="TJU15"/>
      <c r="TJV15"/>
      <c r="TJW15"/>
      <c r="TJX15"/>
      <c r="TJY15"/>
      <c r="TJZ15"/>
      <c r="TKA15"/>
      <c r="TKB15"/>
      <c r="TKC15"/>
      <c r="TKD15"/>
      <c r="TKE15"/>
      <c r="TKF15"/>
      <c r="TKG15"/>
      <c r="TKH15"/>
      <c r="TKI15"/>
      <c r="TKJ15"/>
      <c r="TKK15"/>
      <c r="TKL15"/>
      <c r="TKM15"/>
      <c r="TKN15"/>
      <c r="TKO15"/>
      <c r="TKP15"/>
      <c r="TKQ15"/>
      <c r="TKR15"/>
      <c r="TKS15"/>
      <c r="TKT15"/>
      <c r="TKU15"/>
      <c r="TKV15"/>
      <c r="TKW15"/>
      <c r="TKX15"/>
      <c r="TKY15"/>
      <c r="TKZ15"/>
      <c r="TLA15"/>
      <c r="TLB15"/>
      <c r="TLC15"/>
      <c r="TLD15"/>
      <c r="TLE15"/>
      <c r="TLF15"/>
      <c r="TLG15"/>
      <c r="TLH15"/>
      <c r="TLI15"/>
      <c r="TLJ15"/>
      <c r="TLK15"/>
      <c r="TLL15"/>
      <c r="TLM15"/>
      <c r="TLN15"/>
      <c r="TLO15"/>
      <c r="TLP15"/>
      <c r="TLQ15"/>
      <c r="TLR15"/>
      <c r="TLS15"/>
      <c r="TLT15"/>
      <c r="TLU15"/>
      <c r="TLV15"/>
      <c r="TLW15"/>
      <c r="TLX15"/>
      <c r="TLY15"/>
      <c r="TLZ15"/>
      <c r="TMA15"/>
      <c r="TMB15"/>
      <c r="TMC15"/>
      <c r="TMD15"/>
      <c r="TME15"/>
      <c r="TMF15"/>
      <c r="TMG15"/>
      <c r="TMH15"/>
      <c r="TMI15"/>
      <c r="TMJ15"/>
      <c r="TMK15"/>
      <c r="TML15"/>
      <c r="TMM15"/>
      <c r="TMN15"/>
      <c r="TMO15"/>
      <c r="TMP15"/>
      <c r="TMQ15"/>
      <c r="TMR15"/>
      <c r="TMS15"/>
      <c r="TMT15"/>
      <c r="TMU15"/>
      <c r="TMV15"/>
      <c r="TMW15"/>
      <c r="TMX15"/>
      <c r="TMY15"/>
      <c r="TMZ15"/>
      <c r="TNA15"/>
      <c r="TNB15"/>
      <c r="TNC15"/>
      <c r="TND15"/>
      <c r="TNE15"/>
      <c r="TNF15"/>
      <c r="TNG15"/>
      <c r="TNH15"/>
      <c r="TNI15"/>
      <c r="TNJ15"/>
      <c r="TNK15"/>
      <c r="TNL15"/>
      <c r="TNM15"/>
      <c r="TNN15"/>
      <c r="TNO15"/>
      <c r="TNP15"/>
      <c r="TNQ15"/>
      <c r="TNR15"/>
      <c r="TNS15"/>
      <c r="TNT15"/>
      <c r="TNU15"/>
      <c r="TNV15"/>
      <c r="TNW15"/>
      <c r="TNX15"/>
      <c r="TNY15"/>
      <c r="TNZ15"/>
      <c r="TOA15"/>
      <c r="TOB15"/>
      <c r="TOC15"/>
      <c r="TOD15"/>
      <c r="TOE15"/>
      <c r="TOF15"/>
      <c r="TOG15"/>
      <c r="TOH15"/>
      <c r="TOI15"/>
      <c r="TOJ15"/>
      <c r="TOK15"/>
      <c r="TOL15"/>
      <c r="TOM15"/>
      <c r="TON15"/>
      <c r="TOO15"/>
      <c r="TOP15"/>
      <c r="TOQ15"/>
      <c r="TOR15"/>
      <c r="TOS15"/>
      <c r="TOT15"/>
      <c r="TOU15"/>
      <c r="TOV15"/>
      <c r="TOW15"/>
      <c r="TOX15"/>
      <c r="TOY15"/>
      <c r="TOZ15"/>
      <c r="TPA15"/>
      <c r="TPB15"/>
      <c r="TPC15"/>
      <c r="TPD15"/>
      <c r="TPE15"/>
      <c r="TPF15"/>
      <c r="TPG15"/>
      <c r="TPH15"/>
      <c r="TPI15"/>
      <c r="TPJ15"/>
      <c r="TPK15"/>
      <c r="TPL15"/>
      <c r="TPM15"/>
      <c r="TPN15"/>
      <c r="TPO15"/>
      <c r="TPP15"/>
      <c r="TPQ15"/>
      <c r="TPR15"/>
      <c r="TPS15"/>
      <c r="TPT15"/>
      <c r="TPU15"/>
      <c r="TPV15"/>
      <c r="TPW15"/>
      <c r="TPX15"/>
      <c r="TPY15"/>
      <c r="TPZ15"/>
      <c r="TQA15"/>
      <c r="TQB15"/>
      <c r="TQC15"/>
      <c r="TQD15"/>
      <c r="TQE15"/>
      <c r="TQF15"/>
      <c r="TQG15"/>
      <c r="TQH15"/>
      <c r="TQI15"/>
      <c r="TQJ15"/>
      <c r="TQK15"/>
      <c r="TQL15"/>
      <c r="TQM15"/>
      <c r="TQN15"/>
      <c r="TQO15"/>
      <c r="TQP15"/>
      <c r="TQQ15"/>
      <c r="TQR15"/>
      <c r="TQS15"/>
      <c r="TQT15"/>
      <c r="TQU15"/>
      <c r="TQV15"/>
      <c r="TQW15"/>
      <c r="TQX15"/>
      <c r="TQY15"/>
      <c r="TQZ15"/>
      <c r="TRA15"/>
      <c r="TRB15"/>
      <c r="TRC15"/>
      <c r="TRD15"/>
      <c r="TRE15"/>
      <c r="TRF15"/>
      <c r="TRG15"/>
      <c r="TRH15"/>
      <c r="TRI15"/>
      <c r="TRJ15"/>
      <c r="TRK15"/>
      <c r="TRL15"/>
      <c r="TRM15"/>
      <c r="TRN15"/>
      <c r="TRO15"/>
      <c r="TRP15"/>
      <c r="TRQ15"/>
      <c r="TRR15"/>
      <c r="TRS15"/>
      <c r="TRT15"/>
      <c r="TRU15"/>
      <c r="TRV15"/>
      <c r="TRW15"/>
      <c r="TRX15"/>
      <c r="TRY15"/>
      <c r="TRZ15"/>
      <c r="TSA15"/>
      <c r="TSB15"/>
      <c r="TSC15"/>
      <c r="TSD15"/>
      <c r="TSE15"/>
      <c r="TSF15"/>
      <c r="TSG15"/>
      <c r="TSH15"/>
      <c r="TSI15"/>
      <c r="TSJ15"/>
      <c r="TSK15"/>
      <c r="TSL15"/>
      <c r="TSM15"/>
      <c r="TSN15"/>
      <c r="TSO15"/>
      <c r="TSP15"/>
      <c r="TSQ15"/>
      <c r="TSR15"/>
      <c r="TSS15"/>
      <c r="TST15"/>
      <c r="TSU15"/>
      <c r="TSV15"/>
      <c r="TSW15"/>
      <c r="TSX15"/>
      <c r="TSY15"/>
      <c r="TSZ15"/>
      <c r="TTA15"/>
      <c r="TTB15"/>
      <c r="TTC15"/>
      <c r="TTD15"/>
      <c r="TTE15"/>
      <c r="TTF15"/>
      <c r="TTG15"/>
      <c r="TTH15"/>
      <c r="TTI15"/>
      <c r="TTJ15"/>
      <c r="TTK15"/>
      <c r="TTL15"/>
      <c r="TTM15"/>
      <c r="TTN15"/>
      <c r="TTO15"/>
      <c r="TTP15"/>
      <c r="TTQ15"/>
      <c r="TTR15"/>
      <c r="TTS15"/>
      <c r="TTT15"/>
      <c r="TTU15"/>
      <c r="TTV15"/>
      <c r="TTW15"/>
      <c r="TTX15"/>
      <c r="TTY15"/>
      <c r="TTZ15"/>
      <c r="TUA15"/>
      <c r="TUB15"/>
      <c r="TUC15"/>
      <c r="TUD15"/>
      <c r="TUE15"/>
      <c r="TUF15"/>
      <c r="TUG15"/>
      <c r="TUH15"/>
      <c r="TUI15"/>
      <c r="TUJ15"/>
      <c r="TUK15"/>
      <c r="TUL15"/>
      <c r="TUM15"/>
      <c r="TUN15"/>
      <c r="TUO15"/>
      <c r="TUP15"/>
      <c r="TUQ15"/>
      <c r="TUR15"/>
      <c r="TUS15"/>
      <c r="TUT15"/>
      <c r="TUU15"/>
      <c r="TUV15"/>
      <c r="TUW15"/>
      <c r="TUX15"/>
      <c r="TUY15"/>
      <c r="TUZ15"/>
      <c r="TVA15"/>
      <c r="TVB15"/>
      <c r="TVC15"/>
      <c r="TVD15"/>
      <c r="TVE15"/>
      <c r="TVF15"/>
      <c r="TVG15"/>
      <c r="TVH15"/>
      <c r="TVI15"/>
      <c r="TVJ15"/>
      <c r="TVK15"/>
      <c r="TVL15"/>
      <c r="TVM15"/>
      <c r="TVN15"/>
      <c r="TVO15"/>
      <c r="TVP15"/>
      <c r="TVQ15"/>
      <c r="TVR15"/>
      <c r="TVS15"/>
      <c r="TVT15"/>
      <c r="TVU15"/>
      <c r="TVV15"/>
      <c r="TVW15"/>
      <c r="TVX15"/>
      <c r="TVY15"/>
      <c r="TVZ15"/>
      <c r="TWA15"/>
      <c r="TWB15"/>
      <c r="TWC15"/>
      <c r="TWD15"/>
      <c r="TWE15"/>
      <c r="TWF15"/>
      <c r="TWG15"/>
      <c r="TWH15"/>
      <c r="TWI15"/>
      <c r="TWJ15"/>
      <c r="TWK15"/>
      <c r="TWL15"/>
      <c r="TWM15"/>
      <c r="TWN15"/>
      <c r="TWO15"/>
      <c r="TWP15"/>
      <c r="TWQ15"/>
      <c r="TWR15"/>
      <c r="TWS15"/>
      <c r="TWT15"/>
      <c r="TWU15"/>
      <c r="TWV15"/>
      <c r="TWW15"/>
      <c r="TWX15"/>
      <c r="TWY15"/>
      <c r="TWZ15"/>
      <c r="TXA15"/>
      <c r="TXB15"/>
      <c r="TXC15"/>
      <c r="TXD15"/>
      <c r="TXE15"/>
      <c r="TXF15"/>
      <c r="TXG15"/>
      <c r="TXH15"/>
      <c r="TXI15"/>
      <c r="TXJ15"/>
      <c r="TXK15"/>
      <c r="TXL15"/>
      <c r="TXM15"/>
      <c r="TXN15"/>
      <c r="TXO15"/>
      <c r="TXP15"/>
      <c r="TXQ15"/>
      <c r="TXR15"/>
      <c r="TXS15"/>
      <c r="TXT15"/>
      <c r="TXU15"/>
      <c r="TXV15"/>
      <c r="TXW15"/>
      <c r="TXX15"/>
      <c r="TXY15"/>
      <c r="TXZ15"/>
      <c r="TYA15"/>
      <c r="TYB15"/>
      <c r="TYC15"/>
      <c r="TYD15"/>
      <c r="TYE15"/>
      <c r="TYF15"/>
      <c r="TYG15"/>
      <c r="TYH15"/>
      <c r="TYI15"/>
      <c r="TYJ15"/>
      <c r="TYK15"/>
      <c r="TYL15"/>
      <c r="TYM15"/>
      <c r="TYN15"/>
      <c r="TYO15"/>
      <c r="TYP15"/>
      <c r="TYQ15"/>
      <c r="TYR15"/>
      <c r="TYS15"/>
      <c r="TYT15"/>
      <c r="TYU15"/>
      <c r="TYV15"/>
      <c r="TYW15"/>
      <c r="TYX15"/>
      <c r="TYY15"/>
      <c r="TYZ15"/>
      <c r="TZA15"/>
      <c r="TZB15"/>
      <c r="TZC15"/>
      <c r="TZD15"/>
      <c r="TZE15"/>
      <c r="TZF15"/>
      <c r="TZG15"/>
      <c r="TZH15"/>
      <c r="TZI15"/>
      <c r="TZJ15"/>
      <c r="TZK15"/>
      <c r="TZL15"/>
      <c r="TZM15"/>
      <c r="TZN15"/>
      <c r="TZO15"/>
      <c r="TZP15"/>
      <c r="TZQ15"/>
      <c r="TZR15"/>
      <c r="TZS15"/>
      <c r="TZT15"/>
      <c r="TZU15"/>
      <c r="TZV15"/>
      <c r="TZW15"/>
      <c r="TZX15"/>
      <c r="TZY15"/>
      <c r="TZZ15"/>
      <c r="UAA15"/>
      <c r="UAB15"/>
      <c r="UAC15"/>
      <c r="UAD15"/>
      <c r="UAE15"/>
      <c r="UAF15"/>
      <c r="UAG15"/>
      <c r="UAH15"/>
      <c r="UAI15"/>
      <c r="UAJ15"/>
      <c r="UAK15"/>
      <c r="UAL15"/>
      <c r="UAM15"/>
      <c r="UAN15"/>
      <c r="UAO15"/>
      <c r="UAP15"/>
      <c r="UAQ15"/>
      <c r="UAR15"/>
      <c r="UAS15"/>
      <c r="UAT15"/>
      <c r="UAU15"/>
      <c r="UAV15"/>
      <c r="UAW15"/>
      <c r="UAX15"/>
      <c r="UAY15"/>
      <c r="UAZ15"/>
      <c r="UBA15"/>
      <c r="UBB15"/>
      <c r="UBC15"/>
      <c r="UBD15"/>
      <c r="UBE15"/>
      <c r="UBF15"/>
      <c r="UBG15"/>
      <c r="UBH15"/>
      <c r="UBI15"/>
      <c r="UBJ15"/>
      <c r="UBK15"/>
      <c r="UBL15"/>
      <c r="UBM15"/>
      <c r="UBN15"/>
      <c r="UBO15"/>
      <c r="UBP15"/>
      <c r="UBQ15"/>
      <c r="UBR15"/>
      <c r="UBS15"/>
      <c r="UBT15"/>
      <c r="UBU15"/>
      <c r="UBV15"/>
      <c r="UBW15"/>
      <c r="UBX15"/>
      <c r="UBY15"/>
      <c r="UBZ15"/>
      <c r="UCA15"/>
      <c r="UCB15"/>
      <c r="UCC15"/>
      <c r="UCD15"/>
      <c r="UCE15"/>
      <c r="UCF15"/>
      <c r="UCG15"/>
      <c r="UCH15"/>
      <c r="UCI15"/>
      <c r="UCJ15"/>
      <c r="UCK15"/>
      <c r="UCL15"/>
      <c r="UCM15"/>
      <c r="UCN15"/>
      <c r="UCO15"/>
      <c r="UCP15"/>
      <c r="UCQ15"/>
      <c r="UCR15"/>
      <c r="UCS15"/>
      <c r="UCT15"/>
      <c r="UCU15"/>
      <c r="UCV15"/>
      <c r="UCW15"/>
      <c r="UCX15"/>
      <c r="UCY15"/>
      <c r="UCZ15"/>
      <c r="UDA15"/>
      <c r="UDB15"/>
      <c r="UDC15"/>
      <c r="UDD15"/>
      <c r="UDE15"/>
      <c r="UDF15"/>
      <c r="UDG15"/>
      <c r="UDH15"/>
      <c r="UDI15"/>
      <c r="UDJ15"/>
      <c r="UDK15"/>
      <c r="UDL15"/>
      <c r="UDM15"/>
      <c r="UDN15"/>
      <c r="UDO15"/>
      <c r="UDP15"/>
      <c r="UDQ15"/>
      <c r="UDR15"/>
      <c r="UDS15"/>
      <c r="UDT15"/>
      <c r="UDU15"/>
      <c r="UDV15"/>
      <c r="UDW15"/>
      <c r="UDX15"/>
      <c r="UDY15"/>
      <c r="UDZ15"/>
      <c r="UEA15"/>
      <c r="UEB15"/>
      <c r="UEC15"/>
      <c r="UED15"/>
      <c r="UEE15"/>
      <c r="UEF15"/>
      <c r="UEG15"/>
      <c r="UEH15"/>
      <c r="UEI15"/>
      <c r="UEJ15"/>
      <c r="UEK15"/>
      <c r="UEL15"/>
      <c r="UEM15"/>
      <c r="UEN15"/>
      <c r="UEO15"/>
      <c r="UEP15"/>
      <c r="UEQ15"/>
      <c r="UER15"/>
      <c r="UES15"/>
      <c r="UET15"/>
      <c r="UEU15"/>
      <c r="UEV15"/>
      <c r="UEW15"/>
      <c r="UEX15"/>
      <c r="UEY15"/>
      <c r="UEZ15"/>
      <c r="UFA15"/>
      <c r="UFB15"/>
      <c r="UFC15"/>
      <c r="UFD15"/>
      <c r="UFE15"/>
      <c r="UFF15"/>
      <c r="UFG15"/>
      <c r="UFH15"/>
      <c r="UFI15"/>
      <c r="UFJ15"/>
      <c r="UFK15"/>
      <c r="UFL15"/>
      <c r="UFM15"/>
      <c r="UFN15"/>
      <c r="UFO15"/>
      <c r="UFP15"/>
      <c r="UFQ15"/>
      <c r="UFR15"/>
      <c r="UFS15"/>
      <c r="UFT15"/>
      <c r="UFU15"/>
      <c r="UFV15"/>
      <c r="UFW15"/>
      <c r="UFX15"/>
      <c r="UFY15"/>
      <c r="UFZ15"/>
      <c r="UGA15"/>
      <c r="UGB15"/>
      <c r="UGC15"/>
      <c r="UGD15"/>
      <c r="UGE15"/>
      <c r="UGF15"/>
      <c r="UGG15"/>
      <c r="UGH15"/>
      <c r="UGI15"/>
      <c r="UGJ15"/>
      <c r="UGK15"/>
      <c r="UGL15"/>
      <c r="UGM15"/>
      <c r="UGN15"/>
      <c r="UGO15"/>
      <c r="UGP15"/>
      <c r="UGQ15"/>
      <c r="UGR15"/>
      <c r="UGS15"/>
      <c r="UGT15"/>
      <c r="UGU15"/>
      <c r="UGV15"/>
      <c r="UGW15"/>
      <c r="UGX15"/>
      <c r="UGY15"/>
      <c r="UGZ15"/>
      <c r="UHA15"/>
      <c r="UHB15"/>
      <c r="UHC15"/>
      <c r="UHD15"/>
      <c r="UHE15"/>
      <c r="UHF15"/>
      <c r="UHG15"/>
      <c r="UHH15"/>
      <c r="UHI15"/>
      <c r="UHJ15"/>
      <c r="UHK15"/>
      <c r="UHL15"/>
      <c r="UHM15"/>
      <c r="UHN15"/>
      <c r="UHO15"/>
      <c r="UHP15"/>
      <c r="UHQ15"/>
      <c r="UHR15"/>
      <c r="UHS15"/>
      <c r="UHT15"/>
      <c r="UHU15"/>
      <c r="UHV15"/>
      <c r="UHW15"/>
      <c r="UHX15"/>
      <c r="UHY15"/>
      <c r="UHZ15"/>
      <c r="UIA15"/>
      <c r="UIB15"/>
      <c r="UIC15"/>
      <c r="UID15"/>
      <c r="UIE15"/>
      <c r="UIF15"/>
      <c r="UIG15"/>
      <c r="UIH15"/>
      <c r="UII15"/>
      <c r="UIJ15"/>
      <c r="UIK15"/>
      <c r="UIL15"/>
      <c r="UIM15"/>
      <c r="UIN15"/>
      <c r="UIO15"/>
      <c r="UIP15"/>
      <c r="UIQ15"/>
      <c r="UIR15"/>
      <c r="UIS15"/>
      <c r="UIT15"/>
      <c r="UIU15"/>
      <c r="UIV15"/>
      <c r="UIW15"/>
      <c r="UIX15"/>
      <c r="UIY15"/>
      <c r="UIZ15"/>
      <c r="UJA15"/>
      <c r="UJB15"/>
      <c r="UJC15"/>
      <c r="UJD15"/>
      <c r="UJE15"/>
      <c r="UJF15"/>
      <c r="UJG15"/>
      <c r="UJH15"/>
      <c r="UJI15"/>
      <c r="UJJ15"/>
      <c r="UJK15"/>
      <c r="UJL15"/>
      <c r="UJM15"/>
      <c r="UJN15"/>
      <c r="UJO15"/>
      <c r="UJP15"/>
      <c r="UJQ15"/>
      <c r="UJR15"/>
      <c r="UJS15"/>
      <c r="UJT15"/>
      <c r="UJU15"/>
      <c r="UJV15"/>
      <c r="UJW15"/>
      <c r="UJX15"/>
      <c r="UJY15"/>
      <c r="UJZ15"/>
      <c r="UKA15"/>
      <c r="UKB15"/>
      <c r="UKC15"/>
      <c r="UKD15"/>
      <c r="UKE15"/>
      <c r="UKF15"/>
      <c r="UKG15"/>
      <c r="UKH15"/>
      <c r="UKI15"/>
      <c r="UKJ15"/>
      <c r="UKK15"/>
      <c r="UKL15"/>
      <c r="UKM15"/>
      <c r="UKN15"/>
      <c r="UKO15"/>
      <c r="UKP15"/>
      <c r="UKQ15"/>
      <c r="UKR15"/>
      <c r="UKS15"/>
      <c r="UKT15"/>
      <c r="UKU15"/>
      <c r="UKV15"/>
      <c r="UKW15"/>
      <c r="UKX15"/>
      <c r="UKY15"/>
      <c r="UKZ15"/>
      <c r="ULA15"/>
      <c r="ULB15"/>
      <c r="ULC15"/>
      <c r="ULD15"/>
      <c r="ULE15"/>
      <c r="ULF15"/>
      <c r="ULG15"/>
      <c r="ULH15"/>
      <c r="ULI15"/>
      <c r="ULJ15"/>
      <c r="ULK15"/>
      <c r="ULL15"/>
      <c r="ULM15"/>
      <c r="ULN15"/>
      <c r="ULO15"/>
      <c r="ULP15"/>
      <c r="ULQ15"/>
      <c r="ULR15"/>
      <c r="ULS15"/>
      <c r="ULT15"/>
      <c r="ULU15"/>
      <c r="ULV15"/>
      <c r="ULW15"/>
      <c r="ULX15"/>
      <c r="ULY15"/>
      <c r="ULZ15"/>
      <c r="UMA15"/>
      <c r="UMB15"/>
      <c r="UMC15"/>
      <c r="UMD15"/>
      <c r="UME15"/>
      <c r="UMF15"/>
      <c r="UMG15"/>
      <c r="UMH15"/>
      <c r="UMI15"/>
      <c r="UMJ15"/>
      <c r="UMK15"/>
      <c r="UML15"/>
      <c r="UMM15"/>
      <c r="UMN15"/>
      <c r="UMO15"/>
      <c r="UMP15"/>
      <c r="UMQ15"/>
      <c r="UMR15"/>
      <c r="UMS15"/>
      <c r="UMT15"/>
      <c r="UMU15"/>
      <c r="UMV15"/>
      <c r="UMW15"/>
      <c r="UMX15"/>
      <c r="UMY15"/>
      <c r="UMZ15"/>
      <c r="UNA15"/>
      <c r="UNB15"/>
      <c r="UNC15"/>
      <c r="UND15"/>
      <c r="UNE15"/>
      <c r="UNF15"/>
      <c r="UNG15"/>
      <c r="UNH15"/>
      <c r="UNI15"/>
      <c r="UNJ15"/>
      <c r="UNK15"/>
      <c r="UNL15"/>
      <c r="UNM15"/>
      <c r="UNN15"/>
      <c r="UNO15"/>
      <c r="UNP15"/>
      <c r="UNQ15"/>
      <c r="UNR15"/>
      <c r="UNS15"/>
      <c r="UNT15"/>
      <c r="UNU15"/>
      <c r="UNV15"/>
      <c r="UNW15"/>
      <c r="UNX15"/>
      <c r="UNY15"/>
      <c r="UNZ15"/>
      <c r="UOA15"/>
      <c r="UOB15"/>
      <c r="UOC15"/>
      <c r="UOD15"/>
      <c r="UOE15"/>
      <c r="UOF15"/>
      <c r="UOG15"/>
      <c r="UOH15"/>
      <c r="UOI15"/>
      <c r="UOJ15"/>
      <c r="UOK15"/>
      <c r="UOL15"/>
      <c r="UOM15"/>
      <c r="UON15"/>
      <c r="UOO15"/>
      <c r="UOP15"/>
      <c r="UOQ15"/>
      <c r="UOR15"/>
      <c r="UOS15"/>
      <c r="UOT15"/>
      <c r="UOU15"/>
      <c r="UOV15"/>
      <c r="UOW15"/>
      <c r="UOX15"/>
      <c r="UOY15"/>
      <c r="UOZ15"/>
      <c r="UPA15"/>
      <c r="UPB15"/>
      <c r="UPC15"/>
      <c r="UPD15"/>
      <c r="UPE15"/>
      <c r="UPF15"/>
      <c r="UPG15"/>
      <c r="UPH15"/>
      <c r="UPI15"/>
      <c r="UPJ15"/>
      <c r="UPK15"/>
      <c r="UPL15"/>
      <c r="UPM15"/>
      <c r="UPN15"/>
      <c r="UPO15"/>
      <c r="UPP15"/>
      <c r="UPQ15"/>
      <c r="UPR15"/>
      <c r="UPS15"/>
      <c r="UPT15"/>
      <c r="UPU15"/>
      <c r="UPV15"/>
      <c r="UPW15"/>
      <c r="UPX15"/>
      <c r="UPY15"/>
      <c r="UPZ15"/>
      <c r="UQA15"/>
      <c r="UQB15"/>
      <c r="UQC15"/>
      <c r="UQD15"/>
      <c r="UQE15"/>
      <c r="UQF15"/>
      <c r="UQG15"/>
      <c r="UQH15"/>
      <c r="UQI15"/>
      <c r="UQJ15"/>
      <c r="UQK15"/>
      <c r="UQL15"/>
      <c r="UQM15"/>
      <c r="UQN15"/>
      <c r="UQO15"/>
      <c r="UQP15"/>
      <c r="UQQ15"/>
      <c r="UQR15"/>
      <c r="UQS15"/>
      <c r="UQT15"/>
      <c r="UQU15"/>
      <c r="UQV15"/>
      <c r="UQW15"/>
      <c r="UQX15"/>
      <c r="UQY15"/>
      <c r="UQZ15"/>
      <c r="URA15"/>
      <c r="URB15"/>
      <c r="URC15"/>
      <c r="URD15"/>
      <c r="URE15"/>
      <c r="URF15"/>
      <c r="URG15"/>
      <c r="URH15"/>
      <c r="URI15"/>
      <c r="URJ15"/>
      <c r="URK15"/>
      <c r="URL15"/>
      <c r="URM15"/>
      <c r="URN15"/>
      <c r="URO15"/>
      <c r="URP15"/>
      <c r="URQ15"/>
      <c r="URR15"/>
      <c r="URS15"/>
      <c r="URT15"/>
      <c r="URU15"/>
      <c r="URV15"/>
      <c r="URW15"/>
      <c r="URX15"/>
      <c r="URY15"/>
      <c r="URZ15"/>
      <c r="USA15"/>
      <c r="USB15"/>
      <c r="USC15"/>
      <c r="USD15"/>
      <c r="USE15"/>
      <c r="USF15"/>
      <c r="USG15"/>
      <c r="USH15"/>
      <c r="USI15"/>
      <c r="USJ15"/>
      <c r="USK15"/>
      <c r="USL15"/>
      <c r="USM15"/>
      <c r="USN15"/>
      <c r="USO15"/>
      <c r="USP15"/>
      <c r="USQ15"/>
      <c r="USR15"/>
      <c r="USS15"/>
      <c r="UST15"/>
      <c r="USU15"/>
      <c r="USV15"/>
      <c r="USW15"/>
      <c r="USX15"/>
      <c r="USY15"/>
      <c r="USZ15"/>
      <c r="UTA15"/>
      <c r="UTB15"/>
      <c r="UTC15"/>
      <c r="UTD15"/>
      <c r="UTE15"/>
      <c r="UTF15"/>
      <c r="UTG15"/>
      <c r="UTH15"/>
      <c r="UTI15"/>
      <c r="UTJ15"/>
      <c r="UTK15"/>
      <c r="UTL15"/>
      <c r="UTM15"/>
      <c r="UTN15"/>
      <c r="UTO15"/>
      <c r="UTP15"/>
      <c r="UTQ15"/>
      <c r="UTR15"/>
      <c r="UTS15"/>
      <c r="UTT15"/>
      <c r="UTU15"/>
      <c r="UTV15"/>
      <c r="UTW15"/>
      <c r="UTX15"/>
      <c r="UTY15"/>
      <c r="UTZ15"/>
      <c r="UUA15"/>
      <c r="UUB15"/>
      <c r="UUC15"/>
      <c r="UUD15"/>
      <c r="UUE15"/>
      <c r="UUF15"/>
      <c r="UUG15"/>
      <c r="UUH15"/>
      <c r="UUI15"/>
      <c r="UUJ15"/>
      <c r="UUK15"/>
      <c r="UUL15"/>
      <c r="UUM15"/>
      <c r="UUN15"/>
      <c r="UUO15"/>
      <c r="UUP15"/>
      <c r="UUQ15"/>
      <c r="UUR15"/>
      <c r="UUS15"/>
      <c r="UUT15"/>
      <c r="UUU15"/>
      <c r="UUV15"/>
      <c r="UUW15"/>
      <c r="UUX15"/>
      <c r="UUY15"/>
      <c r="UUZ15"/>
      <c r="UVA15"/>
      <c r="UVB15"/>
      <c r="UVC15"/>
      <c r="UVD15"/>
      <c r="UVE15"/>
      <c r="UVF15"/>
      <c r="UVG15"/>
      <c r="UVH15"/>
      <c r="UVI15"/>
      <c r="UVJ15"/>
      <c r="UVK15"/>
      <c r="UVL15"/>
      <c r="UVM15"/>
      <c r="UVN15"/>
      <c r="UVO15"/>
      <c r="UVP15"/>
      <c r="UVQ15"/>
      <c r="UVR15"/>
      <c r="UVS15"/>
      <c r="UVT15"/>
      <c r="UVU15"/>
      <c r="UVV15"/>
      <c r="UVW15"/>
      <c r="UVX15"/>
      <c r="UVY15"/>
      <c r="UVZ15"/>
      <c r="UWA15"/>
      <c r="UWB15"/>
      <c r="UWC15"/>
      <c r="UWD15"/>
      <c r="UWE15"/>
      <c r="UWF15"/>
      <c r="UWG15"/>
      <c r="UWH15"/>
      <c r="UWI15"/>
      <c r="UWJ15"/>
      <c r="UWK15"/>
      <c r="UWL15"/>
      <c r="UWM15"/>
      <c r="UWN15"/>
      <c r="UWO15"/>
      <c r="UWP15"/>
      <c r="UWQ15"/>
      <c r="UWR15"/>
      <c r="UWS15"/>
      <c r="UWT15"/>
      <c r="UWU15"/>
      <c r="UWV15"/>
      <c r="UWW15"/>
      <c r="UWX15"/>
      <c r="UWY15"/>
      <c r="UWZ15"/>
      <c r="UXA15"/>
      <c r="UXB15"/>
      <c r="UXC15"/>
      <c r="UXD15"/>
      <c r="UXE15"/>
      <c r="UXF15"/>
      <c r="UXG15"/>
      <c r="UXH15"/>
      <c r="UXI15"/>
      <c r="UXJ15"/>
      <c r="UXK15"/>
      <c r="UXL15"/>
      <c r="UXM15"/>
      <c r="UXN15"/>
      <c r="UXO15"/>
      <c r="UXP15"/>
      <c r="UXQ15"/>
      <c r="UXR15"/>
      <c r="UXS15"/>
      <c r="UXT15"/>
      <c r="UXU15"/>
      <c r="UXV15"/>
      <c r="UXW15"/>
      <c r="UXX15"/>
      <c r="UXY15"/>
      <c r="UXZ15"/>
      <c r="UYA15"/>
      <c r="UYB15"/>
      <c r="UYC15"/>
      <c r="UYD15"/>
      <c r="UYE15"/>
      <c r="UYF15"/>
      <c r="UYG15"/>
      <c r="UYH15"/>
      <c r="UYI15"/>
      <c r="UYJ15"/>
      <c r="UYK15"/>
      <c r="UYL15"/>
      <c r="UYM15"/>
      <c r="UYN15"/>
      <c r="UYO15"/>
      <c r="UYP15"/>
      <c r="UYQ15"/>
      <c r="UYR15"/>
      <c r="UYS15"/>
      <c r="UYT15"/>
      <c r="UYU15"/>
      <c r="UYV15"/>
      <c r="UYW15"/>
      <c r="UYX15"/>
      <c r="UYY15"/>
      <c r="UYZ15"/>
      <c r="UZA15"/>
      <c r="UZB15"/>
      <c r="UZC15"/>
      <c r="UZD15"/>
      <c r="UZE15"/>
      <c r="UZF15"/>
      <c r="UZG15"/>
      <c r="UZH15"/>
      <c r="UZI15"/>
      <c r="UZJ15"/>
      <c r="UZK15"/>
      <c r="UZL15"/>
      <c r="UZM15"/>
      <c r="UZN15"/>
      <c r="UZO15"/>
      <c r="UZP15"/>
      <c r="UZQ15"/>
      <c r="UZR15"/>
      <c r="UZS15"/>
      <c r="UZT15"/>
      <c r="UZU15"/>
      <c r="UZV15"/>
      <c r="UZW15"/>
      <c r="UZX15"/>
      <c r="UZY15"/>
      <c r="UZZ15"/>
      <c r="VAA15"/>
      <c r="VAB15"/>
      <c r="VAC15"/>
      <c r="VAD15"/>
      <c r="VAE15"/>
      <c r="VAF15"/>
      <c r="VAG15"/>
      <c r="VAH15"/>
      <c r="VAI15"/>
      <c r="VAJ15"/>
      <c r="VAK15"/>
      <c r="VAL15"/>
      <c r="VAM15"/>
      <c r="VAN15"/>
      <c r="VAO15"/>
      <c r="VAP15"/>
      <c r="VAQ15"/>
      <c r="VAR15"/>
      <c r="VAS15"/>
      <c r="VAT15"/>
      <c r="VAU15"/>
      <c r="VAV15"/>
      <c r="VAW15"/>
      <c r="VAX15"/>
      <c r="VAY15"/>
      <c r="VAZ15"/>
      <c r="VBA15"/>
      <c r="VBB15"/>
      <c r="VBC15"/>
      <c r="VBD15"/>
      <c r="VBE15"/>
      <c r="VBF15"/>
      <c r="VBG15"/>
      <c r="VBH15"/>
      <c r="VBI15"/>
      <c r="VBJ15"/>
      <c r="VBK15"/>
      <c r="VBL15"/>
      <c r="VBM15"/>
      <c r="VBN15"/>
      <c r="VBO15"/>
      <c r="VBP15"/>
      <c r="VBQ15"/>
      <c r="VBR15"/>
      <c r="VBS15"/>
      <c r="VBT15"/>
      <c r="VBU15"/>
      <c r="VBV15"/>
      <c r="VBW15"/>
      <c r="VBX15"/>
      <c r="VBY15"/>
      <c r="VBZ15"/>
      <c r="VCA15"/>
      <c r="VCB15"/>
      <c r="VCC15"/>
      <c r="VCD15"/>
      <c r="VCE15"/>
      <c r="VCF15"/>
      <c r="VCG15"/>
      <c r="VCH15"/>
      <c r="VCI15"/>
      <c r="VCJ15"/>
      <c r="VCK15"/>
      <c r="VCL15"/>
      <c r="VCM15"/>
      <c r="VCN15"/>
      <c r="VCO15"/>
      <c r="VCP15"/>
      <c r="VCQ15"/>
      <c r="VCR15"/>
      <c r="VCS15"/>
      <c r="VCT15"/>
      <c r="VCU15"/>
      <c r="VCV15"/>
      <c r="VCW15"/>
      <c r="VCX15"/>
      <c r="VCY15"/>
      <c r="VCZ15"/>
      <c r="VDA15"/>
      <c r="VDB15"/>
      <c r="VDC15"/>
      <c r="VDD15"/>
      <c r="VDE15"/>
      <c r="VDF15"/>
      <c r="VDG15"/>
      <c r="VDH15"/>
      <c r="VDI15"/>
      <c r="VDJ15"/>
      <c r="VDK15"/>
      <c r="VDL15"/>
      <c r="VDM15"/>
      <c r="VDN15"/>
      <c r="VDO15"/>
      <c r="VDP15"/>
      <c r="VDQ15"/>
      <c r="VDR15"/>
      <c r="VDS15"/>
      <c r="VDT15"/>
      <c r="VDU15"/>
      <c r="VDV15"/>
      <c r="VDW15"/>
      <c r="VDX15"/>
      <c r="VDY15"/>
      <c r="VDZ15"/>
      <c r="VEA15"/>
      <c r="VEB15"/>
      <c r="VEC15"/>
      <c r="VED15"/>
      <c r="VEE15"/>
      <c r="VEF15"/>
      <c r="VEG15"/>
      <c r="VEH15"/>
      <c r="VEI15"/>
      <c r="VEJ15"/>
      <c r="VEK15"/>
      <c r="VEL15"/>
      <c r="VEM15"/>
      <c r="VEN15"/>
      <c r="VEO15"/>
      <c r="VEP15"/>
      <c r="VEQ15"/>
      <c r="VER15"/>
      <c r="VES15"/>
      <c r="VET15"/>
      <c r="VEU15"/>
      <c r="VEV15"/>
      <c r="VEW15"/>
      <c r="VEX15"/>
      <c r="VEY15"/>
      <c r="VEZ15"/>
      <c r="VFA15"/>
      <c r="VFB15"/>
      <c r="VFC15"/>
      <c r="VFD15"/>
      <c r="VFE15"/>
      <c r="VFF15"/>
      <c r="VFG15"/>
      <c r="VFH15"/>
      <c r="VFI15"/>
      <c r="VFJ15"/>
      <c r="VFK15"/>
      <c r="VFL15"/>
      <c r="VFM15"/>
      <c r="VFN15"/>
      <c r="VFO15"/>
      <c r="VFP15"/>
      <c r="VFQ15"/>
      <c r="VFR15"/>
      <c r="VFS15"/>
      <c r="VFT15"/>
      <c r="VFU15"/>
      <c r="VFV15"/>
      <c r="VFW15"/>
      <c r="VFX15"/>
      <c r="VFY15"/>
      <c r="VFZ15"/>
      <c r="VGA15"/>
      <c r="VGB15"/>
      <c r="VGC15"/>
      <c r="VGD15"/>
      <c r="VGE15"/>
      <c r="VGF15"/>
      <c r="VGG15"/>
      <c r="VGH15"/>
      <c r="VGI15"/>
      <c r="VGJ15"/>
      <c r="VGK15"/>
      <c r="VGL15"/>
      <c r="VGM15"/>
      <c r="VGN15"/>
      <c r="VGO15"/>
      <c r="VGP15"/>
      <c r="VGQ15"/>
      <c r="VGR15"/>
      <c r="VGS15"/>
      <c r="VGT15"/>
      <c r="VGU15"/>
      <c r="VGV15"/>
      <c r="VGW15"/>
      <c r="VGX15"/>
      <c r="VGY15"/>
      <c r="VGZ15"/>
      <c r="VHA15"/>
      <c r="VHB15"/>
      <c r="VHC15"/>
      <c r="VHD15"/>
      <c r="VHE15"/>
      <c r="VHF15"/>
      <c r="VHG15"/>
      <c r="VHH15"/>
      <c r="VHI15"/>
      <c r="VHJ15"/>
      <c r="VHK15"/>
      <c r="VHL15"/>
      <c r="VHM15"/>
      <c r="VHN15"/>
      <c r="VHO15"/>
      <c r="VHP15"/>
      <c r="VHQ15"/>
      <c r="VHR15"/>
      <c r="VHS15"/>
      <c r="VHT15"/>
      <c r="VHU15"/>
      <c r="VHV15"/>
      <c r="VHW15"/>
      <c r="VHX15"/>
      <c r="VHY15"/>
      <c r="VHZ15"/>
      <c r="VIA15"/>
      <c r="VIB15"/>
      <c r="VIC15"/>
      <c r="VID15"/>
      <c r="VIE15"/>
      <c r="VIF15"/>
      <c r="VIG15"/>
      <c r="VIH15"/>
      <c r="VII15"/>
      <c r="VIJ15"/>
      <c r="VIK15"/>
      <c r="VIL15"/>
      <c r="VIM15"/>
      <c r="VIN15"/>
      <c r="VIO15"/>
      <c r="VIP15"/>
      <c r="VIQ15"/>
      <c r="VIR15"/>
      <c r="VIS15"/>
      <c r="VIT15"/>
      <c r="VIU15"/>
      <c r="VIV15"/>
      <c r="VIW15"/>
      <c r="VIX15"/>
      <c r="VIY15"/>
      <c r="VIZ15"/>
      <c r="VJA15"/>
      <c r="VJB15"/>
      <c r="VJC15"/>
      <c r="VJD15"/>
      <c r="VJE15"/>
      <c r="VJF15"/>
      <c r="VJG15"/>
      <c r="VJH15"/>
      <c r="VJI15"/>
      <c r="VJJ15"/>
      <c r="VJK15"/>
      <c r="VJL15"/>
      <c r="VJM15"/>
      <c r="VJN15"/>
      <c r="VJO15"/>
      <c r="VJP15"/>
      <c r="VJQ15"/>
      <c r="VJR15"/>
      <c r="VJS15"/>
      <c r="VJT15"/>
      <c r="VJU15"/>
      <c r="VJV15"/>
      <c r="VJW15"/>
      <c r="VJX15"/>
      <c r="VJY15"/>
      <c r="VJZ15"/>
      <c r="VKA15"/>
      <c r="VKB15"/>
      <c r="VKC15"/>
      <c r="VKD15"/>
      <c r="VKE15"/>
      <c r="VKF15"/>
      <c r="VKG15"/>
      <c r="VKH15"/>
      <c r="VKI15"/>
      <c r="VKJ15"/>
      <c r="VKK15"/>
      <c r="VKL15"/>
      <c r="VKM15"/>
      <c r="VKN15"/>
      <c r="VKO15"/>
      <c r="VKP15"/>
      <c r="VKQ15"/>
      <c r="VKR15"/>
      <c r="VKS15"/>
      <c r="VKT15"/>
      <c r="VKU15"/>
      <c r="VKV15"/>
      <c r="VKW15"/>
      <c r="VKX15"/>
      <c r="VKY15"/>
      <c r="VKZ15"/>
      <c r="VLA15"/>
      <c r="VLB15"/>
      <c r="VLC15"/>
      <c r="VLD15"/>
      <c r="VLE15"/>
      <c r="VLF15"/>
      <c r="VLG15"/>
      <c r="VLH15"/>
      <c r="VLI15"/>
      <c r="VLJ15"/>
      <c r="VLK15"/>
      <c r="VLL15"/>
      <c r="VLM15"/>
      <c r="VLN15"/>
      <c r="VLO15"/>
      <c r="VLP15"/>
      <c r="VLQ15"/>
      <c r="VLR15"/>
      <c r="VLS15"/>
      <c r="VLT15"/>
      <c r="VLU15"/>
      <c r="VLV15"/>
      <c r="VLW15"/>
      <c r="VLX15"/>
      <c r="VLY15"/>
      <c r="VLZ15"/>
      <c r="VMA15"/>
      <c r="VMB15"/>
      <c r="VMC15"/>
      <c r="VMD15"/>
      <c r="VME15"/>
      <c r="VMF15"/>
      <c r="VMG15"/>
      <c r="VMH15"/>
      <c r="VMI15"/>
      <c r="VMJ15"/>
      <c r="VMK15"/>
      <c r="VML15"/>
      <c r="VMM15"/>
      <c r="VMN15"/>
      <c r="VMO15"/>
      <c r="VMP15"/>
      <c r="VMQ15"/>
      <c r="VMR15"/>
      <c r="VMS15"/>
      <c r="VMT15"/>
      <c r="VMU15"/>
      <c r="VMV15"/>
      <c r="VMW15"/>
      <c r="VMX15"/>
      <c r="VMY15"/>
      <c r="VMZ15"/>
      <c r="VNA15"/>
      <c r="VNB15"/>
      <c r="VNC15"/>
      <c r="VND15"/>
      <c r="VNE15"/>
      <c r="VNF15"/>
      <c r="VNG15"/>
      <c r="VNH15"/>
      <c r="VNI15"/>
      <c r="VNJ15"/>
      <c r="VNK15"/>
      <c r="VNL15"/>
      <c r="VNM15"/>
      <c r="VNN15"/>
      <c r="VNO15"/>
      <c r="VNP15"/>
      <c r="VNQ15"/>
      <c r="VNR15"/>
      <c r="VNS15"/>
      <c r="VNT15"/>
      <c r="VNU15"/>
      <c r="VNV15"/>
      <c r="VNW15"/>
      <c r="VNX15"/>
      <c r="VNY15"/>
      <c r="VNZ15"/>
      <c r="VOA15"/>
      <c r="VOB15"/>
      <c r="VOC15"/>
      <c r="VOD15"/>
      <c r="VOE15"/>
      <c r="VOF15"/>
      <c r="VOG15"/>
      <c r="VOH15"/>
      <c r="VOI15"/>
      <c r="VOJ15"/>
      <c r="VOK15"/>
      <c r="VOL15"/>
      <c r="VOM15"/>
      <c r="VON15"/>
      <c r="VOO15"/>
      <c r="VOP15"/>
      <c r="VOQ15"/>
      <c r="VOR15"/>
      <c r="VOS15"/>
      <c r="VOT15"/>
      <c r="VOU15"/>
      <c r="VOV15"/>
      <c r="VOW15"/>
      <c r="VOX15"/>
      <c r="VOY15"/>
      <c r="VOZ15"/>
      <c r="VPA15"/>
      <c r="VPB15"/>
      <c r="VPC15"/>
      <c r="VPD15"/>
      <c r="VPE15"/>
      <c r="VPF15"/>
      <c r="VPG15"/>
      <c r="VPH15"/>
      <c r="VPI15"/>
      <c r="VPJ15"/>
      <c r="VPK15"/>
      <c r="VPL15"/>
      <c r="VPM15"/>
      <c r="VPN15"/>
      <c r="VPO15"/>
      <c r="VPP15"/>
      <c r="VPQ15"/>
      <c r="VPR15"/>
      <c r="VPS15"/>
      <c r="VPT15"/>
      <c r="VPU15"/>
      <c r="VPV15"/>
      <c r="VPW15"/>
      <c r="VPX15"/>
      <c r="VPY15"/>
      <c r="VPZ15"/>
      <c r="VQA15"/>
      <c r="VQB15"/>
      <c r="VQC15"/>
      <c r="VQD15"/>
      <c r="VQE15"/>
      <c r="VQF15"/>
      <c r="VQG15"/>
      <c r="VQH15"/>
      <c r="VQI15"/>
      <c r="VQJ15"/>
      <c r="VQK15"/>
      <c r="VQL15"/>
      <c r="VQM15"/>
      <c r="VQN15"/>
      <c r="VQO15"/>
      <c r="VQP15"/>
      <c r="VQQ15"/>
      <c r="VQR15"/>
      <c r="VQS15"/>
      <c r="VQT15"/>
      <c r="VQU15"/>
      <c r="VQV15"/>
      <c r="VQW15"/>
      <c r="VQX15"/>
      <c r="VQY15"/>
      <c r="VQZ15"/>
      <c r="VRA15"/>
      <c r="VRB15"/>
      <c r="VRC15"/>
      <c r="VRD15"/>
      <c r="VRE15"/>
      <c r="VRF15"/>
      <c r="VRG15"/>
      <c r="VRH15"/>
      <c r="VRI15"/>
      <c r="VRJ15"/>
      <c r="VRK15"/>
      <c r="VRL15"/>
      <c r="VRM15"/>
      <c r="VRN15"/>
      <c r="VRO15"/>
      <c r="VRP15"/>
      <c r="VRQ15"/>
      <c r="VRR15"/>
      <c r="VRS15"/>
      <c r="VRT15"/>
      <c r="VRU15"/>
      <c r="VRV15"/>
      <c r="VRW15"/>
      <c r="VRX15"/>
      <c r="VRY15"/>
      <c r="VRZ15"/>
      <c r="VSA15"/>
      <c r="VSB15"/>
      <c r="VSC15"/>
      <c r="VSD15"/>
      <c r="VSE15"/>
      <c r="VSF15"/>
      <c r="VSG15"/>
      <c r="VSH15"/>
      <c r="VSI15"/>
      <c r="VSJ15"/>
      <c r="VSK15"/>
      <c r="VSL15"/>
      <c r="VSM15"/>
      <c r="VSN15"/>
      <c r="VSO15"/>
      <c r="VSP15"/>
      <c r="VSQ15"/>
      <c r="VSR15"/>
      <c r="VSS15"/>
      <c r="VST15"/>
      <c r="VSU15"/>
      <c r="VSV15"/>
      <c r="VSW15"/>
      <c r="VSX15"/>
      <c r="VSY15"/>
      <c r="VSZ15"/>
      <c r="VTA15"/>
      <c r="VTB15"/>
      <c r="VTC15"/>
      <c r="VTD15"/>
      <c r="VTE15"/>
      <c r="VTF15"/>
      <c r="VTG15"/>
      <c r="VTH15"/>
      <c r="VTI15"/>
      <c r="VTJ15"/>
      <c r="VTK15"/>
      <c r="VTL15"/>
      <c r="VTM15"/>
      <c r="VTN15"/>
      <c r="VTO15"/>
      <c r="VTP15"/>
      <c r="VTQ15"/>
      <c r="VTR15"/>
      <c r="VTS15"/>
      <c r="VTT15"/>
      <c r="VTU15"/>
      <c r="VTV15"/>
      <c r="VTW15"/>
      <c r="VTX15"/>
      <c r="VTY15"/>
      <c r="VTZ15"/>
      <c r="VUA15"/>
      <c r="VUB15"/>
      <c r="VUC15"/>
      <c r="VUD15"/>
      <c r="VUE15"/>
      <c r="VUF15"/>
      <c r="VUG15"/>
      <c r="VUH15"/>
      <c r="VUI15"/>
      <c r="VUJ15"/>
      <c r="VUK15"/>
      <c r="VUL15"/>
      <c r="VUM15"/>
      <c r="VUN15"/>
      <c r="VUO15"/>
      <c r="VUP15"/>
      <c r="VUQ15"/>
      <c r="VUR15"/>
      <c r="VUS15"/>
      <c r="VUT15"/>
      <c r="VUU15"/>
      <c r="VUV15"/>
      <c r="VUW15"/>
      <c r="VUX15"/>
      <c r="VUY15"/>
      <c r="VUZ15"/>
      <c r="VVA15"/>
      <c r="VVB15"/>
      <c r="VVC15"/>
      <c r="VVD15"/>
      <c r="VVE15"/>
      <c r="VVF15"/>
      <c r="VVG15"/>
      <c r="VVH15"/>
      <c r="VVI15"/>
      <c r="VVJ15"/>
      <c r="VVK15"/>
      <c r="VVL15"/>
      <c r="VVM15"/>
      <c r="VVN15"/>
      <c r="VVO15"/>
      <c r="VVP15"/>
      <c r="VVQ15"/>
      <c r="VVR15"/>
      <c r="VVS15"/>
      <c r="VVT15"/>
      <c r="VVU15"/>
      <c r="VVV15"/>
      <c r="VVW15"/>
      <c r="VVX15"/>
      <c r="VVY15"/>
      <c r="VVZ15"/>
      <c r="VWA15"/>
      <c r="VWB15"/>
      <c r="VWC15"/>
      <c r="VWD15"/>
      <c r="VWE15"/>
      <c r="VWF15"/>
      <c r="VWG15"/>
      <c r="VWH15"/>
      <c r="VWI15"/>
      <c r="VWJ15"/>
      <c r="VWK15"/>
      <c r="VWL15"/>
      <c r="VWM15"/>
      <c r="VWN15"/>
      <c r="VWO15"/>
      <c r="VWP15"/>
      <c r="VWQ15"/>
      <c r="VWR15"/>
      <c r="VWS15"/>
      <c r="VWT15"/>
      <c r="VWU15"/>
      <c r="VWV15"/>
      <c r="VWW15"/>
      <c r="VWX15"/>
      <c r="VWY15"/>
      <c r="VWZ15"/>
      <c r="VXA15"/>
      <c r="VXB15"/>
      <c r="VXC15"/>
      <c r="VXD15"/>
      <c r="VXE15"/>
      <c r="VXF15"/>
      <c r="VXG15"/>
      <c r="VXH15"/>
      <c r="VXI15"/>
      <c r="VXJ15"/>
      <c r="VXK15"/>
      <c r="VXL15"/>
      <c r="VXM15"/>
      <c r="VXN15"/>
      <c r="VXO15"/>
      <c r="VXP15"/>
      <c r="VXQ15"/>
      <c r="VXR15"/>
      <c r="VXS15"/>
      <c r="VXT15"/>
      <c r="VXU15"/>
      <c r="VXV15"/>
      <c r="VXW15"/>
      <c r="VXX15"/>
      <c r="VXY15"/>
      <c r="VXZ15"/>
      <c r="VYA15"/>
      <c r="VYB15"/>
      <c r="VYC15"/>
      <c r="VYD15"/>
      <c r="VYE15"/>
      <c r="VYF15"/>
      <c r="VYG15"/>
      <c r="VYH15"/>
      <c r="VYI15"/>
      <c r="VYJ15"/>
      <c r="VYK15"/>
      <c r="VYL15"/>
      <c r="VYM15"/>
      <c r="VYN15"/>
      <c r="VYO15"/>
      <c r="VYP15"/>
      <c r="VYQ15"/>
      <c r="VYR15"/>
      <c r="VYS15"/>
      <c r="VYT15"/>
      <c r="VYU15"/>
      <c r="VYV15"/>
      <c r="VYW15"/>
      <c r="VYX15"/>
      <c r="VYY15"/>
      <c r="VYZ15"/>
      <c r="VZA15"/>
      <c r="VZB15"/>
      <c r="VZC15"/>
      <c r="VZD15"/>
      <c r="VZE15"/>
      <c r="VZF15"/>
      <c r="VZG15"/>
      <c r="VZH15"/>
      <c r="VZI15"/>
      <c r="VZJ15"/>
      <c r="VZK15"/>
      <c r="VZL15"/>
      <c r="VZM15"/>
      <c r="VZN15"/>
      <c r="VZO15"/>
      <c r="VZP15"/>
      <c r="VZQ15"/>
      <c r="VZR15"/>
      <c r="VZS15"/>
      <c r="VZT15"/>
      <c r="VZU15"/>
      <c r="VZV15"/>
      <c r="VZW15"/>
      <c r="VZX15"/>
      <c r="VZY15"/>
      <c r="VZZ15"/>
      <c r="WAA15"/>
      <c r="WAB15"/>
      <c r="WAC15"/>
      <c r="WAD15"/>
      <c r="WAE15"/>
      <c r="WAF15"/>
      <c r="WAG15"/>
      <c r="WAH15"/>
      <c r="WAI15"/>
      <c r="WAJ15"/>
      <c r="WAK15"/>
      <c r="WAL15"/>
      <c r="WAM15"/>
      <c r="WAN15"/>
      <c r="WAO15"/>
      <c r="WAP15"/>
      <c r="WAQ15"/>
      <c r="WAR15"/>
      <c r="WAS15"/>
      <c r="WAT15"/>
      <c r="WAU15"/>
      <c r="WAV15"/>
      <c r="WAW15"/>
      <c r="WAX15"/>
      <c r="WAY15"/>
      <c r="WAZ15"/>
      <c r="WBA15"/>
      <c r="WBB15"/>
      <c r="WBC15"/>
      <c r="WBD15"/>
      <c r="WBE15"/>
      <c r="WBF15"/>
      <c r="WBG15"/>
      <c r="WBH15"/>
      <c r="WBI15"/>
      <c r="WBJ15"/>
      <c r="WBK15"/>
      <c r="WBL15"/>
      <c r="WBM15"/>
      <c r="WBN15"/>
      <c r="WBO15"/>
      <c r="WBP15"/>
      <c r="WBQ15"/>
      <c r="WBR15"/>
      <c r="WBS15"/>
      <c r="WBT15"/>
      <c r="WBU15"/>
      <c r="WBV15"/>
      <c r="WBW15"/>
      <c r="WBX15"/>
      <c r="WBY15"/>
      <c r="WBZ15"/>
      <c r="WCA15"/>
      <c r="WCB15"/>
      <c r="WCC15"/>
      <c r="WCD15"/>
      <c r="WCE15"/>
      <c r="WCF15"/>
      <c r="WCG15"/>
      <c r="WCH15"/>
      <c r="WCI15"/>
      <c r="WCJ15"/>
      <c r="WCK15"/>
      <c r="WCL15"/>
      <c r="WCM15"/>
      <c r="WCN15"/>
      <c r="WCO15"/>
      <c r="WCP15"/>
      <c r="WCQ15"/>
      <c r="WCR15"/>
      <c r="WCS15"/>
      <c r="WCT15"/>
      <c r="WCU15"/>
      <c r="WCV15"/>
      <c r="WCW15"/>
      <c r="WCX15"/>
      <c r="WCY15"/>
      <c r="WCZ15"/>
      <c r="WDA15"/>
      <c r="WDB15"/>
      <c r="WDC15"/>
      <c r="WDD15"/>
      <c r="WDE15"/>
      <c r="WDF15"/>
      <c r="WDG15"/>
      <c r="WDH15"/>
      <c r="WDI15"/>
      <c r="WDJ15"/>
      <c r="WDK15"/>
      <c r="WDL15"/>
      <c r="WDM15"/>
      <c r="WDN15"/>
      <c r="WDO15"/>
      <c r="WDP15"/>
      <c r="WDQ15"/>
      <c r="WDR15"/>
      <c r="WDS15"/>
      <c r="WDT15"/>
      <c r="WDU15"/>
      <c r="WDV15"/>
      <c r="WDW15"/>
      <c r="WDX15"/>
      <c r="WDY15"/>
      <c r="WDZ15"/>
      <c r="WEA15"/>
      <c r="WEB15"/>
      <c r="WEC15"/>
      <c r="WED15"/>
      <c r="WEE15"/>
      <c r="WEF15"/>
      <c r="WEG15"/>
      <c r="WEH15"/>
      <c r="WEI15"/>
      <c r="WEJ15"/>
      <c r="WEK15"/>
      <c r="WEL15"/>
      <c r="WEM15"/>
      <c r="WEN15"/>
      <c r="WEO15"/>
      <c r="WEP15"/>
      <c r="WEQ15"/>
      <c r="WER15"/>
      <c r="WES15"/>
      <c r="WET15"/>
      <c r="WEU15"/>
      <c r="WEV15"/>
      <c r="WEW15"/>
      <c r="WEX15"/>
      <c r="WEY15"/>
      <c r="WEZ15"/>
      <c r="WFA15"/>
      <c r="WFB15"/>
      <c r="WFC15"/>
      <c r="WFD15"/>
      <c r="WFE15"/>
      <c r="WFF15"/>
      <c r="WFG15"/>
      <c r="WFH15"/>
      <c r="WFI15"/>
      <c r="WFJ15"/>
      <c r="WFK15"/>
      <c r="WFL15"/>
      <c r="WFM15"/>
      <c r="WFN15"/>
      <c r="WFO15"/>
      <c r="WFP15"/>
      <c r="WFQ15"/>
      <c r="WFR15"/>
      <c r="WFS15"/>
      <c r="WFT15"/>
      <c r="WFU15"/>
      <c r="WFV15"/>
      <c r="WFW15"/>
      <c r="WFX15"/>
      <c r="WFY15"/>
      <c r="WFZ15"/>
      <c r="WGA15"/>
      <c r="WGB15"/>
      <c r="WGC15"/>
      <c r="WGD15"/>
      <c r="WGE15"/>
      <c r="WGF15"/>
      <c r="WGG15"/>
      <c r="WGH15"/>
      <c r="WGI15"/>
      <c r="WGJ15"/>
      <c r="WGK15"/>
      <c r="WGL15"/>
      <c r="WGM15"/>
      <c r="WGN15"/>
      <c r="WGO15"/>
      <c r="WGP15"/>
      <c r="WGQ15"/>
      <c r="WGR15"/>
      <c r="WGS15"/>
      <c r="WGT15"/>
      <c r="WGU15"/>
      <c r="WGV15"/>
      <c r="WGW15"/>
      <c r="WGX15"/>
      <c r="WGY15"/>
      <c r="WGZ15"/>
      <c r="WHA15"/>
      <c r="WHB15"/>
      <c r="WHC15"/>
      <c r="WHD15"/>
      <c r="WHE15"/>
      <c r="WHF15"/>
      <c r="WHG15"/>
      <c r="WHH15"/>
      <c r="WHI15"/>
      <c r="WHJ15"/>
      <c r="WHK15"/>
      <c r="WHL15"/>
      <c r="WHM15"/>
      <c r="WHN15"/>
      <c r="WHO15"/>
      <c r="WHP15"/>
      <c r="WHQ15"/>
      <c r="WHR15"/>
      <c r="WHS15"/>
      <c r="WHT15"/>
      <c r="WHU15"/>
      <c r="WHV15"/>
      <c r="WHW15"/>
      <c r="WHX15"/>
      <c r="WHY15"/>
      <c r="WHZ15"/>
      <c r="WIA15"/>
      <c r="WIB15"/>
      <c r="WIC15"/>
      <c r="WID15"/>
      <c r="WIE15"/>
      <c r="WIF15"/>
      <c r="WIG15"/>
      <c r="WIH15"/>
      <c r="WII15"/>
      <c r="WIJ15"/>
      <c r="WIK15"/>
      <c r="WIL15"/>
      <c r="WIM15"/>
      <c r="WIN15"/>
      <c r="WIO15"/>
      <c r="WIP15"/>
      <c r="WIQ15"/>
      <c r="WIR15"/>
      <c r="WIS15"/>
      <c r="WIT15"/>
      <c r="WIU15"/>
      <c r="WIV15"/>
      <c r="WIW15"/>
      <c r="WIX15"/>
      <c r="WIY15"/>
      <c r="WIZ15"/>
      <c r="WJA15"/>
      <c r="WJB15"/>
      <c r="WJC15"/>
      <c r="WJD15"/>
      <c r="WJE15"/>
      <c r="WJF15"/>
      <c r="WJG15"/>
      <c r="WJH15"/>
      <c r="WJI15"/>
      <c r="WJJ15"/>
      <c r="WJK15"/>
      <c r="WJL15"/>
      <c r="WJM15"/>
      <c r="WJN15"/>
      <c r="WJO15"/>
      <c r="WJP15"/>
      <c r="WJQ15"/>
      <c r="WJR15"/>
      <c r="WJS15"/>
      <c r="WJT15"/>
      <c r="WJU15"/>
      <c r="WJV15"/>
      <c r="WJW15"/>
      <c r="WJX15"/>
      <c r="WJY15"/>
      <c r="WJZ15"/>
      <c r="WKA15"/>
      <c r="WKB15"/>
      <c r="WKC15"/>
      <c r="WKD15"/>
      <c r="WKE15"/>
      <c r="WKF15"/>
      <c r="WKG15"/>
      <c r="WKH15"/>
      <c r="WKI15"/>
      <c r="WKJ15"/>
      <c r="WKK15"/>
      <c r="WKL15"/>
      <c r="WKM15"/>
      <c r="WKN15"/>
      <c r="WKO15"/>
      <c r="WKP15"/>
      <c r="WKQ15"/>
      <c r="WKR15"/>
      <c r="WKS15"/>
      <c r="WKT15"/>
      <c r="WKU15"/>
      <c r="WKV15"/>
      <c r="WKW15"/>
      <c r="WKX15"/>
      <c r="WKY15"/>
      <c r="WKZ15"/>
      <c r="WLA15"/>
      <c r="WLB15"/>
      <c r="WLC15"/>
      <c r="WLD15"/>
      <c r="WLE15"/>
      <c r="WLF15"/>
      <c r="WLG15"/>
      <c r="WLH15"/>
      <c r="WLI15"/>
      <c r="WLJ15"/>
      <c r="WLK15"/>
      <c r="WLL15"/>
      <c r="WLM15"/>
      <c r="WLN15"/>
      <c r="WLO15"/>
      <c r="WLP15"/>
      <c r="WLQ15"/>
      <c r="WLR15"/>
      <c r="WLS15"/>
      <c r="WLT15"/>
      <c r="WLU15"/>
      <c r="WLV15"/>
      <c r="WLW15"/>
      <c r="WLX15"/>
      <c r="WLY15"/>
      <c r="WLZ15"/>
      <c r="WMA15"/>
      <c r="WMB15"/>
      <c r="WMC15"/>
      <c r="WMD15"/>
      <c r="WME15"/>
      <c r="WMF15"/>
      <c r="WMG15"/>
      <c r="WMH15"/>
      <c r="WMI15"/>
      <c r="WMJ15"/>
      <c r="WMK15"/>
      <c r="WML15"/>
      <c r="WMM15"/>
      <c r="WMN15"/>
      <c r="WMO15"/>
      <c r="WMP15"/>
      <c r="WMQ15"/>
      <c r="WMR15"/>
      <c r="WMS15"/>
      <c r="WMT15"/>
      <c r="WMU15"/>
      <c r="WMV15"/>
      <c r="WMW15"/>
      <c r="WMX15"/>
      <c r="WMY15"/>
      <c r="WMZ15"/>
      <c r="WNA15"/>
      <c r="WNB15"/>
      <c r="WNC15"/>
      <c r="WND15"/>
      <c r="WNE15"/>
      <c r="WNF15"/>
      <c r="WNG15"/>
      <c r="WNH15"/>
      <c r="WNI15"/>
      <c r="WNJ15"/>
      <c r="WNK15"/>
      <c r="WNL15"/>
      <c r="WNM15"/>
      <c r="WNN15"/>
      <c r="WNO15"/>
      <c r="WNP15"/>
      <c r="WNQ15"/>
      <c r="WNR15"/>
      <c r="WNS15"/>
      <c r="WNT15"/>
      <c r="WNU15"/>
      <c r="WNV15"/>
      <c r="WNW15"/>
      <c r="WNX15"/>
      <c r="WNY15"/>
      <c r="WNZ15"/>
      <c r="WOA15"/>
      <c r="WOB15"/>
      <c r="WOC15"/>
      <c r="WOD15"/>
      <c r="WOE15"/>
      <c r="WOF15"/>
      <c r="WOG15"/>
      <c r="WOH15"/>
      <c r="WOI15"/>
      <c r="WOJ15"/>
      <c r="WOK15"/>
      <c r="WOL15"/>
      <c r="WOM15"/>
      <c r="WON15"/>
      <c r="WOO15"/>
      <c r="WOP15"/>
      <c r="WOQ15"/>
      <c r="WOR15"/>
      <c r="WOS15"/>
      <c r="WOT15"/>
      <c r="WOU15"/>
      <c r="WOV15"/>
      <c r="WOW15"/>
      <c r="WOX15"/>
      <c r="WOY15"/>
      <c r="WOZ15"/>
      <c r="WPA15"/>
      <c r="WPB15"/>
      <c r="WPC15"/>
      <c r="WPD15"/>
      <c r="WPE15"/>
      <c r="WPF15"/>
      <c r="WPG15"/>
      <c r="WPH15"/>
      <c r="WPI15"/>
      <c r="WPJ15"/>
      <c r="WPK15"/>
      <c r="WPL15"/>
      <c r="WPM15"/>
      <c r="WPN15"/>
      <c r="WPO15"/>
      <c r="WPP15"/>
      <c r="WPQ15"/>
      <c r="WPR15"/>
      <c r="WPS15"/>
      <c r="WPT15"/>
      <c r="WPU15"/>
      <c r="WPV15"/>
      <c r="WPW15"/>
      <c r="WPX15"/>
      <c r="WPY15"/>
      <c r="WPZ15"/>
      <c r="WQA15"/>
      <c r="WQB15"/>
      <c r="WQC15"/>
      <c r="WQD15"/>
      <c r="WQE15"/>
      <c r="WQF15"/>
      <c r="WQG15"/>
      <c r="WQH15"/>
      <c r="WQI15"/>
      <c r="WQJ15"/>
      <c r="WQK15"/>
      <c r="WQL15"/>
      <c r="WQM15"/>
      <c r="WQN15"/>
      <c r="WQO15"/>
      <c r="WQP15"/>
      <c r="WQQ15"/>
      <c r="WQR15"/>
      <c r="WQS15"/>
      <c r="WQT15"/>
      <c r="WQU15"/>
      <c r="WQV15"/>
      <c r="WQW15"/>
      <c r="WQX15"/>
      <c r="WQY15"/>
      <c r="WQZ15"/>
      <c r="WRA15"/>
      <c r="WRB15"/>
      <c r="WRC15"/>
      <c r="WRD15"/>
      <c r="WRE15"/>
      <c r="WRF15"/>
      <c r="WRG15"/>
      <c r="WRH15"/>
      <c r="WRI15"/>
      <c r="WRJ15"/>
      <c r="WRK15"/>
      <c r="WRL15"/>
      <c r="WRM15"/>
      <c r="WRN15"/>
      <c r="WRO15"/>
      <c r="WRP15"/>
      <c r="WRQ15"/>
      <c r="WRR15"/>
      <c r="WRS15"/>
      <c r="WRT15"/>
      <c r="WRU15"/>
      <c r="WRV15"/>
      <c r="WRW15"/>
      <c r="WRX15"/>
      <c r="WRY15"/>
      <c r="WRZ15"/>
      <c r="WSA15"/>
      <c r="WSB15"/>
      <c r="WSC15"/>
      <c r="WSD15"/>
      <c r="WSE15"/>
      <c r="WSF15"/>
      <c r="WSG15"/>
      <c r="WSH15"/>
      <c r="WSI15"/>
      <c r="WSJ15"/>
      <c r="WSK15"/>
      <c r="WSL15"/>
      <c r="WSM15"/>
      <c r="WSN15"/>
      <c r="WSO15"/>
      <c r="WSP15"/>
      <c r="WSQ15"/>
      <c r="WSR15"/>
      <c r="WSS15"/>
      <c r="WST15"/>
      <c r="WSU15"/>
      <c r="WSV15"/>
      <c r="WSW15"/>
      <c r="WSX15"/>
      <c r="WSY15"/>
      <c r="WSZ15"/>
      <c r="WTA15"/>
      <c r="WTB15"/>
      <c r="WTC15"/>
      <c r="WTD15"/>
      <c r="WTE15"/>
      <c r="WTF15"/>
      <c r="WTG15"/>
      <c r="WTH15"/>
      <c r="WTI15"/>
      <c r="WTJ15"/>
      <c r="WTK15"/>
      <c r="WTL15"/>
      <c r="WTM15"/>
      <c r="WTN15"/>
      <c r="WTO15"/>
      <c r="WTP15"/>
      <c r="WTQ15"/>
      <c r="WTR15"/>
      <c r="WTS15"/>
      <c r="WTT15"/>
      <c r="WTU15"/>
      <c r="WTV15"/>
      <c r="WTW15"/>
      <c r="WTX15"/>
      <c r="WTY15"/>
      <c r="WTZ15"/>
      <c r="WUA15"/>
      <c r="WUB15"/>
      <c r="WUC15"/>
      <c r="WUD15"/>
      <c r="WUE15"/>
      <c r="WUF15"/>
      <c r="WUG15"/>
      <c r="WUH15"/>
      <c r="WUI15"/>
      <c r="WUJ15"/>
      <c r="WUK15"/>
      <c r="WUL15"/>
      <c r="WUM15"/>
      <c r="WUN15"/>
      <c r="WUO15"/>
      <c r="WUP15"/>
      <c r="WUQ15"/>
      <c r="WUR15"/>
      <c r="WUS15"/>
      <c r="WUT15"/>
      <c r="WUU15"/>
      <c r="WUV15"/>
      <c r="WUW15"/>
      <c r="WUX15"/>
      <c r="WUY15"/>
      <c r="WUZ15"/>
      <c r="WVA15"/>
      <c r="WVB15"/>
      <c r="WVC15"/>
      <c r="WVD15"/>
      <c r="WVE15"/>
      <c r="WVF15"/>
      <c r="WVG15"/>
      <c r="WVH15"/>
      <c r="WVI15"/>
      <c r="WVJ15"/>
      <c r="WVK15"/>
      <c r="WVL15"/>
      <c r="WVM15"/>
      <c r="WVN15"/>
      <c r="WVO15"/>
      <c r="WVP15"/>
      <c r="WVQ15"/>
      <c r="WVR15"/>
      <c r="WVS15"/>
      <c r="WVT15"/>
      <c r="WVU15"/>
      <c r="WVV15"/>
      <c r="WVW15"/>
      <c r="WVX15"/>
      <c r="WVY15"/>
      <c r="WVZ15"/>
      <c r="WWA15"/>
      <c r="WWB15"/>
      <c r="WWC15"/>
      <c r="WWD15"/>
      <c r="WWE15"/>
      <c r="WWF15"/>
      <c r="WWG15"/>
      <c r="WWH15"/>
      <c r="WWI15"/>
      <c r="WWJ15"/>
      <c r="WWK15"/>
      <c r="WWL15"/>
      <c r="WWM15"/>
      <c r="WWN15"/>
      <c r="WWO15"/>
      <c r="WWP15"/>
      <c r="WWQ15"/>
      <c r="WWR15"/>
      <c r="WWS15"/>
      <c r="WWT15"/>
      <c r="WWU15"/>
      <c r="WWV15"/>
      <c r="WWW15"/>
      <c r="WWX15"/>
      <c r="WWY15"/>
      <c r="WWZ15"/>
      <c r="WXA15"/>
      <c r="WXB15"/>
      <c r="WXC15"/>
      <c r="WXD15"/>
      <c r="WXE15"/>
      <c r="WXF15"/>
      <c r="WXG15"/>
      <c r="WXH15"/>
      <c r="WXI15"/>
      <c r="WXJ15"/>
      <c r="WXK15"/>
      <c r="WXL15"/>
      <c r="WXM15"/>
      <c r="WXN15"/>
      <c r="WXO15"/>
      <c r="WXP15"/>
      <c r="WXQ15"/>
      <c r="WXR15"/>
      <c r="WXS15"/>
      <c r="WXT15"/>
      <c r="WXU15"/>
      <c r="WXV15"/>
      <c r="WXW15"/>
      <c r="WXX15"/>
      <c r="WXY15"/>
      <c r="WXZ15"/>
      <c r="WYA15"/>
      <c r="WYB15"/>
      <c r="WYC15"/>
      <c r="WYD15"/>
      <c r="WYE15"/>
      <c r="WYF15"/>
      <c r="WYG15"/>
      <c r="WYH15"/>
      <c r="WYI15"/>
      <c r="WYJ15"/>
      <c r="WYK15"/>
      <c r="WYL15"/>
      <c r="WYM15"/>
      <c r="WYN15"/>
      <c r="WYO15"/>
      <c r="WYP15"/>
      <c r="WYQ15"/>
      <c r="WYR15"/>
      <c r="WYS15"/>
      <c r="WYT15"/>
      <c r="WYU15"/>
      <c r="WYV15"/>
      <c r="WYW15"/>
      <c r="WYX15"/>
      <c r="WYY15"/>
      <c r="WYZ15"/>
      <c r="WZA15"/>
      <c r="WZB15"/>
      <c r="WZC15"/>
      <c r="WZD15"/>
      <c r="WZE15"/>
      <c r="WZF15"/>
      <c r="WZG15"/>
      <c r="WZH15"/>
      <c r="WZI15"/>
      <c r="WZJ15"/>
      <c r="WZK15"/>
      <c r="WZL15"/>
      <c r="WZM15"/>
      <c r="WZN15"/>
      <c r="WZO15"/>
      <c r="WZP15"/>
      <c r="WZQ15"/>
      <c r="WZR15"/>
      <c r="WZS15"/>
      <c r="WZT15"/>
      <c r="WZU15"/>
      <c r="WZV15"/>
      <c r="WZW15"/>
      <c r="WZX15"/>
      <c r="WZY15"/>
      <c r="WZZ15"/>
      <c r="XAA15"/>
      <c r="XAB15"/>
      <c r="XAC15"/>
      <c r="XAD15"/>
      <c r="XAE15"/>
      <c r="XAF15"/>
      <c r="XAG15"/>
      <c r="XAH15"/>
      <c r="XAI15"/>
      <c r="XAJ15"/>
      <c r="XAK15"/>
      <c r="XAL15"/>
      <c r="XAM15"/>
      <c r="XAN15"/>
      <c r="XAO15"/>
      <c r="XAP15"/>
      <c r="XAQ15"/>
      <c r="XAR15"/>
      <c r="XAS15"/>
      <c r="XAT15"/>
      <c r="XAU15"/>
      <c r="XAV15"/>
      <c r="XAW15"/>
      <c r="XAX15"/>
      <c r="XAY15"/>
      <c r="XAZ15"/>
      <c r="XBA15"/>
      <c r="XBB15"/>
      <c r="XBC15"/>
      <c r="XBD15"/>
      <c r="XBE15"/>
      <c r="XBF15"/>
      <c r="XBG15"/>
      <c r="XBH15"/>
      <c r="XBI15"/>
      <c r="XBJ15"/>
      <c r="XBK15"/>
      <c r="XBL15"/>
      <c r="XBM15"/>
      <c r="XBN15"/>
      <c r="XBO15"/>
      <c r="XBP15"/>
      <c r="XBQ15"/>
      <c r="XBR15"/>
      <c r="XBS15"/>
      <c r="XBT15"/>
      <c r="XBU15"/>
      <c r="XBV15"/>
      <c r="XBW15"/>
      <c r="XBX15"/>
      <c r="XBY15"/>
      <c r="XBZ15"/>
      <c r="XCA15"/>
      <c r="XCB15"/>
      <c r="XCC15"/>
      <c r="XCD15"/>
      <c r="XCE15"/>
      <c r="XCF15"/>
      <c r="XCG15"/>
      <c r="XCH15"/>
      <c r="XCI15"/>
      <c r="XCJ15"/>
      <c r="XCK15"/>
      <c r="XCL15"/>
      <c r="XCM15"/>
      <c r="XCN15"/>
      <c r="XCO15"/>
      <c r="XCP15"/>
      <c r="XCQ15"/>
      <c r="XCR15"/>
      <c r="XCS15"/>
      <c r="XCT15"/>
      <c r="XCU15"/>
      <c r="XCV15"/>
      <c r="XCW15"/>
      <c r="XCX15"/>
      <c r="XCY15"/>
      <c r="XCZ15"/>
      <c r="XDA15"/>
      <c r="XDB15"/>
      <c r="XDC15"/>
      <c r="XDD15"/>
      <c r="XDE15"/>
      <c r="XDF15"/>
      <c r="XDG15"/>
      <c r="XDH15"/>
      <c r="XDI15"/>
      <c r="XDJ15"/>
      <c r="XDK15"/>
      <c r="XDL15"/>
      <c r="XDM15"/>
      <c r="XDN15"/>
      <c r="XDO15"/>
      <c r="XDP15"/>
      <c r="XDQ15"/>
      <c r="XDR15"/>
      <c r="XDS15"/>
      <c r="XDT15"/>
      <c r="XDU15"/>
      <c r="XDV15"/>
      <c r="XDW15"/>
      <c r="XDX15"/>
      <c r="XDY15"/>
      <c r="XDZ15"/>
      <c r="XEA15"/>
      <c r="XEB15"/>
      <c r="XEC15"/>
      <c r="XED15"/>
      <c r="XEE15"/>
      <c r="XEF15"/>
      <c r="XEG15"/>
      <c r="XEH15"/>
      <c r="XEI15"/>
      <c r="XEJ15"/>
      <c r="XEK15"/>
      <c r="XEL15"/>
      <c r="XEM15"/>
      <c r="XEN15"/>
      <c r="XEO15"/>
      <c r="XEP15"/>
      <c r="XEQ15"/>
      <c r="XER15"/>
      <c r="XES15"/>
      <c r="XET15"/>
      <c r="XEU15"/>
      <c r="XEV15"/>
      <c r="XEW15"/>
      <c r="XEX15"/>
      <c r="XEY15"/>
      <c r="XEZ15"/>
      <c r="XFA15"/>
      <c r="XFB15"/>
    </row>
    <row r="16" spans="1:16382" x14ac:dyDescent="0.35">
      <c r="B16" t="s">
        <v>914</v>
      </c>
      <c r="C16" s="25" t="s">
        <v>367</v>
      </c>
      <c r="D16" s="26" t="s">
        <v>368</v>
      </c>
      <c r="E16" s="26" t="s">
        <v>369</v>
      </c>
      <c r="F16" s="26" t="s">
        <v>370</v>
      </c>
      <c r="G16" s="26" t="s">
        <v>188</v>
      </c>
      <c r="H16" s="26" t="s">
        <v>371</v>
      </c>
      <c r="I16" s="26" t="s">
        <v>204</v>
      </c>
      <c r="J16" s="27" t="s">
        <v>372</v>
      </c>
      <c r="K16" s="26" t="s">
        <v>82</v>
      </c>
      <c r="L16" s="34">
        <v>500</v>
      </c>
      <c r="M16" s="34">
        <v>500</v>
      </c>
      <c r="N16" s="16">
        <f t="shared" si="0"/>
        <v>1964.3076923076924</v>
      </c>
      <c r="O16" s="34">
        <v>500</v>
      </c>
      <c r="P16" s="34">
        <v>500</v>
      </c>
      <c r="Q16" s="16">
        <f t="shared" si="1"/>
        <v>652.17391304347825</v>
      </c>
      <c r="R16" s="34">
        <v>500</v>
      </c>
      <c r="S16" s="34">
        <v>500</v>
      </c>
      <c r="T16" s="16">
        <f t="shared" si="2"/>
        <v>472.13114754098365</v>
      </c>
      <c r="U16" s="34">
        <v>0</v>
      </c>
      <c r="V16" s="34">
        <v>0</v>
      </c>
      <c r="W16" s="16">
        <f t="shared" si="3"/>
        <v>0</v>
      </c>
      <c r="X16" s="34">
        <v>0</v>
      </c>
      <c r="Y16" s="34">
        <v>0</v>
      </c>
      <c r="Z16" s="16">
        <f t="shared" si="4"/>
        <v>0</v>
      </c>
      <c r="AA16" s="34">
        <v>0</v>
      </c>
      <c r="AB16" s="34">
        <v>0</v>
      </c>
      <c r="AC16" s="16">
        <f t="shared" si="5"/>
        <v>0</v>
      </c>
      <c r="AD16" s="31" t="s">
        <v>82</v>
      </c>
      <c r="AE16" s="5">
        <v>1</v>
      </c>
    </row>
    <row r="17" spans="1:16382" x14ac:dyDescent="0.35">
      <c r="B17" t="s">
        <v>914</v>
      </c>
      <c r="C17" s="28" t="s">
        <v>381</v>
      </c>
      <c r="D17" s="29" t="s">
        <v>382</v>
      </c>
      <c r="E17" s="29" t="s">
        <v>383</v>
      </c>
      <c r="F17" s="29" t="s">
        <v>384</v>
      </c>
      <c r="G17" s="29" t="s">
        <v>188</v>
      </c>
      <c r="H17" s="29" t="s">
        <v>385</v>
      </c>
      <c r="I17" s="29" t="s">
        <v>160</v>
      </c>
      <c r="J17" s="30" t="s">
        <v>386</v>
      </c>
      <c r="K17" s="29" t="s">
        <v>82</v>
      </c>
      <c r="L17" s="35">
        <v>2250</v>
      </c>
      <c r="M17" s="35">
        <v>2250</v>
      </c>
      <c r="N17" s="16">
        <f t="shared" si="0"/>
        <v>8839.3846153846152</v>
      </c>
      <c r="O17" s="35">
        <v>0</v>
      </c>
      <c r="P17" s="35">
        <v>0</v>
      </c>
      <c r="Q17" s="16">
        <f t="shared" si="1"/>
        <v>0</v>
      </c>
      <c r="R17" s="35">
        <v>2250</v>
      </c>
      <c r="S17" s="35">
        <v>2250</v>
      </c>
      <c r="T17" s="16">
        <f t="shared" si="2"/>
        <v>2124.5901639344261</v>
      </c>
      <c r="U17" s="35">
        <v>0</v>
      </c>
      <c r="V17" s="35">
        <v>0</v>
      </c>
      <c r="W17" s="16">
        <f t="shared" si="3"/>
        <v>0</v>
      </c>
      <c r="X17" s="35">
        <v>0</v>
      </c>
      <c r="Y17" s="35">
        <v>0</v>
      </c>
      <c r="Z17" s="16">
        <f t="shared" si="4"/>
        <v>0</v>
      </c>
      <c r="AA17" s="35">
        <v>0</v>
      </c>
      <c r="AB17" s="35">
        <v>0</v>
      </c>
      <c r="AC17" s="16">
        <f t="shared" si="5"/>
        <v>0</v>
      </c>
      <c r="AD17" s="32" t="s">
        <v>82</v>
      </c>
      <c r="AE17" s="5">
        <v>1</v>
      </c>
    </row>
    <row r="18" spans="1:16382" x14ac:dyDescent="0.35">
      <c r="B18" t="s">
        <v>914</v>
      </c>
      <c r="C18" s="28" t="s">
        <v>394</v>
      </c>
      <c r="D18" s="29" t="s">
        <v>395</v>
      </c>
      <c r="E18" s="29" t="s">
        <v>396</v>
      </c>
      <c r="F18" s="29" t="s">
        <v>397</v>
      </c>
      <c r="G18" s="29" t="s">
        <v>398</v>
      </c>
      <c r="H18" s="29" t="s">
        <v>399</v>
      </c>
      <c r="I18" s="29" t="s">
        <v>400</v>
      </c>
      <c r="J18" s="30" t="s">
        <v>401</v>
      </c>
      <c r="K18" s="29" t="s">
        <v>82</v>
      </c>
      <c r="L18" s="35">
        <v>2250</v>
      </c>
      <c r="M18" s="35">
        <v>2250</v>
      </c>
      <c r="N18" s="16">
        <f t="shared" si="0"/>
        <v>8839.3846153846152</v>
      </c>
      <c r="O18" s="35">
        <v>1000</v>
      </c>
      <c r="P18" s="35">
        <v>1000</v>
      </c>
      <c r="Q18" s="16">
        <f t="shared" si="1"/>
        <v>1304.3478260869565</v>
      </c>
      <c r="R18" s="35">
        <v>0</v>
      </c>
      <c r="S18" s="35">
        <v>0</v>
      </c>
      <c r="T18" s="16">
        <f t="shared" si="2"/>
        <v>0</v>
      </c>
      <c r="U18" s="35">
        <v>0</v>
      </c>
      <c r="V18" s="35">
        <v>0</v>
      </c>
      <c r="W18" s="16">
        <f t="shared" si="3"/>
        <v>0</v>
      </c>
      <c r="X18" s="35">
        <v>500</v>
      </c>
      <c r="Y18" s="35">
        <v>500</v>
      </c>
      <c r="Z18" s="16">
        <f t="shared" si="4"/>
        <v>0</v>
      </c>
      <c r="AA18" s="35">
        <v>0</v>
      </c>
      <c r="AB18" s="35">
        <v>0</v>
      </c>
      <c r="AC18" s="16">
        <f t="shared" si="5"/>
        <v>0</v>
      </c>
      <c r="AD18" s="32" t="s">
        <v>82</v>
      </c>
      <c r="AE18" s="5">
        <v>1</v>
      </c>
    </row>
    <row r="19" spans="1:16382" x14ac:dyDescent="0.35">
      <c r="B19" t="s">
        <v>914</v>
      </c>
      <c r="C19" s="28" t="s">
        <v>444</v>
      </c>
      <c r="D19" s="29" t="s">
        <v>445</v>
      </c>
      <c r="E19" s="29" t="s">
        <v>446</v>
      </c>
      <c r="F19" s="29" t="s">
        <v>447</v>
      </c>
      <c r="G19" s="29" t="s">
        <v>188</v>
      </c>
      <c r="H19" s="29" t="s">
        <v>448</v>
      </c>
      <c r="I19" s="29" t="s">
        <v>160</v>
      </c>
      <c r="J19" s="30" t="s">
        <v>449</v>
      </c>
      <c r="K19" s="29" t="s">
        <v>82</v>
      </c>
      <c r="L19" s="35">
        <v>500</v>
      </c>
      <c r="M19" s="35">
        <v>500</v>
      </c>
      <c r="N19" s="16">
        <f t="shared" si="0"/>
        <v>1964.3076923076924</v>
      </c>
      <c r="O19" s="35">
        <v>500</v>
      </c>
      <c r="P19" s="35">
        <v>500</v>
      </c>
      <c r="Q19" s="16">
        <f t="shared" si="1"/>
        <v>652.17391304347825</v>
      </c>
      <c r="R19" s="35">
        <v>0</v>
      </c>
      <c r="S19" s="35">
        <v>0</v>
      </c>
      <c r="T19" s="16">
        <f t="shared" si="2"/>
        <v>0</v>
      </c>
      <c r="U19" s="35">
        <v>0</v>
      </c>
      <c r="V19" s="35">
        <v>0</v>
      </c>
      <c r="W19" s="16">
        <f t="shared" si="3"/>
        <v>0</v>
      </c>
      <c r="X19" s="35">
        <v>0</v>
      </c>
      <c r="Y19" s="35">
        <v>0</v>
      </c>
      <c r="Z19" s="16">
        <f t="shared" si="4"/>
        <v>0</v>
      </c>
      <c r="AA19" s="35">
        <v>0</v>
      </c>
      <c r="AB19" s="35">
        <v>0</v>
      </c>
      <c r="AC19" s="16">
        <f t="shared" si="5"/>
        <v>0</v>
      </c>
      <c r="AD19" s="32" t="s">
        <v>82</v>
      </c>
      <c r="AE19" s="5">
        <v>1</v>
      </c>
    </row>
    <row r="20" spans="1:16382" x14ac:dyDescent="0.35">
      <c r="B20" t="s">
        <v>914</v>
      </c>
      <c r="C20" s="28" t="s">
        <v>463</v>
      </c>
      <c r="D20" s="29" t="s">
        <v>464</v>
      </c>
      <c r="E20" s="29" t="s">
        <v>465</v>
      </c>
      <c r="F20" s="29" t="s">
        <v>466</v>
      </c>
      <c r="G20" s="29" t="s">
        <v>467</v>
      </c>
      <c r="H20" s="29" t="s">
        <v>468</v>
      </c>
      <c r="I20" s="29" t="s">
        <v>469</v>
      </c>
      <c r="J20" s="30" t="s">
        <v>470</v>
      </c>
      <c r="K20" s="29" t="s">
        <v>82</v>
      </c>
      <c r="L20" s="35">
        <v>1500</v>
      </c>
      <c r="M20" s="35">
        <v>1500</v>
      </c>
      <c r="N20" s="16">
        <f t="shared" si="0"/>
        <v>5892.9230769230771</v>
      </c>
      <c r="O20" s="35">
        <v>2250</v>
      </c>
      <c r="P20" s="35">
        <v>2250</v>
      </c>
      <c r="Q20" s="16">
        <f t="shared" si="1"/>
        <v>2934.782608695652</v>
      </c>
      <c r="R20" s="35">
        <v>1500</v>
      </c>
      <c r="S20" s="35">
        <v>1500</v>
      </c>
      <c r="T20" s="16">
        <f t="shared" si="2"/>
        <v>1416.3934426229509</v>
      </c>
      <c r="U20" s="35">
        <v>0</v>
      </c>
      <c r="V20" s="35">
        <v>0</v>
      </c>
      <c r="W20" s="16">
        <f t="shared" si="3"/>
        <v>0</v>
      </c>
      <c r="X20" s="35">
        <v>0</v>
      </c>
      <c r="Y20" s="35">
        <v>0</v>
      </c>
      <c r="Z20" s="16">
        <f t="shared" si="4"/>
        <v>0</v>
      </c>
      <c r="AA20" s="35">
        <v>0</v>
      </c>
      <c r="AB20" s="35">
        <v>0</v>
      </c>
      <c r="AC20" s="16">
        <f t="shared" si="5"/>
        <v>0</v>
      </c>
      <c r="AD20" s="32" t="s">
        <v>82</v>
      </c>
      <c r="AE20" s="5">
        <v>1</v>
      </c>
    </row>
    <row r="21" spans="1:16382" s="44" customFormat="1" x14ac:dyDescent="0.35">
      <c r="A21"/>
      <c r="B21" t="s">
        <v>914</v>
      </c>
      <c r="C21" s="28" t="s">
        <v>486</v>
      </c>
      <c r="D21" s="29" t="s">
        <v>487</v>
      </c>
      <c r="E21" s="29" t="s">
        <v>488</v>
      </c>
      <c r="F21" s="29" t="s">
        <v>489</v>
      </c>
      <c r="G21" s="29" t="s">
        <v>490</v>
      </c>
      <c r="H21" s="29" t="s">
        <v>491</v>
      </c>
      <c r="I21" s="29" t="s">
        <v>492</v>
      </c>
      <c r="J21" s="30" t="s">
        <v>493</v>
      </c>
      <c r="K21" s="29" t="s">
        <v>82</v>
      </c>
      <c r="L21" s="35">
        <v>1000</v>
      </c>
      <c r="M21" s="35">
        <v>1000</v>
      </c>
      <c r="N21" s="16">
        <f t="shared" si="0"/>
        <v>3928.6153846153848</v>
      </c>
      <c r="O21" s="35">
        <v>1000</v>
      </c>
      <c r="P21" s="35">
        <v>1000</v>
      </c>
      <c r="Q21" s="16">
        <f t="shared" si="1"/>
        <v>1304.3478260869565</v>
      </c>
      <c r="R21" s="35">
        <v>1000</v>
      </c>
      <c r="S21" s="35">
        <v>1000</v>
      </c>
      <c r="T21" s="16">
        <f t="shared" si="2"/>
        <v>944.2622950819673</v>
      </c>
      <c r="U21" s="35">
        <v>500</v>
      </c>
      <c r="V21" s="35">
        <v>500</v>
      </c>
      <c r="W21" s="16">
        <f t="shared" si="3"/>
        <v>3.3333333333333335</v>
      </c>
      <c r="X21" s="35">
        <v>500</v>
      </c>
      <c r="Y21" s="35">
        <v>500</v>
      </c>
      <c r="Z21" s="16">
        <f t="shared" si="4"/>
        <v>0</v>
      </c>
      <c r="AA21" s="35">
        <v>0</v>
      </c>
      <c r="AB21" s="35">
        <v>0</v>
      </c>
      <c r="AC21" s="16">
        <f t="shared" si="5"/>
        <v>0</v>
      </c>
      <c r="AD21" s="32" t="s">
        <v>91</v>
      </c>
      <c r="AE21" s="22">
        <v>1</v>
      </c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  <c r="AJY21"/>
      <c r="AJZ21"/>
      <c r="AKA21"/>
      <c r="AKB21"/>
      <c r="AKC21"/>
      <c r="AKD21"/>
      <c r="AKE21"/>
      <c r="AKF21"/>
      <c r="AKG21"/>
      <c r="AKH21"/>
      <c r="AKI21"/>
      <c r="AKJ21"/>
      <c r="AKK21"/>
      <c r="AKL21"/>
      <c r="AKM21"/>
      <c r="AKN21"/>
      <c r="AKO21"/>
      <c r="AKP21"/>
      <c r="AKQ21"/>
      <c r="AKR21"/>
      <c r="AKS21"/>
      <c r="AKT21"/>
      <c r="AKU21"/>
      <c r="AKV21"/>
      <c r="AKW21"/>
      <c r="AKX21"/>
      <c r="AKY21"/>
      <c r="AKZ21"/>
      <c r="ALA21"/>
      <c r="ALB21"/>
      <c r="ALC21"/>
      <c r="ALD21"/>
      <c r="ALE21"/>
      <c r="ALF21"/>
      <c r="ALG21"/>
      <c r="ALH21"/>
      <c r="ALI21"/>
      <c r="ALJ21"/>
      <c r="ALK21"/>
      <c r="ALL21"/>
      <c r="ALM21"/>
      <c r="ALN21"/>
      <c r="ALO21"/>
      <c r="ALP21"/>
      <c r="ALQ21"/>
      <c r="ALR21"/>
      <c r="ALS21"/>
      <c r="ALT21"/>
      <c r="ALU21"/>
      <c r="ALV21"/>
      <c r="ALW21"/>
      <c r="ALX21"/>
      <c r="ALY21"/>
      <c r="ALZ21"/>
      <c r="AMA21"/>
      <c r="AMB21"/>
      <c r="AMC21"/>
      <c r="AMD21"/>
      <c r="AME21"/>
      <c r="AMF21"/>
      <c r="AMG21"/>
      <c r="AMH21"/>
      <c r="AMI21"/>
      <c r="AMJ21"/>
      <c r="AMK21"/>
      <c r="AML21"/>
      <c r="AMM21"/>
      <c r="AMN21"/>
      <c r="AMO21"/>
      <c r="AMP21"/>
      <c r="AMQ21"/>
      <c r="AMR21"/>
      <c r="AMS21"/>
      <c r="AMT21"/>
      <c r="AMU21"/>
      <c r="AMV21"/>
      <c r="AMW21"/>
      <c r="AMX21"/>
      <c r="AMY21"/>
      <c r="AMZ21"/>
      <c r="ANA21"/>
      <c r="ANB21"/>
      <c r="ANC21"/>
      <c r="AND21"/>
      <c r="ANE21"/>
      <c r="ANF21"/>
      <c r="ANG21"/>
      <c r="ANH21"/>
      <c r="ANI21"/>
      <c r="ANJ21"/>
      <c r="ANK21"/>
      <c r="ANL21"/>
      <c r="ANM21"/>
      <c r="ANN21"/>
      <c r="ANO21"/>
      <c r="ANP21"/>
      <c r="ANQ21"/>
      <c r="ANR21"/>
      <c r="ANS21"/>
      <c r="ANT21"/>
      <c r="ANU21"/>
      <c r="ANV21"/>
      <c r="ANW21"/>
      <c r="ANX21"/>
      <c r="ANY21"/>
      <c r="ANZ21"/>
      <c r="AOA21"/>
      <c r="AOB21"/>
      <c r="AOC21"/>
      <c r="AOD21"/>
      <c r="AOE21"/>
      <c r="AOF21"/>
      <c r="AOG21"/>
      <c r="AOH21"/>
      <c r="AOI21"/>
      <c r="AOJ21"/>
      <c r="AOK21"/>
      <c r="AOL21"/>
      <c r="AOM21"/>
      <c r="AON21"/>
      <c r="AOO21"/>
      <c r="AOP21"/>
      <c r="AOQ21"/>
      <c r="AOR21"/>
      <c r="AOS21"/>
      <c r="AOT21"/>
      <c r="AOU21"/>
      <c r="AOV21"/>
      <c r="AOW21"/>
      <c r="AOX21"/>
      <c r="AOY21"/>
      <c r="AOZ21"/>
      <c r="APA21"/>
      <c r="APB21"/>
      <c r="APC21"/>
      <c r="APD21"/>
      <c r="APE21"/>
      <c r="APF21"/>
      <c r="APG21"/>
      <c r="APH21"/>
      <c r="API21"/>
      <c r="APJ21"/>
      <c r="APK21"/>
      <c r="APL21"/>
      <c r="APM21"/>
      <c r="APN21"/>
      <c r="APO21"/>
      <c r="APP21"/>
      <c r="APQ21"/>
      <c r="APR21"/>
      <c r="APS21"/>
      <c r="APT21"/>
      <c r="APU21"/>
      <c r="APV21"/>
      <c r="APW21"/>
      <c r="APX21"/>
      <c r="APY21"/>
      <c r="APZ21"/>
      <c r="AQA21"/>
      <c r="AQB21"/>
      <c r="AQC21"/>
      <c r="AQD21"/>
      <c r="AQE21"/>
      <c r="AQF21"/>
      <c r="AQG21"/>
      <c r="AQH21"/>
      <c r="AQI21"/>
      <c r="AQJ21"/>
      <c r="AQK21"/>
      <c r="AQL21"/>
      <c r="AQM21"/>
      <c r="AQN21"/>
      <c r="AQO21"/>
      <c r="AQP21"/>
      <c r="AQQ21"/>
      <c r="AQR21"/>
      <c r="AQS21"/>
      <c r="AQT21"/>
      <c r="AQU21"/>
      <c r="AQV21"/>
      <c r="AQW21"/>
      <c r="AQX21"/>
      <c r="AQY21"/>
      <c r="AQZ21"/>
      <c r="ARA21"/>
      <c r="ARB21"/>
      <c r="ARC21"/>
      <c r="ARD21"/>
      <c r="ARE21"/>
      <c r="ARF21"/>
      <c r="ARG21"/>
      <c r="ARH21"/>
      <c r="ARI21"/>
      <c r="ARJ21"/>
      <c r="ARK21"/>
      <c r="ARL21"/>
      <c r="ARM21"/>
      <c r="ARN21"/>
      <c r="ARO21"/>
      <c r="ARP21"/>
      <c r="ARQ21"/>
      <c r="ARR21"/>
      <c r="ARS21"/>
      <c r="ART21"/>
      <c r="ARU21"/>
      <c r="ARV21"/>
      <c r="ARW21"/>
      <c r="ARX21"/>
      <c r="ARY21"/>
      <c r="ARZ21"/>
      <c r="ASA21"/>
      <c r="ASB21"/>
      <c r="ASC21"/>
      <c r="ASD21"/>
      <c r="ASE21"/>
      <c r="ASF21"/>
      <c r="ASG21"/>
      <c r="ASH21"/>
      <c r="ASI21"/>
      <c r="ASJ21"/>
      <c r="ASK21"/>
      <c r="ASL21"/>
      <c r="ASM21"/>
      <c r="ASN21"/>
      <c r="ASO21"/>
      <c r="ASP21"/>
      <c r="ASQ21"/>
      <c r="ASR21"/>
      <c r="ASS21"/>
      <c r="AST21"/>
      <c r="ASU21"/>
      <c r="ASV21"/>
      <c r="ASW21"/>
      <c r="ASX21"/>
      <c r="ASY21"/>
      <c r="ASZ21"/>
      <c r="ATA21"/>
      <c r="ATB21"/>
      <c r="ATC21"/>
      <c r="ATD21"/>
      <c r="ATE21"/>
      <c r="ATF21"/>
      <c r="ATG21"/>
      <c r="ATH21"/>
      <c r="ATI21"/>
      <c r="ATJ21"/>
      <c r="ATK21"/>
      <c r="ATL21"/>
      <c r="ATM21"/>
      <c r="ATN21"/>
      <c r="ATO21"/>
      <c r="ATP21"/>
      <c r="ATQ21"/>
      <c r="ATR21"/>
      <c r="ATS21"/>
      <c r="ATT21"/>
      <c r="ATU21"/>
      <c r="ATV21"/>
      <c r="ATW21"/>
      <c r="ATX21"/>
      <c r="ATY21"/>
      <c r="ATZ21"/>
      <c r="AUA21"/>
      <c r="AUB21"/>
      <c r="AUC21"/>
      <c r="AUD21"/>
      <c r="AUE21"/>
      <c r="AUF21"/>
      <c r="AUG21"/>
      <c r="AUH21"/>
      <c r="AUI21"/>
      <c r="AUJ21"/>
      <c r="AUK21"/>
      <c r="AUL21"/>
      <c r="AUM21"/>
      <c r="AUN21"/>
      <c r="AUO21"/>
      <c r="AUP21"/>
      <c r="AUQ21"/>
      <c r="AUR21"/>
      <c r="AUS21"/>
      <c r="AUT21"/>
      <c r="AUU21"/>
      <c r="AUV21"/>
      <c r="AUW21"/>
      <c r="AUX21"/>
      <c r="AUY21"/>
      <c r="AUZ21"/>
      <c r="AVA21"/>
      <c r="AVB21"/>
      <c r="AVC21"/>
      <c r="AVD21"/>
      <c r="AVE21"/>
      <c r="AVF21"/>
      <c r="AVG21"/>
      <c r="AVH21"/>
      <c r="AVI21"/>
      <c r="AVJ21"/>
      <c r="AVK21"/>
      <c r="AVL21"/>
      <c r="AVM21"/>
      <c r="AVN21"/>
      <c r="AVO21"/>
      <c r="AVP21"/>
      <c r="AVQ21"/>
      <c r="AVR21"/>
      <c r="AVS21"/>
      <c r="AVT21"/>
      <c r="AVU21"/>
      <c r="AVV21"/>
      <c r="AVW21"/>
      <c r="AVX21"/>
      <c r="AVY21"/>
      <c r="AVZ21"/>
      <c r="AWA21"/>
      <c r="AWB21"/>
      <c r="AWC21"/>
      <c r="AWD21"/>
      <c r="AWE21"/>
      <c r="AWF21"/>
      <c r="AWG21"/>
      <c r="AWH21"/>
      <c r="AWI21"/>
      <c r="AWJ21"/>
      <c r="AWK21"/>
      <c r="AWL21"/>
      <c r="AWM21"/>
      <c r="AWN21"/>
      <c r="AWO21"/>
      <c r="AWP21"/>
      <c r="AWQ21"/>
      <c r="AWR21"/>
      <c r="AWS21"/>
      <c r="AWT21"/>
      <c r="AWU21"/>
      <c r="AWV21"/>
      <c r="AWW21"/>
      <c r="AWX21"/>
      <c r="AWY21"/>
      <c r="AWZ21"/>
      <c r="AXA21"/>
      <c r="AXB21"/>
      <c r="AXC21"/>
      <c r="AXD21"/>
      <c r="AXE21"/>
      <c r="AXF21"/>
      <c r="AXG21"/>
      <c r="AXH21"/>
      <c r="AXI21"/>
      <c r="AXJ21"/>
      <c r="AXK21"/>
      <c r="AXL21"/>
      <c r="AXM21"/>
      <c r="AXN21"/>
      <c r="AXO21"/>
      <c r="AXP21"/>
      <c r="AXQ21"/>
      <c r="AXR21"/>
      <c r="AXS21"/>
      <c r="AXT21"/>
      <c r="AXU21"/>
      <c r="AXV21"/>
      <c r="AXW21"/>
      <c r="AXX21"/>
      <c r="AXY21"/>
      <c r="AXZ21"/>
      <c r="AYA21"/>
      <c r="AYB21"/>
      <c r="AYC21"/>
      <c r="AYD21"/>
      <c r="AYE21"/>
      <c r="AYF21"/>
      <c r="AYG21"/>
      <c r="AYH21"/>
      <c r="AYI21"/>
      <c r="AYJ21"/>
      <c r="AYK21"/>
      <c r="AYL21"/>
      <c r="AYM21"/>
      <c r="AYN21"/>
      <c r="AYO21"/>
      <c r="AYP21"/>
      <c r="AYQ21"/>
      <c r="AYR21"/>
      <c r="AYS21"/>
      <c r="AYT21"/>
      <c r="AYU21"/>
      <c r="AYV21"/>
      <c r="AYW21"/>
      <c r="AYX21"/>
      <c r="AYY21"/>
      <c r="AYZ21"/>
      <c r="AZA21"/>
      <c r="AZB21"/>
      <c r="AZC21"/>
      <c r="AZD21"/>
      <c r="AZE21"/>
      <c r="AZF21"/>
      <c r="AZG21"/>
      <c r="AZH21"/>
      <c r="AZI21"/>
      <c r="AZJ21"/>
      <c r="AZK21"/>
      <c r="AZL21"/>
      <c r="AZM21"/>
      <c r="AZN21"/>
      <c r="AZO21"/>
      <c r="AZP21"/>
      <c r="AZQ21"/>
      <c r="AZR21"/>
      <c r="AZS21"/>
      <c r="AZT21"/>
      <c r="AZU21"/>
      <c r="AZV21"/>
      <c r="AZW21"/>
      <c r="AZX21"/>
      <c r="AZY21"/>
      <c r="AZZ21"/>
      <c r="BAA21"/>
      <c r="BAB21"/>
      <c r="BAC21"/>
      <c r="BAD21"/>
      <c r="BAE21"/>
      <c r="BAF21"/>
      <c r="BAG21"/>
      <c r="BAH21"/>
      <c r="BAI21"/>
      <c r="BAJ21"/>
      <c r="BAK21"/>
      <c r="BAL21"/>
      <c r="BAM21"/>
      <c r="BAN21"/>
      <c r="BAO21"/>
      <c r="BAP21"/>
      <c r="BAQ21"/>
      <c r="BAR21"/>
      <c r="BAS21"/>
      <c r="BAT21"/>
      <c r="BAU21"/>
      <c r="BAV21"/>
      <c r="BAW21"/>
      <c r="BAX21"/>
      <c r="BAY21"/>
      <c r="BAZ21"/>
      <c r="BBA21"/>
      <c r="BBB21"/>
      <c r="BBC21"/>
      <c r="BBD21"/>
      <c r="BBE21"/>
      <c r="BBF21"/>
      <c r="BBG21"/>
      <c r="BBH21"/>
      <c r="BBI21"/>
      <c r="BBJ21"/>
      <c r="BBK21"/>
      <c r="BBL21"/>
      <c r="BBM21"/>
      <c r="BBN21"/>
      <c r="BBO21"/>
      <c r="BBP21"/>
      <c r="BBQ21"/>
      <c r="BBR21"/>
      <c r="BBS21"/>
      <c r="BBT21"/>
      <c r="BBU21"/>
      <c r="BBV21"/>
      <c r="BBW21"/>
      <c r="BBX21"/>
      <c r="BBY21"/>
      <c r="BBZ21"/>
      <c r="BCA21"/>
      <c r="BCB21"/>
      <c r="BCC21"/>
      <c r="BCD21"/>
      <c r="BCE21"/>
      <c r="BCF21"/>
      <c r="BCG21"/>
      <c r="BCH21"/>
      <c r="BCI21"/>
      <c r="BCJ21"/>
      <c r="BCK21"/>
      <c r="BCL21"/>
      <c r="BCM21"/>
      <c r="BCN21"/>
      <c r="BCO21"/>
      <c r="BCP21"/>
      <c r="BCQ21"/>
      <c r="BCR21"/>
      <c r="BCS21"/>
      <c r="BCT21"/>
      <c r="BCU21"/>
      <c r="BCV21"/>
      <c r="BCW21"/>
      <c r="BCX21"/>
      <c r="BCY21"/>
      <c r="BCZ21"/>
      <c r="BDA21"/>
      <c r="BDB21"/>
      <c r="BDC21"/>
      <c r="BDD21"/>
      <c r="BDE21"/>
      <c r="BDF21"/>
      <c r="BDG21"/>
      <c r="BDH21"/>
      <c r="BDI21"/>
      <c r="BDJ21"/>
      <c r="BDK21"/>
      <c r="BDL21"/>
      <c r="BDM21"/>
      <c r="BDN21"/>
      <c r="BDO21"/>
      <c r="BDP21"/>
      <c r="BDQ21"/>
      <c r="BDR21"/>
      <c r="BDS21"/>
      <c r="BDT21"/>
      <c r="BDU21"/>
      <c r="BDV21"/>
      <c r="BDW21"/>
      <c r="BDX21"/>
      <c r="BDY21"/>
      <c r="BDZ21"/>
      <c r="BEA21"/>
      <c r="BEB21"/>
      <c r="BEC21"/>
      <c r="BED21"/>
      <c r="BEE21"/>
      <c r="BEF21"/>
      <c r="BEG21"/>
      <c r="BEH21"/>
      <c r="BEI21"/>
      <c r="BEJ21"/>
      <c r="BEK21"/>
      <c r="BEL21"/>
      <c r="BEM21"/>
      <c r="BEN21"/>
      <c r="BEO21"/>
      <c r="BEP21"/>
      <c r="BEQ21"/>
      <c r="BER21"/>
      <c r="BES21"/>
      <c r="BET21"/>
      <c r="BEU21"/>
      <c r="BEV21"/>
      <c r="BEW21"/>
      <c r="BEX21"/>
      <c r="BEY21"/>
      <c r="BEZ21"/>
      <c r="BFA21"/>
      <c r="BFB21"/>
      <c r="BFC21"/>
      <c r="BFD21"/>
      <c r="BFE21"/>
      <c r="BFF21"/>
      <c r="BFG21"/>
      <c r="BFH21"/>
      <c r="BFI21"/>
      <c r="BFJ21"/>
      <c r="BFK21"/>
      <c r="BFL21"/>
      <c r="BFM21"/>
      <c r="BFN21"/>
      <c r="BFO21"/>
      <c r="BFP21"/>
      <c r="BFQ21"/>
      <c r="BFR21"/>
      <c r="BFS21"/>
      <c r="BFT21"/>
      <c r="BFU21"/>
      <c r="BFV21"/>
      <c r="BFW21"/>
      <c r="BFX21"/>
      <c r="BFY21"/>
      <c r="BFZ21"/>
      <c r="BGA21"/>
      <c r="BGB21"/>
      <c r="BGC21"/>
      <c r="BGD21"/>
      <c r="BGE21"/>
      <c r="BGF21"/>
      <c r="BGG21"/>
      <c r="BGH21"/>
      <c r="BGI21"/>
      <c r="BGJ21"/>
      <c r="BGK21"/>
      <c r="BGL21"/>
      <c r="BGM21"/>
      <c r="BGN21"/>
      <c r="BGO21"/>
      <c r="BGP21"/>
      <c r="BGQ21"/>
      <c r="BGR21"/>
      <c r="BGS21"/>
      <c r="BGT21"/>
      <c r="BGU21"/>
      <c r="BGV21"/>
      <c r="BGW21"/>
      <c r="BGX21"/>
      <c r="BGY21"/>
      <c r="BGZ21"/>
      <c r="BHA21"/>
      <c r="BHB21"/>
      <c r="BHC21"/>
      <c r="BHD21"/>
      <c r="BHE21"/>
      <c r="BHF21"/>
      <c r="BHG21"/>
      <c r="BHH21"/>
      <c r="BHI21"/>
      <c r="BHJ21"/>
      <c r="BHK21"/>
      <c r="BHL21"/>
      <c r="BHM21"/>
      <c r="BHN21"/>
      <c r="BHO21"/>
      <c r="BHP21"/>
      <c r="BHQ21"/>
      <c r="BHR21"/>
      <c r="BHS21"/>
      <c r="BHT21"/>
      <c r="BHU21"/>
      <c r="BHV21"/>
      <c r="BHW21"/>
      <c r="BHX21"/>
      <c r="BHY21"/>
      <c r="BHZ21"/>
      <c r="BIA21"/>
      <c r="BIB21"/>
      <c r="BIC21"/>
      <c r="BID21"/>
      <c r="BIE21"/>
      <c r="BIF21"/>
      <c r="BIG21"/>
      <c r="BIH21"/>
      <c r="BII21"/>
      <c r="BIJ21"/>
      <c r="BIK21"/>
      <c r="BIL21"/>
      <c r="BIM21"/>
      <c r="BIN21"/>
      <c r="BIO21"/>
      <c r="BIP21"/>
      <c r="BIQ21"/>
      <c r="BIR21"/>
      <c r="BIS21"/>
      <c r="BIT21"/>
      <c r="BIU21"/>
      <c r="BIV21"/>
      <c r="BIW21"/>
      <c r="BIX21"/>
      <c r="BIY21"/>
      <c r="BIZ21"/>
      <c r="BJA21"/>
      <c r="BJB21"/>
      <c r="BJC21"/>
      <c r="BJD21"/>
      <c r="BJE21"/>
      <c r="BJF21"/>
      <c r="BJG21"/>
      <c r="BJH21"/>
      <c r="BJI21"/>
      <c r="BJJ21"/>
      <c r="BJK21"/>
      <c r="BJL21"/>
      <c r="BJM21"/>
      <c r="BJN21"/>
      <c r="BJO21"/>
      <c r="BJP21"/>
      <c r="BJQ21"/>
      <c r="BJR21"/>
      <c r="BJS21"/>
      <c r="BJT21"/>
      <c r="BJU21"/>
      <c r="BJV21"/>
      <c r="BJW21"/>
      <c r="BJX21"/>
      <c r="BJY21"/>
      <c r="BJZ21"/>
      <c r="BKA21"/>
      <c r="BKB21"/>
      <c r="BKC21"/>
      <c r="BKD21"/>
      <c r="BKE21"/>
      <c r="BKF21"/>
      <c r="BKG21"/>
      <c r="BKH21"/>
      <c r="BKI21"/>
      <c r="BKJ21"/>
      <c r="BKK21"/>
      <c r="BKL21"/>
      <c r="BKM21"/>
      <c r="BKN21"/>
      <c r="BKO21"/>
      <c r="BKP21"/>
      <c r="BKQ21"/>
      <c r="BKR21"/>
      <c r="BKS21"/>
      <c r="BKT21"/>
      <c r="BKU21"/>
      <c r="BKV21"/>
      <c r="BKW21"/>
      <c r="BKX21"/>
      <c r="BKY21"/>
      <c r="BKZ21"/>
      <c r="BLA21"/>
      <c r="BLB21"/>
      <c r="BLC21"/>
      <c r="BLD21"/>
      <c r="BLE21"/>
      <c r="BLF21"/>
      <c r="BLG21"/>
      <c r="BLH21"/>
      <c r="BLI21"/>
      <c r="BLJ21"/>
      <c r="BLK21"/>
      <c r="BLL21"/>
      <c r="BLM21"/>
      <c r="BLN21"/>
      <c r="BLO21"/>
      <c r="BLP21"/>
      <c r="BLQ21"/>
      <c r="BLR21"/>
      <c r="BLS21"/>
      <c r="BLT21"/>
      <c r="BLU21"/>
      <c r="BLV21"/>
      <c r="BLW21"/>
      <c r="BLX21"/>
      <c r="BLY21"/>
      <c r="BLZ21"/>
      <c r="BMA21"/>
      <c r="BMB21"/>
      <c r="BMC21"/>
      <c r="BMD21"/>
      <c r="BME21"/>
      <c r="BMF21"/>
      <c r="BMG21"/>
      <c r="BMH21"/>
      <c r="BMI21"/>
      <c r="BMJ21"/>
      <c r="BMK21"/>
      <c r="BML21"/>
      <c r="BMM21"/>
      <c r="BMN21"/>
      <c r="BMO21"/>
      <c r="BMP21"/>
      <c r="BMQ21"/>
      <c r="BMR21"/>
      <c r="BMS21"/>
      <c r="BMT21"/>
      <c r="BMU21"/>
      <c r="BMV21"/>
      <c r="BMW21"/>
      <c r="BMX21"/>
      <c r="BMY21"/>
      <c r="BMZ21"/>
      <c r="BNA21"/>
      <c r="BNB21"/>
      <c r="BNC21"/>
      <c r="BND21"/>
      <c r="BNE21"/>
      <c r="BNF21"/>
      <c r="BNG21"/>
      <c r="BNH21"/>
      <c r="BNI21"/>
      <c r="BNJ21"/>
      <c r="BNK21"/>
      <c r="BNL21"/>
      <c r="BNM21"/>
      <c r="BNN21"/>
      <c r="BNO21"/>
      <c r="BNP21"/>
      <c r="BNQ21"/>
      <c r="BNR21"/>
      <c r="BNS21"/>
      <c r="BNT21"/>
      <c r="BNU21"/>
      <c r="BNV21"/>
      <c r="BNW21"/>
      <c r="BNX21"/>
      <c r="BNY21"/>
      <c r="BNZ21"/>
      <c r="BOA21"/>
      <c r="BOB21"/>
      <c r="BOC21"/>
      <c r="BOD21"/>
      <c r="BOE21"/>
      <c r="BOF21"/>
      <c r="BOG21"/>
      <c r="BOH21"/>
      <c r="BOI21"/>
      <c r="BOJ21"/>
      <c r="BOK21"/>
      <c r="BOL21"/>
      <c r="BOM21"/>
      <c r="BON21"/>
      <c r="BOO21"/>
      <c r="BOP21"/>
      <c r="BOQ21"/>
      <c r="BOR21"/>
      <c r="BOS21"/>
      <c r="BOT21"/>
      <c r="BOU21"/>
      <c r="BOV21"/>
      <c r="BOW21"/>
      <c r="BOX21"/>
      <c r="BOY21"/>
      <c r="BOZ21"/>
      <c r="BPA21"/>
      <c r="BPB21"/>
      <c r="BPC21"/>
      <c r="BPD21"/>
      <c r="BPE21"/>
      <c r="BPF21"/>
      <c r="BPG21"/>
      <c r="BPH21"/>
      <c r="BPI21"/>
      <c r="BPJ21"/>
      <c r="BPK21"/>
      <c r="BPL21"/>
      <c r="BPM21"/>
      <c r="BPN21"/>
      <c r="BPO21"/>
      <c r="BPP21"/>
      <c r="BPQ21"/>
      <c r="BPR21"/>
      <c r="BPS21"/>
      <c r="BPT21"/>
      <c r="BPU21"/>
      <c r="BPV21"/>
      <c r="BPW21"/>
      <c r="BPX21"/>
      <c r="BPY21"/>
      <c r="BPZ21"/>
      <c r="BQA21"/>
      <c r="BQB21"/>
      <c r="BQC21"/>
      <c r="BQD21"/>
      <c r="BQE21"/>
      <c r="BQF21"/>
      <c r="BQG21"/>
      <c r="BQH21"/>
      <c r="BQI21"/>
      <c r="BQJ21"/>
      <c r="BQK21"/>
      <c r="BQL21"/>
      <c r="BQM21"/>
      <c r="BQN21"/>
      <c r="BQO21"/>
      <c r="BQP21"/>
      <c r="BQQ21"/>
      <c r="BQR21"/>
      <c r="BQS21"/>
      <c r="BQT21"/>
      <c r="BQU21"/>
      <c r="BQV21"/>
      <c r="BQW21"/>
      <c r="BQX21"/>
      <c r="BQY21"/>
      <c r="BQZ21"/>
      <c r="BRA21"/>
      <c r="BRB21"/>
      <c r="BRC21"/>
      <c r="BRD21"/>
      <c r="BRE21"/>
      <c r="BRF21"/>
      <c r="BRG21"/>
      <c r="BRH21"/>
      <c r="BRI21"/>
      <c r="BRJ21"/>
      <c r="BRK21"/>
      <c r="BRL21"/>
      <c r="BRM21"/>
      <c r="BRN21"/>
      <c r="BRO21"/>
      <c r="BRP21"/>
      <c r="BRQ21"/>
      <c r="BRR21"/>
      <c r="BRS21"/>
      <c r="BRT21"/>
      <c r="BRU21"/>
      <c r="BRV21"/>
      <c r="BRW21"/>
      <c r="BRX21"/>
      <c r="BRY21"/>
      <c r="BRZ21"/>
      <c r="BSA21"/>
      <c r="BSB21"/>
      <c r="BSC21"/>
      <c r="BSD21"/>
      <c r="BSE21"/>
      <c r="BSF21"/>
      <c r="BSG21"/>
      <c r="BSH21"/>
      <c r="BSI21"/>
      <c r="BSJ21"/>
      <c r="BSK21"/>
      <c r="BSL21"/>
      <c r="BSM21"/>
      <c r="BSN21"/>
      <c r="BSO21"/>
      <c r="BSP21"/>
      <c r="BSQ21"/>
      <c r="BSR21"/>
      <c r="BSS21"/>
      <c r="BST21"/>
      <c r="BSU21"/>
      <c r="BSV21"/>
      <c r="BSW21"/>
      <c r="BSX21"/>
      <c r="BSY21"/>
      <c r="BSZ21"/>
      <c r="BTA21"/>
      <c r="BTB21"/>
      <c r="BTC21"/>
      <c r="BTD21"/>
      <c r="BTE21"/>
      <c r="BTF21"/>
      <c r="BTG21"/>
      <c r="BTH21"/>
      <c r="BTI21"/>
      <c r="BTJ21"/>
      <c r="BTK21"/>
      <c r="BTL21"/>
      <c r="BTM21"/>
      <c r="BTN21"/>
      <c r="BTO21"/>
      <c r="BTP21"/>
      <c r="BTQ21"/>
      <c r="BTR21"/>
      <c r="BTS21"/>
      <c r="BTT21"/>
      <c r="BTU21"/>
      <c r="BTV21"/>
      <c r="BTW21"/>
      <c r="BTX21"/>
      <c r="BTY21"/>
      <c r="BTZ21"/>
      <c r="BUA21"/>
      <c r="BUB21"/>
      <c r="BUC21"/>
      <c r="BUD21"/>
      <c r="BUE21"/>
      <c r="BUF21"/>
      <c r="BUG21"/>
      <c r="BUH21"/>
      <c r="BUI21"/>
      <c r="BUJ21"/>
      <c r="BUK21"/>
      <c r="BUL21"/>
      <c r="BUM21"/>
      <c r="BUN21"/>
      <c r="BUO21"/>
      <c r="BUP21"/>
      <c r="BUQ21"/>
      <c r="BUR21"/>
      <c r="BUS21"/>
      <c r="BUT21"/>
      <c r="BUU21"/>
      <c r="BUV21"/>
      <c r="BUW21"/>
      <c r="BUX21"/>
      <c r="BUY21"/>
      <c r="BUZ21"/>
      <c r="BVA21"/>
      <c r="BVB21"/>
      <c r="BVC21"/>
      <c r="BVD21"/>
      <c r="BVE21"/>
      <c r="BVF21"/>
      <c r="BVG21"/>
      <c r="BVH21"/>
      <c r="BVI21"/>
      <c r="BVJ21"/>
      <c r="BVK21"/>
      <c r="BVL21"/>
      <c r="BVM21"/>
      <c r="BVN21"/>
      <c r="BVO21"/>
      <c r="BVP21"/>
      <c r="BVQ21"/>
      <c r="BVR21"/>
      <c r="BVS21"/>
      <c r="BVT21"/>
      <c r="BVU21"/>
      <c r="BVV21"/>
      <c r="BVW21"/>
      <c r="BVX21"/>
      <c r="BVY21"/>
      <c r="BVZ21"/>
      <c r="BWA21"/>
      <c r="BWB21"/>
      <c r="BWC21"/>
      <c r="BWD21"/>
      <c r="BWE21"/>
      <c r="BWF21"/>
      <c r="BWG21"/>
      <c r="BWH21"/>
      <c r="BWI21"/>
      <c r="BWJ21"/>
      <c r="BWK21"/>
      <c r="BWL21"/>
      <c r="BWM21"/>
      <c r="BWN21"/>
      <c r="BWO21"/>
      <c r="BWP21"/>
      <c r="BWQ21"/>
      <c r="BWR21"/>
      <c r="BWS21"/>
      <c r="BWT21"/>
      <c r="BWU21"/>
      <c r="BWV21"/>
      <c r="BWW21"/>
      <c r="BWX21"/>
      <c r="BWY21"/>
      <c r="BWZ21"/>
      <c r="BXA21"/>
      <c r="BXB21"/>
      <c r="BXC21"/>
      <c r="BXD21"/>
      <c r="BXE21"/>
      <c r="BXF21"/>
      <c r="BXG21"/>
      <c r="BXH21"/>
      <c r="BXI21"/>
      <c r="BXJ21"/>
      <c r="BXK21"/>
      <c r="BXL21"/>
      <c r="BXM21"/>
      <c r="BXN21"/>
      <c r="BXO21"/>
      <c r="BXP21"/>
      <c r="BXQ21"/>
      <c r="BXR21"/>
      <c r="BXS21"/>
      <c r="BXT21"/>
      <c r="BXU21"/>
      <c r="BXV21"/>
      <c r="BXW21"/>
      <c r="BXX21"/>
      <c r="BXY21"/>
      <c r="BXZ21"/>
      <c r="BYA21"/>
      <c r="BYB21"/>
      <c r="BYC21"/>
      <c r="BYD21"/>
      <c r="BYE21"/>
      <c r="BYF21"/>
      <c r="BYG21"/>
      <c r="BYH21"/>
      <c r="BYI21"/>
      <c r="BYJ21"/>
      <c r="BYK21"/>
      <c r="BYL21"/>
      <c r="BYM21"/>
      <c r="BYN21"/>
      <c r="BYO21"/>
      <c r="BYP21"/>
      <c r="BYQ21"/>
      <c r="BYR21"/>
      <c r="BYS21"/>
      <c r="BYT21"/>
      <c r="BYU21"/>
      <c r="BYV21"/>
      <c r="BYW21"/>
      <c r="BYX21"/>
      <c r="BYY21"/>
      <c r="BYZ21"/>
      <c r="BZA21"/>
      <c r="BZB21"/>
      <c r="BZC21"/>
      <c r="BZD21"/>
      <c r="BZE21"/>
      <c r="BZF21"/>
      <c r="BZG21"/>
      <c r="BZH21"/>
      <c r="BZI21"/>
      <c r="BZJ21"/>
      <c r="BZK21"/>
      <c r="BZL21"/>
      <c r="BZM21"/>
      <c r="BZN21"/>
      <c r="BZO21"/>
      <c r="BZP21"/>
      <c r="BZQ21"/>
      <c r="BZR21"/>
      <c r="BZS21"/>
      <c r="BZT21"/>
      <c r="BZU21"/>
      <c r="BZV21"/>
      <c r="BZW21"/>
      <c r="BZX21"/>
      <c r="BZY21"/>
      <c r="BZZ21"/>
      <c r="CAA21"/>
      <c r="CAB21"/>
      <c r="CAC21"/>
      <c r="CAD21"/>
      <c r="CAE21"/>
      <c r="CAF21"/>
      <c r="CAG21"/>
      <c r="CAH21"/>
      <c r="CAI21"/>
      <c r="CAJ21"/>
      <c r="CAK21"/>
      <c r="CAL21"/>
      <c r="CAM21"/>
      <c r="CAN21"/>
      <c r="CAO21"/>
      <c r="CAP21"/>
      <c r="CAQ21"/>
      <c r="CAR21"/>
      <c r="CAS21"/>
      <c r="CAT21"/>
      <c r="CAU21"/>
      <c r="CAV21"/>
      <c r="CAW21"/>
      <c r="CAX21"/>
      <c r="CAY21"/>
      <c r="CAZ21"/>
      <c r="CBA21"/>
      <c r="CBB21"/>
      <c r="CBC21"/>
      <c r="CBD21"/>
      <c r="CBE21"/>
      <c r="CBF21"/>
      <c r="CBG21"/>
      <c r="CBH21"/>
      <c r="CBI21"/>
      <c r="CBJ21"/>
      <c r="CBK21"/>
      <c r="CBL21"/>
      <c r="CBM21"/>
      <c r="CBN21"/>
      <c r="CBO21"/>
      <c r="CBP21"/>
      <c r="CBQ21"/>
      <c r="CBR21"/>
      <c r="CBS21"/>
      <c r="CBT21"/>
      <c r="CBU21"/>
      <c r="CBV21"/>
      <c r="CBW21"/>
      <c r="CBX21"/>
      <c r="CBY21"/>
      <c r="CBZ21"/>
      <c r="CCA21"/>
      <c r="CCB21"/>
      <c r="CCC21"/>
      <c r="CCD21"/>
      <c r="CCE21"/>
      <c r="CCF21"/>
      <c r="CCG21"/>
      <c r="CCH21"/>
      <c r="CCI21"/>
      <c r="CCJ21"/>
      <c r="CCK21"/>
      <c r="CCL21"/>
      <c r="CCM21"/>
      <c r="CCN21"/>
      <c r="CCO21"/>
      <c r="CCP21"/>
      <c r="CCQ21"/>
      <c r="CCR21"/>
      <c r="CCS21"/>
      <c r="CCT21"/>
      <c r="CCU21"/>
      <c r="CCV21"/>
      <c r="CCW21"/>
      <c r="CCX21"/>
      <c r="CCY21"/>
      <c r="CCZ21"/>
      <c r="CDA21"/>
      <c r="CDB21"/>
      <c r="CDC21"/>
      <c r="CDD21"/>
      <c r="CDE21"/>
      <c r="CDF21"/>
      <c r="CDG21"/>
      <c r="CDH21"/>
      <c r="CDI21"/>
      <c r="CDJ21"/>
      <c r="CDK21"/>
      <c r="CDL21"/>
      <c r="CDM21"/>
      <c r="CDN21"/>
      <c r="CDO21"/>
      <c r="CDP21"/>
      <c r="CDQ21"/>
      <c r="CDR21"/>
      <c r="CDS21"/>
      <c r="CDT21"/>
      <c r="CDU21"/>
      <c r="CDV21"/>
      <c r="CDW21"/>
      <c r="CDX21"/>
      <c r="CDY21"/>
      <c r="CDZ21"/>
      <c r="CEA21"/>
      <c r="CEB21"/>
      <c r="CEC21"/>
      <c r="CED21"/>
      <c r="CEE21"/>
      <c r="CEF21"/>
      <c r="CEG21"/>
      <c r="CEH21"/>
      <c r="CEI21"/>
      <c r="CEJ21"/>
      <c r="CEK21"/>
      <c r="CEL21"/>
      <c r="CEM21"/>
      <c r="CEN21"/>
      <c r="CEO21"/>
      <c r="CEP21"/>
      <c r="CEQ21"/>
      <c r="CER21"/>
      <c r="CES21"/>
      <c r="CET21"/>
      <c r="CEU21"/>
      <c r="CEV21"/>
      <c r="CEW21"/>
      <c r="CEX21"/>
      <c r="CEY21"/>
      <c r="CEZ21"/>
      <c r="CFA21"/>
      <c r="CFB21"/>
      <c r="CFC21"/>
      <c r="CFD21"/>
      <c r="CFE21"/>
      <c r="CFF21"/>
      <c r="CFG21"/>
      <c r="CFH21"/>
      <c r="CFI21"/>
      <c r="CFJ21"/>
      <c r="CFK21"/>
      <c r="CFL21"/>
      <c r="CFM21"/>
      <c r="CFN21"/>
      <c r="CFO21"/>
      <c r="CFP21"/>
      <c r="CFQ21"/>
      <c r="CFR21"/>
      <c r="CFS21"/>
      <c r="CFT21"/>
      <c r="CFU21"/>
      <c r="CFV21"/>
      <c r="CFW21"/>
      <c r="CFX21"/>
      <c r="CFY21"/>
      <c r="CFZ21"/>
      <c r="CGA21"/>
      <c r="CGB21"/>
      <c r="CGC21"/>
      <c r="CGD21"/>
      <c r="CGE21"/>
      <c r="CGF21"/>
      <c r="CGG21"/>
      <c r="CGH21"/>
      <c r="CGI21"/>
      <c r="CGJ21"/>
      <c r="CGK21"/>
      <c r="CGL21"/>
      <c r="CGM21"/>
      <c r="CGN21"/>
      <c r="CGO21"/>
      <c r="CGP21"/>
      <c r="CGQ21"/>
      <c r="CGR21"/>
      <c r="CGS21"/>
      <c r="CGT21"/>
      <c r="CGU21"/>
      <c r="CGV21"/>
      <c r="CGW21"/>
      <c r="CGX21"/>
      <c r="CGY21"/>
      <c r="CGZ21"/>
      <c r="CHA21"/>
      <c r="CHB21"/>
      <c r="CHC21"/>
      <c r="CHD21"/>
      <c r="CHE21"/>
      <c r="CHF21"/>
      <c r="CHG21"/>
      <c r="CHH21"/>
      <c r="CHI21"/>
      <c r="CHJ21"/>
      <c r="CHK21"/>
      <c r="CHL21"/>
      <c r="CHM21"/>
      <c r="CHN21"/>
      <c r="CHO21"/>
      <c r="CHP21"/>
      <c r="CHQ21"/>
      <c r="CHR21"/>
      <c r="CHS21"/>
      <c r="CHT21"/>
      <c r="CHU21"/>
      <c r="CHV21"/>
      <c r="CHW21"/>
      <c r="CHX21"/>
      <c r="CHY21"/>
      <c r="CHZ21"/>
      <c r="CIA21"/>
      <c r="CIB21"/>
      <c r="CIC21"/>
      <c r="CID21"/>
      <c r="CIE21"/>
      <c r="CIF21"/>
      <c r="CIG21"/>
      <c r="CIH21"/>
      <c r="CII21"/>
      <c r="CIJ21"/>
      <c r="CIK21"/>
      <c r="CIL21"/>
      <c r="CIM21"/>
      <c r="CIN21"/>
      <c r="CIO21"/>
      <c r="CIP21"/>
      <c r="CIQ21"/>
      <c r="CIR21"/>
      <c r="CIS21"/>
      <c r="CIT21"/>
      <c r="CIU21"/>
      <c r="CIV21"/>
      <c r="CIW21"/>
      <c r="CIX21"/>
      <c r="CIY21"/>
      <c r="CIZ21"/>
      <c r="CJA21"/>
      <c r="CJB21"/>
      <c r="CJC21"/>
      <c r="CJD21"/>
      <c r="CJE21"/>
      <c r="CJF21"/>
      <c r="CJG21"/>
      <c r="CJH21"/>
      <c r="CJI21"/>
      <c r="CJJ21"/>
      <c r="CJK21"/>
      <c r="CJL21"/>
      <c r="CJM21"/>
      <c r="CJN21"/>
      <c r="CJO21"/>
      <c r="CJP21"/>
      <c r="CJQ21"/>
      <c r="CJR21"/>
      <c r="CJS21"/>
      <c r="CJT21"/>
      <c r="CJU21"/>
      <c r="CJV21"/>
      <c r="CJW21"/>
      <c r="CJX21"/>
      <c r="CJY21"/>
      <c r="CJZ21"/>
      <c r="CKA21"/>
      <c r="CKB21"/>
      <c r="CKC21"/>
      <c r="CKD21"/>
      <c r="CKE21"/>
      <c r="CKF21"/>
      <c r="CKG21"/>
      <c r="CKH21"/>
      <c r="CKI21"/>
      <c r="CKJ21"/>
      <c r="CKK21"/>
      <c r="CKL21"/>
      <c r="CKM21"/>
      <c r="CKN21"/>
      <c r="CKO21"/>
      <c r="CKP21"/>
      <c r="CKQ21"/>
      <c r="CKR21"/>
      <c r="CKS21"/>
      <c r="CKT21"/>
      <c r="CKU21"/>
      <c r="CKV21"/>
      <c r="CKW21"/>
      <c r="CKX21"/>
      <c r="CKY21"/>
      <c r="CKZ21"/>
      <c r="CLA21"/>
      <c r="CLB21"/>
      <c r="CLC21"/>
      <c r="CLD21"/>
      <c r="CLE21"/>
      <c r="CLF21"/>
      <c r="CLG21"/>
      <c r="CLH21"/>
      <c r="CLI21"/>
      <c r="CLJ21"/>
      <c r="CLK21"/>
      <c r="CLL21"/>
      <c r="CLM21"/>
      <c r="CLN21"/>
      <c r="CLO21"/>
      <c r="CLP21"/>
      <c r="CLQ21"/>
      <c r="CLR21"/>
      <c r="CLS21"/>
      <c r="CLT21"/>
      <c r="CLU21"/>
      <c r="CLV21"/>
      <c r="CLW21"/>
      <c r="CLX21"/>
      <c r="CLY21"/>
      <c r="CLZ21"/>
      <c r="CMA21"/>
      <c r="CMB21"/>
      <c r="CMC21"/>
      <c r="CMD21"/>
      <c r="CME21"/>
      <c r="CMF21"/>
      <c r="CMG21"/>
      <c r="CMH21"/>
      <c r="CMI21"/>
      <c r="CMJ21"/>
      <c r="CMK21"/>
      <c r="CML21"/>
      <c r="CMM21"/>
      <c r="CMN21"/>
      <c r="CMO21"/>
      <c r="CMP21"/>
      <c r="CMQ21"/>
      <c r="CMR21"/>
      <c r="CMS21"/>
      <c r="CMT21"/>
      <c r="CMU21"/>
      <c r="CMV21"/>
      <c r="CMW21"/>
      <c r="CMX21"/>
      <c r="CMY21"/>
      <c r="CMZ21"/>
      <c r="CNA21"/>
      <c r="CNB21"/>
      <c r="CNC21"/>
      <c r="CND21"/>
      <c r="CNE21"/>
      <c r="CNF21"/>
      <c r="CNG21"/>
      <c r="CNH21"/>
      <c r="CNI21"/>
      <c r="CNJ21"/>
      <c r="CNK21"/>
      <c r="CNL21"/>
      <c r="CNM21"/>
      <c r="CNN21"/>
      <c r="CNO21"/>
      <c r="CNP21"/>
      <c r="CNQ21"/>
      <c r="CNR21"/>
      <c r="CNS21"/>
      <c r="CNT21"/>
      <c r="CNU21"/>
      <c r="CNV21"/>
      <c r="CNW21"/>
      <c r="CNX21"/>
      <c r="CNY21"/>
      <c r="CNZ21"/>
      <c r="COA21"/>
      <c r="COB21"/>
      <c r="COC21"/>
      <c r="COD21"/>
      <c r="COE21"/>
      <c r="COF21"/>
      <c r="COG21"/>
      <c r="COH21"/>
      <c r="COI21"/>
      <c r="COJ21"/>
      <c r="COK21"/>
      <c r="COL21"/>
      <c r="COM21"/>
      <c r="CON21"/>
      <c r="COO21"/>
      <c r="COP21"/>
      <c r="COQ21"/>
      <c r="COR21"/>
      <c r="COS21"/>
      <c r="COT21"/>
      <c r="COU21"/>
      <c r="COV21"/>
      <c r="COW21"/>
      <c r="COX21"/>
      <c r="COY21"/>
      <c r="COZ21"/>
      <c r="CPA21"/>
      <c r="CPB21"/>
      <c r="CPC21"/>
      <c r="CPD21"/>
      <c r="CPE21"/>
      <c r="CPF21"/>
      <c r="CPG21"/>
      <c r="CPH21"/>
      <c r="CPI21"/>
      <c r="CPJ21"/>
      <c r="CPK21"/>
      <c r="CPL21"/>
      <c r="CPM21"/>
      <c r="CPN21"/>
      <c r="CPO21"/>
      <c r="CPP21"/>
      <c r="CPQ21"/>
      <c r="CPR21"/>
      <c r="CPS21"/>
      <c r="CPT21"/>
      <c r="CPU21"/>
      <c r="CPV21"/>
      <c r="CPW21"/>
      <c r="CPX21"/>
      <c r="CPY21"/>
      <c r="CPZ21"/>
      <c r="CQA21"/>
      <c r="CQB21"/>
      <c r="CQC21"/>
      <c r="CQD21"/>
      <c r="CQE21"/>
      <c r="CQF21"/>
      <c r="CQG21"/>
      <c r="CQH21"/>
      <c r="CQI21"/>
      <c r="CQJ21"/>
      <c r="CQK21"/>
      <c r="CQL21"/>
      <c r="CQM21"/>
      <c r="CQN21"/>
      <c r="CQO21"/>
      <c r="CQP21"/>
      <c r="CQQ21"/>
      <c r="CQR21"/>
      <c r="CQS21"/>
      <c r="CQT21"/>
      <c r="CQU21"/>
      <c r="CQV21"/>
      <c r="CQW21"/>
      <c r="CQX21"/>
      <c r="CQY21"/>
      <c r="CQZ21"/>
      <c r="CRA21"/>
      <c r="CRB21"/>
      <c r="CRC21"/>
      <c r="CRD21"/>
      <c r="CRE21"/>
      <c r="CRF21"/>
      <c r="CRG21"/>
      <c r="CRH21"/>
      <c r="CRI21"/>
      <c r="CRJ21"/>
      <c r="CRK21"/>
      <c r="CRL21"/>
      <c r="CRM21"/>
      <c r="CRN21"/>
      <c r="CRO21"/>
      <c r="CRP21"/>
      <c r="CRQ21"/>
      <c r="CRR21"/>
      <c r="CRS21"/>
      <c r="CRT21"/>
      <c r="CRU21"/>
      <c r="CRV21"/>
      <c r="CRW21"/>
      <c r="CRX21"/>
      <c r="CRY21"/>
      <c r="CRZ21"/>
      <c r="CSA21"/>
      <c r="CSB21"/>
      <c r="CSC21"/>
      <c r="CSD21"/>
      <c r="CSE21"/>
      <c r="CSF21"/>
      <c r="CSG21"/>
      <c r="CSH21"/>
      <c r="CSI21"/>
      <c r="CSJ21"/>
      <c r="CSK21"/>
      <c r="CSL21"/>
      <c r="CSM21"/>
      <c r="CSN21"/>
      <c r="CSO21"/>
      <c r="CSP21"/>
      <c r="CSQ21"/>
      <c r="CSR21"/>
      <c r="CSS21"/>
      <c r="CST21"/>
      <c r="CSU21"/>
      <c r="CSV21"/>
      <c r="CSW21"/>
      <c r="CSX21"/>
      <c r="CSY21"/>
      <c r="CSZ21"/>
      <c r="CTA21"/>
      <c r="CTB21"/>
      <c r="CTC21"/>
      <c r="CTD21"/>
      <c r="CTE21"/>
      <c r="CTF21"/>
      <c r="CTG21"/>
      <c r="CTH21"/>
      <c r="CTI21"/>
      <c r="CTJ21"/>
      <c r="CTK21"/>
      <c r="CTL21"/>
      <c r="CTM21"/>
      <c r="CTN21"/>
      <c r="CTO21"/>
      <c r="CTP21"/>
      <c r="CTQ21"/>
      <c r="CTR21"/>
      <c r="CTS21"/>
      <c r="CTT21"/>
      <c r="CTU21"/>
      <c r="CTV21"/>
      <c r="CTW21"/>
      <c r="CTX21"/>
      <c r="CTY21"/>
      <c r="CTZ21"/>
      <c r="CUA21"/>
      <c r="CUB21"/>
      <c r="CUC21"/>
      <c r="CUD21"/>
      <c r="CUE21"/>
      <c r="CUF21"/>
      <c r="CUG21"/>
      <c r="CUH21"/>
      <c r="CUI21"/>
      <c r="CUJ21"/>
      <c r="CUK21"/>
      <c r="CUL21"/>
      <c r="CUM21"/>
      <c r="CUN21"/>
      <c r="CUO21"/>
      <c r="CUP21"/>
      <c r="CUQ21"/>
      <c r="CUR21"/>
      <c r="CUS21"/>
      <c r="CUT21"/>
      <c r="CUU21"/>
      <c r="CUV21"/>
      <c r="CUW21"/>
      <c r="CUX21"/>
      <c r="CUY21"/>
      <c r="CUZ21"/>
      <c r="CVA21"/>
      <c r="CVB21"/>
      <c r="CVC21"/>
      <c r="CVD21"/>
      <c r="CVE21"/>
      <c r="CVF21"/>
      <c r="CVG21"/>
      <c r="CVH21"/>
      <c r="CVI21"/>
      <c r="CVJ21"/>
      <c r="CVK21"/>
      <c r="CVL21"/>
      <c r="CVM21"/>
      <c r="CVN21"/>
      <c r="CVO21"/>
      <c r="CVP21"/>
      <c r="CVQ21"/>
      <c r="CVR21"/>
      <c r="CVS21"/>
      <c r="CVT21"/>
      <c r="CVU21"/>
      <c r="CVV21"/>
      <c r="CVW21"/>
      <c r="CVX21"/>
      <c r="CVY21"/>
      <c r="CVZ21"/>
      <c r="CWA21"/>
      <c r="CWB21"/>
      <c r="CWC21"/>
      <c r="CWD21"/>
      <c r="CWE21"/>
      <c r="CWF21"/>
      <c r="CWG21"/>
      <c r="CWH21"/>
      <c r="CWI21"/>
      <c r="CWJ21"/>
      <c r="CWK21"/>
      <c r="CWL21"/>
      <c r="CWM21"/>
      <c r="CWN21"/>
      <c r="CWO21"/>
      <c r="CWP21"/>
      <c r="CWQ21"/>
      <c r="CWR21"/>
      <c r="CWS21"/>
      <c r="CWT21"/>
      <c r="CWU21"/>
      <c r="CWV21"/>
      <c r="CWW21"/>
      <c r="CWX21"/>
      <c r="CWY21"/>
      <c r="CWZ21"/>
      <c r="CXA21"/>
      <c r="CXB21"/>
      <c r="CXC21"/>
      <c r="CXD21"/>
      <c r="CXE21"/>
      <c r="CXF21"/>
      <c r="CXG21"/>
      <c r="CXH21"/>
      <c r="CXI21"/>
      <c r="CXJ21"/>
      <c r="CXK21"/>
      <c r="CXL21"/>
      <c r="CXM21"/>
      <c r="CXN21"/>
      <c r="CXO21"/>
      <c r="CXP21"/>
      <c r="CXQ21"/>
      <c r="CXR21"/>
      <c r="CXS21"/>
      <c r="CXT21"/>
      <c r="CXU21"/>
      <c r="CXV21"/>
      <c r="CXW21"/>
      <c r="CXX21"/>
      <c r="CXY21"/>
      <c r="CXZ21"/>
      <c r="CYA21"/>
      <c r="CYB21"/>
      <c r="CYC21"/>
      <c r="CYD21"/>
      <c r="CYE21"/>
      <c r="CYF21"/>
      <c r="CYG21"/>
      <c r="CYH21"/>
      <c r="CYI21"/>
      <c r="CYJ21"/>
      <c r="CYK21"/>
      <c r="CYL21"/>
      <c r="CYM21"/>
      <c r="CYN21"/>
      <c r="CYO21"/>
      <c r="CYP21"/>
      <c r="CYQ21"/>
      <c r="CYR21"/>
      <c r="CYS21"/>
      <c r="CYT21"/>
      <c r="CYU21"/>
      <c r="CYV21"/>
      <c r="CYW21"/>
      <c r="CYX21"/>
      <c r="CYY21"/>
      <c r="CYZ21"/>
      <c r="CZA21"/>
      <c r="CZB21"/>
      <c r="CZC21"/>
      <c r="CZD21"/>
      <c r="CZE21"/>
      <c r="CZF21"/>
      <c r="CZG21"/>
      <c r="CZH21"/>
      <c r="CZI21"/>
      <c r="CZJ21"/>
      <c r="CZK21"/>
      <c r="CZL21"/>
      <c r="CZM21"/>
      <c r="CZN21"/>
      <c r="CZO21"/>
      <c r="CZP21"/>
      <c r="CZQ21"/>
      <c r="CZR21"/>
      <c r="CZS21"/>
      <c r="CZT21"/>
      <c r="CZU21"/>
      <c r="CZV21"/>
      <c r="CZW21"/>
      <c r="CZX21"/>
      <c r="CZY21"/>
      <c r="CZZ21"/>
      <c r="DAA21"/>
      <c r="DAB21"/>
      <c r="DAC21"/>
      <c r="DAD21"/>
      <c r="DAE21"/>
      <c r="DAF21"/>
      <c r="DAG21"/>
      <c r="DAH21"/>
      <c r="DAI21"/>
      <c r="DAJ21"/>
      <c r="DAK21"/>
      <c r="DAL21"/>
      <c r="DAM21"/>
      <c r="DAN21"/>
      <c r="DAO21"/>
      <c r="DAP21"/>
      <c r="DAQ21"/>
      <c r="DAR21"/>
      <c r="DAS21"/>
      <c r="DAT21"/>
      <c r="DAU21"/>
      <c r="DAV21"/>
      <c r="DAW21"/>
      <c r="DAX21"/>
      <c r="DAY21"/>
      <c r="DAZ21"/>
      <c r="DBA21"/>
      <c r="DBB21"/>
      <c r="DBC21"/>
      <c r="DBD21"/>
      <c r="DBE21"/>
      <c r="DBF21"/>
      <c r="DBG21"/>
      <c r="DBH21"/>
      <c r="DBI21"/>
      <c r="DBJ21"/>
      <c r="DBK21"/>
      <c r="DBL21"/>
      <c r="DBM21"/>
      <c r="DBN21"/>
      <c r="DBO21"/>
      <c r="DBP21"/>
      <c r="DBQ21"/>
      <c r="DBR21"/>
      <c r="DBS21"/>
      <c r="DBT21"/>
      <c r="DBU21"/>
      <c r="DBV21"/>
      <c r="DBW21"/>
      <c r="DBX21"/>
      <c r="DBY21"/>
      <c r="DBZ21"/>
      <c r="DCA21"/>
      <c r="DCB21"/>
      <c r="DCC21"/>
      <c r="DCD21"/>
      <c r="DCE21"/>
      <c r="DCF21"/>
      <c r="DCG21"/>
      <c r="DCH21"/>
      <c r="DCI21"/>
      <c r="DCJ21"/>
      <c r="DCK21"/>
      <c r="DCL21"/>
      <c r="DCM21"/>
      <c r="DCN21"/>
      <c r="DCO21"/>
      <c r="DCP21"/>
      <c r="DCQ21"/>
      <c r="DCR21"/>
      <c r="DCS21"/>
      <c r="DCT21"/>
      <c r="DCU21"/>
      <c r="DCV21"/>
      <c r="DCW21"/>
      <c r="DCX21"/>
      <c r="DCY21"/>
      <c r="DCZ21"/>
      <c r="DDA21"/>
      <c r="DDB21"/>
      <c r="DDC21"/>
      <c r="DDD21"/>
      <c r="DDE21"/>
      <c r="DDF21"/>
      <c r="DDG21"/>
      <c r="DDH21"/>
      <c r="DDI21"/>
      <c r="DDJ21"/>
      <c r="DDK21"/>
      <c r="DDL21"/>
      <c r="DDM21"/>
      <c r="DDN21"/>
      <c r="DDO21"/>
      <c r="DDP21"/>
      <c r="DDQ21"/>
      <c r="DDR21"/>
      <c r="DDS21"/>
      <c r="DDT21"/>
      <c r="DDU21"/>
      <c r="DDV21"/>
      <c r="DDW21"/>
      <c r="DDX21"/>
      <c r="DDY21"/>
      <c r="DDZ21"/>
      <c r="DEA21"/>
      <c r="DEB21"/>
      <c r="DEC21"/>
      <c r="DED21"/>
      <c r="DEE21"/>
      <c r="DEF21"/>
      <c r="DEG21"/>
      <c r="DEH21"/>
      <c r="DEI21"/>
      <c r="DEJ21"/>
      <c r="DEK21"/>
      <c r="DEL21"/>
      <c r="DEM21"/>
      <c r="DEN21"/>
      <c r="DEO21"/>
      <c r="DEP21"/>
      <c r="DEQ21"/>
      <c r="DER21"/>
      <c r="DES21"/>
      <c r="DET21"/>
      <c r="DEU21"/>
      <c r="DEV21"/>
      <c r="DEW21"/>
      <c r="DEX21"/>
      <c r="DEY21"/>
      <c r="DEZ21"/>
      <c r="DFA21"/>
      <c r="DFB21"/>
      <c r="DFC21"/>
      <c r="DFD21"/>
      <c r="DFE21"/>
      <c r="DFF21"/>
      <c r="DFG21"/>
      <c r="DFH21"/>
      <c r="DFI21"/>
      <c r="DFJ21"/>
      <c r="DFK21"/>
      <c r="DFL21"/>
      <c r="DFM21"/>
      <c r="DFN21"/>
      <c r="DFO21"/>
      <c r="DFP21"/>
      <c r="DFQ21"/>
      <c r="DFR21"/>
      <c r="DFS21"/>
      <c r="DFT21"/>
      <c r="DFU21"/>
      <c r="DFV21"/>
      <c r="DFW21"/>
      <c r="DFX21"/>
      <c r="DFY21"/>
      <c r="DFZ21"/>
      <c r="DGA21"/>
      <c r="DGB21"/>
      <c r="DGC21"/>
      <c r="DGD21"/>
      <c r="DGE21"/>
      <c r="DGF21"/>
      <c r="DGG21"/>
      <c r="DGH21"/>
      <c r="DGI21"/>
      <c r="DGJ21"/>
      <c r="DGK21"/>
      <c r="DGL21"/>
      <c r="DGM21"/>
      <c r="DGN21"/>
      <c r="DGO21"/>
      <c r="DGP21"/>
      <c r="DGQ21"/>
      <c r="DGR21"/>
      <c r="DGS21"/>
      <c r="DGT21"/>
      <c r="DGU21"/>
      <c r="DGV21"/>
      <c r="DGW21"/>
      <c r="DGX21"/>
      <c r="DGY21"/>
      <c r="DGZ21"/>
      <c r="DHA21"/>
      <c r="DHB21"/>
      <c r="DHC21"/>
      <c r="DHD21"/>
      <c r="DHE21"/>
      <c r="DHF21"/>
      <c r="DHG21"/>
      <c r="DHH21"/>
      <c r="DHI21"/>
      <c r="DHJ21"/>
      <c r="DHK21"/>
      <c r="DHL21"/>
      <c r="DHM21"/>
      <c r="DHN21"/>
      <c r="DHO21"/>
      <c r="DHP21"/>
      <c r="DHQ21"/>
      <c r="DHR21"/>
      <c r="DHS21"/>
      <c r="DHT21"/>
      <c r="DHU21"/>
      <c r="DHV21"/>
      <c r="DHW21"/>
      <c r="DHX21"/>
      <c r="DHY21"/>
      <c r="DHZ21"/>
      <c r="DIA21"/>
      <c r="DIB21"/>
      <c r="DIC21"/>
      <c r="DID21"/>
      <c r="DIE21"/>
      <c r="DIF21"/>
      <c r="DIG21"/>
      <c r="DIH21"/>
      <c r="DII21"/>
      <c r="DIJ21"/>
      <c r="DIK21"/>
      <c r="DIL21"/>
      <c r="DIM21"/>
      <c r="DIN21"/>
      <c r="DIO21"/>
      <c r="DIP21"/>
      <c r="DIQ21"/>
      <c r="DIR21"/>
      <c r="DIS21"/>
      <c r="DIT21"/>
      <c r="DIU21"/>
      <c r="DIV21"/>
      <c r="DIW21"/>
      <c r="DIX21"/>
      <c r="DIY21"/>
      <c r="DIZ21"/>
      <c r="DJA21"/>
      <c r="DJB21"/>
      <c r="DJC21"/>
      <c r="DJD21"/>
      <c r="DJE21"/>
      <c r="DJF21"/>
      <c r="DJG21"/>
      <c r="DJH21"/>
      <c r="DJI21"/>
      <c r="DJJ21"/>
      <c r="DJK21"/>
      <c r="DJL21"/>
      <c r="DJM21"/>
      <c r="DJN21"/>
      <c r="DJO21"/>
      <c r="DJP21"/>
      <c r="DJQ21"/>
      <c r="DJR21"/>
      <c r="DJS21"/>
      <c r="DJT21"/>
      <c r="DJU21"/>
      <c r="DJV21"/>
      <c r="DJW21"/>
      <c r="DJX21"/>
      <c r="DJY21"/>
      <c r="DJZ21"/>
      <c r="DKA21"/>
      <c r="DKB21"/>
      <c r="DKC21"/>
      <c r="DKD21"/>
      <c r="DKE21"/>
      <c r="DKF21"/>
      <c r="DKG21"/>
      <c r="DKH21"/>
      <c r="DKI21"/>
      <c r="DKJ21"/>
      <c r="DKK21"/>
      <c r="DKL21"/>
      <c r="DKM21"/>
      <c r="DKN21"/>
      <c r="DKO21"/>
      <c r="DKP21"/>
      <c r="DKQ21"/>
      <c r="DKR21"/>
      <c r="DKS21"/>
      <c r="DKT21"/>
      <c r="DKU21"/>
      <c r="DKV21"/>
      <c r="DKW21"/>
      <c r="DKX21"/>
      <c r="DKY21"/>
      <c r="DKZ21"/>
      <c r="DLA21"/>
      <c r="DLB21"/>
      <c r="DLC21"/>
      <c r="DLD21"/>
      <c r="DLE21"/>
      <c r="DLF21"/>
      <c r="DLG21"/>
      <c r="DLH21"/>
      <c r="DLI21"/>
      <c r="DLJ21"/>
      <c r="DLK21"/>
      <c r="DLL21"/>
      <c r="DLM21"/>
      <c r="DLN21"/>
      <c r="DLO21"/>
      <c r="DLP21"/>
      <c r="DLQ21"/>
      <c r="DLR21"/>
      <c r="DLS21"/>
      <c r="DLT21"/>
      <c r="DLU21"/>
      <c r="DLV21"/>
      <c r="DLW21"/>
      <c r="DLX21"/>
      <c r="DLY21"/>
      <c r="DLZ21"/>
      <c r="DMA21"/>
      <c r="DMB21"/>
      <c r="DMC21"/>
      <c r="DMD21"/>
      <c r="DME21"/>
      <c r="DMF21"/>
      <c r="DMG21"/>
      <c r="DMH21"/>
      <c r="DMI21"/>
      <c r="DMJ21"/>
      <c r="DMK21"/>
      <c r="DML21"/>
      <c r="DMM21"/>
      <c r="DMN21"/>
      <c r="DMO21"/>
      <c r="DMP21"/>
      <c r="DMQ21"/>
      <c r="DMR21"/>
      <c r="DMS21"/>
      <c r="DMT21"/>
      <c r="DMU21"/>
      <c r="DMV21"/>
      <c r="DMW21"/>
      <c r="DMX21"/>
      <c r="DMY21"/>
      <c r="DMZ21"/>
      <c r="DNA21"/>
      <c r="DNB21"/>
      <c r="DNC21"/>
      <c r="DND21"/>
      <c r="DNE21"/>
      <c r="DNF21"/>
      <c r="DNG21"/>
      <c r="DNH21"/>
      <c r="DNI21"/>
      <c r="DNJ21"/>
      <c r="DNK21"/>
      <c r="DNL21"/>
      <c r="DNM21"/>
      <c r="DNN21"/>
      <c r="DNO21"/>
      <c r="DNP21"/>
      <c r="DNQ21"/>
      <c r="DNR21"/>
      <c r="DNS21"/>
      <c r="DNT21"/>
      <c r="DNU21"/>
      <c r="DNV21"/>
      <c r="DNW21"/>
      <c r="DNX21"/>
      <c r="DNY21"/>
      <c r="DNZ21"/>
      <c r="DOA21"/>
      <c r="DOB21"/>
      <c r="DOC21"/>
      <c r="DOD21"/>
      <c r="DOE21"/>
      <c r="DOF21"/>
      <c r="DOG21"/>
      <c r="DOH21"/>
      <c r="DOI21"/>
      <c r="DOJ21"/>
      <c r="DOK21"/>
      <c r="DOL21"/>
      <c r="DOM21"/>
      <c r="DON21"/>
      <c r="DOO21"/>
      <c r="DOP21"/>
      <c r="DOQ21"/>
      <c r="DOR21"/>
      <c r="DOS21"/>
      <c r="DOT21"/>
      <c r="DOU21"/>
      <c r="DOV21"/>
      <c r="DOW21"/>
      <c r="DOX21"/>
      <c r="DOY21"/>
      <c r="DOZ21"/>
      <c r="DPA21"/>
      <c r="DPB21"/>
      <c r="DPC21"/>
      <c r="DPD21"/>
      <c r="DPE21"/>
      <c r="DPF21"/>
      <c r="DPG21"/>
      <c r="DPH21"/>
      <c r="DPI21"/>
      <c r="DPJ21"/>
      <c r="DPK21"/>
      <c r="DPL21"/>
      <c r="DPM21"/>
      <c r="DPN21"/>
      <c r="DPO21"/>
      <c r="DPP21"/>
      <c r="DPQ21"/>
      <c r="DPR21"/>
      <c r="DPS21"/>
      <c r="DPT21"/>
      <c r="DPU21"/>
      <c r="DPV21"/>
      <c r="DPW21"/>
      <c r="DPX21"/>
      <c r="DPY21"/>
      <c r="DPZ21"/>
      <c r="DQA21"/>
      <c r="DQB21"/>
      <c r="DQC21"/>
      <c r="DQD21"/>
      <c r="DQE21"/>
      <c r="DQF21"/>
      <c r="DQG21"/>
      <c r="DQH21"/>
      <c r="DQI21"/>
      <c r="DQJ21"/>
      <c r="DQK21"/>
      <c r="DQL21"/>
      <c r="DQM21"/>
      <c r="DQN21"/>
      <c r="DQO21"/>
      <c r="DQP21"/>
      <c r="DQQ21"/>
      <c r="DQR21"/>
      <c r="DQS21"/>
      <c r="DQT21"/>
      <c r="DQU21"/>
      <c r="DQV21"/>
      <c r="DQW21"/>
      <c r="DQX21"/>
      <c r="DQY21"/>
      <c r="DQZ21"/>
      <c r="DRA21"/>
      <c r="DRB21"/>
      <c r="DRC21"/>
      <c r="DRD21"/>
      <c r="DRE21"/>
      <c r="DRF21"/>
      <c r="DRG21"/>
      <c r="DRH21"/>
      <c r="DRI21"/>
      <c r="DRJ21"/>
      <c r="DRK21"/>
      <c r="DRL21"/>
      <c r="DRM21"/>
      <c r="DRN21"/>
      <c r="DRO21"/>
      <c r="DRP21"/>
      <c r="DRQ21"/>
      <c r="DRR21"/>
      <c r="DRS21"/>
      <c r="DRT21"/>
      <c r="DRU21"/>
      <c r="DRV21"/>
      <c r="DRW21"/>
      <c r="DRX21"/>
      <c r="DRY21"/>
      <c r="DRZ21"/>
      <c r="DSA21"/>
      <c r="DSB21"/>
      <c r="DSC21"/>
      <c r="DSD21"/>
      <c r="DSE21"/>
      <c r="DSF21"/>
      <c r="DSG21"/>
      <c r="DSH21"/>
      <c r="DSI21"/>
      <c r="DSJ21"/>
      <c r="DSK21"/>
      <c r="DSL21"/>
      <c r="DSM21"/>
      <c r="DSN21"/>
      <c r="DSO21"/>
      <c r="DSP21"/>
      <c r="DSQ21"/>
      <c r="DSR21"/>
      <c r="DSS21"/>
      <c r="DST21"/>
      <c r="DSU21"/>
      <c r="DSV21"/>
      <c r="DSW21"/>
      <c r="DSX21"/>
      <c r="DSY21"/>
      <c r="DSZ21"/>
      <c r="DTA21"/>
      <c r="DTB21"/>
      <c r="DTC21"/>
      <c r="DTD21"/>
      <c r="DTE21"/>
      <c r="DTF21"/>
      <c r="DTG21"/>
      <c r="DTH21"/>
      <c r="DTI21"/>
      <c r="DTJ21"/>
      <c r="DTK21"/>
      <c r="DTL21"/>
      <c r="DTM21"/>
      <c r="DTN21"/>
      <c r="DTO21"/>
      <c r="DTP21"/>
      <c r="DTQ21"/>
      <c r="DTR21"/>
      <c r="DTS21"/>
      <c r="DTT21"/>
      <c r="DTU21"/>
      <c r="DTV21"/>
      <c r="DTW21"/>
      <c r="DTX21"/>
      <c r="DTY21"/>
      <c r="DTZ21"/>
      <c r="DUA21"/>
      <c r="DUB21"/>
      <c r="DUC21"/>
      <c r="DUD21"/>
      <c r="DUE21"/>
      <c r="DUF21"/>
      <c r="DUG21"/>
      <c r="DUH21"/>
      <c r="DUI21"/>
      <c r="DUJ21"/>
      <c r="DUK21"/>
      <c r="DUL21"/>
      <c r="DUM21"/>
      <c r="DUN21"/>
      <c r="DUO21"/>
      <c r="DUP21"/>
      <c r="DUQ21"/>
      <c r="DUR21"/>
      <c r="DUS21"/>
      <c r="DUT21"/>
      <c r="DUU21"/>
      <c r="DUV21"/>
      <c r="DUW21"/>
      <c r="DUX21"/>
      <c r="DUY21"/>
      <c r="DUZ21"/>
      <c r="DVA21"/>
      <c r="DVB21"/>
      <c r="DVC21"/>
      <c r="DVD21"/>
      <c r="DVE21"/>
      <c r="DVF21"/>
      <c r="DVG21"/>
      <c r="DVH21"/>
      <c r="DVI21"/>
      <c r="DVJ21"/>
      <c r="DVK21"/>
      <c r="DVL21"/>
      <c r="DVM21"/>
      <c r="DVN21"/>
      <c r="DVO21"/>
      <c r="DVP21"/>
      <c r="DVQ21"/>
      <c r="DVR21"/>
      <c r="DVS21"/>
      <c r="DVT21"/>
      <c r="DVU21"/>
      <c r="DVV21"/>
      <c r="DVW21"/>
      <c r="DVX21"/>
      <c r="DVY21"/>
      <c r="DVZ21"/>
      <c r="DWA21"/>
      <c r="DWB21"/>
      <c r="DWC21"/>
      <c r="DWD21"/>
      <c r="DWE21"/>
      <c r="DWF21"/>
      <c r="DWG21"/>
      <c r="DWH21"/>
      <c r="DWI21"/>
      <c r="DWJ21"/>
      <c r="DWK21"/>
      <c r="DWL21"/>
      <c r="DWM21"/>
      <c r="DWN21"/>
      <c r="DWO21"/>
      <c r="DWP21"/>
      <c r="DWQ21"/>
      <c r="DWR21"/>
      <c r="DWS21"/>
      <c r="DWT21"/>
      <c r="DWU21"/>
      <c r="DWV21"/>
      <c r="DWW21"/>
      <c r="DWX21"/>
      <c r="DWY21"/>
      <c r="DWZ21"/>
      <c r="DXA21"/>
      <c r="DXB21"/>
      <c r="DXC21"/>
      <c r="DXD21"/>
      <c r="DXE21"/>
      <c r="DXF21"/>
      <c r="DXG21"/>
      <c r="DXH21"/>
      <c r="DXI21"/>
      <c r="DXJ21"/>
      <c r="DXK21"/>
      <c r="DXL21"/>
      <c r="DXM21"/>
      <c r="DXN21"/>
      <c r="DXO21"/>
      <c r="DXP21"/>
      <c r="DXQ21"/>
      <c r="DXR21"/>
      <c r="DXS21"/>
      <c r="DXT21"/>
      <c r="DXU21"/>
      <c r="DXV21"/>
      <c r="DXW21"/>
      <c r="DXX21"/>
      <c r="DXY21"/>
      <c r="DXZ21"/>
      <c r="DYA21"/>
      <c r="DYB21"/>
      <c r="DYC21"/>
      <c r="DYD21"/>
      <c r="DYE21"/>
      <c r="DYF21"/>
      <c r="DYG21"/>
      <c r="DYH21"/>
      <c r="DYI21"/>
      <c r="DYJ21"/>
      <c r="DYK21"/>
      <c r="DYL21"/>
      <c r="DYM21"/>
      <c r="DYN21"/>
      <c r="DYO21"/>
      <c r="DYP21"/>
      <c r="DYQ21"/>
      <c r="DYR21"/>
      <c r="DYS21"/>
      <c r="DYT21"/>
      <c r="DYU21"/>
      <c r="DYV21"/>
      <c r="DYW21"/>
      <c r="DYX21"/>
      <c r="DYY21"/>
      <c r="DYZ21"/>
      <c r="DZA21"/>
      <c r="DZB21"/>
      <c r="DZC21"/>
      <c r="DZD21"/>
      <c r="DZE21"/>
      <c r="DZF21"/>
      <c r="DZG21"/>
      <c r="DZH21"/>
      <c r="DZI21"/>
      <c r="DZJ21"/>
      <c r="DZK21"/>
      <c r="DZL21"/>
      <c r="DZM21"/>
      <c r="DZN21"/>
      <c r="DZO21"/>
      <c r="DZP21"/>
      <c r="DZQ21"/>
      <c r="DZR21"/>
      <c r="DZS21"/>
      <c r="DZT21"/>
      <c r="DZU21"/>
      <c r="DZV21"/>
      <c r="DZW21"/>
      <c r="DZX21"/>
      <c r="DZY21"/>
      <c r="DZZ21"/>
      <c r="EAA21"/>
      <c r="EAB21"/>
      <c r="EAC21"/>
      <c r="EAD21"/>
      <c r="EAE21"/>
      <c r="EAF21"/>
      <c r="EAG21"/>
      <c r="EAH21"/>
      <c r="EAI21"/>
      <c r="EAJ21"/>
      <c r="EAK21"/>
      <c r="EAL21"/>
      <c r="EAM21"/>
      <c r="EAN21"/>
      <c r="EAO21"/>
      <c r="EAP21"/>
      <c r="EAQ21"/>
      <c r="EAR21"/>
      <c r="EAS21"/>
      <c r="EAT21"/>
      <c r="EAU21"/>
      <c r="EAV21"/>
      <c r="EAW21"/>
      <c r="EAX21"/>
      <c r="EAY21"/>
      <c r="EAZ21"/>
      <c r="EBA21"/>
      <c r="EBB21"/>
      <c r="EBC21"/>
      <c r="EBD21"/>
      <c r="EBE21"/>
      <c r="EBF21"/>
      <c r="EBG21"/>
      <c r="EBH21"/>
      <c r="EBI21"/>
      <c r="EBJ21"/>
      <c r="EBK21"/>
      <c r="EBL21"/>
      <c r="EBM21"/>
      <c r="EBN21"/>
      <c r="EBO21"/>
      <c r="EBP21"/>
      <c r="EBQ21"/>
      <c r="EBR21"/>
      <c r="EBS21"/>
      <c r="EBT21"/>
      <c r="EBU21"/>
      <c r="EBV21"/>
      <c r="EBW21"/>
      <c r="EBX21"/>
      <c r="EBY21"/>
      <c r="EBZ21"/>
      <c r="ECA21"/>
      <c r="ECB21"/>
      <c r="ECC21"/>
      <c r="ECD21"/>
      <c r="ECE21"/>
      <c r="ECF21"/>
      <c r="ECG21"/>
      <c r="ECH21"/>
      <c r="ECI21"/>
      <c r="ECJ21"/>
      <c r="ECK21"/>
      <c r="ECL21"/>
      <c r="ECM21"/>
      <c r="ECN21"/>
      <c r="ECO21"/>
      <c r="ECP21"/>
      <c r="ECQ21"/>
      <c r="ECR21"/>
      <c r="ECS21"/>
      <c r="ECT21"/>
      <c r="ECU21"/>
      <c r="ECV21"/>
      <c r="ECW21"/>
      <c r="ECX21"/>
      <c r="ECY21"/>
      <c r="ECZ21"/>
      <c r="EDA21"/>
      <c r="EDB21"/>
      <c r="EDC21"/>
      <c r="EDD21"/>
      <c r="EDE21"/>
      <c r="EDF21"/>
      <c r="EDG21"/>
      <c r="EDH21"/>
      <c r="EDI21"/>
      <c r="EDJ21"/>
      <c r="EDK21"/>
      <c r="EDL21"/>
      <c r="EDM21"/>
      <c r="EDN21"/>
      <c r="EDO21"/>
      <c r="EDP21"/>
      <c r="EDQ21"/>
      <c r="EDR21"/>
      <c r="EDS21"/>
      <c r="EDT21"/>
      <c r="EDU21"/>
      <c r="EDV21"/>
      <c r="EDW21"/>
      <c r="EDX21"/>
      <c r="EDY21"/>
      <c r="EDZ21"/>
      <c r="EEA21"/>
      <c r="EEB21"/>
      <c r="EEC21"/>
      <c r="EED21"/>
      <c r="EEE21"/>
      <c r="EEF21"/>
      <c r="EEG21"/>
      <c r="EEH21"/>
      <c r="EEI21"/>
      <c r="EEJ21"/>
      <c r="EEK21"/>
      <c r="EEL21"/>
      <c r="EEM21"/>
      <c r="EEN21"/>
      <c r="EEO21"/>
      <c r="EEP21"/>
      <c r="EEQ21"/>
      <c r="EER21"/>
      <c r="EES21"/>
      <c r="EET21"/>
      <c r="EEU21"/>
      <c r="EEV21"/>
      <c r="EEW21"/>
      <c r="EEX21"/>
      <c r="EEY21"/>
      <c r="EEZ21"/>
      <c r="EFA21"/>
      <c r="EFB21"/>
      <c r="EFC21"/>
      <c r="EFD21"/>
      <c r="EFE21"/>
      <c r="EFF21"/>
      <c r="EFG21"/>
      <c r="EFH21"/>
      <c r="EFI21"/>
      <c r="EFJ21"/>
      <c r="EFK21"/>
      <c r="EFL21"/>
      <c r="EFM21"/>
      <c r="EFN21"/>
      <c r="EFO21"/>
      <c r="EFP21"/>
      <c r="EFQ21"/>
      <c r="EFR21"/>
      <c r="EFS21"/>
      <c r="EFT21"/>
      <c r="EFU21"/>
      <c r="EFV21"/>
      <c r="EFW21"/>
      <c r="EFX21"/>
      <c r="EFY21"/>
      <c r="EFZ21"/>
      <c r="EGA21"/>
      <c r="EGB21"/>
      <c r="EGC21"/>
      <c r="EGD21"/>
      <c r="EGE21"/>
      <c r="EGF21"/>
      <c r="EGG21"/>
      <c r="EGH21"/>
      <c r="EGI21"/>
      <c r="EGJ21"/>
      <c r="EGK21"/>
      <c r="EGL21"/>
      <c r="EGM21"/>
      <c r="EGN21"/>
      <c r="EGO21"/>
      <c r="EGP21"/>
      <c r="EGQ21"/>
      <c r="EGR21"/>
      <c r="EGS21"/>
      <c r="EGT21"/>
      <c r="EGU21"/>
      <c r="EGV21"/>
      <c r="EGW21"/>
      <c r="EGX21"/>
      <c r="EGY21"/>
      <c r="EGZ21"/>
      <c r="EHA21"/>
      <c r="EHB21"/>
      <c r="EHC21"/>
      <c r="EHD21"/>
      <c r="EHE21"/>
      <c r="EHF21"/>
      <c r="EHG21"/>
      <c r="EHH21"/>
      <c r="EHI21"/>
      <c r="EHJ21"/>
      <c r="EHK21"/>
      <c r="EHL21"/>
      <c r="EHM21"/>
      <c r="EHN21"/>
      <c r="EHO21"/>
      <c r="EHP21"/>
      <c r="EHQ21"/>
      <c r="EHR21"/>
      <c r="EHS21"/>
      <c r="EHT21"/>
      <c r="EHU21"/>
      <c r="EHV21"/>
      <c r="EHW21"/>
      <c r="EHX21"/>
      <c r="EHY21"/>
      <c r="EHZ21"/>
      <c r="EIA21"/>
      <c r="EIB21"/>
      <c r="EIC21"/>
      <c r="EID21"/>
      <c r="EIE21"/>
      <c r="EIF21"/>
      <c r="EIG21"/>
      <c r="EIH21"/>
      <c r="EII21"/>
      <c r="EIJ21"/>
      <c r="EIK21"/>
      <c r="EIL21"/>
      <c r="EIM21"/>
      <c r="EIN21"/>
      <c r="EIO21"/>
      <c r="EIP21"/>
      <c r="EIQ21"/>
      <c r="EIR21"/>
      <c r="EIS21"/>
      <c r="EIT21"/>
      <c r="EIU21"/>
      <c r="EIV21"/>
      <c r="EIW21"/>
      <c r="EIX21"/>
      <c r="EIY21"/>
      <c r="EIZ21"/>
      <c r="EJA21"/>
      <c r="EJB21"/>
      <c r="EJC21"/>
      <c r="EJD21"/>
      <c r="EJE21"/>
      <c r="EJF21"/>
      <c r="EJG21"/>
      <c r="EJH21"/>
      <c r="EJI21"/>
      <c r="EJJ21"/>
      <c r="EJK21"/>
      <c r="EJL21"/>
      <c r="EJM21"/>
      <c r="EJN21"/>
      <c r="EJO21"/>
      <c r="EJP21"/>
      <c r="EJQ21"/>
      <c r="EJR21"/>
      <c r="EJS21"/>
      <c r="EJT21"/>
      <c r="EJU21"/>
      <c r="EJV21"/>
      <c r="EJW21"/>
      <c r="EJX21"/>
      <c r="EJY21"/>
      <c r="EJZ21"/>
      <c r="EKA21"/>
      <c r="EKB21"/>
      <c r="EKC21"/>
      <c r="EKD21"/>
      <c r="EKE21"/>
      <c r="EKF21"/>
      <c r="EKG21"/>
      <c r="EKH21"/>
      <c r="EKI21"/>
      <c r="EKJ21"/>
      <c r="EKK21"/>
      <c r="EKL21"/>
      <c r="EKM21"/>
      <c r="EKN21"/>
      <c r="EKO21"/>
      <c r="EKP21"/>
      <c r="EKQ21"/>
      <c r="EKR21"/>
      <c r="EKS21"/>
      <c r="EKT21"/>
      <c r="EKU21"/>
      <c r="EKV21"/>
      <c r="EKW21"/>
      <c r="EKX21"/>
      <c r="EKY21"/>
      <c r="EKZ21"/>
      <c r="ELA21"/>
      <c r="ELB21"/>
      <c r="ELC21"/>
      <c r="ELD21"/>
      <c r="ELE21"/>
      <c r="ELF21"/>
      <c r="ELG21"/>
      <c r="ELH21"/>
      <c r="ELI21"/>
      <c r="ELJ21"/>
      <c r="ELK21"/>
      <c r="ELL21"/>
      <c r="ELM21"/>
      <c r="ELN21"/>
      <c r="ELO21"/>
      <c r="ELP21"/>
      <c r="ELQ21"/>
      <c r="ELR21"/>
      <c r="ELS21"/>
      <c r="ELT21"/>
      <c r="ELU21"/>
      <c r="ELV21"/>
      <c r="ELW21"/>
      <c r="ELX21"/>
      <c r="ELY21"/>
      <c r="ELZ21"/>
      <c r="EMA21"/>
      <c r="EMB21"/>
      <c r="EMC21"/>
      <c r="EMD21"/>
      <c r="EME21"/>
      <c r="EMF21"/>
      <c r="EMG21"/>
      <c r="EMH21"/>
      <c r="EMI21"/>
      <c r="EMJ21"/>
      <c r="EMK21"/>
      <c r="EML21"/>
      <c r="EMM21"/>
      <c r="EMN21"/>
      <c r="EMO21"/>
      <c r="EMP21"/>
      <c r="EMQ21"/>
      <c r="EMR21"/>
      <c r="EMS21"/>
      <c r="EMT21"/>
      <c r="EMU21"/>
      <c r="EMV21"/>
      <c r="EMW21"/>
      <c r="EMX21"/>
      <c r="EMY21"/>
      <c r="EMZ21"/>
      <c r="ENA21"/>
      <c r="ENB21"/>
      <c r="ENC21"/>
      <c r="END21"/>
      <c r="ENE21"/>
      <c r="ENF21"/>
      <c r="ENG21"/>
      <c r="ENH21"/>
      <c r="ENI21"/>
      <c r="ENJ21"/>
      <c r="ENK21"/>
      <c r="ENL21"/>
      <c r="ENM21"/>
      <c r="ENN21"/>
      <c r="ENO21"/>
      <c r="ENP21"/>
      <c r="ENQ21"/>
      <c r="ENR21"/>
      <c r="ENS21"/>
      <c r="ENT21"/>
      <c r="ENU21"/>
      <c r="ENV21"/>
      <c r="ENW21"/>
      <c r="ENX21"/>
      <c r="ENY21"/>
      <c r="ENZ21"/>
      <c r="EOA21"/>
      <c r="EOB21"/>
      <c r="EOC21"/>
      <c r="EOD21"/>
      <c r="EOE21"/>
      <c r="EOF21"/>
      <c r="EOG21"/>
      <c r="EOH21"/>
      <c r="EOI21"/>
      <c r="EOJ21"/>
      <c r="EOK21"/>
      <c r="EOL21"/>
      <c r="EOM21"/>
      <c r="EON21"/>
      <c r="EOO21"/>
      <c r="EOP21"/>
      <c r="EOQ21"/>
      <c r="EOR21"/>
      <c r="EOS21"/>
      <c r="EOT21"/>
      <c r="EOU21"/>
      <c r="EOV21"/>
      <c r="EOW21"/>
      <c r="EOX21"/>
      <c r="EOY21"/>
      <c r="EOZ21"/>
      <c r="EPA21"/>
      <c r="EPB21"/>
      <c r="EPC21"/>
      <c r="EPD21"/>
      <c r="EPE21"/>
      <c r="EPF21"/>
      <c r="EPG21"/>
      <c r="EPH21"/>
      <c r="EPI21"/>
      <c r="EPJ21"/>
      <c r="EPK21"/>
      <c r="EPL21"/>
      <c r="EPM21"/>
      <c r="EPN21"/>
      <c r="EPO21"/>
      <c r="EPP21"/>
      <c r="EPQ21"/>
      <c r="EPR21"/>
      <c r="EPS21"/>
      <c r="EPT21"/>
      <c r="EPU21"/>
      <c r="EPV21"/>
      <c r="EPW21"/>
      <c r="EPX21"/>
      <c r="EPY21"/>
      <c r="EPZ21"/>
      <c r="EQA21"/>
      <c r="EQB21"/>
      <c r="EQC21"/>
      <c r="EQD21"/>
      <c r="EQE21"/>
      <c r="EQF21"/>
      <c r="EQG21"/>
      <c r="EQH21"/>
      <c r="EQI21"/>
      <c r="EQJ21"/>
      <c r="EQK21"/>
      <c r="EQL21"/>
      <c r="EQM21"/>
      <c r="EQN21"/>
      <c r="EQO21"/>
      <c r="EQP21"/>
      <c r="EQQ21"/>
      <c r="EQR21"/>
      <c r="EQS21"/>
      <c r="EQT21"/>
      <c r="EQU21"/>
      <c r="EQV21"/>
      <c r="EQW21"/>
      <c r="EQX21"/>
      <c r="EQY21"/>
      <c r="EQZ21"/>
      <c r="ERA21"/>
      <c r="ERB21"/>
      <c r="ERC21"/>
      <c r="ERD21"/>
      <c r="ERE21"/>
      <c r="ERF21"/>
      <c r="ERG21"/>
      <c r="ERH21"/>
      <c r="ERI21"/>
      <c r="ERJ21"/>
      <c r="ERK21"/>
      <c r="ERL21"/>
      <c r="ERM21"/>
      <c r="ERN21"/>
      <c r="ERO21"/>
      <c r="ERP21"/>
      <c r="ERQ21"/>
      <c r="ERR21"/>
      <c r="ERS21"/>
      <c r="ERT21"/>
      <c r="ERU21"/>
      <c r="ERV21"/>
      <c r="ERW21"/>
      <c r="ERX21"/>
      <c r="ERY21"/>
      <c r="ERZ21"/>
      <c r="ESA21"/>
      <c r="ESB21"/>
      <c r="ESC21"/>
      <c r="ESD21"/>
      <c r="ESE21"/>
      <c r="ESF21"/>
      <c r="ESG21"/>
      <c r="ESH21"/>
      <c r="ESI21"/>
      <c r="ESJ21"/>
      <c r="ESK21"/>
      <c r="ESL21"/>
      <c r="ESM21"/>
      <c r="ESN21"/>
      <c r="ESO21"/>
      <c r="ESP21"/>
      <c r="ESQ21"/>
      <c r="ESR21"/>
      <c r="ESS21"/>
      <c r="EST21"/>
      <c r="ESU21"/>
      <c r="ESV21"/>
      <c r="ESW21"/>
      <c r="ESX21"/>
      <c r="ESY21"/>
      <c r="ESZ21"/>
      <c r="ETA21"/>
      <c r="ETB21"/>
      <c r="ETC21"/>
      <c r="ETD21"/>
      <c r="ETE21"/>
      <c r="ETF21"/>
      <c r="ETG21"/>
      <c r="ETH21"/>
      <c r="ETI21"/>
      <c r="ETJ21"/>
      <c r="ETK21"/>
      <c r="ETL21"/>
      <c r="ETM21"/>
      <c r="ETN21"/>
      <c r="ETO21"/>
      <c r="ETP21"/>
      <c r="ETQ21"/>
      <c r="ETR21"/>
      <c r="ETS21"/>
      <c r="ETT21"/>
      <c r="ETU21"/>
      <c r="ETV21"/>
      <c r="ETW21"/>
      <c r="ETX21"/>
      <c r="ETY21"/>
      <c r="ETZ21"/>
      <c r="EUA21"/>
      <c r="EUB21"/>
      <c r="EUC21"/>
      <c r="EUD21"/>
      <c r="EUE21"/>
      <c r="EUF21"/>
      <c r="EUG21"/>
      <c r="EUH21"/>
      <c r="EUI21"/>
      <c r="EUJ21"/>
      <c r="EUK21"/>
      <c r="EUL21"/>
      <c r="EUM21"/>
      <c r="EUN21"/>
      <c r="EUO21"/>
      <c r="EUP21"/>
      <c r="EUQ21"/>
      <c r="EUR21"/>
      <c r="EUS21"/>
      <c r="EUT21"/>
      <c r="EUU21"/>
      <c r="EUV21"/>
      <c r="EUW21"/>
      <c r="EUX21"/>
      <c r="EUY21"/>
      <c r="EUZ21"/>
      <c r="EVA21"/>
      <c r="EVB21"/>
      <c r="EVC21"/>
      <c r="EVD21"/>
      <c r="EVE21"/>
      <c r="EVF21"/>
      <c r="EVG21"/>
      <c r="EVH21"/>
      <c r="EVI21"/>
      <c r="EVJ21"/>
      <c r="EVK21"/>
      <c r="EVL21"/>
      <c r="EVM21"/>
      <c r="EVN21"/>
      <c r="EVO21"/>
      <c r="EVP21"/>
      <c r="EVQ21"/>
      <c r="EVR21"/>
      <c r="EVS21"/>
      <c r="EVT21"/>
      <c r="EVU21"/>
      <c r="EVV21"/>
      <c r="EVW21"/>
      <c r="EVX21"/>
      <c r="EVY21"/>
      <c r="EVZ21"/>
      <c r="EWA21"/>
      <c r="EWB21"/>
      <c r="EWC21"/>
      <c r="EWD21"/>
      <c r="EWE21"/>
      <c r="EWF21"/>
      <c r="EWG21"/>
      <c r="EWH21"/>
      <c r="EWI21"/>
      <c r="EWJ21"/>
      <c r="EWK21"/>
      <c r="EWL21"/>
      <c r="EWM21"/>
      <c r="EWN21"/>
      <c r="EWO21"/>
      <c r="EWP21"/>
      <c r="EWQ21"/>
      <c r="EWR21"/>
      <c r="EWS21"/>
      <c r="EWT21"/>
      <c r="EWU21"/>
      <c r="EWV21"/>
      <c r="EWW21"/>
      <c r="EWX21"/>
      <c r="EWY21"/>
      <c r="EWZ21"/>
      <c r="EXA21"/>
      <c r="EXB21"/>
      <c r="EXC21"/>
      <c r="EXD21"/>
      <c r="EXE21"/>
      <c r="EXF21"/>
      <c r="EXG21"/>
      <c r="EXH21"/>
      <c r="EXI21"/>
      <c r="EXJ21"/>
      <c r="EXK21"/>
      <c r="EXL21"/>
      <c r="EXM21"/>
      <c r="EXN21"/>
      <c r="EXO21"/>
      <c r="EXP21"/>
      <c r="EXQ21"/>
      <c r="EXR21"/>
      <c r="EXS21"/>
      <c r="EXT21"/>
      <c r="EXU21"/>
      <c r="EXV21"/>
      <c r="EXW21"/>
      <c r="EXX21"/>
      <c r="EXY21"/>
      <c r="EXZ21"/>
      <c r="EYA21"/>
      <c r="EYB21"/>
      <c r="EYC21"/>
      <c r="EYD21"/>
      <c r="EYE21"/>
      <c r="EYF21"/>
      <c r="EYG21"/>
      <c r="EYH21"/>
      <c r="EYI21"/>
      <c r="EYJ21"/>
      <c r="EYK21"/>
      <c r="EYL21"/>
      <c r="EYM21"/>
      <c r="EYN21"/>
      <c r="EYO21"/>
      <c r="EYP21"/>
      <c r="EYQ21"/>
      <c r="EYR21"/>
      <c r="EYS21"/>
      <c r="EYT21"/>
      <c r="EYU21"/>
      <c r="EYV21"/>
      <c r="EYW21"/>
      <c r="EYX21"/>
      <c r="EYY21"/>
      <c r="EYZ21"/>
      <c r="EZA21"/>
      <c r="EZB21"/>
      <c r="EZC21"/>
      <c r="EZD21"/>
      <c r="EZE21"/>
      <c r="EZF21"/>
      <c r="EZG21"/>
      <c r="EZH21"/>
      <c r="EZI21"/>
      <c r="EZJ21"/>
      <c r="EZK21"/>
      <c r="EZL21"/>
      <c r="EZM21"/>
      <c r="EZN21"/>
      <c r="EZO21"/>
      <c r="EZP21"/>
      <c r="EZQ21"/>
      <c r="EZR21"/>
      <c r="EZS21"/>
      <c r="EZT21"/>
      <c r="EZU21"/>
      <c r="EZV21"/>
      <c r="EZW21"/>
      <c r="EZX21"/>
      <c r="EZY21"/>
      <c r="EZZ21"/>
      <c r="FAA21"/>
      <c r="FAB21"/>
      <c r="FAC21"/>
      <c r="FAD21"/>
      <c r="FAE21"/>
      <c r="FAF21"/>
      <c r="FAG21"/>
      <c r="FAH21"/>
      <c r="FAI21"/>
      <c r="FAJ21"/>
      <c r="FAK21"/>
      <c r="FAL21"/>
      <c r="FAM21"/>
      <c r="FAN21"/>
      <c r="FAO21"/>
      <c r="FAP21"/>
      <c r="FAQ21"/>
      <c r="FAR21"/>
      <c r="FAS21"/>
      <c r="FAT21"/>
      <c r="FAU21"/>
      <c r="FAV21"/>
      <c r="FAW21"/>
      <c r="FAX21"/>
      <c r="FAY21"/>
      <c r="FAZ21"/>
      <c r="FBA21"/>
      <c r="FBB21"/>
      <c r="FBC21"/>
      <c r="FBD21"/>
      <c r="FBE21"/>
      <c r="FBF21"/>
      <c r="FBG21"/>
      <c r="FBH21"/>
      <c r="FBI21"/>
      <c r="FBJ21"/>
      <c r="FBK21"/>
      <c r="FBL21"/>
      <c r="FBM21"/>
      <c r="FBN21"/>
      <c r="FBO21"/>
      <c r="FBP21"/>
      <c r="FBQ21"/>
      <c r="FBR21"/>
      <c r="FBS21"/>
      <c r="FBT21"/>
      <c r="FBU21"/>
      <c r="FBV21"/>
      <c r="FBW21"/>
      <c r="FBX21"/>
      <c r="FBY21"/>
      <c r="FBZ21"/>
      <c r="FCA21"/>
      <c r="FCB21"/>
      <c r="FCC21"/>
      <c r="FCD21"/>
      <c r="FCE21"/>
      <c r="FCF21"/>
      <c r="FCG21"/>
      <c r="FCH21"/>
      <c r="FCI21"/>
      <c r="FCJ21"/>
      <c r="FCK21"/>
      <c r="FCL21"/>
      <c r="FCM21"/>
      <c r="FCN21"/>
      <c r="FCO21"/>
      <c r="FCP21"/>
      <c r="FCQ21"/>
      <c r="FCR21"/>
      <c r="FCS21"/>
      <c r="FCT21"/>
      <c r="FCU21"/>
      <c r="FCV21"/>
      <c r="FCW21"/>
      <c r="FCX21"/>
      <c r="FCY21"/>
      <c r="FCZ21"/>
      <c r="FDA21"/>
      <c r="FDB21"/>
      <c r="FDC21"/>
      <c r="FDD21"/>
      <c r="FDE21"/>
      <c r="FDF21"/>
      <c r="FDG21"/>
      <c r="FDH21"/>
      <c r="FDI21"/>
      <c r="FDJ21"/>
      <c r="FDK21"/>
      <c r="FDL21"/>
      <c r="FDM21"/>
      <c r="FDN21"/>
      <c r="FDO21"/>
      <c r="FDP21"/>
      <c r="FDQ21"/>
      <c r="FDR21"/>
      <c r="FDS21"/>
      <c r="FDT21"/>
      <c r="FDU21"/>
      <c r="FDV21"/>
      <c r="FDW21"/>
      <c r="FDX21"/>
      <c r="FDY21"/>
      <c r="FDZ21"/>
      <c r="FEA21"/>
      <c r="FEB21"/>
      <c r="FEC21"/>
      <c r="FED21"/>
      <c r="FEE21"/>
      <c r="FEF21"/>
      <c r="FEG21"/>
      <c r="FEH21"/>
      <c r="FEI21"/>
      <c r="FEJ21"/>
      <c r="FEK21"/>
      <c r="FEL21"/>
      <c r="FEM21"/>
      <c r="FEN21"/>
      <c r="FEO21"/>
      <c r="FEP21"/>
      <c r="FEQ21"/>
      <c r="FER21"/>
      <c r="FES21"/>
      <c r="FET21"/>
      <c r="FEU21"/>
      <c r="FEV21"/>
      <c r="FEW21"/>
      <c r="FEX21"/>
      <c r="FEY21"/>
      <c r="FEZ21"/>
      <c r="FFA21"/>
      <c r="FFB21"/>
      <c r="FFC21"/>
      <c r="FFD21"/>
      <c r="FFE21"/>
      <c r="FFF21"/>
      <c r="FFG21"/>
      <c r="FFH21"/>
      <c r="FFI21"/>
      <c r="FFJ21"/>
      <c r="FFK21"/>
      <c r="FFL21"/>
      <c r="FFM21"/>
      <c r="FFN21"/>
      <c r="FFO21"/>
      <c r="FFP21"/>
      <c r="FFQ21"/>
      <c r="FFR21"/>
      <c r="FFS21"/>
      <c r="FFT21"/>
      <c r="FFU21"/>
      <c r="FFV21"/>
      <c r="FFW21"/>
      <c r="FFX21"/>
      <c r="FFY21"/>
      <c r="FFZ21"/>
      <c r="FGA21"/>
      <c r="FGB21"/>
      <c r="FGC21"/>
      <c r="FGD21"/>
      <c r="FGE21"/>
      <c r="FGF21"/>
      <c r="FGG21"/>
      <c r="FGH21"/>
      <c r="FGI21"/>
      <c r="FGJ21"/>
      <c r="FGK21"/>
      <c r="FGL21"/>
      <c r="FGM21"/>
      <c r="FGN21"/>
      <c r="FGO21"/>
      <c r="FGP21"/>
      <c r="FGQ21"/>
      <c r="FGR21"/>
      <c r="FGS21"/>
      <c r="FGT21"/>
      <c r="FGU21"/>
      <c r="FGV21"/>
      <c r="FGW21"/>
      <c r="FGX21"/>
      <c r="FGY21"/>
      <c r="FGZ21"/>
      <c r="FHA21"/>
      <c r="FHB21"/>
      <c r="FHC21"/>
      <c r="FHD21"/>
      <c r="FHE21"/>
      <c r="FHF21"/>
      <c r="FHG21"/>
      <c r="FHH21"/>
      <c r="FHI21"/>
      <c r="FHJ21"/>
      <c r="FHK21"/>
      <c r="FHL21"/>
      <c r="FHM21"/>
      <c r="FHN21"/>
      <c r="FHO21"/>
      <c r="FHP21"/>
      <c r="FHQ21"/>
      <c r="FHR21"/>
      <c r="FHS21"/>
      <c r="FHT21"/>
      <c r="FHU21"/>
      <c r="FHV21"/>
      <c r="FHW21"/>
      <c r="FHX21"/>
      <c r="FHY21"/>
      <c r="FHZ21"/>
      <c r="FIA21"/>
      <c r="FIB21"/>
      <c r="FIC21"/>
      <c r="FID21"/>
      <c r="FIE21"/>
      <c r="FIF21"/>
      <c r="FIG21"/>
      <c r="FIH21"/>
      <c r="FII21"/>
      <c r="FIJ21"/>
      <c r="FIK21"/>
      <c r="FIL21"/>
      <c r="FIM21"/>
      <c r="FIN21"/>
      <c r="FIO21"/>
      <c r="FIP21"/>
      <c r="FIQ21"/>
      <c r="FIR21"/>
      <c r="FIS21"/>
      <c r="FIT21"/>
      <c r="FIU21"/>
      <c r="FIV21"/>
      <c r="FIW21"/>
      <c r="FIX21"/>
      <c r="FIY21"/>
      <c r="FIZ21"/>
      <c r="FJA21"/>
      <c r="FJB21"/>
      <c r="FJC21"/>
      <c r="FJD21"/>
      <c r="FJE21"/>
      <c r="FJF21"/>
      <c r="FJG21"/>
      <c r="FJH21"/>
      <c r="FJI21"/>
      <c r="FJJ21"/>
      <c r="FJK21"/>
      <c r="FJL21"/>
      <c r="FJM21"/>
      <c r="FJN21"/>
      <c r="FJO21"/>
      <c r="FJP21"/>
      <c r="FJQ21"/>
      <c r="FJR21"/>
      <c r="FJS21"/>
      <c r="FJT21"/>
      <c r="FJU21"/>
      <c r="FJV21"/>
      <c r="FJW21"/>
      <c r="FJX21"/>
      <c r="FJY21"/>
      <c r="FJZ21"/>
      <c r="FKA21"/>
      <c r="FKB21"/>
      <c r="FKC21"/>
      <c r="FKD21"/>
      <c r="FKE21"/>
      <c r="FKF21"/>
      <c r="FKG21"/>
      <c r="FKH21"/>
      <c r="FKI21"/>
      <c r="FKJ21"/>
      <c r="FKK21"/>
      <c r="FKL21"/>
      <c r="FKM21"/>
      <c r="FKN21"/>
      <c r="FKO21"/>
      <c r="FKP21"/>
      <c r="FKQ21"/>
      <c r="FKR21"/>
      <c r="FKS21"/>
      <c r="FKT21"/>
      <c r="FKU21"/>
      <c r="FKV21"/>
      <c r="FKW21"/>
      <c r="FKX21"/>
      <c r="FKY21"/>
      <c r="FKZ21"/>
      <c r="FLA21"/>
      <c r="FLB21"/>
      <c r="FLC21"/>
      <c r="FLD21"/>
      <c r="FLE21"/>
      <c r="FLF21"/>
      <c r="FLG21"/>
      <c r="FLH21"/>
      <c r="FLI21"/>
      <c r="FLJ21"/>
      <c r="FLK21"/>
      <c r="FLL21"/>
      <c r="FLM21"/>
      <c r="FLN21"/>
      <c r="FLO21"/>
      <c r="FLP21"/>
      <c r="FLQ21"/>
      <c r="FLR21"/>
      <c r="FLS21"/>
      <c r="FLT21"/>
      <c r="FLU21"/>
      <c r="FLV21"/>
      <c r="FLW21"/>
      <c r="FLX21"/>
      <c r="FLY21"/>
      <c r="FLZ21"/>
      <c r="FMA21"/>
      <c r="FMB21"/>
      <c r="FMC21"/>
      <c r="FMD21"/>
      <c r="FME21"/>
      <c r="FMF21"/>
      <c r="FMG21"/>
      <c r="FMH21"/>
      <c r="FMI21"/>
      <c r="FMJ21"/>
      <c r="FMK21"/>
      <c r="FML21"/>
      <c r="FMM21"/>
      <c r="FMN21"/>
      <c r="FMO21"/>
      <c r="FMP21"/>
      <c r="FMQ21"/>
      <c r="FMR21"/>
      <c r="FMS21"/>
      <c r="FMT21"/>
      <c r="FMU21"/>
      <c r="FMV21"/>
      <c r="FMW21"/>
      <c r="FMX21"/>
      <c r="FMY21"/>
      <c r="FMZ21"/>
      <c r="FNA21"/>
      <c r="FNB21"/>
      <c r="FNC21"/>
      <c r="FND21"/>
      <c r="FNE21"/>
      <c r="FNF21"/>
      <c r="FNG21"/>
      <c r="FNH21"/>
      <c r="FNI21"/>
      <c r="FNJ21"/>
      <c r="FNK21"/>
      <c r="FNL21"/>
      <c r="FNM21"/>
      <c r="FNN21"/>
      <c r="FNO21"/>
      <c r="FNP21"/>
      <c r="FNQ21"/>
      <c r="FNR21"/>
      <c r="FNS21"/>
      <c r="FNT21"/>
      <c r="FNU21"/>
      <c r="FNV21"/>
      <c r="FNW21"/>
      <c r="FNX21"/>
      <c r="FNY21"/>
      <c r="FNZ21"/>
      <c r="FOA21"/>
      <c r="FOB21"/>
      <c r="FOC21"/>
      <c r="FOD21"/>
      <c r="FOE21"/>
      <c r="FOF21"/>
      <c r="FOG21"/>
      <c r="FOH21"/>
      <c r="FOI21"/>
      <c r="FOJ21"/>
      <c r="FOK21"/>
      <c r="FOL21"/>
      <c r="FOM21"/>
      <c r="FON21"/>
      <c r="FOO21"/>
      <c r="FOP21"/>
      <c r="FOQ21"/>
      <c r="FOR21"/>
      <c r="FOS21"/>
      <c r="FOT21"/>
      <c r="FOU21"/>
      <c r="FOV21"/>
      <c r="FOW21"/>
      <c r="FOX21"/>
      <c r="FOY21"/>
      <c r="FOZ21"/>
      <c r="FPA21"/>
      <c r="FPB21"/>
      <c r="FPC21"/>
      <c r="FPD21"/>
      <c r="FPE21"/>
      <c r="FPF21"/>
      <c r="FPG21"/>
      <c r="FPH21"/>
      <c r="FPI21"/>
      <c r="FPJ21"/>
      <c r="FPK21"/>
      <c r="FPL21"/>
      <c r="FPM21"/>
      <c r="FPN21"/>
      <c r="FPO21"/>
      <c r="FPP21"/>
      <c r="FPQ21"/>
      <c r="FPR21"/>
      <c r="FPS21"/>
      <c r="FPT21"/>
      <c r="FPU21"/>
      <c r="FPV21"/>
      <c r="FPW21"/>
      <c r="FPX21"/>
      <c r="FPY21"/>
      <c r="FPZ21"/>
      <c r="FQA21"/>
      <c r="FQB21"/>
      <c r="FQC21"/>
      <c r="FQD21"/>
      <c r="FQE21"/>
      <c r="FQF21"/>
      <c r="FQG21"/>
      <c r="FQH21"/>
      <c r="FQI21"/>
      <c r="FQJ21"/>
      <c r="FQK21"/>
      <c r="FQL21"/>
      <c r="FQM21"/>
      <c r="FQN21"/>
      <c r="FQO21"/>
      <c r="FQP21"/>
      <c r="FQQ21"/>
      <c r="FQR21"/>
      <c r="FQS21"/>
      <c r="FQT21"/>
      <c r="FQU21"/>
      <c r="FQV21"/>
      <c r="FQW21"/>
      <c r="FQX21"/>
      <c r="FQY21"/>
      <c r="FQZ21"/>
      <c r="FRA21"/>
      <c r="FRB21"/>
      <c r="FRC21"/>
      <c r="FRD21"/>
      <c r="FRE21"/>
      <c r="FRF21"/>
      <c r="FRG21"/>
      <c r="FRH21"/>
      <c r="FRI21"/>
      <c r="FRJ21"/>
      <c r="FRK21"/>
      <c r="FRL21"/>
      <c r="FRM21"/>
      <c r="FRN21"/>
      <c r="FRO21"/>
      <c r="FRP21"/>
      <c r="FRQ21"/>
      <c r="FRR21"/>
      <c r="FRS21"/>
      <c r="FRT21"/>
      <c r="FRU21"/>
      <c r="FRV21"/>
      <c r="FRW21"/>
      <c r="FRX21"/>
      <c r="FRY21"/>
      <c r="FRZ21"/>
      <c r="FSA21"/>
      <c r="FSB21"/>
      <c r="FSC21"/>
      <c r="FSD21"/>
      <c r="FSE21"/>
      <c r="FSF21"/>
      <c r="FSG21"/>
      <c r="FSH21"/>
      <c r="FSI21"/>
      <c r="FSJ21"/>
      <c r="FSK21"/>
      <c r="FSL21"/>
      <c r="FSM21"/>
      <c r="FSN21"/>
      <c r="FSO21"/>
      <c r="FSP21"/>
      <c r="FSQ21"/>
      <c r="FSR21"/>
      <c r="FSS21"/>
      <c r="FST21"/>
      <c r="FSU21"/>
      <c r="FSV21"/>
      <c r="FSW21"/>
      <c r="FSX21"/>
      <c r="FSY21"/>
      <c r="FSZ21"/>
      <c r="FTA21"/>
      <c r="FTB21"/>
      <c r="FTC21"/>
      <c r="FTD21"/>
      <c r="FTE21"/>
      <c r="FTF21"/>
      <c r="FTG21"/>
      <c r="FTH21"/>
      <c r="FTI21"/>
      <c r="FTJ21"/>
      <c r="FTK21"/>
      <c r="FTL21"/>
      <c r="FTM21"/>
      <c r="FTN21"/>
      <c r="FTO21"/>
      <c r="FTP21"/>
      <c r="FTQ21"/>
      <c r="FTR21"/>
      <c r="FTS21"/>
      <c r="FTT21"/>
      <c r="FTU21"/>
      <c r="FTV21"/>
      <c r="FTW21"/>
      <c r="FTX21"/>
      <c r="FTY21"/>
      <c r="FTZ21"/>
      <c r="FUA21"/>
      <c r="FUB21"/>
      <c r="FUC21"/>
      <c r="FUD21"/>
      <c r="FUE21"/>
      <c r="FUF21"/>
      <c r="FUG21"/>
      <c r="FUH21"/>
      <c r="FUI21"/>
      <c r="FUJ21"/>
      <c r="FUK21"/>
      <c r="FUL21"/>
      <c r="FUM21"/>
      <c r="FUN21"/>
      <c r="FUO21"/>
      <c r="FUP21"/>
      <c r="FUQ21"/>
      <c r="FUR21"/>
      <c r="FUS21"/>
      <c r="FUT21"/>
      <c r="FUU21"/>
      <c r="FUV21"/>
      <c r="FUW21"/>
      <c r="FUX21"/>
      <c r="FUY21"/>
      <c r="FUZ21"/>
      <c r="FVA21"/>
      <c r="FVB21"/>
      <c r="FVC21"/>
      <c r="FVD21"/>
      <c r="FVE21"/>
      <c r="FVF21"/>
      <c r="FVG21"/>
      <c r="FVH21"/>
      <c r="FVI21"/>
      <c r="FVJ21"/>
      <c r="FVK21"/>
      <c r="FVL21"/>
      <c r="FVM21"/>
      <c r="FVN21"/>
      <c r="FVO21"/>
      <c r="FVP21"/>
      <c r="FVQ21"/>
      <c r="FVR21"/>
      <c r="FVS21"/>
      <c r="FVT21"/>
      <c r="FVU21"/>
      <c r="FVV21"/>
      <c r="FVW21"/>
      <c r="FVX21"/>
      <c r="FVY21"/>
      <c r="FVZ21"/>
      <c r="FWA21"/>
      <c r="FWB21"/>
      <c r="FWC21"/>
      <c r="FWD21"/>
      <c r="FWE21"/>
      <c r="FWF21"/>
      <c r="FWG21"/>
      <c r="FWH21"/>
      <c r="FWI21"/>
      <c r="FWJ21"/>
      <c r="FWK21"/>
      <c r="FWL21"/>
      <c r="FWM21"/>
      <c r="FWN21"/>
      <c r="FWO21"/>
      <c r="FWP21"/>
      <c r="FWQ21"/>
      <c r="FWR21"/>
      <c r="FWS21"/>
      <c r="FWT21"/>
      <c r="FWU21"/>
      <c r="FWV21"/>
      <c r="FWW21"/>
      <c r="FWX21"/>
      <c r="FWY21"/>
      <c r="FWZ21"/>
      <c r="FXA21"/>
      <c r="FXB21"/>
      <c r="FXC21"/>
      <c r="FXD21"/>
      <c r="FXE21"/>
      <c r="FXF21"/>
      <c r="FXG21"/>
      <c r="FXH21"/>
      <c r="FXI21"/>
      <c r="FXJ21"/>
      <c r="FXK21"/>
      <c r="FXL21"/>
      <c r="FXM21"/>
      <c r="FXN21"/>
      <c r="FXO21"/>
      <c r="FXP21"/>
      <c r="FXQ21"/>
      <c r="FXR21"/>
      <c r="FXS21"/>
      <c r="FXT21"/>
      <c r="FXU21"/>
      <c r="FXV21"/>
      <c r="FXW21"/>
      <c r="FXX21"/>
      <c r="FXY21"/>
      <c r="FXZ21"/>
      <c r="FYA21"/>
      <c r="FYB21"/>
      <c r="FYC21"/>
      <c r="FYD21"/>
      <c r="FYE21"/>
      <c r="FYF21"/>
      <c r="FYG21"/>
      <c r="FYH21"/>
      <c r="FYI21"/>
      <c r="FYJ21"/>
      <c r="FYK21"/>
      <c r="FYL21"/>
      <c r="FYM21"/>
      <c r="FYN21"/>
      <c r="FYO21"/>
      <c r="FYP21"/>
      <c r="FYQ21"/>
      <c r="FYR21"/>
      <c r="FYS21"/>
      <c r="FYT21"/>
      <c r="FYU21"/>
      <c r="FYV21"/>
      <c r="FYW21"/>
      <c r="FYX21"/>
      <c r="FYY21"/>
      <c r="FYZ21"/>
      <c r="FZA21"/>
      <c r="FZB21"/>
      <c r="FZC21"/>
      <c r="FZD21"/>
      <c r="FZE21"/>
      <c r="FZF21"/>
      <c r="FZG21"/>
      <c r="FZH21"/>
      <c r="FZI21"/>
      <c r="FZJ21"/>
      <c r="FZK21"/>
      <c r="FZL21"/>
      <c r="FZM21"/>
      <c r="FZN21"/>
      <c r="FZO21"/>
      <c r="FZP21"/>
      <c r="FZQ21"/>
      <c r="FZR21"/>
      <c r="FZS21"/>
      <c r="FZT21"/>
      <c r="FZU21"/>
      <c r="FZV21"/>
      <c r="FZW21"/>
      <c r="FZX21"/>
      <c r="FZY21"/>
      <c r="FZZ21"/>
      <c r="GAA21"/>
      <c r="GAB21"/>
      <c r="GAC21"/>
      <c r="GAD21"/>
      <c r="GAE21"/>
      <c r="GAF21"/>
      <c r="GAG21"/>
      <c r="GAH21"/>
      <c r="GAI21"/>
      <c r="GAJ21"/>
      <c r="GAK21"/>
      <c r="GAL21"/>
      <c r="GAM21"/>
      <c r="GAN21"/>
      <c r="GAO21"/>
      <c r="GAP21"/>
      <c r="GAQ21"/>
      <c r="GAR21"/>
      <c r="GAS21"/>
      <c r="GAT21"/>
      <c r="GAU21"/>
      <c r="GAV21"/>
      <c r="GAW21"/>
      <c r="GAX21"/>
      <c r="GAY21"/>
      <c r="GAZ21"/>
      <c r="GBA21"/>
      <c r="GBB21"/>
      <c r="GBC21"/>
      <c r="GBD21"/>
      <c r="GBE21"/>
      <c r="GBF21"/>
      <c r="GBG21"/>
      <c r="GBH21"/>
      <c r="GBI21"/>
      <c r="GBJ21"/>
      <c r="GBK21"/>
      <c r="GBL21"/>
      <c r="GBM21"/>
      <c r="GBN21"/>
      <c r="GBO21"/>
      <c r="GBP21"/>
      <c r="GBQ21"/>
      <c r="GBR21"/>
      <c r="GBS21"/>
      <c r="GBT21"/>
      <c r="GBU21"/>
      <c r="GBV21"/>
      <c r="GBW21"/>
      <c r="GBX21"/>
      <c r="GBY21"/>
      <c r="GBZ21"/>
      <c r="GCA21"/>
      <c r="GCB21"/>
      <c r="GCC21"/>
      <c r="GCD21"/>
      <c r="GCE21"/>
      <c r="GCF21"/>
      <c r="GCG21"/>
      <c r="GCH21"/>
      <c r="GCI21"/>
      <c r="GCJ21"/>
      <c r="GCK21"/>
      <c r="GCL21"/>
      <c r="GCM21"/>
      <c r="GCN21"/>
      <c r="GCO21"/>
      <c r="GCP21"/>
      <c r="GCQ21"/>
      <c r="GCR21"/>
      <c r="GCS21"/>
      <c r="GCT21"/>
      <c r="GCU21"/>
      <c r="GCV21"/>
      <c r="GCW21"/>
      <c r="GCX21"/>
      <c r="GCY21"/>
      <c r="GCZ21"/>
      <c r="GDA21"/>
      <c r="GDB21"/>
      <c r="GDC21"/>
      <c r="GDD21"/>
      <c r="GDE21"/>
      <c r="GDF21"/>
      <c r="GDG21"/>
      <c r="GDH21"/>
      <c r="GDI21"/>
      <c r="GDJ21"/>
      <c r="GDK21"/>
      <c r="GDL21"/>
      <c r="GDM21"/>
      <c r="GDN21"/>
      <c r="GDO21"/>
      <c r="GDP21"/>
      <c r="GDQ21"/>
      <c r="GDR21"/>
      <c r="GDS21"/>
      <c r="GDT21"/>
      <c r="GDU21"/>
      <c r="GDV21"/>
      <c r="GDW21"/>
      <c r="GDX21"/>
      <c r="GDY21"/>
      <c r="GDZ21"/>
      <c r="GEA21"/>
      <c r="GEB21"/>
      <c r="GEC21"/>
      <c r="GED21"/>
      <c r="GEE21"/>
      <c r="GEF21"/>
      <c r="GEG21"/>
      <c r="GEH21"/>
      <c r="GEI21"/>
      <c r="GEJ21"/>
      <c r="GEK21"/>
      <c r="GEL21"/>
      <c r="GEM21"/>
      <c r="GEN21"/>
      <c r="GEO21"/>
      <c r="GEP21"/>
      <c r="GEQ21"/>
      <c r="GER21"/>
      <c r="GES21"/>
      <c r="GET21"/>
      <c r="GEU21"/>
      <c r="GEV21"/>
      <c r="GEW21"/>
      <c r="GEX21"/>
      <c r="GEY21"/>
      <c r="GEZ21"/>
      <c r="GFA21"/>
      <c r="GFB21"/>
      <c r="GFC21"/>
      <c r="GFD21"/>
      <c r="GFE21"/>
      <c r="GFF21"/>
      <c r="GFG21"/>
      <c r="GFH21"/>
      <c r="GFI21"/>
      <c r="GFJ21"/>
      <c r="GFK21"/>
      <c r="GFL21"/>
      <c r="GFM21"/>
      <c r="GFN21"/>
      <c r="GFO21"/>
      <c r="GFP21"/>
      <c r="GFQ21"/>
      <c r="GFR21"/>
      <c r="GFS21"/>
      <c r="GFT21"/>
      <c r="GFU21"/>
      <c r="GFV21"/>
      <c r="GFW21"/>
      <c r="GFX21"/>
      <c r="GFY21"/>
      <c r="GFZ21"/>
      <c r="GGA21"/>
      <c r="GGB21"/>
      <c r="GGC21"/>
      <c r="GGD21"/>
      <c r="GGE21"/>
      <c r="GGF21"/>
      <c r="GGG21"/>
      <c r="GGH21"/>
      <c r="GGI21"/>
      <c r="GGJ21"/>
      <c r="GGK21"/>
      <c r="GGL21"/>
      <c r="GGM21"/>
      <c r="GGN21"/>
      <c r="GGO21"/>
      <c r="GGP21"/>
      <c r="GGQ21"/>
      <c r="GGR21"/>
      <c r="GGS21"/>
      <c r="GGT21"/>
      <c r="GGU21"/>
      <c r="GGV21"/>
      <c r="GGW21"/>
      <c r="GGX21"/>
      <c r="GGY21"/>
      <c r="GGZ21"/>
      <c r="GHA21"/>
      <c r="GHB21"/>
      <c r="GHC21"/>
      <c r="GHD21"/>
      <c r="GHE21"/>
      <c r="GHF21"/>
      <c r="GHG21"/>
      <c r="GHH21"/>
      <c r="GHI21"/>
      <c r="GHJ21"/>
      <c r="GHK21"/>
      <c r="GHL21"/>
      <c r="GHM21"/>
      <c r="GHN21"/>
      <c r="GHO21"/>
      <c r="GHP21"/>
      <c r="GHQ21"/>
      <c r="GHR21"/>
      <c r="GHS21"/>
      <c r="GHT21"/>
      <c r="GHU21"/>
      <c r="GHV21"/>
      <c r="GHW21"/>
      <c r="GHX21"/>
      <c r="GHY21"/>
      <c r="GHZ21"/>
      <c r="GIA21"/>
      <c r="GIB21"/>
      <c r="GIC21"/>
      <c r="GID21"/>
      <c r="GIE21"/>
      <c r="GIF21"/>
      <c r="GIG21"/>
      <c r="GIH21"/>
      <c r="GII21"/>
      <c r="GIJ21"/>
      <c r="GIK21"/>
      <c r="GIL21"/>
      <c r="GIM21"/>
      <c r="GIN21"/>
      <c r="GIO21"/>
      <c r="GIP21"/>
      <c r="GIQ21"/>
      <c r="GIR21"/>
      <c r="GIS21"/>
      <c r="GIT21"/>
      <c r="GIU21"/>
      <c r="GIV21"/>
      <c r="GIW21"/>
      <c r="GIX21"/>
      <c r="GIY21"/>
      <c r="GIZ21"/>
      <c r="GJA21"/>
      <c r="GJB21"/>
      <c r="GJC21"/>
      <c r="GJD21"/>
      <c r="GJE21"/>
      <c r="GJF21"/>
      <c r="GJG21"/>
      <c r="GJH21"/>
      <c r="GJI21"/>
      <c r="GJJ21"/>
      <c r="GJK21"/>
      <c r="GJL21"/>
      <c r="GJM21"/>
      <c r="GJN21"/>
      <c r="GJO21"/>
      <c r="GJP21"/>
      <c r="GJQ21"/>
      <c r="GJR21"/>
      <c r="GJS21"/>
      <c r="GJT21"/>
      <c r="GJU21"/>
      <c r="GJV21"/>
      <c r="GJW21"/>
      <c r="GJX21"/>
      <c r="GJY21"/>
      <c r="GJZ21"/>
      <c r="GKA21"/>
      <c r="GKB21"/>
      <c r="GKC21"/>
      <c r="GKD21"/>
      <c r="GKE21"/>
      <c r="GKF21"/>
      <c r="GKG21"/>
      <c r="GKH21"/>
      <c r="GKI21"/>
      <c r="GKJ21"/>
      <c r="GKK21"/>
      <c r="GKL21"/>
      <c r="GKM21"/>
      <c r="GKN21"/>
      <c r="GKO21"/>
      <c r="GKP21"/>
      <c r="GKQ21"/>
      <c r="GKR21"/>
      <c r="GKS21"/>
      <c r="GKT21"/>
      <c r="GKU21"/>
      <c r="GKV21"/>
      <c r="GKW21"/>
      <c r="GKX21"/>
      <c r="GKY21"/>
      <c r="GKZ21"/>
      <c r="GLA21"/>
      <c r="GLB21"/>
      <c r="GLC21"/>
      <c r="GLD21"/>
      <c r="GLE21"/>
      <c r="GLF21"/>
      <c r="GLG21"/>
      <c r="GLH21"/>
      <c r="GLI21"/>
      <c r="GLJ21"/>
      <c r="GLK21"/>
      <c r="GLL21"/>
      <c r="GLM21"/>
      <c r="GLN21"/>
      <c r="GLO21"/>
      <c r="GLP21"/>
      <c r="GLQ21"/>
      <c r="GLR21"/>
      <c r="GLS21"/>
      <c r="GLT21"/>
      <c r="GLU21"/>
      <c r="GLV21"/>
      <c r="GLW21"/>
      <c r="GLX21"/>
      <c r="GLY21"/>
      <c r="GLZ21"/>
      <c r="GMA21"/>
      <c r="GMB21"/>
      <c r="GMC21"/>
      <c r="GMD21"/>
      <c r="GME21"/>
      <c r="GMF21"/>
      <c r="GMG21"/>
      <c r="GMH21"/>
      <c r="GMI21"/>
      <c r="GMJ21"/>
      <c r="GMK21"/>
      <c r="GML21"/>
      <c r="GMM21"/>
      <c r="GMN21"/>
      <c r="GMO21"/>
      <c r="GMP21"/>
      <c r="GMQ21"/>
      <c r="GMR21"/>
      <c r="GMS21"/>
      <c r="GMT21"/>
      <c r="GMU21"/>
      <c r="GMV21"/>
      <c r="GMW21"/>
      <c r="GMX21"/>
      <c r="GMY21"/>
      <c r="GMZ21"/>
      <c r="GNA21"/>
      <c r="GNB21"/>
      <c r="GNC21"/>
      <c r="GND21"/>
      <c r="GNE21"/>
      <c r="GNF21"/>
      <c r="GNG21"/>
      <c r="GNH21"/>
      <c r="GNI21"/>
      <c r="GNJ21"/>
      <c r="GNK21"/>
      <c r="GNL21"/>
      <c r="GNM21"/>
      <c r="GNN21"/>
      <c r="GNO21"/>
      <c r="GNP21"/>
      <c r="GNQ21"/>
      <c r="GNR21"/>
      <c r="GNS21"/>
      <c r="GNT21"/>
      <c r="GNU21"/>
      <c r="GNV21"/>
      <c r="GNW21"/>
      <c r="GNX21"/>
      <c r="GNY21"/>
      <c r="GNZ21"/>
      <c r="GOA21"/>
      <c r="GOB21"/>
      <c r="GOC21"/>
      <c r="GOD21"/>
      <c r="GOE21"/>
      <c r="GOF21"/>
      <c r="GOG21"/>
      <c r="GOH21"/>
      <c r="GOI21"/>
      <c r="GOJ21"/>
      <c r="GOK21"/>
      <c r="GOL21"/>
      <c r="GOM21"/>
      <c r="GON21"/>
      <c r="GOO21"/>
      <c r="GOP21"/>
      <c r="GOQ21"/>
      <c r="GOR21"/>
      <c r="GOS21"/>
      <c r="GOT21"/>
      <c r="GOU21"/>
      <c r="GOV21"/>
      <c r="GOW21"/>
      <c r="GOX21"/>
      <c r="GOY21"/>
      <c r="GOZ21"/>
      <c r="GPA21"/>
      <c r="GPB21"/>
      <c r="GPC21"/>
      <c r="GPD21"/>
      <c r="GPE21"/>
      <c r="GPF21"/>
      <c r="GPG21"/>
      <c r="GPH21"/>
      <c r="GPI21"/>
      <c r="GPJ21"/>
      <c r="GPK21"/>
      <c r="GPL21"/>
      <c r="GPM21"/>
      <c r="GPN21"/>
      <c r="GPO21"/>
      <c r="GPP21"/>
      <c r="GPQ21"/>
      <c r="GPR21"/>
      <c r="GPS21"/>
      <c r="GPT21"/>
      <c r="GPU21"/>
      <c r="GPV21"/>
      <c r="GPW21"/>
      <c r="GPX21"/>
      <c r="GPY21"/>
      <c r="GPZ21"/>
      <c r="GQA21"/>
      <c r="GQB21"/>
      <c r="GQC21"/>
      <c r="GQD21"/>
      <c r="GQE21"/>
      <c r="GQF21"/>
      <c r="GQG21"/>
      <c r="GQH21"/>
      <c r="GQI21"/>
      <c r="GQJ21"/>
      <c r="GQK21"/>
      <c r="GQL21"/>
      <c r="GQM21"/>
      <c r="GQN21"/>
      <c r="GQO21"/>
      <c r="GQP21"/>
      <c r="GQQ21"/>
      <c r="GQR21"/>
      <c r="GQS21"/>
      <c r="GQT21"/>
      <c r="GQU21"/>
      <c r="GQV21"/>
      <c r="GQW21"/>
      <c r="GQX21"/>
      <c r="GQY21"/>
      <c r="GQZ21"/>
      <c r="GRA21"/>
      <c r="GRB21"/>
      <c r="GRC21"/>
      <c r="GRD21"/>
      <c r="GRE21"/>
      <c r="GRF21"/>
      <c r="GRG21"/>
      <c r="GRH21"/>
      <c r="GRI21"/>
      <c r="GRJ21"/>
      <c r="GRK21"/>
      <c r="GRL21"/>
      <c r="GRM21"/>
      <c r="GRN21"/>
      <c r="GRO21"/>
      <c r="GRP21"/>
      <c r="GRQ21"/>
      <c r="GRR21"/>
      <c r="GRS21"/>
      <c r="GRT21"/>
      <c r="GRU21"/>
      <c r="GRV21"/>
      <c r="GRW21"/>
      <c r="GRX21"/>
      <c r="GRY21"/>
      <c r="GRZ21"/>
      <c r="GSA21"/>
      <c r="GSB21"/>
      <c r="GSC21"/>
      <c r="GSD21"/>
      <c r="GSE21"/>
      <c r="GSF21"/>
      <c r="GSG21"/>
      <c r="GSH21"/>
      <c r="GSI21"/>
      <c r="GSJ21"/>
      <c r="GSK21"/>
      <c r="GSL21"/>
      <c r="GSM21"/>
      <c r="GSN21"/>
      <c r="GSO21"/>
      <c r="GSP21"/>
      <c r="GSQ21"/>
      <c r="GSR21"/>
      <c r="GSS21"/>
      <c r="GST21"/>
      <c r="GSU21"/>
      <c r="GSV21"/>
      <c r="GSW21"/>
      <c r="GSX21"/>
      <c r="GSY21"/>
      <c r="GSZ21"/>
      <c r="GTA21"/>
      <c r="GTB21"/>
      <c r="GTC21"/>
      <c r="GTD21"/>
      <c r="GTE21"/>
      <c r="GTF21"/>
      <c r="GTG21"/>
      <c r="GTH21"/>
      <c r="GTI21"/>
      <c r="GTJ21"/>
      <c r="GTK21"/>
      <c r="GTL21"/>
      <c r="GTM21"/>
      <c r="GTN21"/>
      <c r="GTO21"/>
      <c r="GTP21"/>
      <c r="GTQ21"/>
      <c r="GTR21"/>
      <c r="GTS21"/>
      <c r="GTT21"/>
      <c r="GTU21"/>
      <c r="GTV21"/>
      <c r="GTW21"/>
      <c r="GTX21"/>
      <c r="GTY21"/>
      <c r="GTZ21"/>
      <c r="GUA21"/>
      <c r="GUB21"/>
      <c r="GUC21"/>
      <c r="GUD21"/>
      <c r="GUE21"/>
      <c r="GUF21"/>
      <c r="GUG21"/>
      <c r="GUH21"/>
      <c r="GUI21"/>
      <c r="GUJ21"/>
      <c r="GUK21"/>
      <c r="GUL21"/>
      <c r="GUM21"/>
      <c r="GUN21"/>
      <c r="GUO21"/>
      <c r="GUP21"/>
      <c r="GUQ21"/>
      <c r="GUR21"/>
      <c r="GUS21"/>
      <c r="GUT21"/>
      <c r="GUU21"/>
      <c r="GUV21"/>
      <c r="GUW21"/>
      <c r="GUX21"/>
      <c r="GUY21"/>
      <c r="GUZ21"/>
      <c r="GVA21"/>
      <c r="GVB21"/>
      <c r="GVC21"/>
      <c r="GVD21"/>
      <c r="GVE21"/>
      <c r="GVF21"/>
      <c r="GVG21"/>
      <c r="GVH21"/>
      <c r="GVI21"/>
      <c r="GVJ21"/>
      <c r="GVK21"/>
      <c r="GVL21"/>
      <c r="GVM21"/>
      <c r="GVN21"/>
      <c r="GVO21"/>
      <c r="GVP21"/>
      <c r="GVQ21"/>
      <c r="GVR21"/>
      <c r="GVS21"/>
      <c r="GVT21"/>
      <c r="GVU21"/>
      <c r="GVV21"/>
      <c r="GVW21"/>
      <c r="GVX21"/>
      <c r="GVY21"/>
      <c r="GVZ21"/>
      <c r="GWA21"/>
      <c r="GWB21"/>
      <c r="GWC21"/>
      <c r="GWD21"/>
      <c r="GWE21"/>
      <c r="GWF21"/>
      <c r="GWG21"/>
      <c r="GWH21"/>
      <c r="GWI21"/>
      <c r="GWJ21"/>
      <c r="GWK21"/>
      <c r="GWL21"/>
      <c r="GWM21"/>
      <c r="GWN21"/>
      <c r="GWO21"/>
      <c r="GWP21"/>
      <c r="GWQ21"/>
      <c r="GWR21"/>
      <c r="GWS21"/>
      <c r="GWT21"/>
      <c r="GWU21"/>
      <c r="GWV21"/>
      <c r="GWW21"/>
      <c r="GWX21"/>
      <c r="GWY21"/>
      <c r="GWZ21"/>
      <c r="GXA21"/>
      <c r="GXB21"/>
      <c r="GXC21"/>
      <c r="GXD21"/>
      <c r="GXE21"/>
      <c r="GXF21"/>
      <c r="GXG21"/>
      <c r="GXH21"/>
      <c r="GXI21"/>
      <c r="GXJ21"/>
      <c r="GXK21"/>
      <c r="GXL21"/>
      <c r="GXM21"/>
      <c r="GXN21"/>
      <c r="GXO21"/>
      <c r="GXP21"/>
      <c r="GXQ21"/>
      <c r="GXR21"/>
      <c r="GXS21"/>
      <c r="GXT21"/>
      <c r="GXU21"/>
      <c r="GXV21"/>
      <c r="GXW21"/>
      <c r="GXX21"/>
      <c r="GXY21"/>
      <c r="GXZ21"/>
      <c r="GYA21"/>
      <c r="GYB21"/>
      <c r="GYC21"/>
      <c r="GYD21"/>
      <c r="GYE21"/>
      <c r="GYF21"/>
      <c r="GYG21"/>
      <c r="GYH21"/>
      <c r="GYI21"/>
      <c r="GYJ21"/>
      <c r="GYK21"/>
      <c r="GYL21"/>
      <c r="GYM21"/>
      <c r="GYN21"/>
      <c r="GYO21"/>
      <c r="GYP21"/>
      <c r="GYQ21"/>
      <c r="GYR21"/>
      <c r="GYS21"/>
      <c r="GYT21"/>
      <c r="GYU21"/>
      <c r="GYV21"/>
      <c r="GYW21"/>
      <c r="GYX21"/>
      <c r="GYY21"/>
      <c r="GYZ21"/>
      <c r="GZA21"/>
      <c r="GZB21"/>
      <c r="GZC21"/>
      <c r="GZD21"/>
      <c r="GZE21"/>
      <c r="GZF21"/>
      <c r="GZG21"/>
      <c r="GZH21"/>
      <c r="GZI21"/>
      <c r="GZJ21"/>
      <c r="GZK21"/>
      <c r="GZL21"/>
      <c r="GZM21"/>
      <c r="GZN21"/>
      <c r="GZO21"/>
      <c r="GZP21"/>
      <c r="GZQ21"/>
      <c r="GZR21"/>
      <c r="GZS21"/>
      <c r="GZT21"/>
      <c r="GZU21"/>
      <c r="GZV21"/>
      <c r="GZW21"/>
      <c r="GZX21"/>
      <c r="GZY21"/>
      <c r="GZZ21"/>
      <c r="HAA21"/>
      <c r="HAB21"/>
      <c r="HAC21"/>
      <c r="HAD21"/>
      <c r="HAE21"/>
      <c r="HAF21"/>
      <c r="HAG21"/>
      <c r="HAH21"/>
      <c r="HAI21"/>
      <c r="HAJ21"/>
      <c r="HAK21"/>
      <c r="HAL21"/>
      <c r="HAM21"/>
      <c r="HAN21"/>
      <c r="HAO21"/>
      <c r="HAP21"/>
      <c r="HAQ21"/>
      <c r="HAR21"/>
      <c r="HAS21"/>
      <c r="HAT21"/>
      <c r="HAU21"/>
      <c r="HAV21"/>
      <c r="HAW21"/>
      <c r="HAX21"/>
      <c r="HAY21"/>
      <c r="HAZ21"/>
      <c r="HBA21"/>
      <c r="HBB21"/>
      <c r="HBC21"/>
      <c r="HBD21"/>
      <c r="HBE21"/>
      <c r="HBF21"/>
      <c r="HBG21"/>
      <c r="HBH21"/>
      <c r="HBI21"/>
      <c r="HBJ21"/>
      <c r="HBK21"/>
      <c r="HBL21"/>
      <c r="HBM21"/>
      <c r="HBN21"/>
      <c r="HBO21"/>
      <c r="HBP21"/>
      <c r="HBQ21"/>
      <c r="HBR21"/>
      <c r="HBS21"/>
      <c r="HBT21"/>
      <c r="HBU21"/>
      <c r="HBV21"/>
      <c r="HBW21"/>
      <c r="HBX21"/>
      <c r="HBY21"/>
      <c r="HBZ21"/>
      <c r="HCA21"/>
      <c r="HCB21"/>
      <c r="HCC21"/>
      <c r="HCD21"/>
      <c r="HCE21"/>
      <c r="HCF21"/>
      <c r="HCG21"/>
      <c r="HCH21"/>
      <c r="HCI21"/>
      <c r="HCJ21"/>
      <c r="HCK21"/>
      <c r="HCL21"/>
      <c r="HCM21"/>
      <c r="HCN21"/>
      <c r="HCO21"/>
      <c r="HCP21"/>
      <c r="HCQ21"/>
      <c r="HCR21"/>
      <c r="HCS21"/>
      <c r="HCT21"/>
      <c r="HCU21"/>
      <c r="HCV21"/>
      <c r="HCW21"/>
      <c r="HCX21"/>
      <c r="HCY21"/>
      <c r="HCZ21"/>
      <c r="HDA21"/>
      <c r="HDB21"/>
      <c r="HDC21"/>
      <c r="HDD21"/>
      <c r="HDE21"/>
      <c r="HDF21"/>
      <c r="HDG21"/>
      <c r="HDH21"/>
      <c r="HDI21"/>
      <c r="HDJ21"/>
      <c r="HDK21"/>
      <c r="HDL21"/>
      <c r="HDM21"/>
      <c r="HDN21"/>
      <c r="HDO21"/>
      <c r="HDP21"/>
      <c r="HDQ21"/>
      <c r="HDR21"/>
      <c r="HDS21"/>
      <c r="HDT21"/>
      <c r="HDU21"/>
      <c r="HDV21"/>
      <c r="HDW21"/>
      <c r="HDX21"/>
      <c r="HDY21"/>
      <c r="HDZ21"/>
      <c r="HEA21"/>
      <c r="HEB21"/>
      <c r="HEC21"/>
      <c r="HED21"/>
      <c r="HEE21"/>
      <c r="HEF21"/>
      <c r="HEG21"/>
      <c r="HEH21"/>
      <c r="HEI21"/>
      <c r="HEJ21"/>
      <c r="HEK21"/>
      <c r="HEL21"/>
      <c r="HEM21"/>
      <c r="HEN21"/>
      <c r="HEO21"/>
      <c r="HEP21"/>
      <c r="HEQ21"/>
      <c r="HER21"/>
      <c r="HES21"/>
      <c r="HET21"/>
      <c r="HEU21"/>
      <c r="HEV21"/>
      <c r="HEW21"/>
      <c r="HEX21"/>
      <c r="HEY21"/>
      <c r="HEZ21"/>
      <c r="HFA21"/>
      <c r="HFB21"/>
      <c r="HFC21"/>
      <c r="HFD21"/>
      <c r="HFE21"/>
      <c r="HFF21"/>
      <c r="HFG21"/>
      <c r="HFH21"/>
      <c r="HFI21"/>
      <c r="HFJ21"/>
      <c r="HFK21"/>
      <c r="HFL21"/>
      <c r="HFM21"/>
      <c r="HFN21"/>
      <c r="HFO21"/>
      <c r="HFP21"/>
      <c r="HFQ21"/>
      <c r="HFR21"/>
      <c r="HFS21"/>
      <c r="HFT21"/>
      <c r="HFU21"/>
      <c r="HFV21"/>
      <c r="HFW21"/>
      <c r="HFX21"/>
      <c r="HFY21"/>
      <c r="HFZ21"/>
      <c r="HGA21"/>
      <c r="HGB21"/>
      <c r="HGC21"/>
      <c r="HGD21"/>
      <c r="HGE21"/>
      <c r="HGF21"/>
      <c r="HGG21"/>
      <c r="HGH21"/>
      <c r="HGI21"/>
      <c r="HGJ21"/>
      <c r="HGK21"/>
      <c r="HGL21"/>
      <c r="HGM21"/>
      <c r="HGN21"/>
      <c r="HGO21"/>
      <c r="HGP21"/>
      <c r="HGQ21"/>
      <c r="HGR21"/>
      <c r="HGS21"/>
      <c r="HGT21"/>
      <c r="HGU21"/>
      <c r="HGV21"/>
      <c r="HGW21"/>
      <c r="HGX21"/>
      <c r="HGY21"/>
      <c r="HGZ21"/>
      <c r="HHA21"/>
      <c r="HHB21"/>
      <c r="HHC21"/>
      <c r="HHD21"/>
      <c r="HHE21"/>
      <c r="HHF21"/>
      <c r="HHG21"/>
      <c r="HHH21"/>
      <c r="HHI21"/>
      <c r="HHJ21"/>
      <c r="HHK21"/>
      <c r="HHL21"/>
      <c r="HHM21"/>
      <c r="HHN21"/>
      <c r="HHO21"/>
      <c r="HHP21"/>
      <c r="HHQ21"/>
      <c r="HHR21"/>
      <c r="HHS21"/>
      <c r="HHT21"/>
      <c r="HHU21"/>
      <c r="HHV21"/>
      <c r="HHW21"/>
      <c r="HHX21"/>
      <c r="HHY21"/>
      <c r="HHZ21"/>
      <c r="HIA21"/>
      <c r="HIB21"/>
      <c r="HIC21"/>
      <c r="HID21"/>
      <c r="HIE21"/>
      <c r="HIF21"/>
      <c r="HIG21"/>
      <c r="HIH21"/>
      <c r="HII21"/>
      <c r="HIJ21"/>
      <c r="HIK21"/>
      <c r="HIL21"/>
      <c r="HIM21"/>
      <c r="HIN21"/>
      <c r="HIO21"/>
      <c r="HIP21"/>
      <c r="HIQ21"/>
      <c r="HIR21"/>
      <c r="HIS21"/>
      <c r="HIT21"/>
      <c r="HIU21"/>
      <c r="HIV21"/>
      <c r="HIW21"/>
      <c r="HIX21"/>
      <c r="HIY21"/>
      <c r="HIZ21"/>
      <c r="HJA21"/>
      <c r="HJB21"/>
      <c r="HJC21"/>
      <c r="HJD21"/>
      <c r="HJE21"/>
      <c r="HJF21"/>
      <c r="HJG21"/>
      <c r="HJH21"/>
      <c r="HJI21"/>
      <c r="HJJ21"/>
      <c r="HJK21"/>
      <c r="HJL21"/>
      <c r="HJM21"/>
      <c r="HJN21"/>
      <c r="HJO21"/>
      <c r="HJP21"/>
      <c r="HJQ21"/>
      <c r="HJR21"/>
      <c r="HJS21"/>
      <c r="HJT21"/>
      <c r="HJU21"/>
      <c r="HJV21"/>
      <c r="HJW21"/>
      <c r="HJX21"/>
      <c r="HJY21"/>
      <c r="HJZ21"/>
      <c r="HKA21"/>
      <c r="HKB21"/>
      <c r="HKC21"/>
      <c r="HKD21"/>
      <c r="HKE21"/>
      <c r="HKF21"/>
      <c r="HKG21"/>
      <c r="HKH21"/>
      <c r="HKI21"/>
      <c r="HKJ21"/>
      <c r="HKK21"/>
      <c r="HKL21"/>
      <c r="HKM21"/>
      <c r="HKN21"/>
      <c r="HKO21"/>
      <c r="HKP21"/>
      <c r="HKQ21"/>
      <c r="HKR21"/>
      <c r="HKS21"/>
      <c r="HKT21"/>
      <c r="HKU21"/>
      <c r="HKV21"/>
      <c r="HKW21"/>
      <c r="HKX21"/>
      <c r="HKY21"/>
      <c r="HKZ21"/>
      <c r="HLA21"/>
      <c r="HLB21"/>
      <c r="HLC21"/>
      <c r="HLD21"/>
      <c r="HLE21"/>
      <c r="HLF21"/>
      <c r="HLG21"/>
      <c r="HLH21"/>
      <c r="HLI21"/>
      <c r="HLJ21"/>
      <c r="HLK21"/>
      <c r="HLL21"/>
      <c r="HLM21"/>
      <c r="HLN21"/>
      <c r="HLO21"/>
      <c r="HLP21"/>
      <c r="HLQ21"/>
      <c r="HLR21"/>
      <c r="HLS21"/>
      <c r="HLT21"/>
      <c r="HLU21"/>
      <c r="HLV21"/>
      <c r="HLW21"/>
      <c r="HLX21"/>
      <c r="HLY21"/>
      <c r="HLZ21"/>
      <c r="HMA21"/>
      <c r="HMB21"/>
      <c r="HMC21"/>
      <c r="HMD21"/>
      <c r="HME21"/>
      <c r="HMF21"/>
      <c r="HMG21"/>
      <c r="HMH21"/>
      <c r="HMI21"/>
      <c r="HMJ21"/>
      <c r="HMK21"/>
      <c r="HML21"/>
      <c r="HMM21"/>
      <c r="HMN21"/>
      <c r="HMO21"/>
      <c r="HMP21"/>
      <c r="HMQ21"/>
      <c r="HMR21"/>
      <c r="HMS21"/>
      <c r="HMT21"/>
      <c r="HMU21"/>
      <c r="HMV21"/>
      <c r="HMW21"/>
      <c r="HMX21"/>
      <c r="HMY21"/>
      <c r="HMZ21"/>
      <c r="HNA21"/>
      <c r="HNB21"/>
      <c r="HNC21"/>
      <c r="HND21"/>
      <c r="HNE21"/>
      <c r="HNF21"/>
      <c r="HNG21"/>
      <c r="HNH21"/>
      <c r="HNI21"/>
      <c r="HNJ21"/>
      <c r="HNK21"/>
      <c r="HNL21"/>
      <c r="HNM21"/>
      <c r="HNN21"/>
      <c r="HNO21"/>
      <c r="HNP21"/>
      <c r="HNQ21"/>
      <c r="HNR21"/>
      <c r="HNS21"/>
      <c r="HNT21"/>
      <c r="HNU21"/>
      <c r="HNV21"/>
      <c r="HNW21"/>
      <c r="HNX21"/>
      <c r="HNY21"/>
      <c r="HNZ21"/>
      <c r="HOA21"/>
      <c r="HOB21"/>
      <c r="HOC21"/>
      <c r="HOD21"/>
      <c r="HOE21"/>
      <c r="HOF21"/>
      <c r="HOG21"/>
      <c r="HOH21"/>
      <c r="HOI21"/>
      <c r="HOJ21"/>
      <c r="HOK21"/>
      <c r="HOL21"/>
      <c r="HOM21"/>
      <c r="HON21"/>
      <c r="HOO21"/>
      <c r="HOP21"/>
      <c r="HOQ21"/>
      <c r="HOR21"/>
      <c r="HOS21"/>
      <c r="HOT21"/>
      <c r="HOU21"/>
      <c r="HOV21"/>
      <c r="HOW21"/>
      <c r="HOX21"/>
      <c r="HOY21"/>
      <c r="HOZ21"/>
      <c r="HPA21"/>
      <c r="HPB21"/>
      <c r="HPC21"/>
      <c r="HPD21"/>
      <c r="HPE21"/>
      <c r="HPF21"/>
      <c r="HPG21"/>
      <c r="HPH21"/>
      <c r="HPI21"/>
      <c r="HPJ21"/>
      <c r="HPK21"/>
      <c r="HPL21"/>
      <c r="HPM21"/>
      <c r="HPN21"/>
      <c r="HPO21"/>
      <c r="HPP21"/>
      <c r="HPQ21"/>
      <c r="HPR21"/>
      <c r="HPS21"/>
      <c r="HPT21"/>
      <c r="HPU21"/>
      <c r="HPV21"/>
      <c r="HPW21"/>
      <c r="HPX21"/>
      <c r="HPY21"/>
      <c r="HPZ21"/>
      <c r="HQA21"/>
      <c r="HQB21"/>
      <c r="HQC21"/>
      <c r="HQD21"/>
      <c r="HQE21"/>
      <c r="HQF21"/>
      <c r="HQG21"/>
      <c r="HQH21"/>
      <c r="HQI21"/>
      <c r="HQJ21"/>
      <c r="HQK21"/>
      <c r="HQL21"/>
      <c r="HQM21"/>
      <c r="HQN21"/>
      <c r="HQO21"/>
      <c r="HQP21"/>
      <c r="HQQ21"/>
      <c r="HQR21"/>
      <c r="HQS21"/>
      <c r="HQT21"/>
      <c r="HQU21"/>
      <c r="HQV21"/>
      <c r="HQW21"/>
      <c r="HQX21"/>
      <c r="HQY21"/>
      <c r="HQZ21"/>
      <c r="HRA21"/>
      <c r="HRB21"/>
      <c r="HRC21"/>
      <c r="HRD21"/>
      <c r="HRE21"/>
      <c r="HRF21"/>
      <c r="HRG21"/>
      <c r="HRH21"/>
      <c r="HRI21"/>
      <c r="HRJ21"/>
      <c r="HRK21"/>
      <c r="HRL21"/>
      <c r="HRM21"/>
      <c r="HRN21"/>
      <c r="HRO21"/>
      <c r="HRP21"/>
      <c r="HRQ21"/>
      <c r="HRR21"/>
      <c r="HRS21"/>
      <c r="HRT21"/>
      <c r="HRU21"/>
      <c r="HRV21"/>
      <c r="HRW21"/>
      <c r="HRX21"/>
      <c r="HRY21"/>
      <c r="HRZ21"/>
      <c r="HSA21"/>
      <c r="HSB21"/>
      <c r="HSC21"/>
      <c r="HSD21"/>
      <c r="HSE21"/>
      <c r="HSF21"/>
      <c r="HSG21"/>
      <c r="HSH21"/>
      <c r="HSI21"/>
      <c r="HSJ21"/>
      <c r="HSK21"/>
      <c r="HSL21"/>
      <c r="HSM21"/>
      <c r="HSN21"/>
      <c r="HSO21"/>
      <c r="HSP21"/>
      <c r="HSQ21"/>
      <c r="HSR21"/>
      <c r="HSS21"/>
      <c r="HST21"/>
      <c r="HSU21"/>
      <c r="HSV21"/>
      <c r="HSW21"/>
      <c r="HSX21"/>
      <c r="HSY21"/>
      <c r="HSZ21"/>
      <c r="HTA21"/>
      <c r="HTB21"/>
      <c r="HTC21"/>
      <c r="HTD21"/>
      <c r="HTE21"/>
      <c r="HTF21"/>
      <c r="HTG21"/>
      <c r="HTH21"/>
      <c r="HTI21"/>
      <c r="HTJ21"/>
      <c r="HTK21"/>
      <c r="HTL21"/>
      <c r="HTM21"/>
      <c r="HTN21"/>
      <c r="HTO21"/>
      <c r="HTP21"/>
      <c r="HTQ21"/>
      <c r="HTR21"/>
      <c r="HTS21"/>
      <c r="HTT21"/>
      <c r="HTU21"/>
      <c r="HTV21"/>
      <c r="HTW21"/>
      <c r="HTX21"/>
      <c r="HTY21"/>
      <c r="HTZ21"/>
      <c r="HUA21"/>
      <c r="HUB21"/>
      <c r="HUC21"/>
      <c r="HUD21"/>
      <c r="HUE21"/>
      <c r="HUF21"/>
      <c r="HUG21"/>
      <c r="HUH21"/>
      <c r="HUI21"/>
      <c r="HUJ21"/>
      <c r="HUK21"/>
      <c r="HUL21"/>
      <c r="HUM21"/>
      <c r="HUN21"/>
      <c r="HUO21"/>
      <c r="HUP21"/>
      <c r="HUQ21"/>
      <c r="HUR21"/>
      <c r="HUS21"/>
      <c r="HUT21"/>
      <c r="HUU21"/>
      <c r="HUV21"/>
      <c r="HUW21"/>
      <c r="HUX21"/>
      <c r="HUY21"/>
      <c r="HUZ21"/>
      <c r="HVA21"/>
      <c r="HVB21"/>
      <c r="HVC21"/>
      <c r="HVD21"/>
      <c r="HVE21"/>
      <c r="HVF21"/>
      <c r="HVG21"/>
      <c r="HVH21"/>
      <c r="HVI21"/>
      <c r="HVJ21"/>
      <c r="HVK21"/>
      <c r="HVL21"/>
      <c r="HVM21"/>
      <c r="HVN21"/>
      <c r="HVO21"/>
      <c r="HVP21"/>
      <c r="HVQ21"/>
      <c r="HVR21"/>
      <c r="HVS21"/>
      <c r="HVT21"/>
      <c r="HVU21"/>
      <c r="HVV21"/>
      <c r="HVW21"/>
      <c r="HVX21"/>
      <c r="HVY21"/>
      <c r="HVZ21"/>
      <c r="HWA21"/>
      <c r="HWB21"/>
      <c r="HWC21"/>
      <c r="HWD21"/>
      <c r="HWE21"/>
      <c r="HWF21"/>
      <c r="HWG21"/>
      <c r="HWH21"/>
      <c r="HWI21"/>
      <c r="HWJ21"/>
      <c r="HWK21"/>
      <c r="HWL21"/>
      <c r="HWM21"/>
      <c r="HWN21"/>
      <c r="HWO21"/>
      <c r="HWP21"/>
      <c r="HWQ21"/>
      <c r="HWR21"/>
      <c r="HWS21"/>
      <c r="HWT21"/>
      <c r="HWU21"/>
      <c r="HWV21"/>
      <c r="HWW21"/>
      <c r="HWX21"/>
      <c r="HWY21"/>
      <c r="HWZ21"/>
      <c r="HXA21"/>
      <c r="HXB21"/>
      <c r="HXC21"/>
      <c r="HXD21"/>
      <c r="HXE21"/>
      <c r="HXF21"/>
      <c r="HXG21"/>
      <c r="HXH21"/>
      <c r="HXI21"/>
      <c r="HXJ21"/>
      <c r="HXK21"/>
      <c r="HXL21"/>
      <c r="HXM21"/>
      <c r="HXN21"/>
      <c r="HXO21"/>
      <c r="HXP21"/>
      <c r="HXQ21"/>
      <c r="HXR21"/>
      <c r="HXS21"/>
      <c r="HXT21"/>
      <c r="HXU21"/>
      <c r="HXV21"/>
      <c r="HXW21"/>
      <c r="HXX21"/>
      <c r="HXY21"/>
      <c r="HXZ21"/>
      <c r="HYA21"/>
      <c r="HYB21"/>
      <c r="HYC21"/>
      <c r="HYD21"/>
      <c r="HYE21"/>
      <c r="HYF21"/>
      <c r="HYG21"/>
      <c r="HYH21"/>
      <c r="HYI21"/>
      <c r="HYJ21"/>
      <c r="HYK21"/>
      <c r="HYL21"/>
      <c r="HYM21"/>
      <c r="HYN21"/>
      <c r="HYO21"/>
      <c r="HYP21"/>
      <c r="HYQ21"/>
      <c r="HYR21"/>
      <c r="HYS21"/>
      <c r="HYT21"/>
      <c r="HYU21"/>
      <c r="HYV21"/>
      <c r="HYW21"/>
      <c r="HYX21"/>
      <c r="HYY21"/>
      <c r="HYZ21"/>
      <c r="HZA21"/>
      <c r="HZB21"/>
      <c r="HZC21"/>
      <c r="HZD21"/>
      <c r="HZE21"/>
      <c r="HZF21"/>
      <c r="HZG21"/>
      <c r="HZH21"/>
      <c r="HZI21"/>
      <c r="HZJ21"/>
      <c r="HZK21"/>
      <c r="HZL21"/>
      <c r="HZM21"/>
      <c r="HZN21"/>
      <c r="HZO21"/>
      <c r="HZP21"/>
      <c r="HZQ21"/>
      <c r="HZR21"/>
      <c r="HZS21"/>
      <c r="HZT21"/>
      <c r="HZU21"/>
      <c r="HZV21"/>
      <c r="HZW21"/>
      <c r="HZX21"/>
      <c r="HZY21"/>
      <c r="HZZ21"/>
      <c r="IAA21"/>
      <c r="IAB21"/>
      <c r="IAC21"/>
      <c r="IAD21"/>
      <c r="IAE21"/>
      <c r="IAF21"/>
      <c r="IAG21"/>
      <c r="IAH21"/>
      <c r="IAI21"/>
      <c r="IAJ21"/>
      <c r="IAK21"/>
      <c r="IAL21"/>
      <c r="IAM21"/>
      <c r="IAN21"/>
      <c r="IAO21"/>
      <c r="IAP21"/>
      <c r="IAQ21"/>
      <c r="IAR21"/>
      <c r="IAS21"/>
      <c r="IAT21"/>
      <c r="IAU21"/>
      <c r="IAV21"/>
      <c r="IAW21"/>
      <c r="IAX21"/>
      <c r="IAY21"/>
      <c r="IAZ21"/>
      <c r="IBA21"/>
      <c r="IBB21"/>
      <c r="IBC21"/>
      <c r="IBD21"/>
      <c r="IBE21"/>
      <c r="IBF21"/>
      <c r="IBG21"/>
      <c r="IBH21"/>
      <c r="IBI21"/>
      <c r="IBJ21"/>
      <c r="IBK21"/>
      <c r="IBL21"/>
      <c r="IBM21"/>
      <c r="IBN21"/>
      <c r="IBO21"/>
      <c r="IBP21"/>
      <c r="IBQ21"/>
      <c r="IBR21"/>
      <c r="IBS21"/>
      <c r="IBT21"/>
      <c r="IBU21"/>
      <c r="IBV21"/>
      <c r="IBW21"/>
      <c r="IBX21"/>
      <c r="IBY21"/>
      <c r="IBZ21"/>
      <c r="ICA21"/>
      <c r="ICB21"/>
      <c r="ICC21"/>
      <c r="ICD21"/>
      <c r="ICE21"/>
      <c r="ICF21"/>
      <c r="ICG21"/>
      <c r="ICH21"/>
      <c r="ICI21"/>
      <c r="ICJ21"/>
      <c r="ICK21"/>
      <c r="ICL21"/>
      <c r="ICM21"/>
      <c r="ICN21"/>
      <c r="ICO21"/>
      <c r="ICP21"/>
      <c r="ICQ21"/>
      <c r="ICR21"/>
      <c r="ICS21"/>
      <c r="ICT21"/>
      <c r="ICU21"/>
      <c r="ICV21"/>
      <c r="ICW21"/>
      <c r="ICX21"/>
      <c r="ICY21"/>
      <c r="ICZ21"/>
      <c r="IDA21"/>
      <c r="IDB21"/>
      <c r="IDC21"/>
      <c r="IDD21"/>
      <c r="IDE21"/>
      <c r="IDF21"/>
      <c r="IDG21"/>
      <c r="IDH21"/>
      <c r="IDI21"/>
      <c r="IDJ21"/>
      <c r="IDK21"/>
      <c r="IDL21"/>
      <c r="IDM21"/>
      <c r="IDN21"/>
      <c r="IDO21"/>
      <c r="IDP21"/>
      <c r="IDQ21"/>
      <c r="IDR21"/>
      <c r="IDS21"/>
      <c r="IDT21"/>
      <c r="IDU21"/>
      <c r="IDV21"/>
      <c r="IDW21"/>
      <c r="IDX21"/>
      <c r="IDY21"/>
      <c r="IDZ21"/>
      <c r="IEA21"/>
      <c r="IEB21"/>
      <c r="IEC21"/>
      <c r="IED21"/>
      <c r="IEE21"/>
      <c r="IEF21"/>
      <c r="IEG21"/>
      <c r="IEH21"/>
      <c r="IEI21"/>
      <c r="IEJ21"/>
      <c r="IEK21"/>
      <c r="IEL21"/>
      <c r="IEM21"/>
      <c r="IEN21"/>
      <c r="IEO21"/>
      <c r="IEP21"/>
      <c r="IEQ21"/>
      <c r="IER21"/>
      <c r="IES21"/>
      <c r="IET21"/>
      <c r="IEU21"/>
      <c r="IEV21"/>
      <c r="IEW21"/>
      <c r="IEX21"/>
      <c r="IEY21"/>
      <c r="IEZ21"/>
      <c r="IFA21"/>
      <c r="IFB21"/>
      <c r="IFC21"/>
      <c r="IFD21"/>
      <c r="IFE21"/>
      <c r="IFF21"/>
      <c r="IFG21"/>
      <c r="IFH21"/>
      <c r="IFI21"/>
      <c r="IFJ21"/>
      <c r="IFK21"/>
      <c r="IFL21"/>
      <c r="IFM21"/>
      <c r="IFN21"/>
      <c r="IFO21"/>
      <c r="IFP21"/>
      <c r="IFQ21"/>
      <c r="IFR21"/>
      <c r="IFS21"/>
      <c r="IFT21"/>
      <c r="IFU21"/>
      <c r="IFV21"/>
      <c r="IFW21"/>
      <c r="IFX21"/>
      <c r="IFY21"/>
      <c r="IFZ21"/>
      <c r="IGA21"/>
      <c r="IGB21"/>
      <c r="IGC21"/>
      <c r="IGD21"/>
      <c r="IGE21"/>
      <c r="IGF21"/>
      <c r="IGG21"/>
      <c r="IGH21"/>
      <c r="IGI21"/>
      <c r="IGJ21"/>
      <c r="IGK21"/>
      <c r="IGL21"/>
      <c r="IGM21"/>
      <c r="IGN21"/>
      <c r="IGO21"/>
      <c r="IGP21"/>
      <c r="IGQ21"/>
      <c r="IGR21"/>
      <c r="IGS21"/>
      <c r="IGT21"/>
      <c r="IGU21"/>
      <c r="IGV21"/>
      <c r="IGW21"/>
      <c r="IGX21"/>
      <c r="IGY21"/>
      <c r="IGZ21"/>
      <c r="IHA21"/>
      <c r="IHB21"/>
      <c r="IHC21"/>
      <c r="IHD21"/>
      <c r="IHE21"/>
      <c r="IHF21"/>
      <c r="IHG21"/>
      <c r="IHH21"/>
      <c r="IHI21"/>
      <c r="IHJ21"/>
      <c r="IHK21"/>
      <c r="IHL21"/>
      <c r="IHM21"/>
      <c r="IHN21"/>
      <c r="IHO21"/>
      <c r="IHP21"/>
      <c r="IHQ21"/>
      <c r="IHR21"/>
      <c r="IHS21"/>
      <c r="IHT21"/>
      <c r="IHU21"/>
      <c r="IHV21"/>
      <c r="IHW21"/>
      <c r="IHX21"/>
      <c r="IHY21"/>
      <c r="IHZ21"/>
      <c r="IIA21"/>
      <c r="IIB21"/>
      <c r="IIC21"/>
      <c r="IID21"/>
      <c r="IIE21"/>
      <c r="IIF21"/>
      <c r="IIG21"/>
      <c r="IIH21"/>
      <c r="III21"/>
      <c r="IIJ21"/>
      <c r="IIK21"/>
      <c r="IIL21"/>
      <c r="IIM21"/>
      <c r="IIN21"/>
      <c r="IIO21"/>
      <c r="IIP21"/>
      <c r="IIQ21"/>
      <c r="IIR21"/>
      <c r="IIS21"/>
      <c r="IIT21"/>
      <c r="IIU21"/>
      <c r="IIV21"/>
      <c r="IIW21"/>
      <c r="IIX21"/>
      <c r="IIY21"/>
      <c r="IIZ21"/>
      <c r="IJA21"/>
      <c r="IJB21"/>
      <c r="IJC21"/>
      <c r="IJD21"/>
      <c r="IJE21"/>
      <c r="IJF21"/>
      <c r="IJG21"/>
      <c r="IJH21"/>
      <c r="IJI21"/>
      <c r="IJJ21"/>
      <c r="IJK21"/>
      <c r="IJL21"/>
      <c r="IJM21"/>
      <c r="IJN21"/>
      <c r="IJO21"/>
      <c r="IJP21"/>
      <c r="IJQ21"/>
      <c r="IJR21"/>
      <c r="IJS21"/>
      <c r="IJT21"/>
      <c r="IJU21"/>
      <c r="IJV21"/>
      <c r="IJW21"/>
      <c r="IJX21"/>
      <c r="IJY21"/>
      <c r="IJZ21"/>
      <c r="IKA21"/>
      <c r="IKB21"/>
      <c r="IKC21"/>
      <c r="IKD21"/>
      <c r="IKE21"/>
      <c r="IKF21"/>
      <c r="IKG21"/>
      <c r="IKH21"/>
      <c r="IKI21"/>
      <c r="IKJ21"/>
      <c r="IKK21"/>
      <c r="IKL21"/>
      <c r="IKM21"/>
      <c r="IKN21"/>
      <c r="IKO21"/>
      <c r="IKP21"/>
      <c r="IKQ21"/>
      <c r="IKR21"/>
      <c r="IKS21"/>
      <c r="IKT21"/>
      <c r="IKU21"/>
      <c r="IKV21"/>
      <c r="IKW21"/>
      <c r="IKX21"/>
      <c r="IKY21"/>
      <c r="IKZ21"/>
      <c r="ILA21"/>
      <c r="ILB21"/>
      <c r="ILC21"/>
      <c r="ILD21"/>
      <c r="ILE21"/>
      <c r="ILF21"/>
      <c r="ILG21"/>
      <c r="ILH21"/>
      <c r="ILI21"/>
      <c r="ILJ21"/>
      <c r="ILK21"/>
      <c r="ILL21"/>
      <c r="ILM21"/>
      <c r="ILN21"/>
      <c r="ILO21"/>
      <c r="ILP21"/>
      <c r="ILQ21"/>
      <c r="ILR21"/>
      <c r="ILS21"/>
      <c r="ILT21"/>
      <c r="ILU21"/>
      <c r="ILV21"/>
      <c r="ILW21"/>
      <c r="ILX21"/>
      <c r="ILY21"/>
      <c r="ILZ21"/>
      <c r="IMA21"/>
      <c r="IMB21"/>
      <c r="IMC21"/>
      <c r="IMD21"/>
      <c r="IME21"/>
      <c r="IMF21"/>
      <c r="IMG21"/>
      <c r="IMH21"/>
      <c r="IMI21"/>
      <c r="IMJ21"/>
      <c r="IMK21"/>
      <c r="IML21"/>
      <c r="IMM21"/>
      <c r="IMN21"/>
      <c r="IMO21"/>
      <c r="IMP21"/>
      <c r="IMQ21"/>
      <c r="IMR21"/>
      <c r="IMS21"/>
      <c r="IMT21"/>
      <c r="IMU21"/>
      <c r="IMV21"/>
      <c r="IMW21"/>
      <c r="IMX21"/>
      <c r="IMY21"/>
      <c r="IMZ21"/>
      <c r="INA21"/>
      <c r="INB21"/>
      <c r="INC21"/>
      <c r="IND21"/>
      <c r="INE21"/>
      <c r="INF21"/>
      <c r="ING21"/>
      <c r="INH21"/>
      <c r="INI21"/>
      <c r="INJ21"/>
      <c r="INK21"/>
      <c r="INL21"/>
      <c r="INM21"/>
      <c r="INN21"/>
      <c r="INO21"/>
      <c r="INP21"/>
      <c r="INQ21"/>
      <c r="INR21"/>
      <c r="INS21"/>
      <c r="INT21"/>
      <c r="INU21"/>
      <c r="INV21"/>
      <c r="INW21"/>
      <c r="INX21"/>
      <c r="INY21"/>
      <c r="INZ21"/>
      <c r="IOA21"/>
      <c r="IOB21"/>
      <c r="IOC21"/>
      <c r="IOD21"/>
      <c r="IOE21"/>
      <c r="IOF21"/>
      <c r="IOG21"/>
      <c r="IOH21"/>
      <c r="IOI21"/>
      <c r="IOJ21"/>
      <c r="IOK21"/>
      <c r="IOL21"/>
      <c r="IOM21"/>
      <c r="ION21"/>
      <c r="IOO21"/>
      <c r="IOP21"/>
      <c r="IOQ21"/>
      <c r="IOR21"/>
      <c r="IOS21"/>
      <c r="IOT21"/>
      <c r="IOU21"/>
      <c r="IOV21"/>
      <c r="IOW21"/>
      <c r="IOX21"/>
      <c r="IOY21"/>
      <c r="IOZ21"/>
      <c r="IPA21"/>
      <c r="IPB21"/>
      <c r="IPC21"/>
      <c r="IPD21"/>
      <c r="IPE21"/>
      <c r="IPF21"/>
      <c r="IPG21"/>
      <c r="IPH21"/>
      <c r="IPI21"/>
      <c r="IPJ21"/>
      <c r="IPK21"/>
      <c r="IPL21"/>
      <c r="IPM21"/>
      <c r="IPN21"/>
      <c r="IPO21"/>
      <c r="IPP21"/>
      <c r="IPQ21"/>
      <c r="IPR21"/>
      <c r="IPS21"/>
      <c r="IPT21"/>
      <c r="IPU21"/>
      <c r="IPV21"/>
      <c r="IPW21"/>
      <c r="IPX21"/>
      <c r="IPY21"/>
      <c r="IPZ21"/>
      <c r="IQA21"/>
      <c r="IQB21"/>
      <c r="IQC21"/>
      <c r="IQD21"/>
      <c r="IQE21"/>
      <c r="IQF21"/>
      <c r="IQG21"/>
      <c r="IQH21"/>
      <c r="IQI21"/>
      <c r="IQJ21"/>
      <c r="IQK21"/>
      <c r="IQL21"/>
      <c r="IQM21"/>
      <c r="IQN21"/>
      <c r="IQO21"/>
      <c r="IQP21"/>
      <c r="IQQ21"/>
      <c r="IQR21"/>
      <c r="IQS21"/>
      <c r="IQT21"/>
      <c r="IQU21"/>
      <c r="IQV21"/>
      <c r="IQW21"/>
      <c r="IQX21"/>
      <c r="IQY21"/>
      <c r="IQZ21"/>
      <c r="IRA21"/>
      <c r="IRB21"/>
      <c r="IRC21"/>
      <c r="IRD21"/>
      <c r="IRE21"/>
      <c r="IRF21"/>
      <c r="IRG21"/>
      <c r="IRH21"/>
      <c r="IRI21"/>
      <c r="IRJ21"/>
      <c r="IRK21"/>
      <c r="IRL21"/>
      <c r="IRM21"/>
      <c r="IRN21"/>
      <c r="IRO21"/>
      <c r="IRP21"/>
      <c r="IRQ21"/>
      <c r="IRR21"/>
      <c r="IRS21"/>
      <c r="IRT21"/>
      <c r="IRU21"/>
      <c r="IRV21"/>
      <c r="IRW21"/>
      <c r="IRX21"/>
      <c r="IRY21"/>
      <c r="IRZ21"/>
      <c r="ISA21"/>
      <c r="ISB21"/>
      <c r="ISC21"/>
      <c r="ISD21"/>
      <c r="ISE21"/>
      <c r="ISF21"/>
      <c r="ISG21"/>
      <c r="ISH21"/>
      <c r="ISI21"/>
      <c r="ISJ21"/>
      <c r="ISK21"/>
      <c r="ISL21"/>
      <c r="ISM21"/>
      <c r="ISN21"/>
      <c r="ISO21"/>
      <c r="ISP21"/>
      <c r="ISQ21"/>
      <c r="ISR21"/>
      <c r="ISS21"/>
      <c r="IST21"/>
      <c r="ISU21"/>
      <c r="ISV21"/>
      <c r="ISW21"/>
      <c r="ISX21"/>
      <c r="ISY21"/>
      <c r="ISZ21"/>
      <c r="ITA21"/>
      <c r="ITB21"/>
      <c r="ITC21"/>
      <c r="ITD21"/>
      <c r="ITE21"/>
      <c r="ITF21"/>
      <c r="ITG21"/>
      <c r="ITH21"/>
      <c r="ITI21"/>
      <c r="ITJ21"/>
      <c r="ITK21"/>
      <c r="ITL21"/>
      <c r="ITM21"/>
      <c r="ITN21"/>
      <c r="ITO21"/>
      <c r="ITP21"/>
      <c r="ITQ21"/>
      <c r="ITR21"/>
      <c r="ITS21"/>
      <c r="ITT21"/>
      <c r="ITU21"/>
      <c r="ITV21"/>
      <c r="ITW21"/>
      <c r="ITX21"/>
      <c r="ITY21"/>
      <c r="ITZ21"/>
      <c r="IUA21"/>
      <c r="IUB21"/>
      <c r="IUC21"/>
      <c r="IUD21"/>
      <c r="IUE21"/>
      <c r="IUF21"/>
      <c r="IUG21"/>
      <c r="IUH21"/>
      <c r="IUI21"/>
      <c r="IUJ21"/>
      <c r="IUK21"/>
      <c r="IUL21"/>
      <c r="IUM21"/>
      <c r="IUN21"/>
      <c r="IUO21"/>
      <c r="IUP21"/>
      <c r="IUQ21"/>
      <c r="IUR21"/>
      <c r="IUS21"/>
      <c r="IUT21"/>
      <c r="IUU21"/>
      <c r="IUV21"/>
      <c r="IUW21"/>
      <c r="IUX21"/>
      <c r="IUY21"/>
      <c r="IUZ21"/>
      <c r="IVA21"/>
      <c r="IVB21"/>
      <c r="IVC21"/>
      <c r="IVD21"/>
      <c r="IVE21"/>
      <c r="IVF21"/>
      <c r="IVG21"/>
      <c r="IVH21"/>
      <c r="IVI21"/>
      <c r="IVJ21"/>
      <c r="IVK21"/>
      <c r="IVL21"/>
      <c r="IVM21"/>
      <c r="IVN21"/>
      <c r="IVO21"/>
      <c r="IVP21"/>
      <c r="IVQ21"/>
      <c r="IVR21"/>
      <c r="IVS21"/>
      <c r="IVT21"/>
      <c r="IVU21"/>
      <c r="IVV21"/>
      <c r="IVW21"/>
      <c r="IVX21"/>
      <c r="IVY21"/>
      <c r="IVZ21"/>
      <c r="IWA21"/>
      <c r="IWB21"/>
      <c r="IWC21"/>
      <c r="IWD21"/>
      <c r="IWE21"/>
      <c r="IWF21"/>
      <c r="IWG21"/>
      <c r="IWH21"/>
      <c r="IWI21"/>
      <c r="IWJ21"/>
      <c r="IWK21"/>
      <c r="IWL21"/>
      <c r="IWM21"/>
      <c r="IWN21"/>
      <c r="IWO21"/>
      <c r="IWP21"/>
      <c r="IWQ21"/>
      <c r="IWR21"/>
      <c r="IWS21"/>
      <c r="IWT21"/>
      <c r="IWU21"/>
      <c r="IWV21"/>
      <c r="IWW21"/>
      <c r="IWX21"/>
      <c r="IWY21"/>
      <c r="IWZ21"/>
      <c r="IXA21"/>
      <c r="IXB21"/>
      <c r="IXC21"/>
      <c r="IXD21"/>
      <c r="IXE21"/>
      <c r="IXF21"/>
      <c r="IXG21"/>
      <c r="IXH21"/>
      <c r="IXI21"/>
      <c r="IXJ21"/>
      <c r="IXK21"/>
      <c r="IXL21"/>
      <c r="IXM21"/>
      <c r="IXN21"/>
      <c r="IXO21"/>
      <c r="IXP21"/>
      <c r="IXQ21"/>
      <c r="IXR21"/>
      <c r="IXS21"/>
      <c r="IXT21"/>
      <c r="IXU21"/>
      <c r="IXV21"/>
      <c r="IXW21"/>
      <c r="IXX21"/>
      <c r="IXY21"/>
      <c r="IXZ21"/>
      <c r="IYA21"/>
      <c r="IYB21"/>
      <c r="IYC21"/>
      <c r="IYD21"/>
      <c r="IYE21"/>
      <c r="IYF21"/>
      <c r="IYG21"/>
      <c r="IYH21"/>
      <c r="IYI21"/>
      <c r="IYJ21"/>
      <c r="IYK21"/>
      <c r="IYL21"/>
      <c r="IYM21"/>
      <c r="IYN21"/>
      <c r="IYO21"/>
      <c r="IYP21"/>
      <c r="IYQ21"/>
      <c r="IYR21"/>
      <c r="IYS21"/>
      <c r="IYT21"/>
      <c r="IYU21"/>
      <c r="IYV21"/>
      <c r="IYW21"/>
      <c r="IYX21"/>
      <c r="IYY21"/>
      <c r="IYZ21"/>
      <c r="IZA21"/>
      <c r="IZB21"/>
      <c r="IZC21"/>
      <c r="IZD21"/>
      <c r="IZE21"/>
      <c r="IZF21"/>
      <c r="IZG21"/>
      <c r="IZH21"/>
      <c r="IZI21"/>
      <c r="IZJ21"/>
      <c r="IZK21"/>
      <c r="IZL21"/>
      <c r="IZM21"/>
      <c r="IZN21"/>
      <c r="IZO21"/>
      <c r="IZP21"/>
      <c r="IZQ21"/>
      <c r="IZR21"/>
      <c r="IZS21"/>
      <c r="IZT21"/>
      <c r="IZU21"/>
      <c r="IZV21"/>
      <c r="IZW21"/>
      <c r="IZX21"/>
      <c r="IZY21"/>
      <c r="IZZ21"/>
      <c r="JAA21"/>
      <c r="JAB21"/>
      <c r="JAC21"/>
      <c r="JAD21"/>
      <c r="JAE21"/>
      <c r="JAF21"/>
      <c r="JAG21"/>
      <c r="JAH21"/>
      <c r="JAI21"/>
      <c r="JAJ21"/>
      <c r="JAK21"/>
      <c r="JAL21"/>
      <c r="JAM21"/>
      <c r="JAN21"/>
      <c r="JAO21"/>
      <c r="JAP21"/>
      <c r="JAQ21"/>
      <c r="JAR21"/>
      <c r="JAS21"/>
      <c r="JAT21"/>
      <c r="JAU21"/>
      <c r="JAV21"/>
      <c r="JAW21"/>
      <c r="JAX21"/>
      <c r="JAY21"/>
      <c r="JAZ21"/>
      <c r="JBA21"/>
      <c r="JBB21"/>
      <c r="JBC21"/>
      <c r="JBD21"/>
      <c r="JBE21"/>
      <c r="JBF21"/>
      <c r="JBG21"/>
      <c r="JBH21"/>
      <c r="JBI21"/>
      <c r="JBJ21"/>
      <c r="JBK21"/>
      <c r="JBL21"/>
      <c r="JBM21"/>
      <c r="JBN21"/>
      <c r="JBO21"/>
      <c r="JBP21"/>
      <c r="JBQ21"/>
      <c r="JBR21"/>
      <c r="JBS21"/>
      <c r="JBT21"/>
      <c r="JBU21"/>
      <c r="JBV21"/>
      <c r="JBW21"/>
      <c r="JBX21"/>
      <c r="JBY21"/>
      <c r="JBZ21"/>
      <c r="JCA21"/>
      <c r="JCB21"/>
      <c r="JCC21"/>
      <c r="JCD21"/>
      <c r="JCE21"/>
      <c r="JCF21"/>
      <c r="JCG21"/>
      <c r="JCH21"/>
      <c r="JCI21"/>
      <c r="JCJ21"/>
      <c r="JCK21"/>
      <c r="JCL21"/>
      <c r="JCM21"/>
      <c r="JCN21"/>
      <c r="JCO21"/>
      <c r="JCP21"/>
      <c r="JCQ21"/>
      <c r="JCR21"/>
      <c r="JCS21"/>
      <c r="JCT21"/>
      <c r="JCU21"/>
      <c r="JCV21"/>
      <c r="JCW21"/>
      <c r="JCX21"/>
      <c r="JCY21"/>
      <c r="JCZ21"/>
      <c r="JDA21"/>
      <c r="JDB21"/>
      <c r="JDC21"/>
      <c r="JDD21"/>
      <c r="JDE21"/>
      <c r="JDF21"/>
      <c r="JDG21"/>
      <c r="JDH21"/>
      <c r="JDI21"/>
      <c r="JDJ21"/>
      <c r="JDK21"/>
      <c r="JDL21"/>
      <c r="JDM21"/>
      <c r="JDN21"/>
      <c r="JDO21"/>
      <c r="JDP21"/>
      <c r="JDQ21"/>
      <c r="JDR21"/>
      <c r="JDS21"/>
      <c r="JDT21"/>
      <c r="JDU21"/>
      <c r="JDV21"/>
      <c r="JDW21"/>
      <c r="JDX21"/>
      <c r="JDY21"/>
      <c r="JDZ21"/>
      <c r="JEA21"/>
      <c r="JEB21"/>
      <c r="JEC21"/>
      <c r="JED21"/>
      <c r="JEE21"/>
      <c r="JEF21"/>
      <c r="JEG21"/>
      <c r="JEH21"/>
      <c r="JEI21"/>
      <c r="JEJ21"/>
      <c r="JEK21"/>
      <c r="JEL21"/>
      <c r="JEM21"/>
      <c r="JEN21"/>
      <c r="JEO21"/>
      <c r="JEP21"/>
      <c r="JEQ21"/>
      <c r="JER21"/>
      <c r="JES21"/>
      <c r="JET21"/>
      <c r="JEU21"/>
      <c r="JEV21"/>
      <c r="JEW21"/>
      <c r="JEX21"/>
      <c r="JEY21"/>
      <c r="JEZ21"/>
      <c r="JFA21"/>
      <c r="JFB21"/>
      <c r="JFC21"/>
      <c r="JFD21"/>
      <c r="JFE21"/>
      <c r="JFF21"/>
      <c r="JFG21"/>
      <c r="JFH21"/>
      <c r="JFI21"/>
      <c r="JFJ21"/>
      <c r="JFK21"/>
      <c r="JFL21"/>
      <c r="JFM21"/>
      <c r="JFN21"/>
      <c r="JFO21"/>
      <c r="JFP21"/>
      <c r="JFQ21"/>
      <c r="JFR21"/>
      <c r="JFS21"/>
      <c r="JFT21"/>
      <c r="JFU21"/>
      <c r="JFV21"/>
      <c r="JFW21"/>
      <c r="JFX21"/>
      <c r="JFY21"/>
      <c r="JFZ21"/>
      <c r="JGA21"/>
      <c r="JGB21"/>
      <c r="JGC21"/>
      <c r="JGD21"/>
      <c r="JGE21"/>
      <c r="JGF21"/>
      <c r="JGG21"/>
      <c r="JGH21"/>
      <c r="JGI21"/>
      <c r="JGJ21"/>
      <c r="JGK21"/>
      <c r="JGL21"/>
      <c r="JGM21"/>
      <c r="JGN21"/>
      <c r="JGO21"/>
      <c r="JGP21"/>
      <c r="JGQ21"/>
      <c r="JGR21"/>
      <c r="JGS21"/>
      <c r="JGT21"/>
      <c r="JGU21"/>
      <c r="JGV21"/>
      <c r="JGW21"/>
      <c r="JGX21"/>
      <c r="JGY21"/>
      <c r="JGZ21"/>
      <c r="JHA21"/>
      <c r="JHB21"/>
      <c r="JHC21"/>
      <c r="JHD21"/>
      <c r="JHE21"/>
      <c r="JHF21"/>
      <c r="JHG21"/>
      <c r="JHH21"/>
      <c r="JHI21"/>
      <c r="JHJ21"/>
      <c r="JHK21"/>
      <c r="JHL21"/>
      <c r="JHM21"/>
      <c r="JHN21"/>
      <c r="JHO21"/>
      <c r="JHP21"/>
      <c r="JHQ21"/>
      <c r="JHR21"/>
      <c r="JHS21"/>
      <c r="JHT21"/>
      <c r="JHU21"/>
      <c r="JHV21"/>
      <c r="JHW21"/>
      <c r="JHX21"/>
      <c r="JHY21"/>
      <c r="JHZ21"/>
      <c r="JIA21"/>
      <c r="JIB21"/>
      <c r="JIC21"/>
      <c r="JID21"/>
      <c r="JIE21"/>
      <c r="JIF21"/>
      <c r="JIG21"/>
      <c r="JIH21"/>
      <c r="JII21"/>
      <c r="JIJ21"/>
      <c r="JIK21"/>
      <c r="JIL21"/>
      <c r="JIM21"/>
      <c r="JIN21"/>
      <c r="JIO21"/>
      <c r="JIP21"/>
      <c r="JIQ21"/>
      <c r="JIR21"/>
      <c r="JIS21"/>
      <c r="JIT21"/>
      <c r="JIU21"/>
      <c r="JIV21"/>
      <c r="JIW21"/>
      <c r="JIX21"/>
      <c r="JIY21"/>
      <c r="JIZ21"/>
      <c r="JJA21"/>
      <c r="JJB21"/>
      <c r="JJC21"/>
      <c r="JJD21"/>
      <c r="JJE21"/>
      <c r="JJF21"/>
      <c r="JJG21"/>
      <c r="JJH21"/>
      <c r="JJI21"/>
      <c r="JJJ21"/>
      <c r="JJK21"/>
      <c r="JJL21"/>
      <c r="JJM21"/>
      <c r="JJN21"/>
      <c r="JJO21"/>
      <c r="JJP21"/>
      <c r="JJQ21"/>
      <c r="JJR21"/>
      <c r="JJS21"/>
      <c r="JJT21"/>
      <c r="JJU21"/>
      <c r="JJV21"/>
      <c r="JJW21"/>
      <c r="JJX21"/>
      <c r="JJY21"/>
      <c r="JJZ21"/>
      <c r="JKA21"/>
      <c r="JKB21"/>
      <c r="JKC21"/>
      <c r="JKD21"/>
      <c r="JKE21"/>
      <c r="JKF21"/>
      <c r="JKG21"/>
      <c r="JKH21"/>
      <c r="JKI21"/>
      <c r="JKJ21"/>
      <c r="JKK21"/>
      <c r="JKL21"/>
      <c r="JKM21"/>
      <c r="JKN21"/>
      <c r="JKO21"/>
      <c r="JKP21"/>
      <c r="JKQ21"/>
      <c r="JKR21"/>
      <c r="JKS21"/>
      <c r="JKT21"/>
      <c r="JKU21"/>
      <c r="JKV21"/>
      <c r="JKW21"/>
      <c r="JKX21"/>
      <c r="JKY21"/>
      <c r="JKZ21"/>
      <c r="JLA21"/>
      <c r="JLB21"/>
      <c r="JLC21"/>
      <c r="JLD21"/>
      <c r="JLE21"/>
      <c r="JLF21"/>
      <c r="JLG21"/>
      <c r="JLH21"/>
      <c r="JLI21"/>
      <c r="JLJ21"/>
      <c r="JLK21"/>
      <c r="JLL21"/>
      <c r="JLM21"/>
      <c r="JLN21"/>
      <c r="JLO21"/>
      <c r="JLP21"/>
      <c r="JLQ21"/>
      <c r="JLR21"/>
      <c r="JLS21"/>
      <c r="JLT21"/>
      <c r="JLU21"/>
      <c r="JLV21"/>
      <c r="JLW21"/>
      <c r="JLX21"/>
      <c r="JLY21"/>
      <c r="JLZ21"/>
      <c r="JMA21"/>
      <c r="JMB21"/>
      <c r="JMC21"/>
      <c r="JMD21"/>
      <c r="JME21"/>
      <c r="JMF21"/>
      <c r="JMG21"/>
      <c r="JMH21"/>
      <c r="JMI21"/>
      <c r="JMJ21"/>
      <c r="JMK21"/>
      <c r="JML21"/>
      <c r="JMM21"/>
      <c r="JMN21"/>
      <c r="JMO21"/>
      <c r="JMP21"/>
      <c r="JMQ21"/>
      <c r="JMR21"/>
      <c r="JMS21"/>
      <c r="JMT21"/>
      <c r="JMU21"/>
      <c r="JMV21"/>
      <c r="JMW21"/>
      <c r="JMX21"/>
      <c r="JMY21"/>
      <c r="JMZ21"/>
      <c r="JNA21"/>
      <c r="JNB21"/>
      <c r="JNC21"/>
      <c r="JND21"/>
      <c r="JNE21"/>
      <c r="JNF21"/>
      <c r="JNG21"/>
      <c r="JNH21"/>
      <c r="JNI21"/>
      <c r="JNJ21"/>
      <c r="JNK21"/>
      <c r="JNL21"/>
      <c r="JNM21"/>
      <c r="JNN21"/>
      <c r="JNO21"/>
      <c r="JNP21"/>
      <c r="JNQ21"/>
      <c r="JNR21"/>
      <c r="JNS21"/>
      <c r="JNT21"/>
      <c r="JNU21"/>
      <c r="JNV21"/>
      <c r="JNW21"/>
      <c r="JNX21"/>
      <c r="JNY21"/>
      <c r="JNZ21"/>
      <c r="JOA21"/>
      <c r="JOB21"/>
      <c r="JOC21"/>
      <c r="JOD21"/>
      <c r="JOE21"/>
      <c r="JOF21"/>
      <c r="JOG21"/>
      <c r="JOH21"/>
      <c r="JOI21"/>
      <c r="JOJ21"/>
      <c r="JOK21"/>
      <c r="JOL21"/>
      <c r="JOM21"/>
      <c r="JON21"/>
      <c r="JOO21"/>
      <c r="JOP21"/>
      <c r="JOQ21"/>
      <c r="JOR21"/>
      <c r="JOS21"/>
      <c r="JOT21"/>
      <c r="JOU21"/>
      <c r="JOV21"/>
      <c r="JOW21"/>
      <c r="JOX21"/>
      <c r="JOY21"/>
      <c r="JOZ21"/>
      <c r="JPA21"/>
      <c r="JPB21"/>
      <c r="JPC21"/>
      <c r="JPD21"/>
      <c r="JPE21"/>
      <c r="JPF21"/>
      <c r="JPG21"/>
      <c r="JPH21"/>
      <c r="JPI21"/>
      <c r="JPJ21"/>
      <c r="JPK21"/>
      <c r="JPL21"/>
      <c r="JPM21"/>
      <c r="JPN21"/>
      <c r="JPO21"/>
      <c r="JPP21"/>
      <c r="JPQ21"/>
      <c r="JPR21"/>
      <c r="JPS21"/>
      <c r="JPT21"/>
      <c r="JPU21"/>
      <c r="JPV21"/>
      <c r="JPW21"/>
      <c r="JPX21"/>
      <c r="JPY21"/>
      <c r="JPZ21"/>
      <c r="JQA21"/>
      <c r="JQB21"/>
      <c r="JQC21"/>
      <c r="JQD21"/>
      <c r="JQE21"/>
      <c r="JQF21"/>
      <c r="JQG21"/>
      <c r="JQH21"/>
      <c r="JQI21"/>
      <c r="JQJ21"/>
      <c r="JQK21"/>
      <c r="JQL21"/>
      <c r="JQM21"/>
      <c r="JQN21"/>
      <c r="JQO21"/>
      <c r="JQP21"/>
      <c r="JQQ21"/>
      <c r="JQR21"/>
      <c r="JQS21"/>
      <c r="JQT21"/>
      <c r="JQU21"/>
      <c r="JQV21"/>
      <c r="JQW21"/>
      <c r="JQX21"/>
      <c r="JQY21"/>
      <c r="JQZ21"/>
      <c r="JRA21"/>
      <c r="JRB21"/>
      <c r="JRC21"/>
      <c r="JRD21"/>
      <c r="JRE21"/>
      <c r="JRF21"/>
      <c r="JRG21"/>
      <c r="JRH21"/>
      <c r="JRI21"/>
      <c r="JRJ21"/>
      <c r="JRK21"/>
      <c r="JRL21"/>
      <c r="JRM21"/>
      <c r="JRN21"/>
      <c r="JRO21"/>
      <c r="JRP21"/>
      <c r="JRQ21"/>
      <c r="JRR21"/>
      <c r="JRS21"/>
      <c r="JRT21"/>
      <c r="JRU21"/>
      <c r="JRV21"/>
      <c r="JRW21"/>
      <c r="JRX21"/>
      <c r="JRY21"/>
      <c r="JRZ21"/>
      <c r="JSA21"/>
      <c r="JSB21"/>
      <c r="JSC21"/>
      <c r="JSD21"/>
      <c r="JSE21"/>
      <c r="JSF21"/>
      <c r="JSG21"/>
      <c r="JSH21"/>
      <c r="JSI21"/>
      <c r="JSJ21"/>
      <c r="JSK21"/>
      <c r="JSL21"/>
      <c r="JSM21"/>
      <c r="JSN21"/>
      <c r="JSO21"/>
      <c r="JSP21"/>
      <c r="JSQ21"/>
      <c r="JSR21"/>
      <c r="JSS21"/>
      <c r="JST21"/>
      <c r="JSU21"/>
      <c r="JSV21"/>
      <c r="JSW21"/>
      <c r="JSX21"/>
      <c r="JSY21"/>
      <c r="JSZ21"/>
      <c r="JTA21"/>
      <c r="JTB21"/>
      <c r="JTC21"/>
      <c r="JTD21"/>
      <c r="JTE21"/>
      <c r="JTF21"/>
      <c r="JTG21"/>
      <c r="JTH21"/>
      <c r="JTI21"/>
      <c r="JTJ21"/>
      <c r="JTK21"/>
      <c r="JTL21"/>
      <c r="JTM21"/>
      <c r="JTN21"/>
      <c r="JTO21"/>
      <c r="JTP21"/>
      <c r="JTQ21"/>
      <c r="JTR21"/>
      <c r="JTS21"/>
      <c r="JTT21"/>
      <c r="JTU21"/>
      <c r="JTV21"/>
      <c r="JTW21"/>
      <c r="JTX21"/>
      <c r="JTY21"/>
      <c r="JTZ21"/>
      <c r="JUA21"/>
      <c r="JUB21"/>
      <c r="JUC21"/>
      <c r="JUD21"/>
      <c r="JUE21"/>
      <c r="JUF21"/>
      <c r="JUG21"/>
      <c r="JUH21"/>
      <c r="JUI21"/>
      <c r="JUJ21"/>
      <c r="JUK21"/>
      <c r="JUL21"/>
      <c r="JUM21"/>
      <c r="JUN21"/>
      <c r="JUO21"/>
      <c r="JUP21"/>
      <c r="JUQ21"/>
      <c r="JUR21"/>
      <c r="JUS21"/>
      <c r="JUT21"/>
      <c r="JUU21"/>
      <c r="JUV21"/>
      <c r="JUW21"/>
      <c r="JUX21"/>
      <c r="JUY21"/>
      <c r="JUZ21"/>
      <c r="JVA21"/>
      <c r="JVB21"/>
      <c r="JVC21"/>
      <c r="JVD21"/>
      <c r="JVE21"/>
      <c r="JVF21"/>
      <c r="JVG21"/>
      <c r="JVH21"/>
      <c r="JVI21"/>
      <c r="JVJ21"/>
      <c r="JVK21"/>
      <c r="JVL21"/>
      <c r="JVM21"/>
      <c r="JVN21"/>
      <c r="JVO21"/>
      <c r="JVP21"/>
      <c r="JVQ21"/>
      <c r="JVR21"/>
      <c r="JVS21"/>
      <c r="JVT21"/>
      <c r="JVU21"/>
      <c r="JVV21"/>
      <c r="JVW21"/>
      <c r="JVX21"/>
      <c r="JVY21"/>
      <c r="JVZ21"/>
      <c r="JWA21"/>
      <c r="JWB21"/>
      <c r="JWC21"/>
      <c r="JWD21"/>
      <c r="JWE21"/>
      <c r="JWF21"/>
      <c r="JWG21"/>
      <c r="JWH21"/>
      <c r="JWI21"/>
      <c r="JWJ21"/>
      <c r="JWK21"/>
      <c r="JWL21"/>
      <c r="JWM21"/>
      <c r="JWN21"/>
      <c r="JWO21"/>
      <c r="JWP21"/>
      <c r="JWQ21"/>
      <c r="JWR21"/>
      <c r="JWS21"/>
      <c r="JWT21"/>
      <c r="JWU21"/>
      <c r="JWV21"/>
      <c r="JWW21"/>
      <c r="JWX21"/>
      <c r="JWY21"/>
      <c r="JWZ21"/>
      <c r="JXA21"/>
      <c r="JXB21"/>
      <c r="JXC21"/>
      <c r="JXD21"/>
      <c r="JXE21"/>
      <c r="JXF21"/>
      <c r="JXG21"/>
      <c r="JXH21"/>
      <c r="JXI21"/>
      <c r="JXJ21"/>
      <c r="JXK21"/>
      <c r="JXL21"/>
      <c r="JXM21"/>
      <c r="JXN21"/>
      <c r="JXO21"/>
      <c r="JXP21"/>
      <c r="JXQ21"/>
      <c r="JXR21"/>
      <c r="JXS21"/>
      <c r="JXT21"/>
      <c r="JXU21"/>
      <c r="JXV21"/>
      <c r="JXW21"/>
      <c r="JXX21"/>
      <c r="JXY21"/>
      <c r="JXZ21"/>
      <c r="JYA21"/>
      <c r="JYB21"/>
      <c r="JYC21"/>
      <c r="JYD21"/>
      <c r="JYE21"/>
      <c r="JYF21"/>
      <c r="JYG21"/>
      <c r="JYH21"/>
      <c r="JYI21"/>
      <c r="JYJ21"/>
      <c r="JYK21"/>
      <c r="JYL21"/>
      <c r="JYM21"/>
      <c r="JYN21"/>
      <c r="JYO21"/>
      <c r="JYP21"/>
      <c r="JYQ21"/>
      <c r="JYR21"/>
      <c r="JYS21"/>
      <c r="JYT21"/>
      <c r="JYU21"/>
      <c r="JYV21"/>
      <c r="JYW21"/>
      <c r="JYX21"/>
      <c r="JYY21"/>
      <c r="JYZ21"/>
      <c r="JZA21"/>
      <c r="JZB21"/>
      <c r="JZC21"/>
      <c r="JZD21"/>
      <c r="JZE21"/>
      <c r="JZF21"/>
      <c r="JZG21"/>
      <c r="JZH21"/>
      <c r="JZI21"/>
      <c r="JZJ21"/>
      <c r="JZK21"/>
      <c r="JZL21"/>
      <c r="JZM21"/>
      <c r="JZN21"/>
      <c r="JZO21"/>
      <c r="JZP21"/>
      <c r="JZQ21"/>
      <c r="JZR21"/>
      <c r="JZS21"/>
      <c r="JZT21"/>
      <c r="JZU21"/>
      <c r="JZV21"/>
      <c r="JZW21"/>
      <c r="JZX21"/>
      <c r="JZY21"/>
      <c r="JZZ21"/>
      <c r="KAA21"/>
      <c r="KAB21"/>
      <c r="KAC21"/>
      <c r="KAD21"/>
      <c r="KAE21"/>
      <c r="KAF21"/>
      <c r="KAG21"/>
      <c r="KAH21"/>
      <c r="KAI21"/>
      <c r="KAJ21"/>
      <c r="KAK21"/>
      <c r="KAL21"/>
      <c r="KAM21"/>
      <c r="KAN21"/>
      <c r="KAO21"/>
      <c r="KAP21"/>
      <c r="KAQ21"/>
      <c r="KAR21"/>
      <c r="KAS21"/>
      <c r="KAT21"/>
      <c r="KAU21"/>
      <c r="KAV21"/>
      <c r="KAW21"/>
      <c r="KAX21"/>
      <c r="KAY21"/>
      <c r="KAZ21"/>
      <c r="KBA21"/>
      <c r="KBB21"/>
      <c r="KBC21"/>
      <c r="KBD21"/>
      <c r="KBE21"/>
      <c r="KBF21"/>
      <c r="KBG21"/>
      <c r="KBH21"/>
      <c r="KBI21"/>
      <c r="KBJ21"/>
      <c r="KBK21"/>
      <c r="KBL21"/>
      <c r="KBM21"/>
      <c r="KBN21"/>
      <c r="KBO21"/>
      <c r="KBP21"/>
      <c r="KBQ21"/>
      <c r="KBR21"/>
      <c r="KBS21"/>
      <c r="KBT21"/>
      <c r="KBU21"/>
      <c r="KBV21"/>
      <c r="KBW21"/>
      <c r="KBX21"/>
      <c r="KBY21"/>
      <c r="KBZ21"/>
      <c r="KCA21"/>
      <c r="KCB21"/>
      <c r="KCC21"/>
      <c r="KCD21"/>
      <c r="KCE21"/>
      <c r="KCF21"/>
      <c r="KCG21"/>
      <c r="KCH21"/>
      <c r="KCI21"/>
      <c r="KCJ21"/>
      <c r="KCK21"/>
      <c r="KCL21"/>
      <c r="KCM21"/>
      <c r="KCN21"/>
      <c r="KCO21"/>
      <c r="KCP21"/>
      <c r="KCQ21"/>
      <c r="KCR21"/>
      <c r="KCS21"/>
      <c r="KCT21"/>
      <c r="KCU21"/>
      <c r="KCV21"/>
      <c r="KCW21"/>
      <c r="KCX21"/>
      <c r="KCY21"/>
      <c r="KCZ21"/>
      <c r="KDA21"/>
      <c r="KDB21"/>
      <c r="KDC21"/>
      <c r="KDD21"/>
      <c r="KDE21"/>
      <c r="KDF21"/>
      <c r="KDG21"/>
      <c r="KDH21"/>
      <c r="KDI21"/>
      <c r="KDJ21"/>
      <c r="KDK21"/>
      <c r="KDL21"/>
      <c r="KDM21"/>
      <c r="KDN21"/>
      <c r="KDO21"/>
      <c r="KDP21"/>
      <c r="KDQ21"/>
      <c r="KDR21"/>
      <c r="KDS21"/>
      <c r="KDT21"/>
      <c r="KDU21"/>
      <c r="KDV21"/>
      <c r="KDW21"/>
      <c r="KDX21"/>
      <c r="KDY21"/>
      <c r="KDZ21"/>
      <c r="KEA21"/>
      <c r="KEB21"/>
      <c r="KEC21"/>
      <c r="KED21"/>
      <c r="KEE21"/>
      <c r="KEF21"/>
      <c r="KEG21"/>
      <c r="KEH21"/>
      <c r="KEI21"/>
      <c r="KEJ21"/>
      <c r="KEK21"/>
      <c r="KEL21"/>
      <c r="KEM21"/>
      <c r="KEN21"/>
      <c r="KEO21"/>
      <c r="KEP21"/>
      <c r="KEQ21"/>
      <c r="KER21"/>
      <c r="KES21"/>
      <c r="KET21"/>
      <c r="KEU21"/>
      <c r="KEV21"/>
      <c r="KEW21"/>
      <c r="KEX21"/>
      <c r="KEY21"/>
      <c r="KEZ21"/>
      <c r="KFA21"/>
      <c r="KFB21"/>
      <c r="KFC21"/>
      <c r="KFD21"/>
      <c r="KFE21"/>
      <c r="KFF21"/>
      <c r="KFG21"/>
      <c r="KFH21"/>
      <c r="KFI21"/>
      <c r="KFJ21"/>
      <c r="KFK21"/>
      <c r="KFL21"/>
      <c r="KFM21"/>
      <c r="KFN21"/>
      <c r="KFO21"/>
      <c r="KFP21"/>
      <c r="KFQ21"/>
      <c r="KFR21"/>
      <c r="KFS21"/>
      <c r="KFT21"/>
      <c r="KFU21"/>
      <c r="KFV21"/>
      <c r="KFW21"/>
      <c r="KFX21"/>
      <c r="KFY21"/>
      <c r="KFZ21"/>
      <c r="KGA21"/>
      <c r="KGB21"/>
      <c r="KGC21"/>
      <c r="KGD21"/>
      <c r="KGE21"/>
      <c r="KGF21"/>
      <c r="KGG21"/>
      <c r="KGH21"/>
      <c r="KGI21"/>
      <c r="KGJ21"/>
      <c r="KGK21"/>
      <c r="KGL21"/>
      <c r="KGM21"/>
      <c r="KGN21"/>
      <c r="KGO21"/>
      <c r="KGP21"/>
      <c r="KGQ21"/>
      <c r="KGR21"/>
      <c r="KGS21"/>
      <c r="KGT21"/>
      <c r="KGU21"/>
      <c r="KGV21"/>
      <c r="KGW21"/>
      <c r="KGX21"/>
      <c r="KGY21"/>
      <c r="KGZ21"/>
      <c r="KHA21"/>
      <c r="KHB21"/>
      <c r="KHC21"/>
      <c r="KHD21"/>
      <c r="KHE21"/>
      <c r="KHF21"/>
      <c r="KHG21"/>
      <c r="KHH21"/>
      <c r="KHI21"/>
      <c r="KHJ21"/>
      <c r="KHK21"/>
      <c r="KHL21"/>
      <c r="KHM21"/>
      <c r="KHN21"/>
      <c r="KHO21"/>
      <c r="KHP21"/>
      <c r="KHQ21"/>
      <c r="KHR21"/>
      <c r="KHS21"/>
      <c r="KHT21"/>
      <c r="KHU21"/>
      <c r="KHV21"/>
      <c r="KHW21"/>
      <c r="KHX21"/>
      <c r="KHY21"/>
      <c r="KHZ21"/>
      <c r="KIA21"/>
      <c r="KIB21"/>
      <c r="KIC21"/>
      <c r="KID21"/>
      <c r="KIE21"/>
      <c r="KIF21"/>
      <c r="KIG21"/>
      <c r="KIH21"/>
      <c r="KII21"/>
      <c r="KIJ21"/>
      <c r="KIK21"/>
      <c r="KIL21"/>
      <c r="KIM21"/>
      <c r="KIN21"/>
      <c r="KIO21"/>
      <c r="KIP21"/>
      <c r="KIQ21"/>
      <c r="KIR21"/>
      <c r="KIS21"/>
      <c r="KIT21"/>
      <c r="KIU21"/>
      <c r="KIV21"/>
      <c r="KIW21"/>
      <c r="KIX21"/>
      <c r="KIY21"/>
      <c r="KIZ21"/>
      <c r="KJA21"/>
      <c r="KJB21"/>
      <c r="KJC21"/>
      <c r="KJD21"/>
      <c r="KJE21"/>
      <c r="KJF21"/>
      <c r="KJG21"/>
      <c r="KJH21"/>
      <c r="KJI21"/>
      <c r="KJJ21"/>
      <c r="KJK21"/>
      <c r="KJL21"/>
      <c r="KJM21"/>
      <c r="KJN21"/>
      <c r="KJO21"/>
      <c r="KJP21"/>
      <c r="KJQ21"/>
      <c r="KJR21"/>
      <c r="KJS21"/>
      <c r="KJT21"/>
      <c r="KJU21"/>
      <c r="KJV21"/>
      <c r="KJW21"/>
      <c r="KJX21"/>
      <c r="KJY21"/>
      <c r="KJZ21"/>
      <c r="KKA21"/>
      <c r="KKB21"/>
      <c r="KKC21"/>
      <c r="KKD21"/>
      <c r="KKE21"/>
      <c r="KKF21"/>
      <c r="KKG21"/>
      <c r="KKH21"/>
      <c r="KKI21"/>
      <c r="KKJ21"/>
      <c r="KKK21"/>
      <c r="KKL21"/>
      <c r="KKM21"/>
      <c r="KKN21"/>
      <c r="KKO21"/>
      <c r="KKP21"/>
      <c r="KKQ21"/>
      <c r="KKR21"/>
      <c r="KKS21"/>
      <c r="KKT21"/>
      <c r="KKU21"/>
      <c r="KKV21"/>
      <c r="KKW21"/>
      <c r="KKX21"/>
      <c r="KKY21"/>
      <c r="KKZ21"/>
      <c r="KLA21"/>
      <c r="KLB21"/>
      <c r="KLC21"/>
      <c r="KLD21"/>
      <c r="KLE21"/>
      <c r="KLF21"/>
      <c r="KLG21"/>
      <c r="KLH21"/>
      <c r="KLI21"/>
      <c r="KLJ21"/>
      <c r="KLK21"/>
      <c r="KLL21"/>
      <c r="KLM21"/>
      <c r="KLN21"/>
      <c r="KLO21"/>
      <c r="KLP21"/>
      <c r="KLQ21"/>
      <c r="KLR21"/>
      <c r="KLS21"/>
      <c r="KLT21"/>
      <c r="KLU21"/>
      <c r="KLV21"/>
      <c r="KLW21"/>
      <c r="KLX21"/>
      <c r="KLY21"/>
      <c r="KLZ21"/>
      <c r="KMA21"/>
      <c r="KMB21"/>
      <c r="KMC21"/>
      <c r="KMD21"/>
      <c r="KME21"/>
      <c r="KMF21"/>
      <c r="KMG21"/>
      <c r="KMH21"/>
      <c r="KMI21"/>
      <c r="KMJ21"/>
      <c r="KMK21"/>
      <c r="KML21"/>
      <c r="KMM21"/>
      <c r="KMN21"/>
      <c r="KMO21"/>
      <c r="KMP21"/>
      <c r="KMQ21"/>
      <c r="KMR21"/>
      <c r="KMS21"/>
      <c r="KMT21"/>
      <c r="KMU21"/>
      <c r="KMV21"/>
      <c r="KMW21"/>
      <c r="KMX21"/>
      <c r="KMY21"/>
      <c r="KMZ21"/>
      <c r="KNA21"/>
      <c r="KNB21"/>
      <c r="KNC21"/>
      <c r="KND21"/>
      <c r="KNE21"/>
      <c r="KNF21"/>
      <c r="KNG21"/>
      <c r="KNH21"/>
      <c r="KNI21"/>
      <c r="KNJ21"/>
      <c r="KNK21"/>
      <c r="KNL21"/>
      <c r="KNM21"/>
      <c r="KNN21"/>
      <c r="KNO21"/>
      <c r="KNP21"/>
      <c r="KNQ21"/>
      <c r="KNR21"/>
      <c r="KNS21"/>
      <c r="KNT21"/>
      <c r="KNU21"/>
      <c r="KNV21"/>
      <c r="KNW21"/>
      <c r="KNX21"/>
      <c r="KNY21"/>
      <c r="KNZ21"/>
      <c r="KOA21"/>
      <c r="KOB21"/>
      <c r="KOC21"/>
      <c r="KOD21"/>
      <c r="KOE21"/>
      <c r="KOF21"/>
      <c r="KOG21"/>
      <c r="KOH21"/>
      <c r="KOI21"/>
      <c r="KOJ21"/>
      <c r="KOK21"/>
      <c r="KOL21"/>
      <c r="KOM21"/>
      <c r="KON21"/>
      <c r="KOO21"/>
      <c r="KOP21"/>
      <c r="KOQ21"/>
      <c r="KOR21"/>
      <c r="KOS21"/>
      <c r="KOT21"/>
      <c r="KOU21"/>
      <c r="KOV21"/>
      <c r="KOW21"/>
      <c r="KOX21"/>
      <c r="KOY21"/>
      <c r="KOZ21"/>
      <c r="KPA21"/>
      <c r="KPB21"/>
      <c r="KPC21"/>
      <c r="KPD21"/>
      <c r="KPE21"/>
      <c r="KPF21"/>
      <c r="KPG21"/>
      <c r="KPH21"/>
      <c r="KPI21"/>
      <c r="KPJ21"/>
      <c r="KPK21"/>
      <c r="KPL21"/>
      <c r="KPM21"/>
      <c r="KPN21"/>
      <c r="KPO21"/>
      <c r="KPP21"/>
      <c r="KPQ21"/>
      <c r="KPR21"/>
      <c r="KPS21"/>
      <c r="KPT21"/>
      <c r="KPU21"/>
      <c r="KPV21"/>
      <c r="KPW21"/>
      <c r="KPX21"/>
      <c r="KPY21"/>
      <c r="KPZ21"/>
      <c r="KQA21"/>
      <c r="KQB21"/>
      <c r="KQC21"/>
      <c r="KQD21"/>
      <c r="KQE21"/>
      <c r="KQF21"/>
      <c r="KQG21"/>
      <c r="KQH21"/>
      <c r="KQI21"/>
      <c r="KQJ21"/>
      <c r="KQK21"/>
      <c r="KQL21"/>
      <c r="KQM21"/>
      <c r="KQN21"/>
      <c r="KQO21"/>
      <c r="KQP21"/>
      <c r="KQQ21"/>
      <c r="KQR21"/>
      <c r="KQS21"/>
      <c r="KQT21"/>
      <c r="KQU21"/>
      <c r="KQV21"/>
      <c r="KQW21"/>
      <c r="KQX21"/>
      <c r="KQY21"/>
      <c r="KQZ21"/>
      <c r="KRA21"/>
      <c r="KRB21"/>
      <c r="KRC21"/>
      <c r="KRD21"/>
      <c r="KRE21"/>
      <c r="KRF21"/>
      <c r="KRG21"/>
      <c r="KRH21"/>
      <c r="KRI21"/>
      <c r="KRJ21"/>
      <c r="KRK21"/>
      <c r="KRL21"/>
      <c r="KRM21"/>
      <c r="KRN21"/>
      <c r="KRO21"/>
      <c r="KRP21"/>
      <c r="KRQ21"/>
      <c r="KRR21"/>
      <c r="KRS21"/>
      <c r="KRT21"/>
      <c r="KRU21"/>
      <c r="KRV21"/>
      <c r="KRW21"/>
      <c r="KRX21"/>
      <c r="KRY21"/>
      <c r="KRZ21"/>
      <c r="KSA21"/>
      <c r="KSB21"/>
      <c r="KSC21"/>
      <c r="KSD21"/>
      <c r="KSE21"/>
      <c r="KSF21"/>
      <c r="KSG21"/>
      <c r="KSH21"/>
      <c r="KSI21"/>
      <c r="KSJ21"/>
      <c r="KSK21"/>
      <c r="KSL21"/>
      <c r="KSM21"/>
      <c r="KSN21"/>
      <c r="KSO21"/>
      <c r="KSP21"/>
      <c r="KSQ21"/>
      <c r="KSR21"/>
      <c r="KSS21"/>
      <c r="KST21"/>
      <c r="KSU21"/>
      <c r="KSV21"/>
      <c r="KSW21"/>
      <c r="KSX21"/>
      <c r="KSY21"/>
      <c r="KSZ21"/>
      <c r="KTA21"/>
      <c r="KTB21"/>
      <c r="KTC21"/>
      <c r="KTD21"/>
      <c r="KTE21"/>
      <c r="KTF21"/>
      <c r="KTG21"/>
      <c r="KTH21"/>
      <c r="KTI21"/>
      <c r="KTJ21"/>
      <c r="KTK21"/>
      <c r="KTL21"/>
      <c r="KTM21"/>
      <c r="KTN21"/>
      <c r="KTO21"/>
      <c r="KTP21"/>
      <c r="KTQ21"/>
      <c r="KTR21"/>
      <c r="KTS21"/>
      <c r="KTT21"/>
      <c r="KTU21"/>
      <c r="KTV21"/>
      <c r="KTW21"/>
      <c r="KTX21"/>
      <c r="KTY21"/>
      <c r="KTZ21"/>
      <c r="KUA21"/>
      <c r="KUB21"/>
      <c r="KUC21"/>
      <c r="KUD21"/>
      <c r="KUE21"/>
      <c r="KUF21"/>
      <c r="KUG21"/>
      <c r="KUH21"/>
      <c r="KUI21"/>
      <c r="KUJ21"/>
      <c r="KUK21"/>
      <c r="KUL21"/>
      <c r="KUM21"/>
      <c r="KUN21"/>
      <c r="KUO21"/>
      <c r="KUP21"/>
      <c r="KUQ21"/>
      <c r="KUR21"/>
      <c r="KUS21"/>
      <c r="KUT21"/>
      <c r="KUU21"/>
      <c r="KUV21"/>
      <c r="KUW21"/>
      <c r="KUX21"/>
      <c r="KUY21"/>
      <c r="KUZ21"/>
      <c r="KVA21"/>
      <c r="KVB21"/>
      <c r="KVC21"/>
      <c r="KVD21"/>
      <c r="KVE21"/>
      <c r="KVF21"/>
      <c r="KVG21"/>
      <c r="KVH21"/>
      <c r="KVI21"/>
      <c r="KVJ21"/>
      <c r="KVK21"/>
      <c r="KVL21"/>
      <c r="KVM21"/>
      <c r="KVN21"/>
      <c r="KVO21"/>
      <c r="KVP21"/>
      <c r="KVQ21"/>
      <c r="KVR21"/>
      <c r="KVS21"/>
      <c r="KVT21"/>
      <c r="KVU21"/>
      <c r="KVV21"/>
      <c r="KVW21"/>
      <c r="KVX21"/>
      <c r="KVY21"/>
      <c r="KVZ21"/>
      <c r="KWA21"/>
      <c r="KWB21"/>
      <c r="KWC21"/>
      <c r="KWD21"/>
      <c r="KWE21"/>
      <c r="KWF21"/>
      <c r="KWG21"/>
      <c r="KWH21"/>
      <c r="KWI21"/>
      <c r="KWJ21"/>
      <c r="KWK21"/>
      <c r="KWL21"/>
      <c r="KWM21"/>
      <c r="KWN21"/>
      <c r="KWO21"/>
      <c r="KWP21"/>
      <c r="KWQ21"/>
      <c r="KWR21"/>
      <c r="KWS21"/>
      <c r="KWT21"/>
      <c r="KWU21"/>
      <c r="KWV21"/>
      <c r="KWW21"/>
      <c r="KWX21"/>
      <c r="KWY21"/>
      <c r="KWZ21"/>
      <c r="KXA21"/>
      <c r="KXB21"/>
      <c r="KXC21"/>
      <c r="KXD21"/>
      <c r="KXE21"/>
      <c r="KXF21"/>
      <c r="KXG21"/>
      <c r="KXH21"/>
      <c r="KXI21"/>
      <c r="KXJ21"/>
      <c r="KXK21"/>
      <c r="KXL21"/>
      <c r="KXM21"/>
      <c r="KXN21"/>
      <c r="KXO21"/>
      <c r="KXP21"/>
      <c r="KXQ21"/>
      <c r="KXR21"/>
      <c r="KXS21"/>
      <c r="KXT21"/>
      <c r="KXU21"/>
      <c r="KXV21"/>
      <c r="KXW21"/>
      <c r="KXX21"/>
      <c r="KXY21"/>
      <c r="KXZ21"/>
      <c r="KYA21"/>
      <c r="KYB21"/>
      <c r="KYC21"/>
      <c r="KYD21"/>
      <c r="KYE21"/>
      <c r="KYF21"/>
      <c r="KYG21"/>
      <c r="KYH21"/>
      <c r="KYI21"/>
      <c r="KYJ21"/>
      <c r="KYK21"/>
      <c r="KYL21"/>
      <c r="KYM21"/>
      <c r="KYN21"/>
      <c r="KYO21"/>
      <c r="KYP21"/>
      <c r="KYQ21"/>
      <c r="KYR21"/>
      <c r="KYS21"/>
      <c r="KYT21"/>
      <c r="KYU21"/>
      <c r="KYV21"/>
      <c r="KYW21"/>
      <c r="KYX21"/>
      <c r="KYY21"/>
      <c r="KYZ21"/>
      <c r="KZA21"/>
      <c r="KZB21"/>
      <c r="KZC21"/>
      <c r="KZD21"/>
      <c r="KZE21"/>
      <c r="KZF21"/>
      <c r="KZG21"/>
      <c r="KZH21"/>
      <c r="KZI21"/>
      <c r="KZJ21"/>
      <c r="KZK21"/>
      <c r="KZL21"/>
      <c r="KZM21"/>
      <c r="KZN21"/>
      <c r="KZO21"/>
      <c r="KZP21"/>
      <c r="KZQ21"/>
      <c r="KZR21"/>
      <c r="KZS21"/>
      <c r="KZT21"/>
      <c r="KZU21"/>
      <c r="KZV21"/>
      <c r="KZW21"/>
      <c r="KZX21"/>
      <c r="KZY21"/>
      <c r="KZZ21"/>
      <c r="LAA21"/>
      <c r="LAB21"/>
      <c r="LAC21"/>
      <c r="LAD21"/>
      <c r="LAE21"/>
      <c r="LAF21"/>
      <c r="LAG21"/>
      <c r="LAH21"/>
      <c r="LAI21"/>
      <c r="LAJ21"/>
      <c r="LAK21"/>
      <c r="LAL21"/>
      <c r="LAM21"/>
      <c r="LAN21"/>
      <c r="LAO21"/>
      <c r="LAP21"/>
      <c r="LAQ21"/>
      <c r="LAR21"/>
      <c r="LAS21"/>
      <c r="LAT21"/>
      <c r="LAU21"/>
      <c r="LAV21"/>
      <c r="LAW21"/>
      <c r="LAX21"/>
      <c r="LAY21"/>
      <c r="LAZ21"/>
      <c r="LBA21"/>
      <c r="LBB21"/>
      <c r="LBC21"/>
      <c r="LBD21"/>
      <c r="LBE21"/>
      <c r="LBF21"/>
      <c r="LBG21"/>
      <c r="LBH21"/>
      <c r="LBI21"/>
      <c r="LBJ21"/>
      <c r="LBK21"/>
      <c r="LBL21"/>
      <c r="LBM21"/>
      <c r="LBN21"/>
      <c r="LBO21"/>
      <c r="LBP21"/>
      <c r="LBQ21"/>
      <c r="LBR21"/>
      <c r="LBS21"/>
      <c r="LBT21"/>
      <c r="LBU21"/>
      <c r="LBV21"/>
      <c r="LBW21"/>
      <c r="LBX21"/>
      <c r="LBY21"/>
      <c r="LBZ21"/>
      <c r="LCA21"/>
      <c r="LCB21"/>
      <c r="LCC21"/>
      <c r="LCD21"/>
      <c r="LCE21"/>
      <c r="LCF21"/>
      <c r="LCG21"/>
      <c r="LCH21"/>
      <c r="LCI21"/>
      <c r="LCJ21"/>
      <c r="LCK21"/>
      <c r="LCL21"/>
      <c r="LCM21"/>
      <c r="LCN21"/>
      <c r="LCO21"/>
      <c r="LCP21"/>
      <c r="LCQ21"/>
      <c r="LCR21"/>
      <c r="LCS21"/>
      <c r="LCT21"/>
      <c r="LCU21"/>
      <c r="LCV21"/>
      <c r="LCW21"/>
      <c r="LCX21"/>
      <c r="LCY21"/>
      <c r="LCZ21"/>
      <c r="LDA21"/>
      <c r="LDB21"/>
      <c r="LDC21"/>
      <c r="LDD21"/>
      <c r="LDE21"/>
      <c r="LDF21"/>
      <c r="LDG21"/>
      <c r="LDH21"/>
      <c r="LDI21"/>
      <c r="LDJ21"/>
      <c r="LDK21"/>
      <c r="LDL21"/>
      <c r="LDM21"/>
      <c r="LDN21"/>
      <c r="LDO21"/>
      <c r="LDP21"/>
      <c r="LDQ21"/>
      <c r="LDR21"/>
      <c r="LDS21"/>
      <c r="LDT21"/>
      <c r="LDU21"/>
      <c r="LDV21"/>
      <c r="LDW21"/>
      <c r="LDX21"/>
      <c r="LDY21"/>
      <c r="LDZ21"/>
      <c r="LEA21"/>
      <c r="LEB21"/>
      <c r="LEC21"/>
      <c r="LED21"/>
      <c r="LEE21"/>
      <c r="LEF21"/>
      <c r="LEG21"/>
      <c r="LEH21"/>
      <c r="LEI21"/>
      <c r="LEJ21"/>
      <c r="LEK21"/>
      <c r="LEL21"/>
      <c r="LEM21"/>
      <c r="LEN21"/>
      <c r="LEO21"/>
      <c r="LEP21"/>
      <c r="LEQ21"/>
      <c r="LER21"/>
      <c r="LES21"/>
      <c r="LET21"/>
      <c r="LEU21"/>
      <c r="LEV21"/>
      <c r="LEW21"/>
      <c r="LEX21"/>
      <c r="LEY21"/>
      <c r="LEZ21"/>
      <c r="LFA21"/>
      <c r="LFB21"/>
      <c r="LFC21"/>
      <c r="LFD21"/>
      <c r="LFE21"/>
      <c r="LFF21"/>
      <c r="LFG21"/>
      <c r="LFH21"/>
      <c r="LFI21"/>
      <c r="LFJ21"/>
      <c r="LFK21"/>
      <c r="LFL21"/>
      <c r="LFM21"/>
      <c r="LFN21"/>
      <c r="LFO21"/>
      <c r="LFP21"/>
      <c r="LFQ21"/>
      <c r="LFR21"/>
      <c r="LFS21"/>
      <c r="LFT21"/>
      <c r="LFU21"/>
      <c r="LFV21"/>
      <c r="LFW21"/>
      <c r="LFX21"/>
      <c r="LFY21"/>
      <c r="LFZ21"/>
      <c r="LGA21"/>
      <c r="LGB21"/>
      <c r="LGC21"/>
      <c r="LGD21"/>
      <c r="LGE21"/>
      <c r="LGF21"/>
      <c r="LGG21"/>
      <c r="LGH21"/>
      <c r="LGI21"/>
      <c r="LGJ21"/>
      <c r="LGK21"/>
      <c r="LGL21"/>
      <c r="LGM21"/>
      <c r="LGN21"/>
      <c r="LGO21"/>
      <c r="LGP21"/>
      <c r="LGQ21"/>
      <c r="LGR21"/>
      <c r="LGS21"/>
      <c r="LGT21"/>
      <c r="LGU21"/>
      <c r="LGV21"/>
      <c r="LGW21"/>
      <c r="LGX21"/>
      <c r="LGY21"/>
      <c r="LGZ21"/>
      <c r="LHA21"/>
      <c r="LHB21"/>
      <c r="LHC21"/>
      <c r="LHD21"/>
      <c r="LHE21"/>
      <c r="LHF21"/>
      <c r="LHG21"/>
      <c r="LHH21"/>
      <c r="LHI21"/>
      <c r="LHJ21"/>
      <c r="LHK21"/>
      <c r="LHL21"/>
      <c r="LHM21"/>
      <c r="LHN21"/>
      <c r="LHO21"/>
      <c r="LHP21"/>
      <c r="LHQ21"/>
      <c r="LHR21"/>
      <c r="LHS21"/>
      <c r="LHT21"/>
      <c r="LHU21"/>
      <c r="LHV21"/>
      <c r="LHW21"/>
      <c r="LHX21"/>
      <c r="LHY21"/>
      <c r="LHZ21"/>
      <c r="LIA21"/>
      <c r="LIB21"/>
      <c r="LIC21"/>
      <c r="LID21"/>
      <c r="LIE21"/>
      <c r="LIF21"/>
      <c r="LIG21"/>
      <c r="LIH21"/>
      <c r="LII21"/>
      <c r="LIJ21"/>
      <c r="LIK21"/>
      <c r="LIL21"/>
      <c r="LIM21"/>
      <c r="LIN21"/>
      <c r="LIO21"/>
      <c r="LIP21"/>
      <c r="LIQ21"/>
      <c r="LIR21"/>
      <c r="LIS21"/>
      <c r="LIT21"/>
      <c r="LIU21"/>
      <c r="LIV21"/>
      <c r="LIW21"/>
      <c r="LIX21"/>
      <c r="LIY21"/>
      <c r="LIZ21"/>
      <c r="LJA21"/>
      <c r="LJB21"/>
      <c r="LJC21"/>
      <c r="LJD21"/>
      <c r="LJE21"/>
      <c r="LJF21"/>
      <c r="LJG21"/>
      <c r="LJH21"/>
      <c r="LJI21"/>
      <c r="LJJ21"/>
      <c r="LJK21"/>
      <c r="LJL21"/>
      <c r="LJM21"/>
      <c r="LJN21"/>
      <c r="LJO21"/>
      <c r="LJP21"/>
      <c r="LJQ21"/>
      <c r="LJR21"/>
      <c r="LJS21"/>
      <c r="LJT21"/>
      <c r="LJU21"/>
      <c r="LJV21"/>
      <c r="LJW21"/>
      <c r="LJX21"/>
      <c r="LJY21"/>
      <c r="LJZ21"/>
      <c r="LKA21"/>
      <c r="LKB21"/>
      <c r="LKC21"/>
      <c r="LKD21"/>
      <c r="LKE21"/>
      <c r="LKF21"/>
      <c r="LKG21"/>
      <c r="LKH21"/>
      <c r="LKI21"/>
      <c r="LKJ21"/>
      <c r="LKK21"/>
      <c r="LKL21"/>
      <c r="LKM21"/>
      <c r="LKN21"/>
      <c r="LKO21"/>
      <c r="LKP21"/>
      <c r="LKQ21"/>
      <c r="LKR21"/>
      <c r="LKS21"/>
      <c r="LKT21"/>
      <c r="LKU21"/>
      <c r="LKV21"/>
      <c r="LKW21"/>
      <c r="LKX21"/>
      <c r="LKY21"/>
      <c r="LKZ21"/>
      <c r="LLA21"/>
      <c r="LLB21"/>
      <c r="LLC21"/>
      <c r="LLD21"/>
      <c r="LLE21"/>
      <c r="LLF21"/>
      <c r="LLG21"/>
      <c r="LLH21"/>
      <c r="LLI21"/>
      <c r="LLJ21"/>
      <c r="LLK21"/>
      <c r="LLL21"/>
      <c r="LLM21"/>
      <c r="LLN21"/>
      <c r="LLO21"/>
      <c r="LLP21"/>
      <c r="LLQ21"/>
      <c r="LLR21"/>
      <c r="LLS21"/>
      <c r="LLT21"/>
      <c r="LLU21"/>
      <c r="LLV21"/>
      <c r="LLW21"/>
      <c r="LLX21"/>
      <c r="LLY21"/>
      <c r="LLZ21"/>
      <c r="LMA21"/>
      <c r="LMB21"/>
      <c r="LMC21"/>
      <c r="LMD21"/>
      <c r="LME21"/>
      <c r="LMF21"/>
      <c r="LMG21"/>
      <c r="LMH21"/>
      <c r="LMI21"/>
      <c r="LMJ21"/>
      <c r="LMK21"/>
      <c r="LML21"/>
      <c r="LMM21"/>
      <c r="LMN21"/>
      <c r="LMO21"/>
      <c r="LMP21"/>
      <c r="LMQ21"/>
      <c r="LMR21"/>
      <c r="LMS21"/>
      <c r="LMT21"/>
      <c r="LMU21"/>
      <c r="LMV21"/>
      <c r="LMW21"/>
      <c r="LMX21"/>
      <c r="LMY21"/>
      <c r="LMZ21"/>
      <c r="LNA21"/>
      <c r="LNB21"/>
      <c r="LNC21"/>
      <c r="LND21"/>
      <c r="LNE21"/>
      <c r="LNF21"/>
      <c r="LNG21"/>
      <c r="LNH21"/>
      <c r="LNI21"/>
      <c r="LNJ21"/>
      <c r="LNK21"/>
      <c r="LNL21"/>
      <c r="LNM21"/>
      <c r="LNN21"/>
      <c r="LNO21"/>
      <c r="LNP21"/>
      <c r="LNQ21"/>
      <c r="LNR21"/>
      <c r="LNS21"/>
      <c r="LNT21"/>
      <c r="LNU21"/>
      <c r="LNV21"/>
      <c r="LNW21"/>
      <c r="LNX21"/>
      <c r="LNY21"/>
      <c r="LNZ21"/>
      <c r="LOA21"/>
      <c r="LOB21"/>
      <c r="LOC21"/>
      <c r="LOD21"/>
      <c r="LOE21"/>
      <c r="LOF21"/>
      <c r="LOG21"/>
      <c r="LOH21"/>
      <c r="LOI21"/>
      <c r="LOJ21"/>
      <c r="LOK21"/>
      <c r="LOL21"/>
      <c r="LOM21"/>
      <c r="LON21"/>
      <c r="LOO21"/>
      <c r="LOP21"/>
      <c r="LOQ21"/>
      <c r="LOR21"/>
      <c r="LOS21"/>
      <c r="LOT21"/>
      <c r="LOU21"/>
      <c r="LOV21"/>
      <c r="LOW21"/>
      <c r="LOX21"/>
      <c r="LOY21"/>
      <c r="LOZ21"/>
      <c r="LPA21"/>
      <c r="LPB21"/>
      <c r="LPC21"/>
      <c r="LPD21"/>
      <c r="LPE21"/>
      <c r="LPF21"/>
      <c r="LPG21"/>
      <c r="LPH21"/>
      <c r="LPI21"/>
      <c r="LPJ21"/>
      <c r="LPK21"/>
      <c r="LPL21"/>
      <c r="LPM21"/>
      <c r="LPN21"/>
      <c r="LPO21"/>
      <c r="LPP21"/>
      <c r="LPQ21"/>
      <c r="LPR21"/>
      <c r="LPS21"/>
      <c r="LPT21"/>
      <c r="LPU21"/>
      <c r="LPV21"/>
      <c r="LPW21"/>
      <c r="LPX21"/>
      <c r="LPY21"/>
      <c r="LPZ21"/>
      <c r="LQA21"/>
      <c r="LQB21"/>
      <c r="LQC21"/>
      <c r="LQD21"/>
      <c r="LQE21"/>
      <c r="LQF21"/>
      <c r="LQG21"/>
      <c r="LQH21"/>
      <c r="LQI21"/>
      <c r="LQJ21"/>
      <c r="LQK21"/>
      <c r="LQL21"/>
      <c r="LQM21"/>
      <c r="LQN21"/>
      <c r="LQO21"/>
      <c r="LQP21"/>
      <c r="LQQ21"/>
      <c r="LQR21"/>
      <c r="LQS21"/>
      <c r="LQT21"/>
      <c r="LQU21"/>
      <c r="LQV21"/>
      <c r="LQW21"/>
      <c r="LQX21"/>
      <c r="LQY21"/>
      <c r="LQZ21"/>
      <c r="LRA21"/>
      <c r="LRB21"/>
      <c r="LRC21"/>
      <c r="LRD21"/>
      <c r="LRE21"/>
      <c r="LRF21"/>
      <c r="LRG21"/>
      <c r="LRH21"/>
      <c r="LRI21"/>
      <c r="LRJ21"/>
      <c r="LRK21"/>
      <c r="LRL21"/>
      <c r="LRM21"/>
      <c r="LRN21"/>
      <c r="LRO21"/>
      <c r="LRP21"/>
      <c r="LRQ21"/>
      <c r="LRR21"/>
      <c r="LRS21"/>
      <c r="LRT21"/>
      <c r="LRU21"/>
      <c r="LRV21"/>
      <c r="LRW21"/>
      <c r="LRX21"/>
      <c r="LRY21"/>
      <c r="LRZ21"/>
      <c r="LSA21"/>
      <c r="LSB21"/>
      <c r="LSC21"/>
      <c r="LSD21"/>
      <c r="LSE21"/>
      <c r="LSF21"/>
      <c r="LSG21"/>
      <c r="LSH21"/>
      <c r="LSI21"/>
      <c r="LSJ21"/>
      <c r="LSK21"/>
      <c r="LSL21"/>
      <c r="LSM21"/>
      <c r="LSN21"/>
      <c r="LSO21"/>
      <c r="LSP21"/>
      <c r="LSQ21"/>
      <c r="LSR21"/>
      <c r="LSS21"/>
      <c r="LST21"/>
      <c r="LSU21"/>
      <c r="LSV21"/>
      <c r="LSW21"/>
      <c r="LSX21"/>
      <c r="LSY21"/>
      <c r="LSZ21"/>
      <c r="LTA21"/>
      <c r="LTB21"/>
      <c r="LTC21"/>
      <c r="LTD21"/>
      <c r="LTE21"/>
      <c r="LTF21"/>
      <c r="LTG21"/>
      <c r="LTH21"/>
      <c r="LTI21"/>
      <c r="LTJ21"/>
      <c r="LTK21"/>
      <c r="LTL21"/>
      <c r="LTM21"/>
      <c r="LTN21"/>
      <c r="LTO21"/>
      <c r="LTP21"/>
      <c r="LTQ21"/>
      <c r="LTR21"/>
      <c r="LTS21"/>
      <c r="LTT21"/>
      <c r="LTU21"/>
      <c r="LTV21"/>
      <c r="LTW21"/>
      <c r="LTX21"/>
      <c r="LTY21"/>
      <c r="LTZ21"/>
      <c r="LUA21"/>
      <c r="LUB21"/>
      <c r="LUC21"/>
      <c r="LUD21"/>
      <c r="LUE21"/>
      <c r="LUF21"/>
      <c r="LUG21"/>
      <c r="LUH21"/>
      <c r="LUI21"/>
      <c r="LUJ21"/>
      <c r="LUK21"/>
      <c r="LUL21"/>
      <c r="LUM21"/>
      <c r="LUN21"/>
      <c r="LUO21"/>
      <c r="LUP21"/>
      <c r="LUQ21"/>
      <c r="LUR21"/>
      <c r="LUS21"/>
      <c r="LUT21"/>
      <c r="LUU21"/>
      <c r="LUV21"/>
      <c r="LUW21"/>
      <c r="LUX21"/>
      <c r="LUY21"/>
      <c r="LUZ21"/>
      <c r="LVA21"/>
      <c r="LVB21"/>
      <c r="LVC21"/>
      <c r="LVD21"/>
      <c r="LVE21"/>
      <c r="LVF21"/>
      <c r="LVG21"/>
      <c r="LVH21"/>
      <c r="LVI21"/>
      <c r="LVJ21"/>
      <c r="LVK21"/>
      <c r="LVL21"/>
      <c r="LVM21"/>
      <c r="LVN21"/>
      <c r="LVO21"/>
      <c r="LVP21"/>
      <c r="LVQ21"/>
      <c r="LVR21"/>
      <c r="LVS21"/>
      <c r="LVT21"/>
      <c r="LVU21"/>
      <c r="LVV21"/>
      <c r="LVW21"/>
      <c r="LVX21"/>
      <c r="LVY21"/>
      <c r="LVZ21"/>
      <c r="LWA21"/>
      <c r="LWB21"/>
      <c r="LWC21"/>
      <c r="LWD21"/>
      <c r="LWE21"/>
      <c r="LWF21"/>
      <c r="LWG21"/>
      <c r="LWH21"/>
      <c r="LWI21"/>
      <c r="LWJ21"/>
      <c r="LWK21"/>
      <c r="LWL21"/>
      <c r="LWM21"/>
      <c r="LWN21"/>
      <c r="LWO21"/>
      <c r="LWP21"/>
      <c r="LWQ21"/>
      <c r="LWR21"/>
      <c r="LWS21"/>
      <c r="LWT21"/>
      <c r="LWU21"/>
      <c r="LWV21"/>
      <c r="LWW21"/>
      <c r="LWX21"/>
      <c r="LWY21"/>
      <c r="LWZ21"/>
      <c r="LXA21"/>
      <c r="LXB21"/>
      <c r="LXC21"/>
      <c r="LXD21"/>
      <c r="LXE21"/>
      <c r="LXF21"/>
      <c r="LXG21"/>
      <c r="LXH21"/>
      <c r="LXI21"/>
      <c r="LXJ21"/>
      <c r="LXK21"/>
      <c r="LXL21"/>
      <c r="LXM21"/>
      <c r="LXN21"/>
      <c r="LXO21"/>
      <c r="LXP21"/>
      <c r="LXQ21"/>
      <c r="LXR21"/>
      <c r="LXS21"/>
      <c r="LXT21"/>
      <c r="LXU21"/>
      <c r="LXV21"/>
      <c r="LXW21"/>
      <c r="LXX21"/>
      <c r="LXY21"/>
      <c r="LXZ21"/>
      <c r="LYA21"/>
      <c r="LYB21"/>
      <c r="LYC21"/>
      <c r="LYD21"/>
      <c r="LYE21"/>
      <c r="LYF21"/>
      <c r="LYG21"/>
      <c r="LYH21"/>
      <c r="LYI21"/>
      <c r="LYJ21"/>
      <c r="LYK21"/>
      <c r="LYL21"/>
      <c r="LYM21"/>
      <c r="LYN21"/>
      <c r="LYO21"/>
      <c r="LYP21"/>
      <c r="LYQ21"/>
      <c r="LYR21"/>
      <c r="LYS21"/>
      <c r="LYT21"/>
      <c r="LYU21"/>
      <c r="LYV21"/>
      <c r="LYW21"/>
      <c r="LYX21"/>
      <c r="LYY21"/>
      <c r="LYZ21"/>
      <c r="LZA21"/>
      <c r="LZB21"/>
      <c r="LZC21"/>
      <c r="LZD21"/>
      <c r="LZE21"/>
      <c r="LZF21"/>
      <c r="LZG21"/>
      <c r="LZH21"/>
      <c r="LZI21"/>
      <c r="LZJ21"/>
      <c r="LZK21"/>
      <c r="LZL21"/>
      <c r="LZM21"/>
      <c r="LZN21"/>
      <c r="LZO21"/>
      <c r="LZP21"/>
      <c r="LZQ21"/>
      <c r="LZR21"/>
      <c r="LZS21"/>
      <c r="LZT21"/>
      <c r="LZU21"/>
      <c r="LZV21"/>
      <c r="LZW21"/>
      <c r="LZX21"/>
      <c r="LZY21"/>
      <c r="LZZ21"/>
      <c r="MAA21"/>
      <c r="MAB21"/>
      <c r="MAC21"/>
      <c r="MAD21"/>
      <c r="MAE21"/>
      <c r="MAF21"/>
      <c r="MAG21"/>
      <c r="MAH21"/>
      <c r="MAI21"/>
      <c r="MAJ21"/>
      <c r="MAK21"/>
      <c r="MAL21"/>
      <c r="MAM21"/>
      <c r="MAN21"/>
      <c r="MAO21"/>
      <c r="MAP21"/>
      <c r="MAQ21"/>
      <c r="MAR21"/>
      <c r="MAS21"/>
      <c r="MAT21"/>
      <c r="MAU21"/>
      <c r="MAV21"/>
      <c r="MAW21"/>
      <c r="MAX21"/>
      <c r="MAY21"/>
      <c r="MAZ21"/>
      <c r="MBA21"/>
      <c r="MBB21"/>
      <c r="MBC21"/>
      <c r="MBD21"/>
      <c r="MBE21"/>
      <c r="MBF21"/>
      <c r="MBG21"/>
      <c r="MBH21"/>
      <c r="MBI21"/>
      <c r="MBJ21"/>
      <c r="MBK21"/>
      <c r="MBL21"/>
      <c r="MBM21"/>
      <c r="MBN21"/>
      <c r="MBO21"/>
      <c r="MBP21"/>
      <c r="MBQ21"/>
      <c r="MBR21"/>
      <c r="MBS21"/>
      <c r="MBT21"/>
      <c r="MBU21"/>
      <c r="MBV21"/>
      <c r="MBW21"/>
      <c r="MBX21"/>
      <c r="MBY21"/>
      <c r="MBZ21"/>
      <c r="MCA21"/>
      <c r="MCB21"/>
      <c r="MCC21"/>
      <c r="MCD21"/>
      <c r="MCE21"/>
      <c r="MCF21"/>
      <c r="MCG21"/>
      <c r="MCH21"/>
      <c r="MCI21"/>
      <c r="MCJ21"/>
      <c r="MCK21"/>
      <c r="MCL21"/>
      <c r="MCM21"/>
      <c r="MCN21"/>
      <c r="MCO21"/>
      <c r="MCP21"/>
      <c r="MCQ21"/>
      <c r="MCR21"/>
      <c r="MCS21"/>
      <c r="MCT21"/>
      <c r="MCU21"/>
      <c r="MCV21"/>
      <c r="MCW21"/>
      <c r="MCX21"/>
      <c r="MCY21"/>
      <c r="MCZ21"/>
      <c r="MDA21"/>
      <c r="MDB21"/>
      <c r="MDC21"/>
      <c r="MDD21"/>
      <c r="MDE21"/>
      <c r="MDF21"/>
      <c r="MDG21"/>
      <c r="MDH21"/>
      <c r="MDI21"/>
      <c r="MDJ21"/>
      <c r="MDK21"/>
      <c r="MDL21"/>
      <c r="MDM21"/>
      <c r="MDN21"/>
      <c r="MDO21"/>
      <c r="MDP21"/>
      <c r="MDQ21"/>
      <c r="MDR21"/>
      <c r="MDS21"/>
      <c r="MDT21"/>
      <c r="MDU21"/>
      <c r="MDV21"/>
      <c r="MDW21"/>
      <c r="MDX21"/>
      <c r="MDY21"/>
      <c r="MDZ21"/>
      <c r="MEA21"/>
      <c r="MEB21"/>
      <c r="MEC21"/>
      <c r="MED21"/>
      <c r="MEE21"/>
      <c r="MEF21"/>
      <c r="MEG21"/>
      <c r="MEH21"/>
      <c r="MEI21"/>
      <c r="MEJ21"/>
      <c r="MEK21"/>
      <c r="MEL21"/>
      <c r="MEM21"/>
      <c r="MEN21"/>
      <c r="MEO21"/>
      <c r="MEP21"/>
      <c r="MEQ21"/>
      <c r="MER21"/>
      <c r="MES21"/>
      <c r="MET21"/>
      <c r="MEU21"/>
      <c r="MEV21"/>
      <c r="MEW21"/>
      <c r="MEX21"/>
      <c r="MEY21"/>
      <c r="MEZ21"/>
      <c r="MFA21"/>
      <c r="MFB21"/>
      <c r="MFC21"/>
      <c r="MFD21"/>
      <c r="MFE21"/>
      <c r="MFF21"/>
      <c r="MFG21"/>
      <c r="MFH21"/>
      <c r="MFI21"/>
      <c r="MFJ21"/>
      <c r="MFK21"/>
      <c r="MFL21"/>
      <c r="MFM21"/>
      <c r="MFN21"/>
      <c r="MFO21"/>
      <c r="MFP21"/>
      <c r="MFQ21"/>
      <c r="MFR21"/>
      <c r="MFS21"/>
      <c r="MFT21"/>
      <c r="MFU21"/>
      <c r="MFV21"/>
      <c r="MFW21"/>
      <c r="MFX21"/>
      <c r="MFY21"/>
      <c r="MFZ21"/>
      <c r="MGA21"/>
      <c r="MGB21"/>
      <c r="MGC21"/>
      <c r="MGD21"/>
      <c r="MGE21"/>
      <c r="MGF21"/>
      <c r="MGG21"/>
      <c r="MGH21"/>
      <c r="MGI21"/>
      <c r="MGJ21"/>
      <c r="MGK21"/>
      <c r="MGL21"/>
      <c r="MGM21"/>
      <c r="MGN21"/>
      <c r="MGO21"/>
      <c r="MGP21"/>
      <c r="MGQ21"/>
      <c r="MGR21"/>
      <c r="MGS21"/>
      <c r="MGT21"/>
      <c r="MGU21"/>
      <c r="MGV21"/>
      <c r="MGW21"/>
      <c r="MGX21"/>
      <c r="MGY21"/>
      <c r="MGZ21"/>
      <c r="MHA21"/>
      <c r="MHB21"/>
      <c r="MHC21"/>
      <c r="MHD21"/>
      <c r="MHE21"/>
      <c r="MHF21"/>
      <c r="MHG21"/>
      <c r="MHH21"/>
      <c r="MHI21"/>
      <c r="MHJ21"/>
      <c r="MHK21"/>
      <c r="MHL21"/>
      <c r="MHM21"/>
      <c r="MHN21"/>
      <c r="MHO21"/>
      <c r="MHP21"/>
      <c r="MHQ21"/>
      <c r="MHR21"/>
      <c r="MHS21"/>
      <c r="MHT21"/>
      <c r="MHU21"/>
      <c r="MHV21"/>
      <c r="MHW21"/>
      <c r="MHX21"/>
      <c r="MHY21"/>
      <c r="MHZ21"/>
      <c r="MIA21"/>
      <c r="MIB21"/>
      <c r="MIC21"/>
      <c r="MID21"/>
      <c r="MIE21"/>
      <c r="MIF21"/>
      <c r="MIG21"/>
      <c r="MIH21"/>
      <c r="MII21"/>
      <c r="MIJ21"/>
      <c r="MIK21"/>
      <c r="MIL21"/>
      <c r="MIM21"/>
      <c r="MIN21"/>
      <c r="MIO21"/>
      <c r="MIP21"/>
      <c r="MIQ21"/>
      <c r="MIR21"/>
      <c r="MIS21"/>
      <c r="MIT21"/>
      <c r="MIU21"/>
      <c r="MIV21"/>
      <c r="MIW21"/>
      <c r="MIX21"/>
      <c r="MIY21"/>
      <c r="MIZ21"/>
      <c r="MJA21"/>
      <c r="MJB21"/>
      <c r="MJC21"/>
      <c r="MJD21"/>
      <c r="MJE21"/>
      <c r="MJF21"/>
      <c r="MJG21"/>
      <c r="MJH21"/>
      <c r="MJI21"/>
      <c r="MJJ21"/>
      <c r="MJK21"/>
      <c r="MJL21"/>
      <c r="MJM21"/>
      <c r="MJN21"/>
      <c r="MJO21"/>
      <c r="MJP21"/>
      <c r="MJQ21"/>
      <c r="MJR21"/>
      <c r="MJS21"/>
      <c r="MJT21"/>
      <c r="MJU21"/>
      <c r="MJV21"/>
      <c r="MJW21"/>
      <c r="MJX21"/>
      <c r="MJY21"/>
      <c r="MJZ21"/>
      <c r="MKA21"/>
      <c r="MKB21"/>
      <c r="MKC21"/>
      <c r="MKD21"/>
      <c r="MKE21"/>
      <c r="MKF21"/>
      <c r="MKG21"/>
      <c r="MKH21"/>
      <c r="MKI21"/>
      <c r="MKJ21"/>
      <c r="MKK21"/>
      <c r="MKL21"/>
      <c r="MKM21"/>
      <c r="MKN21"/>
      <c r="MKO21"/>
      <c r="MKP21"/>
      <c r="MKQ21"/>
      <c r="MKR21"/>
      <c r="MKS21"/>
      <c r="MKT21"/>
      <c r="MKU21"/>
      <c r="MKV21"/>
      <c r="MKW21"/>
      <c r="MKX21"/>
      <c r="MKY21"/>
      <c r="MKZ21"/>
      <c r="MLA21"/>
      <c r="MLB21"/>
      <c r="MLC21"/>
      <c r="MLD21"/>
      <c r="MLE21"/>
      <c r="MLF21"/>
      <c r="MLG21"/>
      <c r="MLH21"/>
      <c r="MLI21"/>
      <c r="MLJ21"/>
      <c r="MLK21"/>
      <c r="MLL21"/>
      <c r="MLM21"/>
      <c r="MLN21"/>
      <c r="MLO21"/>
      <c r="MLP21"/>
      <c r="MLQ21"/>
      <c r="MLR21"/>
      <c r="MLS21"/>
      <c r="MLT21"/>
      <c r="MLU21"/>
      <c r="MLV21"/>
      <c r="MLW21"/>
      <c r="MLX21"/>
      <c r="MLY21"/>
      <c r="MLZ21"/>
      <c r="MMA21"/>
      <c r="MMB21"/>
      <c r="MMC21"/>
      <c r="MMD21"/>
      <c r="MME21"/>
      <c r="MMF21"/>
      <c r="MMG21"/>
      <c r="MMH21"/>
      <c r="MMI21"/>
      <c r="MMJ21"/>
      <c r="MMK21"/>
      <c r="MML21"/>
      <c r="MMM21"/>
      <c r="MMN21"/>
      <c r="MMO21"/>
      <c r="MMP21"/>
      <c r="MMQ21"/>
      <c r="MMR21"/>
      <c r="MMS21"/>
      <c r="MMT21"/>
      <c r="MMU21"/>
      <c r="MMV21"/>
      <c r="MMW21"/>
      <c r="MMX21"/>
      <c r="MMY21"/>
      <c r="MMZ21"/>
      <c r="MNA21"/>
      <c r="MNB21"/>
      <c r="MNC21"/>
      <c r="MND21"/>
      <c r="MNE21"/>
      <c r="MNF21"/>
      <c r="MNG21"/>
      <c r="MNH21"/>
      <c r="MNI21"/>
      <c r="MNJ21"/>
      <c r="MNK21"/>
      <c r="MNL21"/>
      <c r="MNM21"/>
      <c r="MNN21"/>
      <c r="MNO21"/>
      <c r="MNP21"/>
      <c r="MNQ21"/>
      <c r="MNR21"/>
      <c r="MNS21"/>
      <c r="MNT21"/>
      <c r="MNU21"/>
      <c r="MNV21"/>
      <c r="MNW21"/>
      <c r="MNX21"/>
      <c r="MNY21"/>
      <c r="MNZ21"/>
      <c r="MOA21"/>
      <c r="MOB21"/>
      <c r="MOC21"/>
      <c r="MOD21"/>
      <c r="MOE21"/>
      <c r="MOF21"/>
      <c r="MOG21"/>
      <c r="MOH21"/>
      <c r="MOI21"/>
      <c r="MOJ21"/>
      <c r="MOK21"/>
      <c r="MOL21"/>
      <c r="MOM21"/>
      <c r="MON21"/>
      <c r="MOO21"/>
      <c r="MOP21"/>
      <c r="MOQ21"/>
      <c r="MOR21"/>
      <c r="MOS21"/>
      <c r="MOT21"/>
      <c r="MOU21"/>
      <c r="MOV21"/>
      <c r="MOW21"/>
      <c r="MOX21"/>
      <c r="MOY21"/>
      <c r="MOZ21"/>
      <c r="MPA21"/>
      <c r="MPB21"/>
      <c r="MPC21"/>
      <c r="MPD21"/>
      <c r="MPE21"/>
      <c r="MPF21"/>
      <c r="MPG21"/>
      <c r="MPH21"/>
      <c r="MPI21"/>
      <c r="MPJ21"/>
      <c r="MPK21"/>
      <c r="MPL21"/>
      <c r="MPM21"/>
      <c r="MPN21"/>
      <c r="MPO21"/>
      <c r="MPP21"/>
      <c r="MPQ21"/>
      <c r="MPR21"/>
      <c r="MPS21"/>
      <c r="MPT21"/>
      <c r="MPU21"/>
      <c r="MPV21"/>
      <c r="MPW21"/>
      <c r="MPX21"/>
      <c r="MPY21"/>
      <c r="MPZ21"/>
      <c r="MQA21"/>
      <c r="MQB21"/>
      <c r="MQC21"/>
      <c r="MQD21"/>
      <c r="MQE21"/>
      <c r="MQF21"/>
      <c r="MQG21"/>
      <c r="MQH21"/>
      <c r="MQI21"/>
      <c r="MQJ21"/>
      <c r="MQK21"/>
      <c r="MQL21"/>
      <c r="MQM21"/>
      <c r="MQN21"/>
      <c r="MQO21"/>
      <c r="MQP21"/>
      <c r="MQQ21"/>
      <c r="MQR21"/>
      <c r="MQS21"/>
      <c r="MQT21"/>
      <c r="MQU21"/>
      <c r="MQV21"/>
      <c r="MQW21"/>
      <c r="MQX21"/>
      <c r="MQY21"/>
      <c r="MQZ21"/>
      <c r="MRA21"/>
      <c r="MRB21"/>
      <c r="MRC21"/>
      <c r="MRD21"/>
      <c r="MRE21"/>
      <c r="MRF21"/>
      <c r="MRG21"/>
      <c r="MRH21"/>
      <c r="MRI21"/>
      <c r="MRJ21"/>
      <c r="MRK21"/>
      <c r="MRL21"/>
      <c r="MRM21"/>
      <c r="MRN21"/>
      <c r="MRO21"/>
      <c r="MRP21"/>
      <c r="MRQ21"/>
      <c r="MRR21"/>
      <c r="MRS21"/>
      <c r="MRT21"/>
      <c r="MRU21"/>
      <c r="MRV21"/>
      <c r="MRW21"/>
      <c r="MRX21"/>
      <c r="MRY21"/>
      <c r="MRZ21"/>
      <c r="MSA21"/>
      <c r="MSB21"/>
      <c r="MSC21"/>
      <c r="MSD21"/>
      <c r="MSE21"/>
      <c r="MSF21"/>
      <c r="MSG21"/>
      <c r="MSH21"/>
      <c r="MSI21"/>
      <c r="MSJ21"/>
      <c r="MSK21"/>
      <c r="MSL21"/>
      <c r="MSM21"/>
      <c r="MSN21"/>
      <c r="MSO21"/>
      <c r="MSP21"/>
      <c r="MSQ21"/>
      <c r="MSR21"/>
      <c r="MSS21"/>
      <c r="MST21"/>
      <c r="MSU21"/>
      <c r="MSV21"/>
      <c r="MSW21"/>
      <c r="MSX21"/>
      <c r="MSY21"/>
      <c r="MSZ21"/>
      <c r="MTA21"/>
      <c r="MTB21"/>
      <c r="MTC21"/>
      <c r="MTD21"/>
      <c r="MTE21"/>
      <c r="MTF21"/>
      <c r="MTG21"/>
      <c r="MTH21"/>
      <c r="MTI21"/>
      <c r="MTJ21"/>
      <c r="MTK21"/>
      <c r="MTL21"/>
      <c r="MTM21"/>
      <c r="MTN21"/>
      <c r="MTO21"/>
      <c r="MTP21"/>
      <c r="MTQ21"/>
      <c r="MTR21"/>
      <c r="MTS21"/>
      <c r="MTT21"/>
      <c r="MTU21"/>
      <c r="MTV21"/>
      <c r="MTW21"/>
      <c r="MTX21"/>
      <c r="MTY21"/>
      <c r="MTZ21"/>
      <c r="MUA21"/>
      <c r="MUB21"/>
      <c r="MUC21"/>
      <c r="MUD21"/>
      <c r="MUE21"/>
      <c r="MUF21"/>
      <c r="MUG21"/>
      <c r="MUH21"/>
      <c r="MUI21"/>
      <c r="MUJ21"/>
      <c r="MUK21"/>
      <c r="MUL21"/>
      <c r="MUM21"/>
      <c r="MUN21"/>
      <c r="MUO21"/>
      <c r="MUP21"/>
      <c r="MUQ21"/>
      <c r="MUR21"/>
      <c r="MUS21"/>
      <c r="MUT21"/>
      <c r="MUU21"/>
      <c r="MUV21"/>
      <c r="MUW21"/>
      <c r="MUX21"/>
      <c r="MUY21"/>
      <c r="MUZ21"/>
      <c r="MVA21"/>
      <c r="MVB21"/>
      <c r="MVC21"/>
      <c r="MVD21"/>
      <c r="MVE21"/>
      <c r="MVF21"/>
      <c r="MVG21"/>
      <c r="MVH21"/>
      <c r="MVI21"/>
      <c r="MVJ21"/>
      <c r="MVK21"/>
      <c r="MVL21"/>
      <c r="MVM21"/>
      <c r="MVN21"/>
      <c r="MVO21"/>
      <c r="MVP21"/>
      <c r="MVQ21"/>
      <c r="MVR21"/>
      <c r="MVS21"/>
      <c r="MVT21"/>
      <c r="MVU21"/>
      <c r="MVV21"/>
      <c r="MVW21"/>
      <c r="MVX21"/>
      <c r="MVY21"/>
      <c r="MVZ21"/>
      <c r="MWA21"/>
      <c r="MWB21"/>
      <c r="MWC21"/>
      <c r="MWD21"/>
      <c r="MWE21"/>
      <c r="MWF21"/>
      <c r="MWG21"/>
      <c r="MWH21"/>
      <c r="MWI21"/>
      <c r="MWJ21"/>
      <c r="MWK21"/>
      <c r="MWL21"/>
      <c r="MWM21"/>
      <c r="MWN21"/>
      <c r="MWO21"/>
      <c r="MWP21"/>
      <c r="MWQ21"/>
      <c r="MWR21"/>
      <c r="MWS21"/>
      <c r="MWT21"/>
      <c r="MWU21"/>
      <c r="MWV21"/>
      <c r="MWW21"/>
      <c r="MWX21"/>
      <c r="MWY21"/>
      <c r="MWZ21"/>
      <c r="MXA21"/>
      <c r="MXB21"/>
      <c r="MXC21"/>
      <c r="MXD21"/>
      <c r="MXE21"/>
      <c r="MXF21"/>
      <c r="MXG21"/>
      <c r="MXH21"/>
      <c r="MXI21"/>
      <c r="MXJ21"/>
      <c r="MXK21"/>
      <c r="MXL21"/>
      <c r="MXM21"/>
      <c r="MXN21"/>
      <c r="MXO21"/>
      <c r="MXP21"/>
      <c r="MXQ21"/>
      <c r="MXR21"/>
      <c r="MXS21"/>
      <c r="MXT21"/>
      <c r="MXU21"/>
      <c r="MXV21"/>
      <c r="MXW21"/>
      <c r="MXX21"/>
      <c r="MXY21"/>
      <c r="MXZ21"/>
      <c r="MYA21"/>
      <c r="MYB21"/>
      <c r="MYC21"/>
      <c r="MYD21"/>
      <c r="MYE21"/>
      <c r="MYF21"/>
      <c r="MYG21"/>
      <c r="MYH21"/>
      <c r="MYI21"/>
      <c r="MYJ21"/>
      <c r="MYK21"/>
      <c r="MYL21"/>
      <c r="MYM21"/>
      <c r="MYN21"/>
      <c r="MYO21"/>
      <c r="MYP21"/>
      <c r="MYQ21"/>
      <c r="MYR21"/>
      <c r="MYS21"/>
      <c r="MYT21"/>
      <c r="MYU21"/>
      <c r="MYV21"/>
      <c r="MYW21"/>
      <c r="MYX21"/>
      <c r="MYY21"/>
      <c r="MYZ21"/>
      <c r="MZA21"/>
      <c r="MZB21"/>
      <c r="MZC21"/>
      <c r="MZD21"/>
      <c r="MZE21"/>
      <c r="MZF21"/>
      <c r="MZG21"/>
      <c r="MZH21"/>
      <c r="MZI21"/>
      <c r="MZJ21"/>
      <c r="MZK21"/>
      <c r="MZL21"/>
      <c r="MZM21"/>
      <c r="MZN21"/>
      <c r="MZO21"/>
      <c r="MZP21"/>
      <c r="MZQ21"/>
      <c r="MZR21"/>
      <c r="MZS21"/>
      <c r="MZT21"/>
      <c r="MZU21"/>
      <c r="MZV21"/>
      <c r="MZW21"/>
      <c r="MZX21"/>
      <c r="MZY21"/>
      <c r="MZZ21"/>
      <c r="NAA21"/>
      <c r="NAB21"/>
      <c r="NAC21"/>
      <c r="NAD21"/>
      <c r="NAE21"/>
      <c r="NAF21"/>
      <c r="NAG21"/>
      <c r="NAH21"/>
      <c r="NAI21"/>
      <c r="NAJ21"/>
      <c r="NAK21"/>
      <c r="NAL21"/>
      <c r="NAM21"/>
      <c r="NAN21"/>
      <c r="NAO21"/>
      <c r="NAP21"/>
      <c r="NAQ21"/>
      <c r="NAR21"/>
      <c r="NAS21"/>
      <c r="NAT21"/>
      <c r="NAU21"/>
      <c r="NAV21"/>
      <c r="NAW21"/>
      <c r="NAX21"/>
      <c r="NAY21"/>
      <c r="NAZ21"/>
      <c r="NBA21"/>
      <c r="NBB21"/>
      <c r="NBC21"/>
      <c r="NBD21"/>
      <c r="NBE21"/>
      <c r="NBF21"/>
      <c r="NBG21"/>
      <c r="NBH21"/>
      <c r="NBI21"/>
      <c r="NBJ21"/>
      <c r="NBK21"/>
      <c r="NBL21"/>
      <c r="NBM21"/>
      <c r="NBN21"/>
      <c r="NBO21"/>
      <c r="NBP21"/>
      <c r="NBQ21"/>
      <c r="NBR21"/>
      <c r="NBS21"/>
      <c r="NBT21"/>
      <c r="NBU21"/>
      <c r="NBV21"/>
      <c r="NBW21"/>
      <c r="NBX21"/>
      <c r="NBY21"/>
      <c r="NBZ21"/>
      <c r="NCA21"/>
      <c r="NCB21"/>
      <c r="NCC21"/>
      <c r="NCD21"/>
      <c r="NCE21"/>
      <c r="NCF21"/>
      <c r="NCG21"/>
      <c r="NCH21"/>
      <c r="NCI21"/>
      <c r="NCJ21"/>
      <c r="NCK21"/>
      <c r="NCL21"/>
      <c r="NCM21"/>
      <c r="NCN21"/>
      <c r="NCO21"/>
      <c r="NCP21"/>
      <c r="NCQ21"/>
      <c r="NCR21"/>
      <c r="NCS21"/>
      <c r="NCT21"/>
      <c r="NCU21"/>
      <c r="NCV21"/>
      <c r="NCW21"/>
      <c r="NCX21"/>
      <c r="NCY21"/>
      <c r="NCZ21"/>
      <c r="NDA21"/>
      <c r="NDB21"/>
      <c r="NDC21"/>
      <c r="NDD21"/>
      <c r="NDE21"/>
      <c r="NDF21"/>
      <c r="NDG21"/>
      <c r="NDH21"/>
      <c r="NDI21"/>
      <c r="NDJ21"/>
      <c r="NDK21"/>
      <c r="NDL21"/>
      <c r="NDM21"/>
      <c r="NDN21"/>
      <c r="NDO21"/>
      <c r="NDP21"/>
      <c r="NDQ21"/>
      <c r="NDR21"/>
      <c r="NDS21"/>
      <c r="NDT21"/>
      <c r="NDU21"/>
      <c r="NDV21"/>
      <c r="NDW21"/>
      <c r="NDX21"/>
      <c r="NDY21"/>
      <c r="NDZ21"/>
      <c r="NEA21"/>
      <c r="NEB21"/>
      <c r="NEC21"/>
      <c r="NED21"/>
      <c r="NEE21"/>
      <c r="NEF21"/>
      <c r="NEG21"/>
      <c r="NEH21"/>
      <c r="NEI21"/>
      <c r="NEJ21"/>
      <c r="NEK21"/>
      <c r="NEL21"/>
      <c r="NEM21"/>
      <c r="NEN21"/>
      <c r="NEO21"/>
      <c r="NEP21"/>
      <c r="NEQ21"/>
      <c r="NER21"/>
      <c r="NES21"/>
      <c r="NET21"/>
      <c r="NEU21"/>
      <c r="NEV21"/>
      <c r="NEW21"/>
      <c r="NEX21"/>
      <c r="NEY21"/>
      <c r="NEZ21"/>
      <c r="NFA21"/>
      <c r="NFB21"/>
      <c r="NFC21"/>
      <c r="NFD21"/>
      <c r="NFE21"/>
      <c r="NFF21"/>
      <c r="NFG21"/>
      <c r="NFH21"/>
      <c r="NFI21"/>
      <c r="NFJ21"/>
      <c r="NFK21"/>
      <c r="NFL21"/>
      <c r="NFM21"/>
      <c r="NFN21"/>
      <c r="NFO21"/>
      <c r="NFP21"/>
      <c r="NFQ21"/>
      <c r="NFR21"/>
      <c r="NFS21"/>
      <c r="NFT21"/>
      <c r="NFU21"/>
      <c r="NFV21"/>
      <c r="NFW21"/>
      <c r="NFX21"/>
      <c r="NFY21"/>
      <c r="NFZ21"/>
      <c r="NGA21"/>
      <c r="NGB21"/>
      <c r="NGC21"/>
      <c r="NGD21"/>
      <c r="NGE21"/>
      <c r="NGF21"/>
      <c r="NGG21"/>
      <c r="NGH21"/>
      <c r="NGI21"/>
      <c r="NGJ21"/>
      <c r="NGK21"/>
      <c r="NGL21"/>
      <c r="NGM21"/>
      <c r="NGN21"/>
      <c r="NGO21"/>
      <c r="NGP21"/>
      <c r="NGQ21"/>
      <c r="NGR21"/>
      <c r="NGS21"/>
      <c r="NGT21"/>
      <c r="NGU21"/>
      <c r="NGV21"/>
      <c r="NGW21"/>
      <c r="NGX21"/>
      <c r="NGY21"/>
      <c r="NGZ21"/>
      <c r="NHA21"/>
      <c r="NHB21"/>
      <c r="NHC21"/>
      <c r="NHD21"/>
      <c r="NHE21"/>
      <c r="NHF21"/>
      <c r="NHG21"/>
      <c r="NHH21"/>
      <c r="NHI21"/>
      <c r="NHJ21"/>
      <c r="NHK21"/>
      <c r="NHL21"/>
      <c r="NHM21"/>
      <c r="NHN21"/>
      <c r="NHO21"/>
      <c r="NHP21"/>
      <c r="NHQ21"/>
      <c r="NHR21"/>
      <c r="NHS21"/>
      <c r="NHT21"/>
      <c r="NHU21"/>
      <c r="NHV21"/>
      <c r="NHW21"/>
      <c r="NHX21"/>
      <c r="NHY21"/>
      <c r="NHZ21"/>
      <c r="NIA21"/>
      <c r="NIB21"/>
      <c r="NIC21"/>
      <c r="NID21"/>
      <c r="NIE21"/>
      <c r="NIF21"/>
      <c r="NIG21"/>
      <c r="NIH21"/>
      <c r="NII21"/>
      <c r="NIJ21"/>
      <c r="NIK21"/>
      <c r="NIL21"/>
      <c r="NIM21"/>
      <c r="NIN21"/>
      <c r="NIO21"/>
      <c r="NIP21"/>
      <c r="NIQ21"/>
      <c r="NIR21"/>
      <c r="NIS21"/>
      <c r="NIT21"/>
      <c r="NIU21"/>
      <c r="NIV21"/>
      <c r="NIW21"/>
      <c r="NIX21"/>
      <c r="NIY21"/>
      <c r="NIZ21"/>
      <c r="NJA21"/>
      <c r="NJB21"/>
      <c r="NJC21"/>
      <c r="NJD21"/>
      <c r="NJE21"/>
      <c r="NJF21"/>
      <c r="NJG21"/>
      <c r="NJH21"/>
      <c r="NJI21"/>
      <c r="NJJ21"/>
      <c r="NJK21"/>
      <c r="NJL21"/>
      <c r="NJM21"/>
      <c r="NJN21"/>
      <c r="NJO21"/>
      <c r="NJP21"/>
      <c r="NJQ21"/>
      <c r="NJR21"/>
      <c r="NJS21"/>
      <c r="NJT21"/>
      <c r="NJU21"/>
      <c r="NJV21"/>
      <c r="NJW21"/>
      <c r="NJX21"/>
      <c r="NJY21"/>
      <c r="NJZ21"/>
      <c r="NKA21"/>
      <c r="NKB21"/>
      <c r="NKC21"/>
      <c r="NKD21"/>
      <c r="NKE21"/>
      <c r="NKF21"/>
      <c r="NKG21"/>
      <c r="NKH21"/>
      <c r="NKI21"/>
      <c r="NKJ21"/>
      <c r="NKK21"/>
      <c r="NKL21"/>
      <c r="NKM21"/>
      <c r="NKN21"/>
      <c r="NKO21"/>
      <c r="NKP21"/>
      <c r="NKQ21"/>
      <c r="NKR21"/>
      <c r="NKS21"/>
      <c r="NKT21"/>
      <c r="NKU21"/>
      <c r="NKV21"/>
      <c r="NKW21"/>
      <c r="NKX21"/>
      <c r="NKY21"/>
      <c r="NKZ21"/>
      <c r="NLA21"/>
      <c r="NLB21"/>
      <c r="NLC21"/>
      <c r="NLD21"/>
      <c r="NLE21"/>
      <c r="NLF21"/>
      <c r="NLG21"/>
      <c r="NLH21"/>
      <c r="NLI21"/>
      <c r="NLJ21"/>
      <c r="NLK21"/>
      <c r="NLL21"/>
      <c r="NLM21"/>
      <c r="NLN21"/>
      <c r="NLO21"/>
      <c r="NLP21"/>
      <c r="NLQ21"/>
      <c r="NLR21"/>
      <c r="NLS21"/>
      <c r="NLT21"/>
      <c r="NLU21"/>
      <c r="NLV21"/>
      <c r="NLW21"/>
      <c r="NLX21"/>
      <c r="NLY21"/>
      <c r="NLZ21"/>
      <c r="NMA21"/>
      <c r="NMB21"/>
      <c r="NMC21"/>
      <c r="NMD21"/>
      <c r="NME21"/>
      <c r="NMF21"/>
      <c r="NMG21"/>
      <c r="NMH21"/>
      <c r="NMI21"/>
      <c r="NMJ21"/>
      <c r="NMK21"/>
      <c r="NML21"/>
      <c r="NMM21"/>
      <c r="NMN21"/>
      <c r="NMO21"/>
      <c r="NMP21"/>
      <c r="NMQ21"/>
      <c r="NMR21"/>
      <c r="NMS21"/>
      <c r="NMT21"/>
      <c r="NMU21"/>
      <c r="NMV21"/>
      <c r="NMW21"/>
      <c r="NMX21"/>
      <c r="NMY21"/>
      <c r="NMZ21"/>
      <c r="NNA21"/>
      <c r="NNB21"/>
      <c r="NNC21"/>
      <c r="NND21"/>
      <c r="NNE21"/>
      <c r="NNF21"/>
      <c r="NNG21"/>
      <c r="NNH21"/>
      <c r="NNI21"/>
      <c r="NNJ21"/>
      <c r="NNK21"/>
      <c r="NNL21"/>
      <c r="NNM21"/>
      <c r="NNN21"/>
      <c r="NNO21"/>
      <c r="NNP21"/>
      <c r="NNQ21"/>
      <c r="NNR21"/>
      <c r="NNS21"/>
      <c r="NNT21"/>
      <c r="NNU21"/>
      <c r="NNV21"/>
      <c r="NNW21"/>
      <c r="NNX21"/>
      <c r="NNY21"/>
      <c r="NNZ21"/>
      <c r="NOA21"/>
      <c r="NOB21"/>
      <c r="NOC21"/>
      <c r="NOD21"/>
      <c r="NOE21"/>
      <c r="NOF21"/>
      <c r="NOG21"/>
      <c r="NOH21"/>
      <c r="NOI21"/>
      <c r="NOJ21"/>
      <c r="NOK21"/>
      <c r="NOL21"/>
      <c r="NOM21"/>
      <c r="NON21"/>
      <c r="NOO21"/>
      <c r="NOP21"/>
      <c r="NOQ21"/>
      <c r="NOR21"/>
      <c r="NOS21"/>
      <c r="NOT21"/>
      <c r="NOU21"/>
      <c r="NOV21"/>
      <c r="NOW21"/>
      <c r="NOX21"/>
      <c r="NOY21"/>
      <c r="NOZ21"/>
      <c r="NPA21"/>
      <c r="NPB21"/>
      <c r="NPC21"/>
      <c r="NPD21"/>
      <c r="NPE21"/>
      <c r="NPF21"/>
      <c r="NPG21"/>
      <c r="NPH21"/>
      <c r="NPI21"/>
      <c r="NPJ21"/>
      <c r="NPK21"/>
      <c r="NPL21"/>
      <c r="NPM21"/>
      <c r="NPN21"/>
      <c r="NPO21"/>
      <c r="NPP21"/>
      <c r="NPQ21"/>
      <c r="NPR21"/>
      <c r="NPS21"/>
      <c r="NPT21"/>
      <c r="NPU21"/>
      <c r="NPV21"/>
      <c r="NPW21"/>
      <c r="NPX21"/>
      <c r="NPY21"/>
      <c r="NPZ21"/>
      <c r="NQA21"/>
      <c r="NQB21"/>
      <c r="NQC21"/>
      <c r="NQD21"/>
      <c r="NQE21"/>
      <c r="NQF21"/>
      <c r="NQG21"/>
      <c r="NQH21"/>
      <c r="NQI21"/>
      <c r="NQJ21"/>
      <c r="NQK21"/>
      <c r="NQL21"/>
      <c r="NQM21"/>
      <c r="NQN21"/>
      <c r="NQO21"/>
      <c r="NQP21"/>
      <c r="NQQ21"/>
      <c r="NQR21"/>
      <c r="NQS21"/>
      <c r="NQT21"/>
      <c r="NQU21"/>
      <c r="NQV21"/>
      <c r="NQW21"/>
      <c r="NQX21"/>
      <c r="NQY21"/>
      <c r="NQZ21"/>
      <c r="NRA21"/>
      <c r="NRB21"/>
      <c r="NRC21"/>
      <c r="NRD21"/>
      <c r="NRE21"/>
      <c r="NRF21"/>
      <c r="NRG21"/>
      <c r="NRH21"/>
      <c r="NRI21"/>
      <c r="NRJ21"/>
      <c r="NRK21"/>
      <c r="NRL21"/>
      <c r="NRM21"/>
      <c r="NRN21"/>
      <c r="NRO21"/>
      <c r="NRP21"/>
      <c r="NRQ21"/>
      <c r="NRR21"/>
      <c r="NRS21"/>
      <c r="NRT21"/>
      <c r="NRU21"/>
      <c r="NRV21"/>
      <c r="NRW21"/>
      <c r="NRX21"/>
      <c r="NRY21"/>
      <c r="NRZ21"/>
      <c r="NSA21"/>
      <c r="NSB21"/>
      <c r="NSC21"/>
      <c r="NSD21"/>
      <c r="NSE21"/>
      <c r="NSF21"/>
      <c r="NSG21"/>
      <c r="NSH21"/>
      <c r="NSI21"/>
      <c r="NSJ21"/>
      <c r="NSK21"/>
      <c r="NSL21"/>
      <c r="NSM21"/>
      <c r="NSN21"/>
      <c r="NSO21"/>
      <c r="NSP21"/>
      <c r="NSQ21"/>
      <c r="NSR21"/>
      <c r="NSS21"/>
      <c r="NST21"/>
      <c r="NSU21"/>
      <c r="NSV21"/>
      <c r="NSW21"/>
      <c r="NSX21"/>
      <c r="NSY21"/>
      <c r="NSZ21"/>
      <c r="NTA21"/>
      <c r="NTB21"/>
      <c r="NTC21"/>
      <c r="NTD21"/>
      <c r="NTE21"/>
      <c r="NTF21"/>
      <c r="NTG21"/>
      <c r="NTH21"/>
      <c r="NTI21"/>
      <c r="NTJ21"/>
      <c r="NTK21"/>
      <c r="NTL21"/>
      <c r="NTM21"/>
      <c r="NTN21"/>
      <c r="NTO21"/>
      <c r="NTP21"/>
      <c r="NTQ21"/>
      <c r="NTR21"/>
      <c r="NTS21"/>
      <c r="NTT21"/>
      <c r="NTU21"/>
      <c r="NTV21"/>
      <c r="NTW21"/>
      <c r="NTX21"/>
      <c r="NTY21"/>
      <c r="NTZ21"/>
      <c r="NUA21"/>
      <c r="NUB21"/>
      <c r="NUC21"/>
      <c r="NUD21"/>
      <c r="NUE21"/>
      <c r="NUF21"/>
      <c r="NUG21"/>
      <c r="NUH21"/>
      <c r="NUI21"/>
      <c r="NUJ21"/>
      <c r="NUK21"/>
      <c r="NUL21"/>
      <c r="NUM21"/>
      <c r="NUN21"/>
      <c r="NUO21"/>
      <c r="NUP21"/>
      <c r="NUQ21"/>
      <c r="NUR21"/>
      <c r="NUS21"/>
      <c r="NUT21"/>
      <c r="NUU21"/>
      <c r="NUV21"/>
      <c r="NUW21"/>
      <c r="NUX21"/>
      <c r="NUY21"/>
      <c r="NUZ21"/>
      <c r="NVA21"/>
      <c r="NVB21"/>
      <c r="NVC21"/>
      <c r="NVD21"/>
      <c r="NVE21"/>
      <c r="NVF21"/>
      <c r="NVG21"/>
      <c r="NVH21"/>
      <c r="NVI21"/>
      <c r="NVJ21"/>
      <c r="NVK21"/>
      <c r="NVL21"/>
      <c r="NVM21"/>
      <c r="NVN21"/>
      <c r="NVO21"/>
      <c r="NVP21"/>
      <c r="NVQ21"/>
      <c r="NVR21"/>
      <c r="NVS21"/>
      <c r="NVT21"/>
      <c r="NVU21"/>
      <c r="NVV21"/>
      <c r="NVW21"/>
      <c r="NVX21"/>
      <c r="NVY21"/>
      <c r="NVZ21"/>
      <c r="NWA21"/>
      <c r="NWB21"/>
      <c r="NWC21"/>
      <c r="NWD21"/>
      <c r="NWE21"/>
      <c r="NWF21"/>
      <c r="NWG21"/>
      <c r="NWH21"/>
      <c r="NWI21"/>
      <c r="NWJ21"/>
      <c r="NWK21"/>
      <c r="NWL21"/>
      <c r="NWM21"/>
      <c r="NWN21"/>
      <c r="NWO21"/>
      <c r="NWP21"/>
      <c r="NWQ21"/>
      <c r="NWR21"/>
      <c r="NWS21"/>
      <c r="NWT21"/>
      <c r="NWU21"/>
      <c r="NWV21"/>
      <c r="NWW21"/>
      <c r="NWX21"/>
      <c r="NWY21"/>
      <c r="NWZ21"/>
      <c r="NXA21"/>
      <c r="NXB21"/>
      <c r="NXC21"/>
      <c r="NXD21"/>
      <c r="NXE21"/>
      <c r="NXF21"/>
      <c r="NXG21"/>
      <c r="NXH21"/>
      <c r="NXI21"/>
      <c r="NXJ21"/>
      <c r="NXK21"/>
      <c r="NXL21"/>
      <c r="NXM21"/>
      <c r="NXN21"/>
      <c r="NXO21"/>
      <c r="NXP21"/>
      <c r="NXQ21"/>
      <c r="NXR21"/>
      <c r="NXS21"/>
      <c r="NXT21"/>
      <c r="NXU21"/>
      <c r="NXV21"/>
      <c r="NXW21"/>
      <c r="NXX21"/>
      <c r="NXY21"/>
      <c r="NXZ21"/>
      <c r="NYA21"/>
      <c r="NYB21"/>
      <c r="NYC21"/>
      <c r="NYD21"/>
      <c r="NYE21"/>
      <c r="NYF21"/>
      <c r="NYG21"/>
      <c r="NYH21"/>
      <c r="NYI21"/>
      <c r="NYJ21"/>
      <c r="NYK21"/>
      <c r="NYL21"/>
      <c r="NYM21"/>
      <c r="NYN21"/>
      <c r="NYO21"/>
      <c r="NYP21"/>
      <c r="NYQ21"/>
      <c r="NYR21"/>
      <c r="NYS21"/>
      <c r="NYT21"/>
      <c r="NYU21"/>
      <c r="NYV21"/>
      <c r="NYW21"/>
      <c r="NYX21"/>
      <c r="NYY21"/>
      <c r="NYZ21"/>
      <c r="NZA21"/>
      <c r="NZB21"/>
      <c r="NZC21"/>
      <c r="NZD21"/>
      <c r="NZE21"/>
      <c r="NZF21"/>
      <c r="NZG21"/>
      <c r="NZH21"/>
      <c r="NZI21"/>
      <c r="NZJ21"/>
      <c r="NZK21"/>
      <c r="NZL21"/>
      <c r="NZM21"/>
      <c r="NZN21"/>
      <c r="NZO21"/>
      <c r="NZP21"/>
      <c r="NZQ21"/>
      <c r="NZR21"/>
      <c r="NZS21"/>
      <c r="NZT21"/>
      <c r="NZU21"/>
      <c r="NZV21"/>
      <c r="NZW21"/>
      <c r="NZX21"/>
      <c r="NZY21"/>
      <c r="NZZ21"/>
      <c r="OAA21"/>
      <c r="OAB21"/>
      <c r="OAC21"/>
      <c r="OAD21"/>
      <c r="OAE21"/>
      <c r="OAF21"/>
      <c r="OAG21"/>
      <c r="OAH21"/>
      <c r="OAI21"/>
      <c r="OAJ21"/>
      <c r="OAK21"/>
      <c r="OAL21"/>
      <c r="OAM21"/>
      <c r="OAN21"/>
      <c r="OAO21"/>
      <c r="OAP21"/>
      <c r="OAQ21"/>
      <c r="OAR21"/>
      <c r="OAS21"/>
      <c r="OAT21"/>
      <c r="OAU21"/>
      <c r="OAV21"/>
      <c r="OAW21"/>
      <c r="OAX21"/>
      <c r="OAY21"/>
      <c r="OAZ21"/>
      <c r="OBA21"/>
      <c r="OBB21"/>
      <c r="OBC21"/>
      <c r="OBD21"/>
      <c r="OBE21"/>
      <c r="OBF21"/>
      <c r="OBG21"/>
      <c r="OBH21"/>
      <c r="OBI21"/>
      <c r="OBJ21"/>
      <c r="OBK21"/>
      <c r="OBL21"/>
      <c r="OBM21"/>
      <c r="OBN21"/>
      <c r="OBO21"/>
      <c r="OBP21"/>
      <c r="OBQ21"/>
      <c r="OBR21"/>
      <c r="OBS21"/>
      <c r="OBT21"/>
      <c r="OBU21"/>
      <c r="OBV21"/>
      <c r="OBW21"/>
      <c r="OBX21"/>
      <c r="OBY21"/>
      <c r="OBZ21"/>
      <c r="OCA21"/>
      <c r="OCB21"/>
      <c r="OCC21"/>
      <c r="OCD21"/>
      <c r="OCE21"/>
      <c r="OCF21"/>
      <c r="OCG21"/>
      <c r="OCH21"/>
      <c r="OCI21"/>
      <c r="OCJ21"/>
      <c r="OCK21"/>
      <c r="OCL21"/>
      <c r="OCM21"/>
      <c r="OCN21"/>
      <c r="OCO21"/>
      <c r="OCP21"/>
      <c r="OCQ21"/>
      <c r="OCR21"/>
      <c r="OCS21"/>
      <c r="OCT21"/>
      <c r="OCU21"/>
      <c r="OCV21"/>
      <c r="OCW21"/>
      <c r="OCX21"/>
      <c r="OCY21"/>
      <c r="OCZ21"/>
      <c r="ODA21"/>
      <c r="ODB21"/>
      <c r="ODC21"/>
      <c r="ODD21"/>
      <c r="ODE21"/>
      <c r="ODF21"/>
      <c r="ODG21"/>
      <c r="ODH21"/>
      <c r="ODI21"/>
      <c r="ODJ21"/>
      <c r="ODK21"/>
      <c r="ODL21"/>
      <c r="ODM21"/>
      <c r="ODN21"/>
      <c r="ODO21"/>
      <c r="ODP21"/>
      <c r="ODQ21"/>
      <c r="ODR21"/>
      <c r="ODS21"/>
      <c r="ODT21"/>
      <c r="ODU21"/>
      <c r="ODV21"/>
      <c r="ODW21"/>
      <c r="ODX21"/>
      <c r="ODY21"/>
      <c r="ODZ21"/>
      <c r="OEA21"/>
      <c r="OEB21"/>
      <c r="OEC21"/>
      <c r="OED21"/>
      <c r="OEE21"/>
      <c r="OEF21"/>
      <c r="OEG21"/>
      <c r="OEH21"/>
      <c r="OEI21"/>
      <c r="OEJ21"/>
      <c r="OEK21"/>
      <c r="OEL21"/>
      <c r="OEM21"/>
      <c r="OEN21"/>
      <c r="OEO21"/>
      <c r="OEP21"/>
      <c r="OEQ21"/>
      <c r="OER21"/>
      <c r="OES21"/>
      <c r="OET21"/>
      <c r="OEU21"/>
      <c r="OEV21"/>
      <c r="OEW21"/>
      <c r="OEX21"/>
      <c r="OEY21"/>
      <c r="OEZ21"/>
      <c r="OFA21"/>
      <c r="OFB21"/>
      <c r="OFC21"/>
      <c r="OFD21"/>
      <c r="OFE21"/>
      <c r="OFF21"/>
      <c r="OFG21"/>
      <c r="OFH21"/>
      <c r="OFI21"/>
      <c r="OFJ21"/>
      <c r="OFK21"/>
      <c r="OFL21"/>
      <c r="OFM21"/>
      <c r="OFN21"/>
      <c r="OFO21"/>
      <c r="OFP21"/>
      <c r="OFQ21"/>
      <c r="OFR21"/>
      <c r="OFS21"/>
      <c r="OFT21"/>
      <c r="OFU21"/>
      <c r="OFV21"/>
      <c r="OFW21"/>
      <c r="OFX21"/>
      <c r="OFY21"/>
      <c r="OFZ21"/>
      <c r="OGA21"/>
      <c r="OGB21"/>
      <c r="OGC21"/>
      <c r="OGD21"/>
      <c r="OGE21"/>
      <c r="OGF21"/>
      <c r="OGG21"/>
      <c r="OGH21"/>
      <c r="OGI21"/>
      <c r="OGJ21"/>
      <c r="OGK21"/>
      <c r="OGL21"/>
      <c r="OGM21"/>
      <c r="OGN21"/>
      <c r="OGO21"/>
      <c r="OGP21"/>
      <c r="OGQ21"/>
      <c r="OGR21"/>
      <c r="OGS21"/>
      <c r="OGT21"/>
      <c r="OGU21"/>
      <c r="OGV21"/>
      <c r="OGW21"/>
      <c r="OGX21"/>
      <c r="OGY21"/>
      <c r="OGZ21"/>
      <c r="OHA21"/>
      <c r="OHB21"/>
      <c r="OHC21"/>
      <c r="OHD21"/>
      <c r="OHE21"/>
      <c r="OHF21"/>
      <c r="OHG21"/>
      <c r="OHH21"/>
      <c r="OHI21"/>
      <c r="OHJ21"/>
      <c r="OHK21"/>
      <c r="OHL21"/>
      <c r="OHM21"/>
      <c r="OHN21"/>
      <c r="OHO21"/>
      <c r="OHP21"/>
      <c r="OHQ21"/>
      <c r="OHR21"/>
      <c r="OHS21"/>
      <c r="OHT21"/>
      <c r="OHU21"/>
      <c r="OHV21"/>
      <c r="OHW21"/>
      <c r="OHX21"/>
      <c r="OHY21"/>
      <c r="OHZ21"/>
      <c r="OIA21"/>
      <c r="OIB21"/>
      <c r="OIC21"/>
      <c r="OID21"/>
      <c r="OIE21"/>
      <c r="OIF21"/>
      <c r="OIG21"/>
      <c r="OIH21"/>
      <c r="OII21"/>
      <c r="OIJ21"/>
      <c r="OIK21"/>
      <c r="OIL21"/>
      <c r="OIM21"/>
      <c r="OIN21"/>
      <c r="OIO21"/>
      <c r="OIP21"/>
      <c r="OIQ21"/>
      <c r="OIR21"/>
      <c r="OIS21"/>
      <c r="OIT21"/>
      <c r="OIU21"/>
      <c r="OIV21"/>
      <c r="OIW21"/>
      <c r="OIX21"/>
      <c r="OIY21"/>
      <c r="OIZ21"/>
      <c r="OJA21"/>
      <c r="OJB21"/>
      <c r="OJC21"/>
      <c r="OJD21"/>
      <c r="OJE21"/>
      <c r="OJF21"/>
      <c r="OJG21"/>
      <c r="OJH21"/>
      <c r="OJI21"/>
      <c r="OJJ21"/>
      <c r="OJK21"/>
      <c r="OJL21"/>
      <c r="OJM21"/>
      <c r="OJN21"/>
      <c r="OJO21"/>
      <c r="OJP21"/>
      <c r="OJQ21"/>
      <c r="OJR21"/>
      <c r="OJS21"/>
      <c r="OJT21"/>
      <c r="OJU21"/>
      <c r="OJV21"/>
      <c r="OJW21"/>
      <c r="OJX21"/>
      <c r="OJY21"/>
      <c r="OJZ21"/>
      <c r="OKA21"/>
      <c r="OKB21"/>
      <c r="OKC21"/>
      <c r="OKD21"/>
      <c r="OKE21"/>
      <c r="OKF21"/>
      <c r="OKG21"/>
      <c r="OKH21"/>
      <c r="OKI21"/>
      <c r="OKJ21"/>
      <c r="OKK21"/>
      <c r="OKL21"/>
      <c r="OKM21"/>
      <c r="OKN21"/>
      <c r="OKO21"/>
      <c r="OKP21"/>
      <c r="OKQ21"/>
      <c r="OKR21"/>
      <c r="OKS21"/>
      <c r="OKT21"/>
      <c r="OKU21"/>
      <c r="OKV21"/>
      <c r="OKW21"/>
      <c r="OKX21"/>
      <c r="OKY21"/>
      <c r="OKZ21"/>
      <c r="OLA21"/>
      <c r="OLB21"/>
      <c r="OLC21"/>
      <c r="OLD21"/>
      <c r="OLE21"/>
      <c r="OLF21"/>
      <c r="OLG21"/>
      <c r="OLH21"/>
      <c r="OLI21"/>
      <c r="OLJ21"/>
      <c r="OLK21"/>
      <c r="OLL21"/>
      <c r="OLM21"/>
      <c r="OLN21"/>
      <c r="OLO21"/>
      <c r="OLP21"/>
      <c r="OLQ21"/>
      <c r="OLR21"/>
      <c r="OLS21"/>
      <c r="OLT21"/>
      <c r="OLU21"/>
      <c r="OLV21"/>
      <c r="OLW21"/>
      <c r="OLX21"/>
      <c r="OLY21"/>
      <c r="OLZ21"/>
      <c r="OMA21"/>
      <c r="OMB21"/>
      <c r="OMC21"/>
      <c r="OMD21"/>
      <c r="OME21"/>
      <c r="OMF21"/>
      <c r="OMG21"/>
      <c r="OMH21"/>
      <c r="OMI21"/>
      <c r="OMJ21"/>
      <c r="OMK21"/>
      <c r="OML21"/>
      <c r="OMM21"/>
      <c r="OMN21"/>
      <c r="OMO21"/>
      <c r="OMP21"/>
      <c r="OMQ21"/>
      <c r="OMR21"/>
      <c r="OMS21"/>
      <c r="OMT21"/>
      <c r="OMU21"/>
      <c r="OMV21"/>
      <c r="OMW21"/>
      <c r="OMX21"/>
      <c r="OMY21"/>
      <c r="OMZ21"/>
      <c r="ONA21"/>
      <c r="ONB21"/>
      <c r="ONC21"/>
      <c r="OND21"/>
      <c r="ONE21"/>
      <c r="ONF21"/>
      <c r="ONG21"/>
      <c r="ONH21"/>
      <c r="ONI21"/>
      <c r="ONJ21"/>
      <c r="ONK21"/>
      <c r="ONL21"/>
      <c r="ONM21"/>
      <c r="ONN21"/>
      <c r="ONO21"/>
      <c r="ONP21"/>
      <c r="ONQ21"/>
      <c r="ONR21"/>
      <c r="ONS21"/>
      <c r="ONT21"/>
      <c r="ONU21"/>
      <c r="ONV21"/>
      <c r="ONW21"/>
      <c r="ONX21"/>
      <c r="ONY21"/>
      <c r="ONZ21"/>
      <c r="OOA21"/>
      <c r="OOB21"/>
      <c r="OOC21"/>
      <c r="OOD21"/>
      <c r="OOE21"/>
      <c r="OOF21"/>
      <c r="OOG21"/>
      <c r="OOH21"/>
      <c r="OOI21"/>
      <c r="OOJ21"/>
      <c r="OOK21"/>
      <c r="OOL21"/>
      <c r="OOM21"/>
      <c r="OON21"/>
      <c r="OOO21"/>
      <c r="OOP21"/>
      <c r="OOQ21"/>
      <c r="OOR21"/>
      <c r="OOS21"/>
      <c r="OOT21"/>
      <c r="OOU21"/>
      <c r="OOV21"/>
      <c r="OOW21"/>
      <c r="OOX21"/>
      <c r="OOY21"/>
      <c r="OOZ21"/>
      <c r="OPA21"/>
      <c r="OPB21"/>
      <c r="OPC21"/>
      <c r="OPD21"/>
      <c r="OPE21"/>
      <c r="OPF21"/>
      <c r="OPG21"/>
      <c r="OPH21"/>
      <c r="OPI21"/>
      <c r="OPJ21"/>
      <c r="OPK21"/>
      <c r="OPL21"/>
      <c r="OPM21"/>
      <c r="OPN21"/>
      <c r="OPO21"/>
      <c r="OPP21"/>
      <c r="OPQ21"/>
      <c r="OPR21"/>
      <c r="OPS21"/>
      <c r="OPT21"/>
      <c r="OPU21"/>
      <c r="OPV21"/>
      <c r="OPW21"/>
      <c r="OPX21"/>
      <c r="OPY21"/>
      <c r="OPZ21"/>
      <c r="OQA21"/>
      <c r="OQB21"/>
      <c r="OQC21"/>
      <c r="OQD21"/>
      <c r="OQE21"/>
      <c r="OQF21"/>
      <c r="OQG21"/>
      <c r="OQH21"/>
      <c r="OQI21"/>
      <c r="OQJ21"/>
      <c r="OQK21"/>
      <c r="OQL21"/>
      <c r="OQM21"/>
      <c r="OQN21"/>
      <c r="OQO21"/>
      <c r="OQP21"/>
      <c r="OQQ21"/>
      <c r="OQR21"/>
      <c r="OQS21"/>
      <c r="OQT21"/>
      <c r="OQU21"/>
      <c r="OQV21"/>
      <c r="OQW21"/>
      <c r="OQX21"/>
      <c r="OQY21"/>
      <c r="OQZ21"/>
      <c r="ORA21"/>
      <c r="ORB21"/>
      <c r="ORC21"/>
      <c r="ORD21"/>
      <c r="ORE21"/>
      <c r="ORF21"/>
      <c r="ORG21"/>
      <c r="ORH21"/>
      <c r="ORI21"/>
      <c r="ORJ21"/>
      <c r="ORK21"/>
      <c r="ORL21"/>
      <c r="ORM21"/>
      <c r="ORN21"/>
      <c r="ORO21"/>
      <c r="ORP21"/>
      <c r="ORQ21"/>
      <c r="ORR21"/>
      <c r="ORS21"/>
      <c r="ORT21"/>
      <c r="ORU21"/>
      <c r="ORV21"/>
      <c r="ORW21"/>
      <c r="ORX21"/>
      <c r="ORY21"/>
      <c r="ORZ21"/>
      <c r="OSA21"/>
      <c r="OSB21"/>
      <c r="OSC21"/>
      <c r="OSD21"/>
      <c r="OSE21"/>
      <c r="OSF21"/>
      <c r="OSG21"/>
      <c r="OSH21"/>
      <c r="OSI21"/>
      <c r="OSJ21"/>
      <c r="OSK21"/>
      <c r="OSL21"/>
      <c r="OSM21"/>
      <c r="OSN21"/>
      <c r="OSO21"/>
      <c r="OSP21"/>
      <c r="OSQ21"/>
      <c r="OSR21"/>
      <c r="OSS21"/>
      <c r="OST21"/>
      <c r="OSU21"/>
      <c r="OSV21"/>
      <c r="OSW21"/>
      <c r="OSX21"/>
      <c r="OSY21"/>
      <c r="OSZ21"/>
      <c r="OTA21"/>
      <c r="OTB21"/>
      <c r="OTC21"/>
      <c r="OTD21"/>
      <c r="OTE21"/>
      <c r="OTF21"/>
      <c r="OTG21"/>
      <c r="OTH21"/>
      <c r="OTI21"/>
      <c r="OTJ21"/>
      <c r="OTK21"/>
      <c r="OTL21"/>
      <c r="OTM21"/>
      <c r="OTN21"/>
      <c r="OTO21"/>
      <c r="OTP21"/>
      <c r="OTQ21"/>
      <c r="OTR21"/>
      <c r="OTS21"/>
      <c r="OTT21"/>
      <c r="OTU21"/>
      <c r="OTV21"/>
      <c r="OTW21"/>
      <c r="OTX21"/>
      <c r="OTY21"/>
      <c r="OTZ21"/>
      <c r="OUA21"/>
      <c r="OUB21"/>
      <c r="OUC21"/>
      <c r="OUD21"/>
      <c r="OUE21"/>
      <c r="OUF21"/>
      <c r="OUG21"/>
      <c r="OUH21"/>
      <c r="OUI21"/>
      <c r="OUJ21"/>
      <c r="OUK21"/>
      <c r="OUL21"/>
      <c r="OUM21"/>
      <c r="OUN21"/>
      <c r="OUO21"/>
      <c r="OUP21"/>
      <c r="OUQ21"/>
      <c r="OUR21"/>
      <c r="OUS21"/>
      <c r="OUT21"/>
      <c r="OUU21"/>
      <c r="OUV21"/>
      <c r="OUW21"/>
      <c r="OUX21"/>
      <c r="OUY21"/>
      <c r="OUZ21"/>
      <c r="OVA21"/>
      <c r="OVB21"/>
      <c r="OVC21"/>
      <c r="OVD21"/>
      <c r="OVE21"/>
      <c r="OVF21"/>
      <c r="OVG21"/>
      <c r="OVH21"/>
      <c r="OVI21"/>
      <c r="OVJ21"/>
      <c r="OVK21"/>
      <c r="OVL21"/>
      <c r="OVM21"/>
      <c r="OVN21"/>
      <c r="OVO21"/>
      <c r="OVP21"/>
      <c r="OVQ21"/>
      <c r="OVR21"/>
      <c r="OVS21"/>
      <c r="OVT21"/>
      <c r="OVU21"/>
      <c r="OVV21"/>
      <c r="OVW21"/>
      <c r="OVX21"/>
      <c r="OVY21"/>
      <c r="OVZ21"/>
      <c r="OWA21"/>
      <c r="OWB21"/>
      <c r="OWC21"/>
      <c r="OWD21"/>
      <c r="OWE21"/>
      <c r="OWF21"/>
      <c r="OWG21"/>
      <c r="OWH21"/>
      <c r="OWI21"/>
      <c r="OWJ21"/>
      <c r="OWK21"/>
      <c r="OWL21"/>
      <c r="OWM21"/>
      <c r="OWN21"/>
      <c r="OWO21"/>
      <c r="OWP21"/>
      <c r="OWQ21"/>
      <c r="OWR21"/>
      <c r="OWS21"/>
      <c r="OWT21"/>
      <c r="OWU21"/>
      <c r="OWV21"/>
      <c r="OWW21"/>
      <c r="OWX21"/>
      <c r="OWY21"/>
      <c r="OWZ21"/>
      <c r="OXA21"/>
      <c r="OXB21"/>
      <c r="OXC21"/>
      <c r="OXD21"/>
      <c r="OXE21"/>
      <c r="OXF21"/>
      <c r="OXG21"/>
      <c r="OXH21"/>
      <c r="OXI21"/>
      <c r="OXJ21"/>
      <c r="OXK21"/>
      <c r="OXL21"/>
      <c r="OXM21"/>
      <c r="OXN21"/>
      <c r="OXO21"/>
      <c r="OXP21"/>
      <c r="OXQ21"/>
      <c r="OXR21"/>
      <c r="OXS21"/>
      <c r="OXT21"/>
      <c r="OXU21"/>
      <c r="OXV21"/>
      <c r="OXW21"/>
      <c r="OXX21"/>
      <c r="OXY21"/>
      <c r="OXZ21"/>
      <c r="OYA21"/>
      <c r="OYB21"/>
      <c r="OYC21"/>
      <c r="OYD21"/>
      <c r="OYE21"/>
      <c r="OYF21"/>
      <c r="OYG21"/>
      <c r="OYH21"/>
      <c r="OYI21"/>
      <c r="OYJ21"/>
      <c r="OYK21"/>
      <c r="OYL21"/>
      <c r="OYM21"/>
      <c r="OYN21"/>
      <c r="OYO21"/>
      <c r="OYP21"/>
      <c r="OYQ21"/>
      <c r="OYR21"/>
      <c r="OYS21"/>
      <c r="OYT21"/>
      <c r="OYU21"/>
      <c r="OYV21"/>
      <c r="OYW21"/>
      <c r="OYX21"/>
      <c r="OYY21"/>
      <c r="OYZ21"/>
      <c r="OZA21"/>
      <c r="OZB21"/>
      <c r="OZC21"/>
      <c r="OZD21"/>
      <c r="OZE21"/>
      <c r="OZF21"/>
      <c r="OZG21"/>
      <c r="OZH21"/>
      <c r="OZI21"/>
      <c r="OZJ21"/>
      <c r="OZK21"/>
      <c r="OZL21"/>
      <c r="OZM21"/>
      <c r="OZN21"/>
      <c r="OZO21"/>
      <c r="OZP21"/>
      <c r="OZQ21"/>
      <c r="OZR21"/>
      <c r="OZS21"/>
      <c r="OZT21"/>
      <c r="OZU21"/>
      <c r="OZV21"/>
      <c r="OZW21"/>
      <c r="OZX21"/>
      <c r="OZY21"/>
      <c r="OZZ21"/>
      <c r="PAA21"/>
      <c r="PAB21"/>
      <c r="PAC21"/>
      <c r="PAD21"/>
      <c r="PAE21"/>
      <c r="PAF21"/>
      <c r="PAG21"/>
      <c r="PAH21"/>
      <c r="PAI21"/>
      <c r="PAJ21"/>
      <c r="PAK21"/>
      <c r="PAL21"/>
      <c r="PAM21"/>
      <c r="PAN21"/>
      <c r="PAO21"/>
      <c r="PAP21"/>
      <c r="PAQ21"/>
      <c r="PAR21"/>
      <c r="PAS21"/>
      <c r="PAT21"/>
      <c r="PAU21"/>
      <c r="PAV21"/>
      <c r="PAW21"/>
      <c r="PAX21"/>
      <c r="PAY21"/>
      <c r="PAZ21"/>
      <c r="PBA21"/>
      <c r="PBB21"/>
      <c r="PBC21"/>
      <c r="PBD21"/>
      <c r="PBE21"/>
      <c r="PBF21"/>
      <c r="PBG21"/>
      <c r="PBH21"/>
      <c r="PBI21"/>
      <c r="PBJ21"/>
      <c r="PBK21"/>
      <c r="PBL21"/>
      <c r="PBM21"/>
      <c r="PBN21"/>
      <c r="PBO21"/>
      <c r="PBP21"/>
      <c r="PBQ21"/>
      <c r="PBR21"/>
      <c r="PBS21"/>
      <c r="PBT21"/>
      <c r="PBU21"/>
      <c r="PBV21"/>
      <c r="PBW21"/>
      <c r="PBX21"/>
      <c r="PBY21"/>
      <c r="PBZ21"/>
      <c r="PCA21"/>
      <c r="PCB21"/>
      <c r="PCC21"/>
      <c r="PCD21"/>
      <c r="PCE21"/>
      <c r="PCF21"/>
      <c r="PCG21"/>
      <c r="PCH21"/>
      <c r="PCI21"/>
      <c r="PCJ21"/>
      <c r="PCK21"/>
      <c r="PCL21"/>
      <c r="PCM21"/>
      <c r="PCN21"/>
      <c r="PCO21"/>
      <c r="PCP21"/>
      <c r="PCQ21"/>
      <c r="PCR21"/>
      <c r="PCS21"/>
      <c r="PCT21"/>
      <c r="PCU21"/>
      <c r="PCV21"/>
      <c r="PCW21"/>
      <c r="PCX21"/>
      <c r="PCY21"/>
      <c r="PCZ21"/>
      <c r="PDA21"/>
      <c r="PDB21"/>
      <c r="PDC21"/>
      <c r="PDD21"/>
      <c r="PDE21"/>
      <c r="PDF21"/>
      <c r="PDG21"/>
      <c r="PDH21"/>
      <c r="PDI21"/>
      <c r="PDJ21"/>
      <c r="PDK21"/>
      <c r="PDL21"/>
      <c r="PDM21"/>
      <c r="PDN21"/>
      <c r="PDO21"/>
      <c r="PDP21"/>
      <c r="PDQ21"/>
      <c r="PDR21"/>
      <c r="PDS21"/>
      <c r="PDT21"/>
      <c r="PDU21"/>
      <c r="PDV21"/>
      <c r="PDW21"/>
      <c r="PDX21"/>
      <c r="PDY21"/>
      <c r="PDZ21"/>
      <c r="PEA21"/>
      <c r="PEB21"/>
      <c r="PEC21"/>
      <c r="PED21"/>
      <c r="PEE21"/>
      <c r="PEF21"/>
      <c r="PEG21"/>
      <c r="PEH21"/>
      <c r="PEI21"/>
      <c r="PEJ21"/>
      <c r="PEK21"/>
      <c r="PEL21"/>
      <c r="PEM21"/>
      <c r="PEN21"/>
      <c r="PEO21"/>
      <c r="PEP21"/>
      <c r="PEQ21"/>
      <c r="PER21"/>
      <c r="PES21"/>
      <c r="PET21"/>
      <c r="PEU21"/>
      <c r="PEV21"/>
      <c r="PEW21"/>
      <c r="PEX21"/>
      <c r="PEY21"/>
      <c r="PEZ21"/>
      <c r="PFA21"/>
      <c r="PFB21"/>
      <c r="PFC21"/>
      <c r="PFD21"/>
      <c r="PFE21"/>
      <c r="PFF21"/>
      <c r="PFG21"/>
      <c r="PFH21"/>
      <c r="PFI21"/>
      <c r="PFJ21"/>
      <c r="PFK21"/>
      <c r="PFL21"/>
      <c r="PFM21"/>
      <c r="PFN21"/>
      <c r="PFO21"/>
      <c r="PFP21"/>
      <c r="PFQ21"/>
      <c r="PFR21"/>
      <c r="PFS21"/>
      <c r="PFT21"/>
      <c r="PFU21"/>
      <c r="PFV21"/>
      <c r="PFW21"/>
      <c r="PFX21"/>
      <c r="PFY21"/>
      <c r="PFZ21"/>
      <c r="PGA21"/>
      <c r="PGB21"/>
      <c r="PGC21"/>
      <c r="PGD21"/>
      <c r="PGE21"/>
      <c r="PGF21"/>
      <c r="PGG21"/>
      <c r="PGH21"/>
      <c r="PGI21"/>
      <c r="PGJ21"/>
      <c r="PGK21"/>
      <c r="PGL21"/>
      <c r="PGM21"/>
      <c r="PGN21"/>
      <c r="PGO21"/>
      <c r="PGP21"/>
      <c r="PGQ21"/>
      <c r="PGR21"/>
      <c r="PGS21"/>
      <c r="PGT21"/>
      <c r="PGU21"/>
      <c r="PGV21"/>
      <c r="PGW21"/>
      <c r="PGX21"/>
      <c r="PGY21"/>
      <c r="PGZ21"/>
      <c r="PHA21"/>
      <c r="PHB21"/>
      <c r="PHC21"/>
      <c r="PHD21"/>
      <c r="PHE21"/>
      <c r="PHF21"/>
      <c r="PHG21"/>
      <c r="PHH21"/>
      <c r="PHI21"/>
      <c r="PHJ21"/>
      <c r="PHK21"/>
      <c r="PHL21"/>
      <c r="PHM21"/>
      <c r="PHN21"/>
      <c r="PHO21"/>
      <c r="PHP21"/>
      <c r="PHQ21"/>
      <c r="PHR21"/>
      <c r="PHS21"/>
      <c r="PHT21"/>
      <c r="PHU21"/>
      <c r="PHV21"/>
      <c r="PHW21"/>
      <c r="PHX21"/>
      <c r="PHY21"/>
      <c r="PHZ21"/>
      <c r="PIA21"/>
      <c r="PIB21"/>
      <c r="PIC21"/>
      <c r="PID21"/>
      <c r="PIE21"/>
      <c r="PIF21"/>
      <c r="PIG21"/>
      <c r="PIH21"/>
      <c r="PII21"/>
      <c r="PIJ21"/>
      <c r="PIK21"/>
      <c r="PIL21"/>
      <c r="PIM21"/>
      <c r="PIN21"/>
      <c r="PIO21"/>
      <c r="PIP21"/>
      <c r="PIQ21"/>
      <c r="PIR21"/>
      <c r="PIS21"/>
      <c r="PIT21"/>
      <c r="PIU21"/>
      <c r="PIV21"/>
      <c r="PIW21"/>
      <c r="PIX21"/>
      <c r="PIY21"/>
      <c r="PIZ21"/>
      <c r="PJA21"/>
      <c r="PJB21"/>
      <c r="PJC21"/>
      <c r="PJD21"/>
      <c r="PJE21"/>
      <c r="PJF21"/>
      <c r="PJG21"/>
      <c r="PJH21"/>
      <c r="PJI21"/>
      <c r="PJJ21"/>
      <c r="PJK21"/>
      <c r="PJL21"/>
      <c r="PJM21"/>
      <c r="PJN21"/>
      <c r="PJO21"/>
      <c r="PJP21"/>
      <c r="PJQ21"/>
      <c r="PJR21"/>
      <c r="PJS21"/>
      <c r="PJT21"/>
      <c r="PJU21"/>
      <c r="PJV21"/>
      <c r="PJW21"/>
      <c r="PJX21"/>
      <c r="PJY21"/>
      <c r="PJZ21"/>
      <c r="PKA21"/>
      <c r="PKB21"/>
      <c r="PKC21"/>
      <c r="PKD21"/>
      <c r="PKE21"/>
      <c r="PKF21"/>
      <c r="PKG21"/>
      <c r="PKH21"/>
      <c r="PKI21"/>
      <c r="PKJ21"/>
      <c r="PKK21"/>
      <c r="PKL21"/>
      <c r="PKM21"/>
      <c r="PKN21"/>
      <c r="PKO21"/>
      <c r="PKP21"/>
      <c r="PKQ21"/>
      <c r="PKR21"/>
      <c r="PKS21"/>
      <c r="PKT21"/>
      <c r="PKU21"/>
      <c r="PKV21"/>
      <c r="PKW21"/>
      <c r="PKX21"/>
      <c r="PKY21"/>
      <c r="PKZ21"/>
      <c r="PLA21"/>
      <c r="PLB21"/>
      <c r="PLC21"/>
      <c r="PLD21"/>
      <c r="PLE21"/>
      <c r="PLF21"/>
      <c r="PLG21"/>
      <c r="PLH21"/>
      <c r="PLI21"/>
      <c r="PLJ21"/>
      <c r="PLK21"/>
      <c r="PLL21"/>
      <c r="PLM21"/>
      <c r="PLN21"/>
      <c r="PLO21"/>
      <c r="PLP21"/>
      <c r="PLQ21"/>
      <c r="PLR21"/>
      <c r="PLS21"/>
      <c r="PLT21"/>
      <c r="PLU21"/>
      <c r="PLV21"/>
      <c r="PLW21"/>
      <c r="PLX21"/>
      <c r="PLY21"/>
      <c r="PLZ21"/>
      <c r="PMA21"/>
      <c r="PMB21"/>
      <c r="PMC21"/>
      <c r="PMD21"/>
      <c r="PME21"/>
      <c r="PMF21"/>
      <c r="PMG21"/>
      <c r="PMH21"/>
      <c r="PMI21"/>
      <c r="PMJ21"/>
      <c r="PMK21"/>
      <c r="PML21"/>
      <c r="PMM21"/>
      <c r="PMN21"/>
      <c r="PMO21"/>
      <c r="PMP21"/>
      <c r="PMQ21"/>
      <c r="PMR21"/>
      <c r="PMS21"/>
      <c r="PMT21"/>
      <c r="PMU21"/>
      <c r="PMV21"/>
      <c r="PMW21"/>
      <c r="PMX21"/>
      <c r="PMY21"/>
      <c r="PMZ21"/>
      <c r="PNA21"/>
      <c r="PNB21"/>
      <c r="PNC21"/>
      <c r="PND21"/>
      <c r="PNE21"/>
      <c r="PNF21"/>
      <c r="PNG21"/>
      <c r="PNH21"/>
      <c r="PNI21"/>
      <c r="PNJ21"/>
      <c r="PNK21"/>
      <c r="PNL21"/>
      <c r="PNM21"/>
      <c r="PNN21"/>
      <c r="PNO21"/>
      <c r="PNP21"/>
      <c r="PNQ21"/>
      <c r="PNR21"/>
      <c r="PNS21"/>
      <c r="PNT21"/>
      <c r="PNU21"/>
      <c r="PNV21"/>
      <c r="PNW21"/>
      <c r="PNX21"/>
      <c r="PNY21"/>
      <c r="PNZ21"/>
      <c r="POA21"/>
      <c r="POB21"/>
      <c r="POC21"/>
      <c r="POD21"/>
      <c r="POE21"/>
      <c r="POF21"/>
      <c r="POG21"/>
      <c r="POH21"/>
      <c r="POI21"/>
      <c r="POJ21"/>
      <c r="POK21"/>
      <c r="POL21"/>
      <c r="POM21"/>
      <c r="PON21"/>
      <c r="POO21"/>
      <c r="POP21"/>
      <c r="POQ21"/>
      <c r="POR21"/>
      <c r="POS21"/>
      <c r="POT21"/>
      <c r="POU21"/>
      <c r="POV21"/>
      <c r="POW21"/>
      <c r="POX21"/>
      <c r="POY21"/>
      <c r="POZ21"/>
      <c r="PPA21"/>
      <c r="PPB21"/>
      <c r="PPC21"/>
      <c r="PPD21"/>
      <c r="PPE21"/>
      <c r="PPF21"/>
      <c r="PPG21"/>
      <c r="PPH21"/>
      <c r="PPI21"/>
      <c r="PPJ21"/>
      <c r="PPK21"/>
      <c r="PPL21"/>
      <c r="PPM21"/>
      <c r="PPN21"/>
      <c r="PPO21"/>
      <c r="PPP21"/>
      <c r="PPQ21"/>
      <c r="PPR21"/>
      <c r="PPS21"/>
      <c r="PPT21"/>
      <c r="PPU21"/>
      <c r="PPV21"/>
      <c r="PPW21"/>
      <c r="PPX21"/>
      <c r="PPY21"/>
      <c r="PPZ21"/>
      <c r="PQA21"/>
      <c r="PQB21"/>
      <c r="PQC21"/>
      <c r="PQD21"/>
      <c r="PQE21"/>
      <c r="PQF21"/>
      <c r="PQG21"/>
      <c r="PQH21"/>
      <c r="PQI21"/>
      <c r="PQJ21"/>
      <c r="PQK21"/>
      <c r="PQL21"/>
      <c r="PQM21"/>
      <c r="PQN21"/>
      <c r="PQO21"/>
      <c r="PQP21"/>
      <c r="PQQ21"/>
      <c r="PQR21"/>
      <c r="PQS21"/>
      <c r="PQT21"/>
      <c r="PQU21"/>
      <c r="PQV21"/>
      <c r="PQW21"/>
      <c r="PQX21"/>
      <c r="PQY21"/>
      <c r="PQZ21"/>
      <c r="PRA21"/>
      <c r="PRB21"/>
      <c r="PRC21"/>
      <c r="PRD21"/>
      <c r="PRE21"/>
      <c r="PRF21"/>
      <c r="PRG21"/>
      <c r="PRH21"/>
      <c r="PRI21"/>
      <c r="PRJ21"/>
      <c r="PRK21"/>
      <c r="PRL21"/>
      <c r="PRM21"/>
      <c r="PRN21"/>
      <c r="PRO21"/>
      <c r="PRP21"/>
      <c r="PRQ21"/>
      <c r="PRR21"/>
      <c r="PRS21"/>
      <c r="PRT21"/>
      <c r="PRU21"/>
      <c r="PRV21"/>
      <c r="PRW21"/>
      <c r="PRX21"/>
      <c r="PRY21"/>
      <c r="PRZ21"/>
      <c r="PSA21"/>
      <c r="PSB21"/>
      <c r="PSC21"/>
      <c r="PSD21"/>
      <c r="PSE21"/>
      <c r="PSF21"/>
      <c r="PSG21"/>
      <c r="PSH21"/>
      <c r="PSI21"/>
      <c r="PSJ21"/>
      <c r="PSK21"/>
      <c r="PSL21"/>
      <c r="PSM21"/>
      <c r="PSN21"/>
      <c r="PSO21"/>
      <c r="PSP21"/>
      <c r="PSQ21"/>
      <c r="PSR21"/>
      <c r="PSS21"/>
      <c r="PST21"/>
      <c r="PSU21"/>
      <c r="PSV21"/>
      <c r="PSW21"/>
      <c r="PSX21"/>
      <c r="PSY21"/>
      <c r="PSZ21"/>
      <c r="PTA21"/>
      <c r="PTB21"/>
      <c r="PTC21"/>
      <c r="PTD21"/>
      <c r="PTE21"/>
      <c r="PTF21"/>
      <c r="PTG21"/>
      <c r="PTH21"/>
      <c r="PTI21"/>
      <c r="PTJ21"/>
      <c r="PTK21"/>
      <c r="PTL21"/>
      <c r="PTM21"/>
      <c r="PTN21"/>
      <c r="PTO21"/>
      <c r="PTP21"/>
      <c r="PTQ21"/>
      <c r="PTR21"/>
      <c r="PTS21"/>
      <c r="PTT21"/>
      <c r="PTU21"/>
      <c r="PTV21"/>
      <c r="PTW21"/>
      <c r="PTX21"/>
      <c r="PTY21"/>
      <c r="PTZ21"/>
      <c r="PUA21"/>
      <c r="PUB21"/>
      <c r="PUC21"/>
      <c r="PUD21"/>
      <c r="PUE21"/>
      <c r="PUF21"/>
      <c r="PUG21"/>
      <c r="PUH21"/>
      <c r="PUI21"/>
      <c r="PUJ21"/>
      <c r="PUK21"/>
      <c r="PUL21"/>
      <c r="PUM21"/>
      <c r="PUN21"/>
      <c r="PUO21"/>
      <c r="PUP21"/>
      <c r="PUQ21"/>
      <c r="PUR21"/>
      <c r="PUS21"/>
      <c r="PUT21"/>
      <c r="PUU21"/>
      <c r="PUV21"/>
      <c r="PUW21"/>
      <c r="PUX21"/>
      <c r="PUY21"/>
      <c r="PUZ21"/>
      <c r="PVA21"/>
      <c r="PVB21"/>
      <c r="PVC21"/>
      <c r="PVD21"/>
      <c r="PVE21"/>
      <c r="PVF21"/>
      <c r="PVG21"/>
      <c r="PVH21"/>
      <c r="PVI21"/>
      <c r="PVJ21"/>
      <c r="PVK21"/>
      <c r="PVL21"/>
      <c r="PVM21"/>
      <c r="PVN21"/>
      <c r="PVO21"/>
      <c r="PVP21"/>
      <c r="PVQ21"/>
      <c r="PVR21"/>
      <c r="PVS21"/>
      <c r="PVT21"/>
      <c r="PVU21"/>
      <c r="PVV21"/>
      <c r="PVW21"/>
      <c r="PVX21"/>
      <c r="PVY21"/>
      <c r="PVZ21"/>
      <c r="PWA21"/>
      <c r="PWB21"/>
      <c r="PWC21"/>
      <c r="PWD21"/>
      <c r="PWE21"/>
      <c r="PWF21"/>
      <c r="PWG21"/>
      <c r="PWH21"/>
      <c r="PWI21"/>
      <c r="PWJ21"/>
      <c r="PWK21"/>
      <c r="PWL21"/>
      <c r="PWM21"/>
      <c r="PWN21"/>
      <c r="PWO21"/>
      <c r="PWP21"/>
      <c r="PWQ21"/>
      <c r="PWR21"/>
      <c r="PWS21"/>
      <c r="PWT21"/>
      <c r="PWU21"/>
      <c r="PWV21"/>
      <c r="PWW21"/>
      <c r="PWX21"/>
      <c r="PWY21"/>
      <c r="PWZ21"/>
      <c r="PXA21"/>
      <c r="PXB21"/>
      <c r="PXC21"/>
      <c r="PXD21"/>
      <c r="PXE21"/>
      <c r="PXF21"/>
      <c r="PXG21"/>
      <c r="PXH21"/>
      <c r="PXI21"/>
      <c r="PXJ21"/>
      <c r="PXK21"/>
      <c r="PXL21"/>
      <c r="PXM21"/>
      <c r="PXN21"/>
      <c r="PXO21"/>
      <c r="PXP21"/>
      <c r="PXQ21"/>
      <c r="PXR21"/>
      <c r="PXS21"/>
      <c r="PXT21"/>
      <c r="PXU21"/>
      <c r="PXV21"/>
      <c r="PXW21"/>
      <c r="PXX21"/>
      <c r="PXY21"/>
      <c r="PXZ21"/>
      <c r="PYA21"/>
      <c r="PYB21"/>
      <c r="PYC21"/>
      <c r="PYD21"/>
      <c r="PYE21"/>
      <c r="PYF21"/>
      <c r="PYG21"/>
      <c r="PYH21"/>
      <c r="PYI21"/>
      <c r="PYJ21"/>
      <c r="PYK21"/>
      <c r="PYL21"/>
      <c r="PYM21"/>
      <c r="PYN21"/>
      <c r="PYO21"/>
      <c r="PYP21"/>
      <c r="PYQ21"/>
      <c r="PYR21"/>
      <c r="PYS21"/>
      <c r="PYT21"/>
      <c r="PYU21"/>
      <c r="PYV21"/>
      <c r="PYW21"/>
      <c r="PYX21"/>
      <c r="PYY21"/>
      <c r="PYZ21"/>
      <c r="PZA21"/>
      <c r="PZB21"/>
      <c r="PZC21"/>
      <c r="PZD21"/>
      <c r="PZE21"/>
      <c r="PZF21"/>
      <c r="PZG21"/>
      <c r="PZH21"/>
      <c r="PZI21"/>
      <c r="PZJ21"/>
      <c r="PZK21"/>
      <c r="PZL21"/>
      <c r="PZM21"/>
      <c r="PZN21"/>
      <c r="PZO21"/>
      <c r="PZP21"/>
      <c r="PZQ21"/>
      <c r="PZR21"/>
      <c r="PZS21"/>
      <c r="PZT21"/>
      <c r="PZU21"/>
      <c r="PZV21"/>
      <c r="PZW21"/>
      <c r="PZX21"/>
      <c r="PZY21"/>
      <c r="PZZ21"/>
      <c r="QAA21"/>
      <c r="QAB21"/>
      <c r="QAC21"/>
      <c r="QAD21"/>
      <c r="QAE21"/>
      <c r="QAF21"/>
      <c r="QAG21"/>
      <c r="QAH21"/>
      <c r="QAI21"/>
      <c r="QAJ21"/>
      <c r="QAK21"/>
      <c r="QAL21"/>
      <c r="QAM21"/>
      <c r="QAN21"/>
      <c r="QAO21"/>
      <c r="QAP21"/>
      <c r="QAQ21"/>
      <c r="QAR21"/>
      <c r="QAS21"/>
      <c r="QAT21"/>
      <c r="QAU21"/>
      <c r="QAV21"/>
      <c r="QAW21"/>
      <c r="QAX21"/>
      <c r="QAY21"/>
      <c r="QAZ21"/>
      <c r="QBA21"/>
      <c r="QBB21"/>
      <c r="QBC21"/>
      <c r="QBD21"/>
      <c r="QBE21"/>
      <c r="QBF21"/>
      <c r="QBG21"/>
      <c r="QBH21"/>
      <c r="QBI21"/>
      <c r="QBJ21"/>
      <c r="QBK21"/>
      <c r="QBL21"/>
      <c r="QBM21"/>
      <c r="QBN21"/>
      <c r="QBO21"/>
      <c r="QBP21"/>
      <c r="QBQ21"/>
      <c r="QBR21"/>
      <c r="QBS21"/>
      <c r="QBT21"/>
      <c r="QBU21"/>
      <c r="QBV21"/>
      <c r="QBW21"/>
      <c r="QBX21"/>
      <c r="QBY21"/>
      <c r="QBZ21"/>
      <c r="QCA21"/>
      <c r="QCB21"/>
      <c r="QCC21"/>
      <c r="QCD21"/>
      <c r="QCE21"/>
      <c r="QCF21"/>
      <c r="QCG21"/>
      <c r="QCH21"/>
      <c r="QCI21"/>
      <c r="QCJ21"/>
      <c r="QCK21"/>
      <c r="QCL21"/>
      <c r="QCM21"/>
      <c r="QCN21"/>
      <c r="QCO21"/>
      <c r="QCP21"/>
      <c r="QCQ21"/>
      <c r="QCR21"/>
      <c r="QCS21"/>
      <c r="QCT21"/>
      <c r="QCU21"/>
      <c r="QCV21"/>
      <c r="QCW21"/>
      <c r="QCX21"/>
      <c r="QCY21"/>
      <c r="QCZ21"/>
      <c r="QDA21"/>
      <c r="QDB21"/>
      <c r="QDC21"/>
      <c r="QDD21"/>
      <c r="QDE21"/>
      <c r="QDF21"/>
      <c r="QDG21"/>
      <c r="QDH21"/>
      <c r="QDI21"/>
      <c r="QDJ21"/>
      <c r="QDK21"/>
      <c r="QDL21"/>
      <c r="QDM21"/>
      <c r="QDN21"/>
      <c r="QDO21"/>
      <c r="QDP21"/>
      <c r="QDQ21"/>
      <c r="QDR21"/>
      <c r="QDS21"/>
      <c r="QDT21"/>
      <c r="QDU21"/>
      <c r="QDV21"/>
      <c r="QDW21"/>
      <c r="QDX21"/>
      <c r="QDY21"/>
      <c r="QDZ21"/>
      <c r="QEA21"/>
      <c r="QEB21"/>
      <c r="QEC21"/>
      <c r="QED21"/>
      <c r="QEE21"/>
      <c r="QEF21"/>
      <c r="QEG21"/>
      <c r="QEH21"/>
      <c r="QEI21"/>
      <c r="QEJ21"/>
      <c r="QEK21"/>
      <c r="QEL21"/>
      <c r="QEM21"/>
      <c r="QEN21"/>
      <c r="QEO21"/>
      <c r="QEP21"/>
      <c r="QEQ21"/>
      <c r="QER21"/>
      <c r="QES21"/>
      <c r="QET21"/>
      <c r="QEU21"/>
      <c r="QEV21"/>
      <c r="QEW21"/>
      <c r="QEX21"/>
      <c r="QEY21"/>
      <c r="QEZ21"/>
      <c r="QFA21"/>
      <c r="QFB21"/>
      <c r="QFC21"/>
      <c r="QFD21"/>
      <c r="QFE21"/>
      <c r="QFF21"/>
      <c r="QFG21"/>
      <c r="QFH21"/>
      <c r="QFI21"/>
      <c r="QFJ21"/>
      <c r="QFK21"/>
      <c r="QFL21"/>
      <c r="QFM21"/>
      <c r="QFN21"/>
      <c r="QFO21"/>
      <c r="QFP21"/>
      <c r="QFQ21"/>
      <c r="QFR21"/>
      <c r="QFS21"/>
      <c r="QFT21"/>
      <c r="QFU21"/>
      <c r="QFV21"/>
      <c r="QFW21"/>
      <c r="QFX21"/>
      <c r="QFY21"/>
      <c r="QFZ21"/>
      <c r="QGA21"/>
      <c r="QGB21"/>
      <c r="QGC21"/>
      <c r="QGD21"/>
      <c r="QGE21"/>
      <c r="QGF21"/>
      <c r="QGG21"/>
      <c r="QGH21"/>
      <c r="QGI21"/>
      <c r="QGJ21"/>
      <c r="QGK21"/>
      <c r="QGL21"/>
      <c r="QGM21"/>
      <c r="QGN21"/>
      <c r="QGO21"/>
      <c r="QGP21"/>
      <c r="QGQ21"/>
      <c r="QGR21"/>
      <c r="QGS21"/>
      <c r="QGT21"/>
      <c r="QGU21"/>
      <c r="QGV21"/>
      <c r="QGW21"/>
      <c r="QGX21"/>
      <c r="QGY21"/>
      <c r="QGZ21"/>
      <c r="QHA21"/>
      <c r="QHB21"/>
      <c r="QHC21"/>
      <c r="QHD21"/>
      <c r="QHE21"/>
      <c r="QHF21"/>
      <c r="QHG21"/>
      <c r="QHH21"/>
      <c r="QHI21"/>
      <c r="QHJ21"/>
      <c r="QHK21"/>
      <c r="QHL21"/>
      <c r="QHM21"/>
      <c r="QHN21"/>
      <c r="QHO21"/>
      <c r="QHP21"/>
      <c r="QHQ21"/>
      <c r="QHR21"/>
      <c r="QHS21"/>
      <c r="QHT21"/>
      <c r="QHU21"/>
      <c r="QHV21"/>
      <c r="QHW21"/>
      <c r="QHX21"/>
      <c r="QHY21"/>
      <c r="QHZ21"/>
      <c r="QIA21"/>
      <c r="QIB21"/>
      <c r="QIC21"/>
      <c r="QID21"/>
      <c r="QIE21"/>
      <c r="QIF21"/>
      <c r="QIG21"/>
      <c r="QIH21"/>
      <c r="QII21"/>
      <c r="QIJ21"/>
      <c r="QIK21"/>
      <c r="QIL21"/>
      <c r="QIM21"/>
      <c r="QIN21"/>
      <c r="QIO21"/>
      <c r="QIP21"/>
      <c r="QIQ21"/>
      <c r="QIR21"/>
      <c r="QIS21"/>
      <c r="QIT21"/>
      <c r="QIU21"/>
      <c r="QIV21"/>
      <c r="QIW21"/>
      <c r="QIX21"/>
      <c r="QIY21"/>
      <c r="QIZ21"/>
      <c r="QJA21"/>
      <c r="QJB21"/>
      <c r="QJC21"/>
      <c r="QJD21"/>
      <c r="QJE21"/>
      <c r="QJF21"/>
      <c r="QJG21"/>
      <c r="QJH21"/>
      <c r="QJI21"/>
      <c r="QJJ21"/>
      <c r="QJK21"/>
      <c r="QJL21"/>
      <c r="QJM21"/>
      <c r="QJN21"/>
      <c r="QJO21"/>
      <c r="QJP21"/>
      <c r="QJQ21"/>
      <c r="QJR21"/>
      <c r="QJS21"/>
      <c r="QJT21"/>
      <c r="QJU21"/>
      <c r="QJV21"/>
      <c r="QJW21"/>
      <c r="QJX21"/>
      <c r="QJY21"/>
      <c r="QJZ21"/>
      <c r="QKA21"/>
      <c r="QKB21"/>
      <c r="QKC21"/>
      <c r="QKD21"/>
      <c r="QKE21"/>
      <c r="QKF21"/>
      <c r="QKG21"/>
      <c r="QKH21"/>
      <c r="QKI21"/>
      <c r="QKJ21"/>
      <c r="QKK21"/>
      <c r="QKL21"/>
      <c r="QKM21"/>
      <c r="QKN21"/>
      <c r="QKO21"/>
      <c r="QKP21"/>
      <c r="QKQ21"/>
      <c r="QKR21"/>
      <c r="QKS21"/>
      <c r="QKT21"/>
      <c r="QKU21"/>
      <c r="QKV21"/>
      <c r="QKW21"/>
      <c r="QKX21"/>
      <c r="QKY21"/>
      <c r="QKZ21"/>
      <c r="QLA21"/>
      <c r="QLB21"/>
      <c r="QLC21"/>
      <c r="QLD21"/>
      <c r="QLE21"/>
      <c r="QLF21"/>
      <c r="QLG21"/>
      <c r="QLH21"/>
      <c r="QLI21"/>
      <c r="QLJ21"/>
      <c r="QLK21"/>
      <c r="QLL21"/>
      <c r="QLM21"/>
      <c r="QLN21"/>
      <c r="QLO21"/>
      <c r="QLP21"/>
      <c r="QLQ21"/>
      <c r="QLR21"/>
      <c r="QLS21"/>
      <c r="QLT21"/>
      <c r="QLU21"/>
      <c r="QLV21"/>
      <c r="QLW21"/>
      <c r="QLX21"/>
      <c r="QLY21"/>
      <c r="QLZ21"/>
      <c r="QMA21"/>
      <c r="QMB21"/>
      <c r="QMC21"/>
      <c r="QMD21"/>
      <c r="QME21"/>
      <c r="QMF21"/>
      <c r="QMG21"/>
      <c r="QMH21"/>
      <c r="QMI21"/>
      <c r="QMJ21"/>
      <c r="QMK21"/>
      <c r="QML21"/>
      <c r="QMM21"/>
      <c r="QMN21"/>
      <c r="QMO21"/>
      <c r="QMP21"/>
      <c r="QMQ21"/>
      <c r="QMR21"/>
      <c r="QMS21"/>
      <c r="QMT21"/>
      <c r="QMU21"/>
      <c r="QMV21"/>
      <c r="QMW21"/>
      <c r="QMX21"/>
      <c r="QMY21"/>
      <c r="QMZ21"/>
      <c r="QNA21"/>
      <c r="QNB21"/>
      <c r="QNC21"/>
      <c r="QND21"/>
      <c r="QNE21"/>
      <c r="QNF21"/>
      <c r="QNG21"/>
      <c r="QNH21"/>
      <c r="QNI21"/>
      <c r="QNJ21"/>
      <c r="QNK21"/>
      <c r="QNL21"/>
      <c r="QNM21"/>
      <c r="QNN21"/>
      <c r="QNO21"/>
      <c r="QNP21"/>
      <c r="QNQ21"/>
      <c r="QNR21"/>
      <c r="QNS21"/>
      <c r="QNT21"/>
      <c r="QNU21"/>
      <c r="QNV21"/>
      <c r="QNW21"/>
      <c r="QNX21"/>
      <c r="QNY21"/>
      <c r="QNZ21"/>
      <c r="QOA21"/>
      <c r="QOB21"/>
      <c r="QOC21"/>
      <c r="QOD21"/>
      <c r="QOE21"/>
      <c r="QOF21"/>
      <c r="QOG21"/>
      <c r="QOH21"/>
      <c r="QOI21"/>
      <c r="QOJ21"/>
      <c r="QOK21"/>
      <c r="QOL21"/>
      <c r="QOM21"/>
      <c r="QON21"/>
      <c r="QOO21"/>
      <c r="QOP21"/>
      <c r="QOQ21"/>
      <c r="QOR21"/>
      <c r="QOS21"/>
      <c r="QOT21"/>
      <c r="QOU21"/>
      <c r="QOV21"/>
      <c r="QOW21"/>
      <c r="QOX21"/>
      <c r="QOY21"/>
      <c r="QOZ21"/>
      <c r="QPA21"/>
      <c r="QPB21"/>
      <c r="QPC21"/>
      <c r="QPD21"/>
      <c r="QPE21"/>
      <c r="QPF21"/>
      <c r="QPG21"/>
      <c r="QPH21"/>
      <c r="QPI21"/>
      <c r="QPJ21"/>
      <c r="QPK21"/>
      <c r="QPL21"/>
      <c r="QPM21"/>
      <c r="QPN21"/>
      <c r="QPO21"/>
      <c r="QPP21"/>
      <c r="QPQ21"/>
      <c r="QPR21"/>
      <c r="QPS21"/>
      <c r="QPT21"/>
      <c r="QPU21"/>
      <c r="QPV21"/>
      <c r="QPW21"/>
      <c r="QPX21"/>
      <c r="QPY21"/>
      <c r="QPZ21"/>
      <c r="QQA21"/>
      <c r="QQB21"/>
      <c r="QQC21"/>
      <c r="QQD21"/>
      <c r="QQE21"/>
      <c r="QQF21"/>
      <c r="QQG21"/>
      <c r="QQH21"/>
      <c r="QQI21"/>
      <c r="QQJ21"/>
      <c r="QQK21"/>
      <c r="QQL21"/>
      <c r="QQM21"/>
      <c r="QQN21"/>
      <c r="QQO21"/>
      <c r="QQP21"/>
      <c r="QQQ21"/>
      <c r="QQR21"/>
      <c r="QQS21"/>
      <c r="QQT21"/>
      <c r="QQU21"/>
      <c r="QQV21"/>
      <c r="QQW21"/>
      <c r="QQX21"/>
      <c r="QQY21"/>
      <c r="QQZ21"/>
      <c r="QRA21"/>
      <c r="QRB21"/>
      <c r="QRC21"/>
      <c r="QRD21"/>
      <c r="QRE21"/>
      <c r="QRF21"/>
      <c r="QRG21"/>
      <c r="QRH21"/>
      <c r="QRI21"/>
      <c r="QRJ21"/>
      <c r="QRK21"/>
      <c r="QRL21"/>
      <c r="QRM21"/>
      <c r="QRN21"/>
      <c r="QRO21"/>
      <c r="QRP21"/>
      <c r="QRQ21"/>
      <c r="QRR21"/>
      <c r="QRS21"/>
      <c r="QRT21"/>
      <c r="QRU21"/>
      <c r="QRV21"/>
      <c r="QRW21"/>
      <c r="QRX21"/>
      <c r="QRY21"/>
      <c r="QRZ21"/>
      <c r="QSA21"/>
      <c r="QSB21"/>
      <c r="QSC21"/>
      <c r="QSD21"/>
      <c r="QSE21"/>
      <c r="QSF21"/>
      <c r="QSG21"/>
      <c r="QSH21"/>
      <c r="QSI21"/>
      <c r="QSJ21"/>
      <c r="QSK21"/>
      <c r="QSL21"/>
      <c r="QSM21"/>
      <c r="QSN21"/>
      <c r="QSO21"/>
      <c r="QSP21"/>
      <c r="QSQ21"/>
      <c r="QSR21"/>
      <c r="QSS21"/>
      <c r="QST21"/>
      <c r="QSU21"/>
      <c r="QSV21"/>
      <c r="QSW21"/>
      <c r="QSX21"/>
      <c r="QSY21"/>
      <c r="QSZ21"/>
      <c r="QTA21"/>
      <c r="QTB21"/>
      <c r="QTC21"/>
      <c r="QTD21"/>
      <c r="QTE21"/>
      <c r="QTF21"/>
      <c r="QTG21"/>
      <c r="QTH21"/>
      <c r="QTI21"/>
      <c r="QTJ21"/>
      <c r="QTK21"/>
      <c r="QTL21"/>
      <c r="QTM21"/>
      <c r="QTN21"/>
      <c r="QTO21"/>
      <c r="QTP21"/>
      <c r="QTQ21"/>
      <c r="QTR21"/>
      <c r="QTS21"/>
      <c r="QTT21"/>
      <c r="QTU21"/>
      <c r="QTV21"/>
      <c r="QTW21"/>
      <c r="QTX21"/>
      <c r="QTY21"/>
      <c r="QTZ21"/>
      <c r="QUA21"/>
      <c r="QUB21"/>
      <c r="QUC21"/>
      <c r="QUD21"/>
      <c r="QUE21"/>
      <c r="QUF21"/>
      <c r="QUG21"/>
      <c r="QUH21"/>
      <c r="QUI21"/>
      <c r="QUJ21"/>
      <c r="QUK21"/>
      <c r="QUL21"/>
      <c r="QUM21"/>
      <c r="QUN21"/>
      <c r="QUO21"/>
      <c r="QUP21"/>
      <c r="QUQ21"/>
      <c r="QUR21"/>
      <c r="QUS21"/>
      <c r="QUT21"/>
      <c r="QUU21"/>
      <c r="QUV21"/>
      <c r="QUW21"/>
      <c r="QUX21"/>
      <c r="QUY21"/>
      <c r="QUZ21"/>
      <c r="QVA21"/>
      <c r="QVB21"/>
      <c r="QVC21"/>
      <c r="QVD21"/>
      <c r="QVE21"/>
      <c r="QVF21"/>
      <c r="QVG21"/>
      <c r="QVH21"/>
      <c r="QVI21"/>
      <c r="QVJ21"/>
      <c r="QVK21"/>
      <c r="QVL21"/>
      <c r="QVM21"/>
      <c r="QVN21"/>
      <c r="QVO21"/>
      <c r="QVP21"/>
      <c r="QVQ21"/>
      <c r="QVR21"/>
      <c r="QVS21"/>
      <c r="QVT21"/>
      <c r="QVU21"/>
      <c r="QVV21"/>
      <c r="QVW21"/>
      <c r="QVX21"/>
      <c r="QVY21"/>
      <c r="QVZ21"/>
      <c r="QWA21"/>
      <c r="QWB21"/>
      <c r="QWC21"/>
      <c r="QWD21"/>
      <c r="QWE21"/>
      <c r="QWF21"/>
      <c r="QWG21"/>
      <c r="QWH21"/>
      <c r="QWI21"/>
      <c r="QWJ21"/>
      <c r="QWK21"/>
      <c r="QWL21"/>
      <c r="QWM21"/>
      <c r="QWN21"/>
      <c r="QWO21"/>
      <c r="QWP21"/>
      <c r="QWQ21"/>
      <c r="QWR21"/>
      <c r="QWS21"/>
      <c r="QWT21"/>
      <c r="QWU21"/>
      <c r="QWV21"/>
      <c r="QWW21"/>
      <c r="QWX21"/>
      <c r="QWY21"/>
      <c r="QWZ21"/>
      <c r="QXA21"/>
      <c r="QXB21"/>
      <c r="QXC21"/>
      <c r="QXD21"/>
      <c r="QXE21"/>
      <c r="QXF21"/>
      <c r="QXG21"/>
      <c r="QXH21"/>
      <c r="QXI21"/>
      <c r="QXJ21"/>
      <c r="QXK21"/>
      <c r="QXL21"/>
      <c r="QXM21"/>
      <c r="QXN21"/>
      <c r="QXO21"/>
      <c r="QXP21"/>
      <c r="QXQ21"/>
      <c r="QXR21"/>
      <c r="QXS21"/>
      <c r="QXT21"/>
      <c r="QXU21"/>
      <c r="QXV21"/>
      <c r="QXW21"/>
      <c r="QXX21"/>
      <c r="QXY21"/>
      <c r="QXZ21"/>
      <c r="QYA21"/>
      <c r="QYB21"/>
      <c r="QYC21"/>
      <c r="QYD21"/>
      <c r="QYE21"/>
      <c r="QYF21"/>
      <c r="QYG21"/>
      <c r="QYH21"/>
      <c r="QYI21"/>
      <c r="QYJ21"/>
      <c r="QYK21"/>
      <c r="QYL21"/>
      <c r="QYM21"/>
      <c r="QYN21"/>
      <c r="QYO21"/>
      <c r="QYP21"/>
      <c r="QYQ21"/>
      <c r="QYR21"/>
      <c r="QYS21"/>
      <c r="QYT21"/>
      <c r="QYU21"/>
      <c r="QYV21"/>
      <c r="QYW21"/>
      <c r="QYX21"/>
      <c r="QYY21"/>
      <c r="QYZ21"/>
      <c r="QZA21"/>
      <c r="QZB21"/>
      <c r="QZC21"/>
      <c r="QZD21"/>
      <c r="QZE21"/>
      <c r="QZF21"/>
      <c r="QZG21"/>
      <c r="QZH21"/>
      <c r="QZI21"/>
      <c r="QZJ21"/>
      <c r="QZK21"/>
      <c r="QZL21"/>
      <c r="QZM21"/>
      <c r="QZN21"/>
      <c r="QZO21"/>
      <c r="QZP21"/>
      <c r="QZQ21"/>
      <c r="QZR21"/>
      <c r="QZS21"/>
      <c r="QZT21"/>
      <c r="QZU21"/>
      <c r="QZV21"/>
      <c r="QZW21"/>
      <c r="QZX21"/>
      <c r="QZY21"/>
      <c r="QZZ21"/>
      <c r="RAA21"/>
      <c r="RAB21"/>
      <c r="RAC21"/>
      <c r="RAD21"/>
      <c r="RAE21"/>
      <c r="RAF21"/>
      <c r="RAG21"/>
      <c r="RAH21"/>
      <c r="RAI21"/>
      <c r="RAJ21"/>
      <c r="RAK21"/>
      <c r="RAL21"/>
      <c r="RAM21"/>
      <c r="RAN21"/>
      <c r="RAO21"/>
      <c r="RAP21"/>
      <c r="RAQ21"/>
      <c r="RAR21"/>
      <c r="RAS21"/>
      <c r="RAT21"/>
      <c r="RAU21"/>
      <c r="RAV21"/>
      <c r="RAW21"/>
      <c r="RAX21"/>
      <c r="RAY21"/>
      <c r="RAZ21"/>
      <c r="RBA21"/>
      <c r="RBB21"/>
      <c r="RBC21"/>
      <c r="RBD21"/>
      <c r="RBE21"/>
      <c r="RBF21"/>
      <c r="RBG21"/>
      <c r="RBH21"/>
      <c r="RBI21"/>
      <c r="RBJ21"/>
      <c r="RBK21"/>
      <c r="RBL21"/>
      <c r="RBM21"/>
      <c r="RBN21"/>
      <c r="RBO21"/>
      <c r="RBP21"/>
      <c r="RBQ21"/>
      <c r="RBR21"/>
      <c r="RBS21"/>
      <c r="RBT21"/>
      <c r="RBU21"/>
      <c r="RBV21"/>
      <c r="RBW21"/>
      <c r="RBX21"/>
      <c r="RBY21"/>
      <c r="RBZ21"/>
      <c r="RCA21"/>
      <c r="RCB21"/>
      <c r="RCC21"/>
      <c r="RCD21"/>
      <c r="RCE21"/>
      <c r="RCF21"/>
      <c r="RCG21"/>
      <c r="RCH21"/>
      <c r="RCI21"/>
      <c r="RCJ21"/>
      <c r="RCK21"/>
      <c r="RCL21"/>
      <c r="RCM21"/>
      <c r="RCN21"/>
      <c r="RCO21"/>
      <c r="RCP21"/>
      <c r="RCQ21"/>
      <c r="RCR21"/>
      <c r="RCS21"/>
      <c r="RCT21"/>
      <c r="RCU21"/>
      <c r="RCV21"/>
      <c r="RCW21"/>
      <c r="RCX21"/>
      <c r="RCY21"/>
      <c r="RCZ21"/>
      <c r="RDA21"/>
      <c r="RDB21"/>
      <c r="RDC21"/>
      <c r="RDD21"/>
      <c r="RDE21"/>
      <c r="RDF21"/>
      <c r="RDG21"/>
      <c r="RDH21"/>
      <c r="RDI21"/>
      <c r="RDJ21"/>
      <c r="RDK21"/>
      <c r="RDL21"/>
      <c r="RDM21"/>
      <c r="RDN21"/>
      <c r="RDO21"/>
      <c r="RDP21"/>
      <c r="RDQ21"/>
      <c r="RDR21"/>
      <c r="RDS21"/>
      <c r="RDT21"/>
      <c r="RDU21"/>
      <c r="RDV21"/>
      <c r="RDW21"/>
      <c r="RDX21"/>
      <c r="RDY21"/>
      <c r="RDZ21"/>
      <c r="REA21"/>
      <c r="REB21"/>
      <c r="REC21"/>
      <c r="RED21"/>
      <c r="REE21"/>
      <c r="REF21"/>
      <c r="REG21"/>
      <c r="REH21"/>
      <c r="REI21"/>
      <c r="REJ21"/>
      <c r="REK21"/>
      <c r="REL21"/>
      <c r="REM21"/>
      <c r="REN21"/>
      <c r="REO21"/>
      <c r="REP21"/>
      <c r="REQ21"/>
      <c r="RER21"/>
      <c r="RES21"/>
      <c r="RET21"/>
      <c r="REU21"/>
      <c r="REV21"/>
      <c r="REW21"/>
      <c r="REX21"/>
      <c r="REY21"/>
      <c r="REZ21"/>
      <c r="RFA21"/>
      <c r="RFB21"/>
      <c r="RFC21"/>
      <c r="RFD21"/>
      <c r="RFE21"/>
      <c r="RFF21"/>
      <c r="RFG21"/>
      <c r="RFH21"/>
      <c r="RFI21"/>
      <c r="RFJ21"/>
      <c r="RFK21"/>
      <c r="RFL21"/>
      <c r="RFM21"/>
      <c r="RFN21"/>
      <c r="RFO21"/>
      <c r="RFP21"/>
      <c r="RFQ21"/>
      <c r="RFR21"/>
      <c r="RFS21"/>
      <c r="RFT21"/>
      <c r="RFU21"/>
      <c r="RFV21"/>
      <c r="RFW21"/>
      <c r="RFX21"/>
      <c r="RFY21"/>
      <c r="RFZ21"/>
      <c r="RGA21"/>
      <c r="RGB21"/>
      <c r="RGC21"/>
      <c r="RGD21"/>
      <c r="RGE21"/>
      <c r="RGF21"/>
      <c r="RGG21"/>
      <c r="RGH21"/>
      <c r="RGI21"/>
      <c r="RGJ21"/>
      <c r="RGK21"/>
      <c r="RGL21"/>
      <c r="RGM21"/>
      <c r="RGN21"/>
      <c r="RGO21"/>
      <c r="RGP21"/>
      <c r="RGQ21"/>
      <c r="RGR21"/>
      <c r="RGS21"/>
      <c r="RGT21"/>
      <c r="RGU21"/>
      <c r="RGV21"/>
      <c r="RGW21"/>
      <c r="RGX21"/>
      <c r="RGY21"/>
      <c r="RGZ21"/>
      <c r="RHA21"/>
      <c r="RHB21"/>
      <c r="RHC21"/>
      <c r="RHD21"/>
      <c r="RHE21"/>
      <c r="RHF21"/>
      <c r="RHG21"/>
      <c r="RHH21"/>
      <c r="RHI21"/>
      <c r="RHJ21"/>
      <c r="RHK21"/>
      <c r="RHL21"/>
      <c r="RHM21"/>
      <c r="RHN21"/>
      <c r="RHO21"/>
      <c r="RHP21"/>
      <c r="RHQ21"/>
      <c r="RHR21"/>
      <c r="RHS21"/>
      <c r="RHT21"/>
      <c r="RHU21"/>
      <c r="RHV21"/>
      <c r="RHW21"/>
      <c r="RHX21"/>
      <c r="RHY21"/>
      <c r="RHZ21"/>
      <c r="RIA21"/>
      <c r="RIB21"/>
      <c r="RIC21"/>
      <c r="RID21"/>
      <c r="RIE21"/>
      <c r="RIF21"/>
      <c r="RIG21"/>
      <c r="RIH21"/>
      <c r="RII21"/>
      <c r="RIJ21"/>
      <c r="RIK21"/>
      <c r="RIL21"/>
      <c r="RIM21"/>
      <c r="RIN21"/>
      <c r="RIO21"/>
      <c r="RIP21"/>
      <c r="RIQ21"/>
      <c r="RIR21"/>
      <c r="RIS21"/>
      <c r="RIT21"/>
      <c r="RIU21"/>
      <c r="RIV21"/>
      <c r="RIW21"/>
      <c r="RIX21"/>
      <c r="RIY21"/>
      <c r="RIZ21"/>
      <c r="RJA21"/>
      <c r="RJB21"/>
      <c r="RJC21"/>
      <c r="RJD21"/>
      <c r="RJE21"/>
      <c r="RJF21"/>
      <c r="RJG21"/>
      <c r="RJH21"/>
      <c r="RJI21"/>
      <c r="RJJ21"/>
      <c r="RJK21"/>
      <c r="RJL21"/>
      <c r="RJM21"/>
      <c r="RJN21"/>
      <c r="RJO21"/>
      <c r="RJP21"/>
      <c r="RJQ21"/>
      <c r="RJR21"/>
      <c r="RJS21"/>
      <c r="RJT21"/>
      <c r="RJU21"/>
      <c r="RJV21"/>
      <c r="RJW21"/>
      <c r="RJX21"/>
      <c r="RJY21"/>
      <c r="RJZ21"/>
      <c r="RKA21"/>
      <c r="RKB21"/>
      <c r="RKC21"/>
      <c r="RKD21"/>
      <c r="RKE21"/>
      <c r="RKF21"/>
      <c r="RKG21"/>
      <c r="RKH21"/>
      <c r="RKI21"/>
      <c r="RKJ21"/>
      <c r="RKK21"/>
      <c r="RKL21"/>
      <c r="RKM21"/>
      <c r="RKN21"/>
      <c r="RKO21"/>
      <c r="RKP21"/>
      <c r="RKQ21"/>
      <c r="RKR21"/>
      <c r="RKS21"/>
      <c r="RKT21"/>
      <c r="RKU21"/>
      <c r="RKV21"/>
      <c r="RKW21"/>
      <c r="RKX21"/>
      <c r="RKY21"/>
      <c r="RKZ21"/>
      <c r="RLA21"/>
      <c r="RLB21"/>
      <c r="RLC21"/>
      <c r="RLD21"/>
      <c r="RLE21"/>
      <c r="RLF21"/>
      <c r="RLG21"/>
      <c r="RLH21"/>
      <c r="RLI21"/>
      <c r="RLJ21"/>
      <c r="RLK21"/>
      <c r="RLL21"/>
      <c r="RLM21"/>
      <c r="RLN21"/>
      <c r="RLO21"/>
      <c r="RLP21"/>
      <c r="RLQ21"/>
      <c r="RLR21"/>
      <c r="RLS21"/>
      <c r="RLT21"/>
      <c r="RLU21"/>
      <c r="RLV21"/>
      <c r="RLW21"/>
      <c r="RLX21"/>
      <c r="RLY21"/>
      <c r="RLZ21"/>
      <c r="RMA21"/>
      <c r="RMB21"/>
      <c r="RMC21"/>
      <c r="RMD21"/>
      <c r="RME21"/>
      <c r="RMF21"/>
      <c r="RMG21"/>
      <c r="RMH21"/>
      <c r="RMI21"/>
      <c r="RMJ21"/>
      <c r="RMK21"/>
      <c r="RML21"/>
      <c r="RMM21"/>
      <c r="RMN21"/>
      <c r="RMO21"/>
      <c r="RMP21"/>
      <c r="RMQ21"/>
      <c r="RMR21"/>
      <c r="RMS21"/>
      <c r="RMT21"/>
      <c r="RMU21"/>
      <c r="RMV21"/>
      <c r="RMW21"/>
      <c r="RMX21"/>
      <c r="RMY21"/>
      <c r="RMZ21"/>
      <c r="RNA21"/>
      <c r="RNB21"/>
      <c r="RNC21"/>
      <c r="RND21"/>
      <c r="RNE21"/>
      <c r="RNF21"/>
      <c r="RNG21"/>
      <c r="RNH21"/>
      <c r="RNI21"/>
      <c r="RNJ21"/>
      <c r="RNK21"/>
      <c r="RNL21"/>
      <c r="RNM21"/>
      <c r="RNN21"/>
      <c r="RNO21"/>
      <c r="RNP21"/>
      <c r="RNQ21"/>
      <c r="RNR21"/>
      <c r="RNS21"/>
      <c r="RNT21"/>
      <c r="RNU21"/>
      <c r="RNV21"/>
      <c r="RNW21"/>
      <c r="RNX21"/>
      <c r="RNY21"/>
      <c r="RNZ21"/>
      <c r="ROA21"/>
      <c r="ROB21"/>
      <c r="ROC21"/>
      <c r="ROD21"/>
      <c r="ROE21"/>
      <c r="ROF21"/>
      <c r="ROG21"/>
      <c r="ROH21"/>
      <c r="ROI21"/>
      <c r="ROJ21"/>
      <c r="ROK21"/>
      <c r="ROL21"/>
      <c r="ROM21"/>
      <c r="RON21"/>
      <c r="ROO21"/>
      <c r="ROP21"/>
      <c r="ROQ21"/>
      <c r="ROR21"/>
      <c r="ROS21"/>
      <c r="ROT21"/>
      <c r="ROU21"/>
      <c r="ROV21"/>
      <c r="ROW21"/>
      <c r="ROX21"/>
      <c r="ROY21"/>
      <c r="ROZ21"/>
      <c r="RPA21"/>
      <c r="RPB21"/>
      <c r="RPC21"/>
      <c r="RPD21"/>
      <c r="RPE21"/>
      <c r="RPF21"/>
      <c r="RPG21"/>
      <c r="RPH21"/>
      <c r="RPI21"/>
      <c r="RPJ21"/>
      <c r="RPK21"/>
      <c r="RPL21"/>
      <c r="RPM21"/>
      <c r="RPN21"/>
      <c r="RPO21"/>
      <c r="RPP21"/>
      <c r="RPQ21"/>
      <c r="RPR21"/>
      <c r="RPS21"/>
      <c r="RPT21"/>
      <c r="RPU21"/>
      <c r="RPV21"/>
      <c r="RPW21"/>
      <c r="RPX21"/>
      <c r="RPY21"/>
      <c r="RPZ21"/>
      <c r="RQA21"/>
      <c r="RQB21"/>
      <c r="RQC21"/>
      <c r="RQD21"/>
      <c r="RQE21"/>
      <c r="RQF21"/>
      <c r="RQG21"/>
      <c r="RQH21"/>
      <c r="RQI21"/>
      <c r="RQJ21"/>
      <c r="RQK21"/>
      <c r="RQL21"/>
      <c r="RQM21"/>
      <c r="RQN21"/>
      <c r="RQO21"/>
      <c r="RQP21"/>
      <c r="RQQ21"/>
      <c r="RQR21"/>
      <c r="RQS21"/>
      <c r="RQT21"/>
      <c r="RQU21"/>
      <c r="RQV21"/>
      <c r="RQW21"/>
      <c r="RQX21"/>
      <c r="RQY21"/>
      <c r="RQZ21"/>
      <c r="RRA21"/>
      <c r="RRB21"/>
      <c r="RRC21"/>
      <c r="RRD21"/>
      <c r="RRE21"/>
      <c r="RRF21"/>
      <c r="RRG21"/>
      <c r="RRH21"/>
      <c r="RRI21"/>
      <c r="RRJ21"/>
      <c r="RRK21"/>
      <c r="RRL21"/>
      <c r="RRM21"/>
      <c r="RRN21"/>
      <c r="RRO21"/>
      <c r="RRP21"/>
      <c r="RRQ21"/>
      <c r="RRR21"/>
      <c r="RRS21"/>
      <c r="RRT21"/>
      <c r="RRU21"/>
      <c r="RRV21"/>
      <c r="RRW21"/>
      <c r="RRX21"/>
      <c r="RRY21"/>
      <c r="RRZ21"/>
      <c r="RSA21"/>
      <c r="RSB21"/>
      <c r="RSC21"/>
      <c r="RSD21"/>
      <c r="RSE21"/>
      <c r="RSF21"/>
      <c r="RSG21"/>
      <c r="RSH21"/>
      <c r="RSI21"/>
      <c r="RSJ21"/>
      <c r="RSK21"/>
      <c r="RSL21"/>
      <c r="RSM21"/>
      <c r="RSN21"/>
      <c r="RSO21"/>
      <c r="RSP21"/>
      <c r="RSQ21"/>
      <c r="RSR21"/>
      <c r="RSS21"/>
      <c r="RST21"/>
      <c r="RSU21"/>
      <c r="RSV21"/>
      <c r="RSW21"/>
      <c r="RSX21"/>
      <c r="RSY21"/>
      <c r="RSZ21"/>
      <c r="RTA21"/>
      <c r="RTB21"/>
      <c r="RTC21"/>
      <c r="RTD21"/>
      <c r="RTE21"/>
      <c r="RTF21"/>
      <c r="RTG21"/>
      <c r="RTH21"/>
      <c r="RTI21"/>
      <c r="RTJ21"/>
      <c r="RTK21"/>
      <c r="RTL21"/>
      <c r="RTM21"/>
      <c r="RTN21"/>
      <c r="RTO21"/>
      <c r="RTP21"/>
      <c r="RTQ21"/>
      <c r="RTR21"/>
      <c r="RTS21"/>
      <c r="RTT21"/>
      <c r="RTU21"/>
      <c r="RTV21"/>
      <c r="RTW21"/>
      <c r="RTX21"/>
      <c r="RTY21"/>
      <c r="RTZ21"/>
      <c r="RUA21"/>
      <c r="RUB21"/>
      <c r="RUC21"/>
      <c r="RUD21"/>
      <c r="RUE21"/>
      <c r="RUF21"/>
      <c r="RUG21"/>
      <c r="RUH21"/>
      <c r="RUI21"/>
      <c r="RUJ21"/>
      <c r="RUK21"/>
      <c r="RUL21"/>
      <c r="RUM21"/>
      <c r="RUN21"/>
      <c r="RUO21"/>
      <c r="RUP21"/>
      <c r="RUQ21"/>
      <c r="RUR21"/>
      <c r="RUS21"/>
      <c r="RUT21"/>
      <c r="RUU21"/>
      <c r="RUV21"/>
      <c r="RUW21"/>
      <c r="RUX21"/>
      <c r="RUY21"/>
      <c r="RUZ21"/>
      <c r="RVA21"/>
      <c r="RVB21"/>
      <c r="RVC21"/>
      <c r="RVD21"/>
      <c r="RVE21"/>
      <c r="RVF21"/>
      <c r="RVG21"/>
      <c r="RVH21"/>
      <c r="RVI21"/>
      <c r="RVJ21"/>
      <c r="RVK21"/>
      <c r="RVL21"/>
      <c r="RVM21"/>
      <c r="RVN21"/>
      <c r="RVO21"/>
      <c r="RVP21"/>
      <c r="RVQ21"/>
      <c r="RVR21"/>
      <c r="RVS21"/>
      <c r="RVT21"/>
      <c r="RVU21"/>
      <c r="RVV21"/>
      <c r="RVW21"/>
      <c r="RVX21"/>
      <c r="RVY21"/>
      <c r="RVZ21"/>
      <c r="RWA21"/>
      <c r="RWB21"/>
      <c r="RWC21"/>
      <c r="RWD21"/>
      <c r="RWE21"/>
      <c r="RWF21"/>
      <c r="RWG21"/>
      <c r="RWH21"/>
      <c r="RWI21"/>
      <c r="RWJ21"/>
      <c r="RWK21"/>
      <c r="RWL21"/>
      <c r="RWM21"/>
      <c r="RWN21"/>
      <c r="RWO21"/>
      <c r="RWP21"/>
      <c r="RWQ21"/>
      <c r="RWR21"/>
      <c r="RWS21"/>
      <c r="RWT21"/>
      <c r="RWU21"/>
      <c r="RWV21"/>
      <c r="RWW21"/>
      <c r="RWX21"/>
      <c r="RWY21"/>
      <c r="RWZ21"/>
      <c r="RXA21"/>
      <c r="RXB21"/>
      <c r="RXC21"/>
      <c r="RXD21"/>
      <c r="RXE21"/>
      <c r="RXF21"/>
      <c r="RXG21"/>
      <c r="RXH21"/>
      <c r="RXI21"/>
      <c r="RXJ21"/>
      <c r="RXK21"/>
      <c r="RXL21"/>
      <c r="RXM21"/>
      <c r="RXN21"/>
      <c r="RXO21"/>
      <c r="RXP21"/>
      <c r="RXQ21"/>
      <c r="RXR21"/>
      <c r="RXS21"/>
      <c r="RXT21"/>
      <c r="RXU21"/>
      <c r="RXV21"/>
      <c r="RXW21"/>
      <c r="RXX21"/>
      <c r="RXY21"/>
      <c r="RXZ21"/>
      <c r="RYA21"/>
      <c r="RYB21"/>
      <c r="RYC21"/>
      <c r="RYD21"/>
      <c r="RYE21"/>
      <c r="RYF21"/>
      <c r="RYG21"/>
      <c r="RYH21"/>
      <c r="RYI21"/>
      <c r="RYJ21"/>
      <c r="RYK21"/>
      <c r="RYL21"/>
      <c r="RYM21"/>
      <c r="RYN21"/>
      <c r="RYO21"/>
      <c r="RYP21"/>
      <c r="RYQ21"/>
      <c r="RYR21"/>
      <c r="RYS21"/>
      <c r="RYT21"/>
      <c r="RYU21"/>
      <c r="RYV21"/>
      <c r="RYW21"/>
      <c r="RYX21"/>
      <c r="RYY21"/>
      <c r="RYZ21"/>
      <c r="RZA21"/>
      <c r="RZB21"/>
      <c r="RZC21"/>
      <c r="RZD21"/>
      <c r="RZE21"/>
      <c r="RZF21"/>
      <c r="RZG21"/>
      <c r="RZH21"/>
      <c r="RZI21"/>
      <c r="RZJ21"/>
      <c r="RZK21"/>
      <c r="RZL21"/>
      <c r="RZM21"/>
      <c r="RZN21"/>
      <c r="RZO21"/>
      <c r="RZP21"/>
      <c r="RZQ21"/>
      <c r="RZR21"/>
      <c r="RZS21"/>
      <c r="RZT21"/>
      <c r="RZU21"/>
      <c r="RZV21"/>
      <c r="RZW21"/>
      <c r="RZX21"/>
      <c r="RZY21"/>
      <c r="RZZ21"/>
      <c r="SAA21"/>
      <c r="SAB21"/>
      <c r="SAC21"/>
      <c r="SAD21"/>
      <c r="SAE21"/>
      <c r="SAF21"/>
      <c r="SAG21"/>
      <c r="SAH21"/>
      <c r="SAI21"/>
      <c r="SAJ21"/>
      <c r="SAK21"/>
      <c r="SAL21"/>
      <c r="SAM21"/>
      <c r="SAN21"/>
      <c r="SAO21"/>
      <c r="SAP21"/>
      <c r="SAQ21"/>
      <c r="SAR21"/>
      <c r="SAS21"/>
      <c r="SAT21"/>
      <c r="SAU21"/>
      <c r="SAV21"/>
      <c r="SAW21"/>
      <c r="SAX21"/>
      <c r="SAY21"/>
      <c r="SAZ21"/>
      <c r="SBA21"/>
      <c r="SBB21"/>
      <c r="SBC21"/>
      <c r="SBD21"/>
      <c r="SBE21"/>
      <c r="SBF21"/>
      <c r="SBG21"/>
      <c r="SBH21"/>
      <c r="SBI21"/>
      <c r="SBJ21"/>
      <c r="SBK21"/>
      <c r="SBL21"/>
      <c r="SBM21"/>
      <c r="SBN21"/>
      <c r="SBO21"/>
      <c r="SBP21"/>
      <c r="SBQ21"/>
      <c r="SBR21"/>
      <c r="SBS21"/>
      <c r="SBT21"/>
      <c r="SBU21"/>
      <c r="SBV21"/>
      <c r="SBW21"/>
      <c r="SBX21"/>
      <c r="SBY21"/>
      <c r="SBZ21"/>
      <c r="SCA21"/>
      <c r="SCB21"/>
      <c r="SCC21"/>
      <c r="SCD21"/>
      <c r="SCE21"/>
      <c r="SCF21"/>
      <c r="SCG21"/>
      <c r="SCH21"/>
      <c r="SCI21"/>
      <c r="SCJ21"/>
      <c r="SCK21"/>
      <c r="SCL21"/>
      <c r="SCM21"/>
      <c r="SCN21"/>
      <c r="SCO21"/>
      <c r="SCP21"/>
      <c r="SCQ21"/>
      <c r="SCR21"/>
      <c r="SCS21"/>
      <c r="SCT21"/>
      <c r="SCU21"/>
      <c r="SCV21"/>
      <c r="SCW21"/>
      <c r="SCX21"/>
      <c r="SCY21"/>
      <c r="SCZ21"/>
      <c r="SDA21"/>
      <c r="SDB21"/>
      <c r="SDC21"/>
      <c r="SDD21"/>
      <c r="SDE21"/>
      <c r="SDF21"/>
      <c r="SDG21"/>
      <c r="SDH21"/>
      <c r="SDI21"/>
      <c r="SDJ21"/>
      <c r="SDK21"/>
      <c r="SDL21"/>
      <c r="SDM21"/>
      <c r="SDN21"/>
      <c r="SDO21"/>
      <c r="SDP21"/>
      <c r="SDQ21"/>
      <c r="SDR21"/>
      <c r="SDS21"/>
      <c r="SDT21"/>
      <c r="SDU21"/>
      <c r="SDV21"/>
      <c r="SDW21"/>
      <c r="SDX21"/>
      <c r="SDY21"/>
      <c r="SDZ21"/>
      <c r="SEA21"/>
      <c r="SEB21"/>
      <c r="SEC21"/>
      <c r="SED21"/>
      <c r="SEE21"/>
      <c r="SEF21"/>
      <c r="SEG21"/>
      <c r="SEH21"/>
      <c r="SEI21"/>
      <c r="SEJ21"/>
      <c r="SEK21"/>
      <c r="SEL21"/>
      <c r="SEM21"/>
      <c r="SEN21"/>
      <c r="SEO21"/>
      <c r="SEP21"/>
      <c r="SEQ21"/>
      <c r="SER21"/>
      <c r="SES21"/>
      <c r="SET21"/>
      <c r="SEU21"/>
      <c r="SEV21"/>
      <c r="SEW21"/>
      <c r="SEX21"/>
      <c r="SEY21"/>
      <c r="SEZ21"/>
      <c r="SFA21"/>
      <c r="SFB21"/>
      <c r="SFC21"/>
      <c r="SFD21"/>
      <c r="SFE21"/>
      <c r="SFF21"/>
      <c r="SFG21"/>
      <c r="SFH21"/>
      <c r="SFI21"/>
      <c r="SFJ21"/>
      <c r="SFK21"/>
      <c r="SFL21"/>
      <c r="SFM21"/>
      <c r="SFN21"/>
      <c r="SFO21"/>
      <c r="SFP21"/>
      <c r="SFQ21"/>
      <c r="SFR21"/>
      <c r="SFS21"/>
      <c r="SFT21"/>
      <c r="SFU21"/>
      <c r="SFV21"/>
      <c r="SFW21"/>
      <c r="SFX21"/>
      <c r="SFY21"/>
      <c r="SFZ21"/>
      <c r="SGA21"/>
      <c r="SGB21"/>
      <c r="SGC21"/>
      <c r="SGD21"/>
      <c r="SGE21"/>
      <c r="SGF21"/>
      <c r="SGG21"/>
      <c r="SGH21"/>
      <c r="SGI21"/>
      <c r="SGJ21"/>
      <c r="SGK21"/>
      <c r="SGL21"/>
      <c r="SGM21"/>
      <c r="SGN21"/>
      <c r="SGO21"/>
      <c r="SGP21"/>
      <c r="SGQ21"/>
      <c r="SGR21"/>
      <c r="SGS21"/>
      <c r="SGT21"/>
      <c r="SGU21"/>
      <c r="SGV21"/>
      <c r="SGW21"/>
      <c r="SGX21"/>
      <c r="SGY21"/>
      <c r="SGZ21"/>
      <c r="SHA21"/>
      <c r="SHB21"/>
      <c r="SHC21"/>
      <c r="SHD21"/>
      <c r="SHE21"/>
      <c r="SHF21"/>
      <c r="SHG21"/>
      <c r="SHH21"/>
      <c r="SHI21"/>
      <c r="SHJ21"/>
      <c r="SHK21"/>
      <c r="SHL21"/>
      <c r="SHM21"/>
      <c r="SHN21"/>
      <c r="SHO21"/>
      <c r="SHP21"/>
      <c r="SHQ21"/>
      <c r="SHR21"/>
      <c r="SHS21"/>
      <c r="SHT21"/>
      <c r="SHU21"/>
      <c r="SHV21"/>
      <c r="SHW21"/>
      <c r="SHX21"/>
      <c r="SHY21"/>
      <c r="SHZ21"/>
      <c r="SIA21"/>
      <c r="SIB21"/>
      <c r="SIC21"/>
      <c r="SID21"/>
      <c r="SIE21"/>
      <c r="SIF21"/>
      <c r="SIG21"/>
      <c r="SIH21"/>
      <c r="SII21"/>
      <c r="SIJ21"/>
      <c r="SIK21"/>
      <c r="SIL21"/>
      <c r="SIM21"/>
      <c r="SIN21"/>
      <c r="SIO21"/>
      <c r="SIP21"/>
      <c r="SIQ21"/>
      <c r="SIR21"/>
      <c r="SIS21"/>
      <c r="SIT21"/>
      <c r="SIU21"/>
      <c r="SIV21"/>
      <c r="SIW21"/>
      <c r="SIX21"/>
      <c r="SIY21"/>
      <c r="SIZ21"/>
      <c r="SJA21"/>
      <c r="SJB21"/>
      <c r="SJC21"/>
      <c r="SJD21"/>
      <c r="SJE21"/>
      <c r="SJF21"/>
      <c r="SJG21"/>
      <c r="SJH21"/>
      <c r="SJI21"/>
      <c r="SJJ21"/>
      <c r="SJK21"/>
      <c r="SJL21"/>
      <c r="SJM21"/>
      <c r="SJN21"/>
      <c r="SJO21"/>
      <c r="SJP21"/>
      <c r="SJQ21"/>
      <c r="SJR21"/>
      <c r="SJS21"/>
      <c r="SJT21"/>
      <c r="SJU21"/>
      <c r="SJV21"/>
      <c r="SJW21"/>
      <c r="SJX21"/>
      <c r="SJY21"/>
      <c r="SJZ21"/>
      <c r="SKA21"/>
      <c r="SKB21"/>
      <c r="SKC21"/>
      <c r="SKD21"/>
      <c r="SKE21"/>
      <c r="SKF21"/>
      <c r="SKG21"/>
      <c r="SKH21"/>
      <c r="SKI21"/>
      <c r="SKJ21"/>
      <c r="SKK21"/>
      <c r="SKL21"/>
      <c r="SKM21"/>
      <c r="SKN21"/>
      <c r="SKO21"/>
      <c r="SKP21"/>
      <c r="SKQ21"/>
      <c r="SKR21"/>
      <c r="SKS21"/>
      <c r="SKT21"/>
      <c r="SKU21"/>
      <c r="SKV21"/>
      <c r="SKW21"/>
      <c r="SKX21"/>
      <c r="SKY21"/>
      <c r="SKZ21"/>
      <c r="SLA21"/>
      <c r="SLB21"/>
      <c r="SLC21"/>
      <c r="SLD21"/>
      <c r="SLE21"/>
      <c r="SLF21"/>
      <c r="SLG21"/>
      <c r="SLH21"/>
      <c r="SLI21"/>
      <c r="SLJ21"/>
      <c r="SLK21"/>
      <c r="SLL21"/>
      <c r="SLM21"/>
      <c r="SLN21"/>
      <c r="SLO21"/>
      <c r="SLP21"/>
      <c r="SLQ21"/>
      <c r="SLR21"/>
      <c r="SLS21"/>
      <c r="SLT21"/>
      <c r="SLU21"/>
      <c r="SLV21"/>
      <c r="SLW21"/>
      <c r="SLX21"/>
      <c r="SLY21"/>
      <c r="SLZ21"/>
      <c r="SMA21"/>
      <c r="SMB21"/>
      <c r="SMC21"/>
      <c r="SMD21"/>
      <c r="SME21"/>
      <c r="SMF21"/>
      <c r="SMG21"/>
      <c r="SMH21"/>
      <c r="SMI21"/>
      <c r="SMJ21"/>
      <c r="SMK21"/>
      <c r="SML21"/>
      <c r="SMM21"/>
      <c r="SMN21"/>
      <c r="SMO21"/>
      <c r="SMP21"/>
      <c r="SMQ21"/>
      <c r="SMR21"/>
      <c r="SMS21"/>
      <c r="SMT21"/>
      <c r="SMU21"/>
      <c r="SMV21"/>
      <c r="SMW21"/>
      <c r="SMX21"/>
      <c r="SMY21"/>
      <c r="SMZ21"/>
      <c r="SNA21"/>
      <c r="SNB21"/>
      <c r="SNC21"/>
      <c r="SND21"/>
      <c r="SNE21"/>
      <c r="SNF21"/>
      <c r="SNG21"/>
      <c r="SNH21"/>
      <c r="SNI21"/>
      <c r="SNJ21"/>
      <c r="SNK21"/>
      <c r="SNL21"/>
      <c r="SNM21"/>
      <c r="SNN21"/>
      <c r="SNO21"/>
      <c r="SNP21"/>
      <c r="SNQ21"/>
      <c r="SNR21"/>
      <c r="SNS21"/>
      <c r="SNT21"/>
      <c r="SNU21"/>
      <c r="SNV21"/>
      <c r="SNW21"/>
      <c r="SNX21"/>
      <c r="SNY21"/>
      <c r="SNZ21"/>
      <c r="SOA21"/>
      <c r="SOB21"/>
      <c r="SOC21"/>
      <c r="SOD21"/>
      <c r="SOE21"/>
      <c r="SOF21"/>
      <c r="SOG21"/>
      <c r="SOH21"/>
      <c r="SOI21"/>
      <c r="SOJ21"/>
      <c r="SOK21"/>
      <c r="SOL21"/>
      <c r="SOM21"/>
      <c r="SON21"/>
      <c r="SOO21"/>
      <c r="SOP21"/>
      <c r="SOQ21"/>
      <c r="SOR21"/>
      <c r="SOS21"/>
      <c r="SOT21"/>
      <c r="SOU21"/>
      <c r="SOV21"/>
      <c r="SOW21"/>
      <c r="SOX21"/>
      <c r="SOY21"/>
      <c r="SOZ21"/>
      <c r="SPA21"/>
      <c r="SPB21"/>
      <c r="SPC21"/>
      <c r="SPD21"/>
      <c r="SPE21"/>
      <c r="SPF21"/>
      <c r="SPG21"/>
      <c r="SPH21"/>
      <c r="SPI21"/>
      <c r="SPJ21"/>
      <c r="SPK21"/>
      <c r="SPL21"/>
      <c r="SPM21"/>
      <c r="SPN21"/>
      <c r="SPO21"/>
      <c r="SPP21"/>
      <c r="SPQ21"/>
      <c r="SPR21"/>
      <c r="SPS21"/>
      <c r="SPT21"/>
      <c r="SPU21"/>
      <c r="SPV21"/>
      <c r="SPW21"/>
      <c r="SPX21"/>
      <c r="SPY21"/>
      <c r="SPZ21"/>
      <c r="SQA21"/>
      <c r="SQB21"/>
      <c r="SQC21"/>
      <c r="SQD21"/>
      <c r="SQE21"/>
      <c r="SQF21"/>
      <c r="SQG21"/>
      <c r="SQH21"/>
      <c r="SQI21"/>
      <c r="SQJ21"/>
      <c r="SQK21"/>
      <c r="SQL21"/>
      <c r="SQM21"/>
      <c r="SQN21"/>
      <c r="SQO21"/>
      <c r="SQP21"/>
      <c r="SQQ21"/>
      <c r="SQR21"/>
      <c r="SQS21"/>
      <c r="SQT21"/>
      <c r="SQU21"/>
      <c r="SQV21"/>
      <c r="SQW21"/>
      <c r="SQX21"/>
      <c r="SQY21"/>
      <c r="SQZ21"/>
      <c r="SRA21"/>
      <c r="SRB21"/>
      <c r="SRC21"/>
      <c r="SRD21"/>
      <c r="SRE21"/>
      <c r="SRF21"/>
      <c r="SRG21"/>
      <c r="SRH21"/>
      <c r="SRI21"/>
      <c r="SRJ21"/>
      <c r="SRK21"/>
      <c r="SRL21"/>
      <c r="SRM21"/>
      <c r="SRN21"/>
      <c r="SRO21"/>
      <c r="SRP21"/>
      <c r="SRQ21"/>
      <c r="SRR21"/>
      <c r="SRS21"/>
      <c r="SRT21"/>
      <c r="SRU21"/>
      <c r="SRV21"/>
      <c r="SRW21"/>
      <c r="SRX21"/>
      <c r="SRY21"/>
      <c r="SRZ21"/>
      <c r="SSA21"/>
      <c r="SSB21"/>
      <c r="SSC21"/>
      <c r="SSD21"/>
      <c r="SSE21"/>
      <c r="SSF21"/>
      <c r="SSG21"/>
      <c r="SSH21"/>
      <c r="SSI21"/>
      <c r="SSJ21"/>
      <c r="SSK21"/>
      <c r="SSL21"/>
      <c r="SSM21"/>
      <c r="SSN21"/>
      <c r="SSO21"/>
      <c r="SSP21"/>
      <c r="SSQ21"/>
      <c r="SSR21"/>
      <c r="SSS21"/>
      <c r="SST21"/>
      <c r="SSU21"/>
      <c r="SSV21"/>
      <c r="SSW21"/>
      <c r="SSX21"/>
      <c r="SSY21"/>
      <c r="SSZ21"/>
      <c r="STA21"/>
      <c r="STB21"/>
      <c r="STC21"/>
      <c r="STD21"/>
      <c r="STE21"/>
      <c r="STF21"/>
      <c r="STG21"/>
      <c r="STH21"/>
      <c r="STI21"/>
      <c r="STJ21"/>
      <c r="STK21"/>
      <c r="STL21"/>
      <c r="STM21"/>
      <c r="STN21"/>
      <c r="STO21"/>
      <c r="STP21"/>
      <c r="STQ21"/>
      <c r="STR21"/>
      <c r="STS21"/>
      <c r="STT21"/>
      <c r="STU21"/>
      <c r="STV21"/>
      <c r="STW21"/>
      <c r="STX21"/>
      <c r="STY21"/>
      <c r="STZ21"/>
      <c r="SUA21"/>
      <c r="SUB21"/>
      <c r="SUC21"/>
      <c r="SUD21"/>
      <c r="SUE21"/>
      <c r="SUF21"/>
      <c r="SUG21"/>
      <c r="SUH21"/>
      <c r="SUI21"/>
      <c r="SUJ21"/>
      <c r="SUK21"/>
      <c r="SUL21"/>
      <c r="SUM21"/>
      <c r="SUN21"/>
      <c r="SUO21"/>
      <c r="SUP21"/>
      <c r="SUQ21"/>
      <c r="SUR21"/>
      <c r="SUS21"/>
      <c r="SUT21"/>
      <c r="SUU21"/>
      <c r="SUV21"/>
      <c r="SUW21"/>
      <c r="SUX21"/>
      <c r="SUY21"/>
      <c r="SUZ21"/>
      <c r="SVA21"/>
      <c r="SVB21"/>
      <c r="SVC21"/>
      <c r="SVD21"/>
      <c r="SVE21"/>
      <c r="SVF21"/>
      <c r="SVG21"/>
      <c r="SVH21"/>
      <c r="SVI21"/>
      <c r="SVJ21"/>
      <c r="SVK21"/>
      <c r="SVL21"/>
      <c r="SVM21"/>
      <c r="SVN21"/>
      <c r="SVO21"/>
      <c r="SVP21"/>
      <c r="SVQ21"/>
      <c r="SVR21"/>
      <c r="SVS21"/>
      <c r="SVT21"/>
      <c r="SVU21"/>
      <c r="SVV21"/>
      <c r="SVW21"/>
      <c r="SVX21"/>
      <c r="SVY21"/>
      <c r="SVZ21"/>
      <c r="SWA21"/>
      <c r="SWB21"/>
      <c r="SWC21"/>
      <c r="SWD21"/>
      <c r="SWE21"/>
      <c r="SWF21"/>
      <c r="SWG21"/>
      <c r="SWH21"/>
      <c r="SWI21"/>
      <c r="SWJ21"/>
      <c r="SWK21"/>
      <c r="SWL21"/>
      <c r="SWM21"/>
      <c r="SWN21"/>
      <c r="SWO21"/>
      <c r="SWP21"/>
      <c r="SWQ21"/>
      <c r="SWR21"/>
      <c r="SWS21"/>
      <c r="SWT21"/>
      <c r="SWU21"/>
      <c r="SWV21"/>
      <c r="SWW21"/>
      <c r="SWX21"/>
      <c r="SWY21"/>
      <c r="SWZ21"/>
      <c r="SXA21"/>
      <c r="SXB21"/>
      <c r="SXC21"/>
      <c r="SXD21"/>
      <c r="SXE21"/>
      <c r="SXF21"/>
      <c r="SXG21"/>
      <c r="SXH21"/>
      <c r="SXI21"/>
      <c r="SXJ21"/>
      <c r="SXK21"/>
      <c r="SXL21"/>
      <c r="SXM21"/>
      <c r="SXN21"/>
      <c r="SXO21"/>
      <c r="SXP21"/>
      <c r="SXQ21"/>
      <c r="SXR21"/>
      <c r="SXS21"/>
      <c r="SXT21"/>
      <c r="SXU21"/>
      <c r="SXV21"/>
      <c r="SXW21"/>
      <c r="SXX21"/>
      <c r="SXY21"/>
      <c r="SXZ21"/>
      <c r="SYA21"/>
      <c r="SYB21"/>
      <c r="SYC21"/>
      <c r="SYD21"/>
      <c r="SYE21"/>
      <c r="SYF21"/>
      <c r="SYG21"/>
      <c r="SYH21"/>
      <c r="SYI21"/>
      <c r="SYJ21"/>
      <c r="SYK21"/>
      <c r="SYL21"/>
      <c r="SYM21"/>
      <c r="SYN21"/>
      <c r="SYO21"/>
      <c r="SYP21"/>
      <c r="SYQ21"/>
      <c r="SYR21"/>
      <c r="SYS21"/>
      <c r="SYT21"/>
      <c r="SYU21"/>
      <c r="SYV21"/>
      <c r="SYW21"/>
      <c r="SYX21"/>
      <c r="SYY21"/>
      <c r="SYZ21"/>
      <c r="SZA21"/>
      <c r="SZB21"/>
      <c r="SZC21"/>
      <c r="SZD21"/>
      <c r="SZE21"/>
      <c r="SZF21"/>
      <c r="SZG21"/>
      <c r="SZH21"/>
      <c r="SZI21"/>
      <c r="SZJ21"/>
      <c r="SZK21"/>
      <c r="SZL21"/>
      <c r="SZM21"/>
      <c r="SZN21"/>
      <c r="SZO21"/>
      <c r="SZP21"/>
      <c r="SZQ21"/>
      <c r="SZR21"/>
      <c r="SZS21"/>
      <c r="SZT21"/>
      <c r="SZU21"/>
      <c r="SZV21"/>
      <c r="SZW21"/>
      <c r="SZX21"/>
      <c r="SZY21"/>
      <c r="SZZ21"/>
      <c r="TAA21"/>
      <c r="TAB21"/>
      <c r="TAC21"/>
      <c r="TAD21"/>
      <c r="TAE21"/>
      <c r="TAF21"/>
      <c r="TAG21"/>
      <c r="TAH21"/>
      <c r="TAI21"/>
      <c r="TAJ21"/>
      <c r="TAK21"/>
      <c r="TAL21"/>
      <c r="TAM21"/>
      <c r="TAN21"/>
      <c r="TAO21"/>
      <c r="TAP21"/>
      <c r="TAQ21"/>
      <c r="TAR21"/>
      <c r="TAS21"/>
      <c r="TAT21"/>
      <c r="TAU21"/>
      <c r="TAV21"/>
      <c r="TAW21"/>
      <c r="TAX21"/>
      <c r="TAY21"/>
      <c r="TAZ21"/>
      <c r="TBA21"/>
      <c r="TBB21"/>
      <c r="TBC21"/>
      <c r="TBD21"/>
      <c r="TBE21"/>
      <c r="TBF21"/>
      <c r="TBG21"/>
      <c r="TBH21"/>
      <c r="TBI21"/>
      <c r="TBJ21"/>
      <c r="TBK21"/>
      <c r="TBL21"/>
      <c r="TBM21"/>
      <c r="TBN21"/>
      <c r="TBO21"/>
      <c r="TBP21"/>
      <c r="TBQ21"/>
      <c r="TBR21"/>
      <c r="TBS21"/>
      <c r="TBT21"/>
      <c r="TBU21"/>
      <c r="TBV21"/>
      <c r="TBW21"/>
      <c r="TBX21"/>
      <c r="TBY21"/>
      <c r="TBZ21"/>
      <c r="TCA21"/>
      <c r="TCB21"/>
      <c r="TCC21"/>
      <c r="TCD21"/>
      <c r="TCE21"/>
      <c r="TCF21"/>
      <c r="TCG21"/>
      <c r="TCH21"/>
      <c r="TCI21"/>
      <c r="TCJ21"/>
      <c r="TCK21"/>
      <c r="TCL21"/>
      <c r="TCM21"/>
      <c r="TCN21"/>
      <c r="TCO21"/>
      <c r="TCP21"/>
      <c r="TCQ21"/>
      <c r="TCR21"/>
      <c r="TCS21"/>
      <c r="TCT21"/>
      <c r="TCU21"/>
      <c r="TCV21"/>
      <c r="TCW21"/>
      <c r="TCX21"/>
      <c r="TCY21"/>
      <c r="TCZ21"/>
      <c r="TDA21"/>
      <c r="TDB21"/>
      <c r="TDC21"/>
      <c r="TDD21"/>
      <c r="TDE21"/>
      <c r="TDF21"/>
      <c r="TDG21"/>
      <c r="TDH21"/>
      <c r="TDI21"/>
      <c r="TDJ21"/>
      <c r="TDK21"/>
      <c r="TDL21"/>
      <c r="TDM21"/>
      <c r="TDN21"/>
      <c r="TDO21"/>
      <c r="TDP21"/>
      <c r="TDQ21"/>
      <c r="TDR21"/>
      <c r="TDS21"/>
      <c r="TDT21"/>
      <c r="TDU21"/>
      <c r="TDV21"/>
      <c r="TDW21"/>
      <c r="TDX21"/>
      <c r="TDY21"/>
      <c r="TDZ21"/>
      <c r="TEA21"/>
      <c r="TEB21"/>
      <c r="TEC21"/>
      <c r="TED21"/>
      <c r="TEE21"/>
      <c r="TEF21"/>
      <c r="TEG21"/>
      <c r="TEH21"/>
      <c r="TEI21"/>
      <c r="TEJ21"/>
      <c r="TEK21"/>
      <c r="TEL21"/>
      <c r="TEM21"/>
      <c r="TEN21"/>
      <c r="TEO21"/>
      <c r="TEP21"/>
      <c r="TEQ21"/>
      <c r="TER21"/>
      <c r="TES21"/>
      <c r="TET21"/>
      <c r="TEU21"/>
      <c r="TEV21"/>
      <c r="TEW21"/>
      <c r="TEX21"/>
      <c r="TEY21"/>
      <c r="TEZ21"/>
      <c r="TFA21"/>
      <c r="TFB21"/>
      <c r="TFC21"/>
      <c r="TFD21"/>
      <c r="TFE21"/>
      <c r="TFF21"/>
      <c r="TFG21"/>
      <c r="TFH21"/>
      <c r="TFI21"/>
      <c r="TFJ21"/>
      <c r="TFK21"/>
      <c r="TFL21"/>
      <c r="TFM21"/>
      <c r="TFN21"/>
      <c r="TFO21"/>
      <c r="TFP21"/>
      <c r="TFQ21"/>
      <c r="TFR21"/>
      <c r="TFS21"/>
      <c r="TFT21"/>
      <c r="TFU21"/>
      <c r="TFV21"/>
      <c r="TFW21"/>
      <c r="TFX21"/>
      <c r="TFY21"/>
      <c r="TFZ21"/>
      <c r="TGA21"/>
      <c r="TGB21"/>
      <c r="TGC21"/>
      <c r="TGD21"/>
      <c r="TGE21"/>
      <c r="TGF21"/>
      <c r="TGG21"/>
      <c r="TGH21"/>
      <c r="TGI21"/>
      <c r="TGJ21"/>
      <c r="TGK21"/>
      <c r="TGL21"/>
      <c r="TGM21"/>
      <c r="TGN21"/>
      <c r="TGO21"/>
      <c r="TGP21"/>
      <c r="TGQ21"/>
      <c r="TGR21"/>
      <c r="TGS21"/>
      <c r="TGT21"/>
      <c r="TGU21"/>
      <c r="TGV21"/>
      <c r="TGW21"/>
      <c r="TGX21"/>
      <c r="TGY21"/>
      <c r="TGZ21"/>
      <c r="THA21"/>
      <c r="THB21"/>
      <c r="THC21"/>
      <c r="THD21"/>
      <c r="THE21"/>
      <c r="THF21"/>
      <c r="THG21"/>
      <c r="THH21"/>
      <c r="THI21"/>
      <c r="THJ21"/>
      <c r="THK21"/>
      <c r="THL21"/>
      <c r="THM21"/>
      <c r="THN21"/>
      <c r="THO21"/>
      <c r="THP21"/>
      <c r="THQ21"/>
      <c r="THR21"/>
      <c r="THS21"/>
      <c r="THT21"/>
      <c r="THU21"/>
      <c r="THV21"/>
      <c r="THW21"/>
      <c r="THX21"/>
      <c r="THY21"/>
      <c r="THZ21"/>
      <c r="TIA21"/>
      <c r="TIB21"/>
      <c r="TIC21"/>
      <c r="TID21"/>
      <c r="TIE21"/>
      <c r="TIF21"/>
      <c r="TIG21"/>
      <c r="TIH21"/>
      <c r="TII21"/>
      <c r="TIJ21"/>
      <c r="TIK21"/>
      <c r="TIL21"/>
      <c r="TIM21"/>
      <c r="TIN21"/>
      <c r="TIO21"/>
      <c r="TIP21"/>
      <c r="TIQ21"/>
      <c r="TIR21"/>
      <c r="TIS21"/>
      <c r="TIT21"/>
      <c r="TIU21"/>
      <c r="TIV21"/>
      <c r="TIW21"/>
      <c r="TIX21"/>
      <c r="TIY21"/>
      <c r="TIZ21"/>
      <c r="TJA21"/>
      <c r="TJB21"/>
      <c r="TJC21"/>
      <c r="TJD21"/>
      <c r="TJE21"/>
      <c r="TJF21"/>
      <c r="TJG21"/>
      <c r="TJH21"/>
      <c r="TJI21"/>
      <c r="TJJ21"/>
      <c r="TJK21"/>
      <c r="TJL21"/>
      <c r="TJM21"/>
      <c r="TJN21"/>
      <c r="TJO21"/>
      <c r="TJP21"/>
      <c r="TJQ21"/>
      <c r="TJR21"/>
      <c r="TJS21"/>
      <c r="TJT21"/>
      <c r="TJU21"/>
      <c r="TJV21"/>
      <c r="TJW21"/>
      <c r="TJX21"/>
      <c r="TJY21"/>
      <c r="TJZ21"/>
      <c r="TKA21"/>
      <c r="TKB21"/>
      <c r="TKC21"/>
      <c r="TKD21"/>
      <c r="TKE21"/>
      <c r="TKF21"/>
      <c r="TKG21"/>
      <c r="TKH21"/>
      <c r="TKI21"/>
      <c r="TKJ21"/>
      <c r="TKK21"/>
      <c r="TKL21"/>
      <c r="TKM21"/>
      <c r="TKN21"/>
      <c r="TKO21"/>
      <c r="TKP21"/>
      <c r="TKQ21"/>
      <c r="TKR21"/>
      <c r="TKS21"/>
      <c r="TKT21"/>
      <c r="TKU21"/>
      <c r="TKV21"/>
      <c r="TKW21"/>
      <c r="TKX21"/>
      <c r="TKY21"/>
      <c r="TKZ21"/>
      <c r="TLA21"/>
      <c r="TLB21"/>
      <c r="TLC21"/>
      <c r="TLD21"/>
      <c r="TLE21"/>
      <c r="TLF21"/>
      <c r="TLG21"/>
      <c r="TLH21"/>
      <c r="TLI21"/>
      <c r="TLJ21"/>
      <c r="TLK21"/>
      <c r="TLL21"/>
      <c r="TLM21"/>
      <c r="TLN21"/>
      <c r="TLO21"/>
      <c r="TLP21"/>
      <c r="TLQ21"/>
      <c r="TLR21"/>
      <c r="TLS21"/>
      <c r="TLT21"/>
      <c r="TLU21"/>
      <c r="TLV21"/>
      <c r="TLW21"/>
      <c r="TLX21"/>
      <c r="TLY21"/>
      <c r="TLZ21"/>
      <c r="TMA21"/>
      <c r="TMB21"/>
      <c r="TMC21"/>
      <c r="TMD21"/>
      <c r="TME21"/>
      <c r="TMF21"/>
      <c r="TMG21"/>
      <c r="TMH21"/>
      <c r="TMI21"/>
      <c r="TMJ21"/>
      <c r="TMK21"/>
      <c r="TML21"/>
      <c r="TMM21"/>
      <c r="TMN21"/>
      <c r="TMO21"/>
      <c r="TMP21"/>
      <c r="TMQ21"/>
      <c r="TMR21"/>
      <c r="TMS21"/>
      <c r="TMT21"/>
      <c r="TMU21"/>
      <c r="TMV21"/>
      <c r="TMW21"/>
      <c r="TMX21"/>
      <c r="TMY21"/>
      <c r="TMZ21"/>
      <c r="TNA21"/>
      <c r="TNB21"/>
      <c r="TNC21"/>
      <c r="TND21"/>
      <c r="TNE21"/>
      <c r="TNF21"/>
      <c r="TNG21"/>
      <c r="TNH21"/>
      <c r="TNI21"/>
      <c r="TNJ21"/>
      <c r="TNK21"/>
      <c r="TNL21"/>
      <c r="TNM21"/>
      <c r="TNN21"/>
      <c r="TNO21"/>
      <c r="TNP21"/>
      <c r="TNQ21"/>
      <c r="TNR21"/>
      <c r="TNS21"/>
      <c r="TNT21"/>
      <c r="TNU21"/>
      <c r="TNV21"/>
      <c r="TNW21"/>
      <c r="TNX21"/>
      <c r="TNY21"/>
      <c r="TNZ21"/>
      <c r="TOA21"/>
      <c r="TOB21"/>
      <c r="TOC21"/>
      <c r="TOD21"/>
      <c r="TOE21"/>
      <c r="TOF21"/>
      <c r="TOG21"/>
      <c r="TOH21"/>
      <c r="TOI21"/>
      <c r="TOJ21"/>
      <c r="TOK21"/>
      <c r="TOL21"/>
      <c r="TOM21"/>
      <c r="TON21"/>
      <c r="TOO21"/>
      <c r="TOP21"/>
      <c r="TOQ21"/>
      <c r="TOR21"/>
      <c r="TOS21"/>
      <c r="TOT21"/>
      <c r="TOU21"/>
      <c r="TOV21"/>
      <c r="TOW21"/>
      <c r="TOX21"/>
      <c r="TOY21"/>
      <c r="TOZ21"/>
      <c r="TPA21"/>
      <c r="TPB21"/>
      <c r="TPC21"/>
      <c r="TPD21"/>
      <c r="TPE21"/>
      <c r="TPF21"/>
      <c r="TPG21"/>
      <c r="TPH21"/>
      <c r="TPI21"/>
      <c r="TPJ21"/>
      <c r="TPK21"/>
      <c r="TPL21"/>
      <c r="TPM21"/>
      <c r="TPN21"/>
      <c r="TPO21"/>
      <c r="TPP21"/>
      <c r="TPQ21"/>
      <c r="TPR21"/>
      <c r="TPS21"/>
      <c r="TPT21"/>
      <c r="TPU21"/>
      <c r="TPV21"/>
      <c r="TPW21"/>
      <c r="TPX21"/>
      <c r="TPY21"/>
      <c r="TPZ21"/>
      <c r="TQA21"/>
      <c r="TQB21"/>
      <c r="TQC21"/>
      <c r="TQD21"/>
      <c r="TQE21"/>
      <c r="TQF21"/>
      <c r="TQG21"/>
      <c r="TQH21"/>
      <c r="TQI21"/>
      <c r="TQJ21"/>
      <c r="TQK21"/>
      <c r="TQL21"/>
      <c r="TQM21"/>
      <c r="TQN21"/>
      <c r="TQO21"/>
      <c r="TQP21"/>
      <c r="TQQ21"/>
      <c r="TQR21"/>
      <c r="TQS21"/>
      <c r="TQT21"/>
      <c r="TQU21"/>
      <c r="TQV21"/>
      <c r="TQW21"/>
      <c r="TQX21"/>
      <c r="TQY21"/>
      <c r="TQZ21"/>
      <c r="TRA21"/>
      <c r="TRB21"/>
      <c r="TRC21"/>
      <c r="TRD21"/>
      <c r="TRE21"/>
      <c r="TRF21"/>
      <c r="TRG21"/>
      <c r="TRH21"/>
      <c r="TRI21"/>
      <c r="TRJ21"/>
      <c r="TRK21"/>
      <c r="TRL21"/>
      <c r="TRM21"/>
      <c r="TRN21"/>
      <c r="TRO21"/>
      <c r="TRP21"/>
      <c r="TRQ21"/>
      <c r="TRR21"/>
      <c r="TRS21"/>
      <c r="TRT21"/>
      <c r="TRU21"/>
      <c r="TRV21"/>
      <c r="TRW21"/>
      <c r="TRX21"/>
      <c r="TRY21"/>
      <c r="TRZ21"/>
      <c r="TSA21"/>
      <c r="TSB21"/>
      <c r="TSC21"/>
      <c r="TSD21"/>
      <c r="TSE21"/>
      <c r="TSF21"/>
      <c r="TSG21"/>
      <c r="TSH21"/>
      <c r="TSI21"/>
      <c r="TSJ21"/>
      <c r="TSK21"/>
      <c r="TSL21"/>
      <c r="TSM21"/>
      <c r="TSN21"/>
      <c r="TSO21"/>
      <c r="TSP21"/>
      <c r="TSQ21"/>
      <c r="TSR21"/>
      <c r="TSS21"/>
      <c r="TST21"/>
      <c r="TSU21"/>
      <c r="TSV21"/>
      <c r="TSW21"/>
      <c r="TSX21"/>
      <c r="TSY21"/>
      <c r="TSZ21"/>
      <c r="TTA21"/>
      <c r="TTB21"/>
      <c r="TTC21"/>
      <c r="TTD21"/>
      <c r="TTE21"/>
      <c r="TTF21"/>
      <c r="TTG21"/>
      <c r="TTH21"/>
      <c r="TTI21"/>
      <c r="TTJ21"/>
      <c r="TTK21"/>
      <c r="TTL21"/>
      <c r="TTM21"/>
      <c r="TTN21"/>
      <c r="TTO21"/>
      <c r="TTP21"/>
      <c r="TTQ21"/>
      <c r="TTR21"/>
      <c r="TTS21"/>
      <c r="TTT21"/>
      <c r="TTU21"/>
      <c r="TTV21"/>
      <c r="TTW21"/>
      <c r="TTX21"/>
      <c r="TTY21"/>
      <c r="TTZ21"/>
      <c r="TUA21"/>
      <c r="TUB21"/>
      <c r="TUC21"/>
      <c r="TUD21"/>
      <c r="TUE21"/>
      <c r="TUF21"/>
      <c r="TUG21"/>
      <c r="TUH21"/>
      <c r="TUI21"/>
      <c r="TUJ21"/>
      <c r="TUK21"/>
      <c r="TUL21"/>
      <c r="TUM21"/>
      <c r="TUN21"/>
      <c r="TUO21"/>
      <c r="TUP21"/>
      <c r="TUQ21"/>
      <c r="TUR21"/>
      <c r="TUS21"/>
      <c r="TUT21"/>
      <c r="TUU21"/>
      <c r="TUV21"/>
      <c r="TUW21"/>
      <c r="TUX21"/>
      <c r="TUY21"/>
      <c r="TUZ21"/>
      <c r="TVA21"/>
      <c r="TVB21"/>
      <c r="TVC21"/>
      <c r="TVD21"/>
      <c r="TVE21"/>
      <c r="TVF21"/>
      <c r="TVG21"/>
      <c r="TVH21"/>
      <c r="TVI21"/>
      <c r="TVJ21"/>
      <c r="TVK21"/>
      <c r="TVL21"/>
      <c r="TVM21"/>
      <c r="TVN21"/>
      <c r="TVO21"/>
      <c r="TVP21"/>
      <c r="TVQ21"/>
      <c r="TVR21"/>
      <c r="TVS21"/>
      <c r="TVT21"/>
      <c r="TVU21"/>
      <c r="TVV21"/>
      <c r="TVW21"/>
      <c r="TVX21"/>
      <c r="TVY21"/>
      <c r="TVZ21"/>
      <c r="TWA21"/>
      <c r="TWB21"/>
      <c r="TWC21"/>
      <c r="TWD21"/>
      <c r="TWE21"/>
      <c r="TWF21"/>
      <c r="TWG21"/>
      <c r="TWH21"/>
      <c r="TWI21"/>
      <c r="TWJ21"/>
      <c r="TWK21"/>
      <c r="TWL21"/>
      <c r="TWM21"/>
      <c r="TWN21"/>
      <c r="TWO21"/>
      <c r="TWP21"/>
      <c r="TWQ21"/>
      <c r="TWR21"/>
      <c r="TWS21"/>
      <c r="TWT21"/>
      <c r="TWU21"/>
      <c r="TWV21"/>
      <c r="TWW21"/>
      <c r="TWX21"/>
      <c r="TWY21"/>
      <c r="TWZ21"/>
      <c r="TXA21"/>
      <c r="TXB21"/>
      <c r="TXC21"/>
      <c r="TXD21"/>
      <c r="TXE21"/>
      <c r="TXF21"/>
      <c r="TXG21"/>
      <c r="TXH21"/>
      <c r="TXI21"/>
      <c r="TXJ21"/>
      <c r="TXK21"/>
      <c r="TXL21"/>
      <c r="TXM21"/>
      <c r="TXN21"/>
      <c r="TXO21"/>
      <c r="TXP21"/>
      <c r="TXQ21"/>
      <c r="TXR21"/>
      <c r="TXS21"/>
      <c r="TXT21"/>
      <c r="TXU21"/>
      <c r="TXV21"/>
      <c r="TXW21"/>
      <c r="TXX21"/>
      <c r="TXY21"/>
      <c r="TXZ21"/>
      <c r="TYA21"/>
      <c r="TYB21"/>
      <c r="TYC21"/>
      <c r="TYD21"/>
      <c r="TYE21"/>
      <c r="TYF21"/>
      <c r="TYG21"/>
      <c r="TYH21"/>
      <c r="TYI21"/>
      <c r="TYJ21"/>
      <c r="TYK21"/>
      <c r="TYL21"/>
      <c r="TYM21"/>
      <c r="TYN21"/>
      <c r="TYO21"/>
      <c r="TYP21"/>
      <c r="TYQ21"/>
      <c r="TYR21"/>
      <c r="TYS21"/>
      <c r="TYT21"/>
      <c r="TYU21"/>
      <c r="TYV21"/>
      <c r="TYW21"/>
      <c r="TYX21"/>
      <c r="TYY21"/>
      <c r="TYZ21"/>
      <c r="TZA21"/>
      <c r="TZB21"/>
      <c r="TZC21"/>
      <c r="TZD21"/>
      <c r="TZE21"/>
      <c r="TZF21"/>
      <c r="TZG21"/>
      <c r="TZH21"/>
      <c r="TZI21"/>
      <c r="TZJ21"/>
      <c r="TZK21"/>
      <c r="TZL21"/>
      <c r="TZM21"/>
      <c r="TZN21"/>
      <c r="TZO21"/>
      <c r="TZP21"/>
      <c r="TZQ21"/>
      <c r="TZR21"/>
      <c r="TZS21"/>
      <c r="TZT21"/>
      <c r="TZU21"/>
      <c r="TZV21"/>
      <c r="TZW21"/>
      <c r="TZX21"/>
      <c r="TZY21"/>
      <c r="TZZ21"/>
      <c r="UAA21"/>
      <c r="UAB21"/>
      <c r="UAC21"/>
      <c r="UAD21"/>
      <c r="UAE21"/>
      <c r="UAF21"/>
      <c r="UAG21"/>
      <c r="UAH21"/>
      <c r="UAI21"/>
      <c r="UAJ21"/>
      <c r="UAK21"/>
      <c r="UAL21"/>
      <c r="UAM21"/>
      <c r="UAN21"/>
      <c r="UAO21"/>
      <c r="UAP21"/>
      <c r="UAQ21"/>
      <c r="UAR21"/>
      <c r="UAS21"/>
      <c r="UAT21"/>
      <c r="UAU21"/>
      <c r="UAV21"/>
      <c r="UAW21"/>
      <c r="UAX21"/>
      <c r="UAY21"/>
      <c r="UAZ21"/>
      <c r="UBA21"/>
      <c r="UBB21"/>
      <c r="UBC21"/>
      <c r="UBD21"/>
      <c r="UBE21"/>
      <c r="UBF21"/>
      <c r="UBG21"/>
      <c r="UBH21"/>
      <c r="UBI21"/>
      <c r="UBJ21"/>
      <c r="UBK21"/>
      <c r="UBL21"/>
      <c r="UBM21"/>
      <c r="UBN21"/>
      <c r="UBO21"/>
      <c r="UBP21"/>
      <c r="UBQ21"/>
      <c r="UBR21"/>
      <c r="UBS21"/>
      <c r="UBT21"/>
      <c r="UBU21"/>
      <c r="UBV21"/>
      <c r="UBW21"/>
      <c r="UBX21"/>
      <c r="UBY21"/>
      <c r="UBZ21"/>
      <c r="UCA21"/>
      <c r="UCB21"/>
      <c r="UCC21"/>
      <c r="UCD21"/>
      <c r="UCE21"/>
      <c r="UCF21"/>
      <c r="UCG21"/>
      <c r="UCH21"/>
      <c r="UCI21"/>
      <c r="UCJ21"/>
      <c r="UCK21"/>
      <c r="UCL21"/>
      <c r="UCM21"/>
      <c r="UCN21"/>
      <c r="UCO21"/>
      <c r="UCP21"/>
      <c r="UCQ21"/>
      <c r="UCR21"/>
      <c r="UCS21"/>
      <c r="UCT21"/>
      <c r="UCU21"/>
      <c r="UCV21"/>
      <c r="UCW21"/>
      <c r="UCX21"/>
      <c r="UCY21"/>
      <c r="UCZ21"/>
      <c r="UDA21"/>
      <c r="UDB21"/>
      <c r="UDC21"/>
      <c r="UDD21"/>
      <c r="UDE21"/>
      <c r="UDF21"/>
      <c r="UDG21"/>
      <c r="UDH21"/>
      <c r="UDI21"/>
      <c r="UDJ21"/>
      <c r="UDK21"/>
      <c r="UDL21"/>
      <c r="UDM21"/>
      <c r="UDN21"/>
      <c r="UDO21"/>
      <c r="UDP21"/>
      <c r="UDQ21"/>
      <c r="UDR21"/>
      <c r="UDS21"/>
      <c r="UDT21"/>
      <c r="UDU21"/>
      <c r="UDV21"/>
      <c r="UDW21"/>
      <c r="UDX21"/>
      <c r="UDY21"/>
      <c r="UDZ21"/>
      <c r="UEA21"/>
      <c r="UEB21"/>
      <c r="UEC21"/>
      <c r="UED21"/>
      <c r="UEE21"/>
      <c r="UEF21"/>
      <c r="UEG21"/>
      <c r="UEH21"/>
      <c r="UEI21"/>
      <c r="UEJ21"/>
      <c r="UEK21"/>
      <c r="UEL21"/>
      <c r="UEM21"/>
      <c r="UEN21"/>
      <c r="UEO21"/>
      <c r="UEP21"/>
      <c r="UEQ21"/>
      <c r="UER21"/>
      <c r="UES21"/>
      <c r="UET21"/>
      <c r="UEU21"/>
      <c r="UEV21"/>
      <c r="UEW21"/>
      <c r="UEX21"/>
      <c r="UEY21"/>
      <c r="UEZ21"/>
      <c r="UFA21"/>
      <c r="UFB21"/>
      <c r="UFC21"/>
      <c r="UFD21"/>
      <c r="UFE21"/>
      <c r="UFF21"/>
      <c r="UFG21"/>
      <c r="UFH21"/>
      <c r="UFI21"/>
      <c r="UFJ21"/>
      <c r="UFK21"/>
      <c r="UFL21"/>
      <c r="UFM21"/>
      <c r="UFN21"/>
      <c r="UFO21"/>
      <c r="UFP21"/>
      <c r="UFQ21"/>
      <c r="UFR21"/>
      <c r="UFS21"/>
      <c r="UFT21"/>
      <c r="UFU21"/>
      <c r="UFV21"/>
      <c r="UFW21"/>
      <c r="UFX21"/>
      <c r="UFY21"/>
      <c r="UFZ21"/>
      <c r="UGA21"/>
      <c r="UGB21"/>
      <c r="UGC21"/>
      <c r="UGD21"/>
      <c r="UGE21"/>
      <c r="UGF21"/>
      <c r="UGG21"/>
      <c r="UGH21"/>
      <c r="UGI21"/>
      <c r="UGJ21"/>
      <c r="UGK21"/>
      <c r="UGL21"/>
      <c r="UGM21"/>
      <c r="UGN21"/>
      <c r="UGO21"/>
      <c r="UGP21"/>
      <c r="UGQ21"/>
      <c r="UGR21"/>
      <c r="UGS21"/>
      <c r="UGT21"/>
      <c r="UGU21"/>
      <c r="UGV21"/>
      <c r="UGW21"/>
      <c r="UGX21"/>
      <c r="UGY21"/>
      <c r="UGZ21"/>
      <c r="UHA21"/>
      <c r="UHB21"/>
      <c r="UHC21"/>
      <c r="UHD21"/>
      <c r="UHE21"/>
      <c r="UHF21"/>
      <c r="UHG21"/>
      <c r="UHH21"/>
      <c r="UHI21"/>
      <c r="UHJ21"/>
      <c r="UHK21"/>
      <c r="UHL21"/>
      <c r="UHM21"/>
      <c r="UHN21"/>
      <c r="UHO21"/>
      <c r="UHP21"/>
      <c r="UHQ21"/>
      <c r="UHR21"/>
      <c r="UHS21"/>
      <c r="UHT21"/>
      <c r="UHU21"/>
      <c r="UHV21"/>
      <c r="UHW21"/>
      <c r="UHX21"/>
      <c r="UHY21"/>
      <c r="UHZ21"/>
      <c r="UIA21"/>
      <c r="UIB21"/>
      <c r="UIC21"/>
      <c r="UID21"/>
      <c r="UIE21"/>
      <c r="UIF21"/>
      <c r="UIG21"/>
      <c r="UIH21"/>
      <c r="UII21"/>
      <c r="UIJ21"/>
      <c r="UIK21"/>
      <c r="UIL21"/>
      <c r="UIM21"/>
      <c r="UIN21"/>
      <c r="UIO21"/>
      <c r="UIP21"/>
      <c r="UIQ21"/>
      <c r="UIR21"/>
      <c r="UIS21"/>
      <c r="UIT21"/>
      <c r="UIU21"/>
      <c r="UIV21"/>
      <c r="UIW21"/>
      <c r="UIX21"/>
      <c r="UIY21"/>
      <c r="UIZ21"/>
      <c r="UJA21"/>
      <c r="UJB21"/>
      <c r="UJC21"/>
      <c r="UJD21"/>
      <c r="UJE21"/>
      <c r="UJF21"/>
      <c r="UJG21"/>
      <c r="UJH21"/>
      <c r="UJI21"/>
      <c r="UJJ21"/>
      <c r="UJK21"/>
      <c r="UJL21"/>
      <c r="UJM21"/>
      <c r="UJN21"/>
      <c r="UJO21"/>
      <c r="UJP21"/>
      <c r="UJQ21"/>
      <c r="UJR21"/>
      <c r="UJS21"/>
      <c r="UJT21"/>
      <c r="UJU21"/>
      <c r="UJV21"/>
      <c r="UJW21"/>
      <c r="UJX21"/>
      <c r="UJY21"/>
      <c r="UJZ21"/>
      <c r="UKA21"/>
      <c r="UKB21"/>
      <c r="UKC21"/>
      <c r="UKD21"/>
      <c r="UKE21"/>
      <c r="UKF21"/>
      <c r="UKG21"/>
      <c r="UKH21"/>
      <c r="UKI21"/>
      <c r="UKJ21"/>
      <c r="UKK21"/>
      <c r="UKL21"/>
      <c r="UKM21"/>
      <c r="UKN21"/>
      <c r="UKO21"/>
      <c r="UKP21"/>
      <c r="UKQ21"/>
      <c r="UKR21"/>
      <c r="UKS21"/>
      <c r="UKT21"/>
      <c r="UKU21"/>
      <c r="UKV21"/>
      <c r="UKW21"/>
      <c r="UKX21"/>
      <c r="UKY21"/>
      <c r="UKZ21"/>
      <c r="ULA21"/>
      <c r="ULB21"/>
      <c r="ULC21"/>
      <c r="ULD21"/>
      <c r="ULE21"/>
      <c r="ULF21"/>
      <c r="ULG21"/>
      <c r="ULH21"/>
      <c r="ULI21"/>
      <c r="ULJ21"/>
      <c r="ULK21"/>
      <c r="ULL21"/>
      <c r="ULM21"/>
      <c r="ULN21"/>
      <c r="ULO21"/>
      <c r="ULP21"/>
      <c r="ULQ21"/>
      <c r="ULR21"/>
      <c r="ULS21"/>
      <c r="ULT21"/>
      <c r="ULU21"/>
      <c r="ULV21"/>
      <c r="ULW21"/>
      <c r="ULX21"/>
      <c r="ULY21"/>
      <c r="ULZ21"/>
      <c r="UMA21"/>
      <c r="UMB21"/>
      <c r="UMC21"/>
      <c r="UMD21"/>
      <c r="UME21"/>
      <c r="UMF21"/>
      <c r="UMG21"/>
      <c r="UMH21"/>
      <c r="UMI21"/>
      <c r="UMJ21"/>
      <c r="UMK21"/>
      <c r="UML21"/>
      <c r="UMM21"/>
      <c r="UMN21"/>
      <c r="UMO21"/>
      <c r="UMP21"/>
      <c r="UMQ21"/>
      <c r="UMR21"/>
      <c r="UMS21"/>
      <c r="UMT21"/>
      <c r="UMU21"/>
      <c r="UMV21"/>
      <c r="UMW21"/>
      <c r="UMX21"/>
      <c r="UMY21"/>
      <c r="UMZ21"/>
      <c r="UNA21"/>
      <c r="UNB21"/>
      <c r="UNC21"/>
      <c r="UND21"/>
      <c r="UNE21"/>
      <c r="UNF21"/>
      <c r="UNG21"/>
      <c r="UNH21"/>
      <c r="UNI21"/>
      <c r="UNJ21"/>
      <c r="UNK21"/>
      <c r="UNL21"/>
      <c r="UNM21"/>
      <c r="UNN21"/>
      <c r="UNO21"/>
      <c r="UNP21"/>
      <c r="UNQ21"/>
      <c r="UNR21"/>
      <c r="UNS21"/>
      <c r="UNT21"/>
      <c r="UNU21"/>
      <c r="UNV21"/>
      <c r="UNW21"/>
      <c r="UNX21"/>
      <c r="UNY21"/>
      <c r="UNZ21"/>
      <c r="UOA21"/>
      <c r="UOB21"/>
      <c r="UOC21"/>
      <c r="UOD21"/>
      <c r="UOE21"/>
      <c r="UOF21"/>
      <c r="UOG21"/>
      <c r="UOH21"/>
      <c r="UOI21"/>
      <c r="UOJ21"/>
      <c r="UOK21"/>
      <c r="UOL21"/>
      <c r="UOM21"/>
      <c r="UON21"/>
      <c r="UOO21"/>
      <c r="UOP21"/>
      <c r="UOQ21"/>
      <c r="UOR21"/>
      <c r="UOS21"/>
      <c r="UOT21"/>
      <c r="UOU21"/>
      <c r="UOV21"/>
      <c r="UOW21"/>
      <c r="UOX21"/>
      <c r="UOY21"/>
      <c r="UOZ21"/>
      <c r="UPA21"/>
      <c r="UPB21"/>
      <c r="UPC21"/>
      <c r="UPD21"/>
      <c r="UPE21"/>
      <c r="UPF21"/>
      <c r="UPG21"/>
      <c r="UPH21"/>
      <c r="UPI21"/>
      <c r="UPJ21"/>
      <c r="UPK21"/>
      <c r="UPL21"/>
      <c r="UPM21"/>
      <c r="UPN21"/>
      <c r="UPO21"/>
      <c r="UPP21"/>
      <c r="UPQ21"/>
      <c r="UPR21"/>
      <c r="UPS21"/>
      <c r="UPT21"/>
      <c r="UPU21"/>
      <c r="UPV21"/>
      <c r="UPW21"/>
      <c r="UPX21"/>
      <c r="UPY21"/>
      <c r="UPZ21"/>
      <c r="UQA21"/>
      <c r="UQB21"/>
      <c r="UQC21"/>
      <c r="UQD21"/>
      <c r="UQE21"/>
      <c r="UQF21"/>
      <c r="UQG21"/>
      <c r="UQH21"/>
      <c r="UQI21"/>
      <c r="UQJ21"/>
      <c r="UQK21"/>
      <c r="UQL21"/>
      <c r="UQM21"/>
      <c r="UQN21"/>
      <c r="UQO21"/>
      <c r="UQP21"/>
      <c r="UQQ21"/>
      <c r="UQR21"/>
      <c r="UQS21"/>
      <c r="UQT21"/>
      <c r="UQU21"/>
      <c r="UQV21"/>
      <c r="UQW21"/>
      <c r="UQX21"/>
      <c r="UQY21"/>
      <c r="UQZ21"/>
      <c r="URA21"/>
      <c r="URB21"/>
      <c r="URC21"/>
      <c r="URD21"/>
      <c r="URE21"/>
      <c r="URF21"/>
      <c r="URG21"/>
      <c r="URH21"/>
      <c r="URI21"/>
      <c r="URJ21"/>
      <c r="URK21"/>
      <c r="URL21"/>
      <c r="URM21"/>
      <c r="URN21"/>
      <c r="URO21"/>
      <c r="URP21"/>
      <c r="URQ21"/>
      <c r="URR21"/>
      <c r="URS21"/>
      <c r="URT21"/>
      <c r="URU21"/>
      <c r="URV21"/>
      <c r="URW21"/>
      <c r="URX21"/>
      <c r="URY21"/>
      <c r="URZ21"/>
      <c r="USA21"/>
      <c r="USB21"/>
      <c r="USC21"/>
      <c r="USD21"/>
      <c r="USE21"/>
      <c r="USF21"/>
      <c r="USG21"/>
      <c r="USH21"/>
      <c r="USI21"/>
      <c r="USJ21"/>
      <c r="USK21"/>
      <c r="USL21"/>
      <c r="USM21"/>
      <c r="USN21"/>
      <c r="USO21"/>
      <c r="USP21"/>
      <c r="USQ21"/>
      <c r="USR21"/>
      <c r="USS21"/>
      <c r="UST21"/>
      <c r="USU21"/>
      <c r="USV21"/>
      <c r="USW21"/>
      <c r="USX21"/>
      <c r="USY21"/>
      <c r="USZ21"/>
      <c r="UTA21"/>
      <c r="UTB21"/>
      <c r="UTC21"/>
      <c r="UTD21"/>
      <c r="UTE21"/>
      <c r="UTF21"/>
      <c r="UTG21"/>
      <c r="UTH21"/>
      <c r="UTI21"/>
      <c r="UTJ21"/>
      <c r="UTK21"/>
      <c r="UTL21"/>
      <c r="UTM21"/>
      <c r="UTN21"/>
      <c r="UTO21"/>
      <c r="UTP21"/>
      <c r="UTQ21"/>
      <c r="UTR21"/>
      <c r="UTS21"/>
      <c r="UTT21"/>
      <c r="UTU21"/>
      <c r="UTV21"/>
      <c r="UTW21"/>
      <c r="UTX21"/>
      <c r="UTY21"/>
      <c r="UTZ21"/>
      <c r="UUA21"/>
      <c r="UUB21"/>
      <c r="UUC21"/>
      <c r="UUD21"/>
      <c r="UUE21"/>
      <c r="UUF21"/>
      <c r="UUG21"/>
      <c r="UUH21"/>
      <c r="UUI21"/>
      <c r="UUJ21"/>
      <c r="UUK21"/>
      <c r="UUL21"/>
      <c r="UUM21"/>
      <c r="UUN21"/>
      <c r="UUO21"/>
      <c r="UUP21"/>
      <c r="UUQ21"/>
      <c r="UUR21"/>
      <c r="UUS21"/>
      <c r="UUT21"/>
      <c r="UUU21"/>
      <c r="UUV21"/>
      <c r="UUW21"/>
      <c r="UUX21"/>
      <c r="UUY21"/>
      <c r="UUZ21"/>
      <c r="UVA21"/>
      <c r="UVB21"/>
      <c r="UVC21"/>
      <c r="UVD21"/>
      <c r="UVE21"/>
      <c r="UVF21"/>
      <c r="UVG21"/>
      <c r="UVH21"/>
      <c r="UVI21"/>
      <c r="UVJ21"/>
      <c r="UVK21"/>
      <c r="UVL21"/>
      <c r="UVM21"/>
      <c r="UVN21"/>
      <c r="UVO21"/>
      <c r="UVP21"/>
      <c r="UVQ21"/>
      <c r="UVR21"/>
      <c r="UVS21"/>
      <c r="UVT21"/>
      <c r="UVU21"/>
      <c r="UVV21"/>
      <c r="UVW21"/>
      <c r="UVX21"/>
      <c r="UVY21"/>
      <c r="UVZ21"/>
      <c r="UWA21"/>
      <c r="UWB21"/>
      <c r="UWC21"/>
      <c r="UWD21"/>
      <c r="UWE21"/>
      <c r="UWF21"/>
      <c r="UWG21"/>
      <c r="UWH21"/>
      <c r="UWI21"/>
      <c r="UWJ21"/>
      <c r="UWK21"/>
      <c r="UWL21"/>
      <c r="UWM21"/>
      <c r="UWN21"/>
      <c r="UWO21"/>
      <c r="UWP21"/>
      <c r="UWQ21"/>
      <c r="UWR21"/>
      <c r="UWS21"/>
      <c r="UWT21"/>
      <c r="UWU21"/>
      <c r="UWV21"/>
      <c r="UWW21"/>
      <c r="UWX21"/>
      <c r="UWY21"/>
      <c r="UWZ21"/>
      <c r="UXA21"/>
      <c r="UXB21"/>
      <c r="UXC21"/>
      <c r="UXD21"/>
      <c r="UXE21"/>
      <c r="UXF21"/>
      <c r="UXG21"/>
      <c r="UXH21"/>
      <c r="UXI21"/>
      <c r="UXJ21"/>
      <c r="UXK21"/>
      <c r="UXL21"/>
      <c r="UXM21"/>
      <c r="UXN21"/>
      <c r="UXO21"/>
      <c r="UXP21"/>
      <c r="UXQ21"/>
      <c r="UXR21"/>
      <c r="UXS21"/>
      <c r="UXT21"/>
      <c r="UXU21"/>
      <c r="UXV21"/>
      <c r="UXW21"/>
      <c r="UXX21"/>
      <c r="UXY21"/>
      <c r="UXZ21"/>
      <c r="UYA21"/>
      <c r="UYB21"/>
      <c r="UYC21"/>
      <c r="UYD21"/>
      <c r="UYE21"/>
      <c r="UYF21"/>
      <c r="UYG21"/>
      <c r="UYH21"/>
      <c r="UYI21"/>
      <c r="UYJ21"/>
      <c r="UYK21"/>
      <c r="UYL21"/>
      <c r="UYM21"/>
      <c r="UYN21"/>
      <c r="UYO21"/>
      <c r="UYP21"/>
      <c r="UYQ21"/>
      <c r="UYR21"/>
      <c r="UYS21"/>
      <c r="UYT21"/>
      <c r="UYU21"/>
      <c r="UYV21"/>
      <c r="UYW21"/>
      <c r="UYX21"/>
      <c r="UYY21"/>
      <c r="UYZ21"/>
      <c r="UZA21"/>
      <c r="UZB21"/>
      <c r="UZC21"/>
      <c r="UZD21"/>
      <c r="UZE21"/>
      <c r="UZF21"/>
      <c r="UZG21"/>
      <c r="UZH21"/>
      <c r="UZI21"/>
      <c r="UZJ21"/>
      <c r="UZK21"/>
      <c r="UZL21"/>
      <c r="UZM21"/>
      <c r="UZN21"/>
      <c r="UZO21"/>
      <c r="UZP21"/>
      <c r="UZQ21"/>
      <c r="UZR21"/>
      <c r="UZS21"/>
      <c r="UZT21"/>
      <c r="UZU21"/>
      <c r="UZV21"/>
      <c r="UZW21"/>
      <c r="UZX21"/>
      <c r="UZY21"/>
      <c r="UZZ21"/>
      <c r="VAA21"/>
      <c r="VAB21"/>
      <c r="VAC21"/>
      <c r="VAD21"/>
      <c r="VAE21"/>
      <c r="VAF21"/>
      <c r="VAG21"/>
      <c r="VAH21"/>
      <c r="VAI21"/>
      <c r="VAJ21"/>
      <c r="VAK21"/>
      <c r="VAL21"/>
      <c r="VAM21"/>
      <c r="VAN21"/>
      <c r="VAO21"/>
      <c r="VAP21"/>
      <c r="VAQ21"/>
      <c r="VAR21"/>
      <c r="VAS21"/>
      <c r="VAT21"/>
      <c r="VAU21"/>
      <c r="VAV21"/>
      <c r="VAW21"/>
      <c r="VAX21"/>
      <c r="VAY21"/>
      <c r="VAZ21"/>
      <c r="VBA21"/>
      <c r="VBB21"/>
      <c r="VBC21"/>
      <c r="VBD21"/>
      <c r="VBE21"/>
      <c r="VBF21"/>
      <c r="VBG21"/>
      <c r="VBH21"/>
      <c r="VBI21"/>
      <c r="VBJ21"/>
      <c r="VBK21"/>
      <c r="VBL21"/>
      <c r="VBM21"/>
      <c r="VBN21"/>
      <c r="VBO21"/>
      <c r="VBP21"/>
      <c r="VBQ21"/>
      <c r="VBR21"/>
      <c r="VBS21"/>
      <c r="VBT21"/>
      <c r="VBU21"/>
      <c r="VBV21"/>
      <c r="VBW21"/>
      <c r="VBX21"/>
      <c r="VBY21"/>
      <c r="VBZ21"/>
      <c r="VCA21"/>
      <c r="VCB21"/>
      <c r="VCC21"/>
      <c r="VCD21"/>
      <c r="VCE21"/>
      <c r="VCF21"/>
      <c r="VCG21"/>
      <c r="VCH21"/>
      <c r="VCI21"/>
      <c r="VCJ21"/>
      <c r="VCK21"/>
      <c r="VCL21"/>
      <c r="VCM21"/>
      <c r="VCN21"/>
      <c r="VCO21"/>
      <c r="VCP21"/>
      <c r="VCQ21"/>
      <c r="VCR21"/>
      <c r="VCS21"/>
      <c r="VCT21"/>
      <c r="VCU21"/>
      <c r="VCV21"/>
      <c r="VCW21"/>
      <c r="VCX21"/>
      <c r="VCY21"/>
      <c r="VCZ21"/>
      <c r="VDA21"/>
      <c r="VDB21"/>
      <c r="VDC21"/>
      <c r="VDD21"/>
      <c r="VDE21"/>
      <c r="VDF21"/>
      <c r="VDG21"/>
      <c r="VDH21"/>
      <c r="VDI21"/>
      <c r="VDJ21"/>
      <c r="VDK21"/>
      <c r="VDL21"/>
      <c r="VDM21"/>
      <c r="VDN21"/>
      <c r="VDO21"/>
      <c r="VDP21"/>
      <c r="VDQ21"/>
      <c r="VDR21"/>
      <c r="VDS21"/>
      <c r="VDT21"/>
      <c r="VDU21"/>
      <c r="VDV21"/>
      <c r="VDW21"/>
      <c r="VDX21"/>
      <c r="VDY21"/>
      <c r="VDZ21"/>
      <c r="VEA21"/>
      <c r="VEB21"/>
      <c r="VEC21"/>
      <c r="VED21"/>
      <c r="VEE21"/>
      <c r="VEF21"/>
      <c r="VEG21"/>
      <c r="VEH21"/>
      <c r="VEI21"/>
      <c r="VEJ21"/>
      <c r="VEK21"/>
      <c r="VEL21"/>
      <c r="VEM21"/>
      <c r="VEN21"/>
      <c r="VEO21"/>
      <c r="VEP21"/>
      <c r="VEQ21"/>
      <c r="VER21"/>
      <c r="VES21"/>
      <c r="VET21"/>
      <c r="VEU21"/>
      <c r="VEV21"/>
      <c r="VEW21"/>
      <c r="VEX21"/>
      <c r="VEY21"/>
      <c r="VEZ21"/>
      <c r="VFA21"/>
      <c r="VFB21"/>
      <c r="VFC21"/>
      <c r="VFD21"/>
      <c r="VFE21"/>
      <c r="VFF21"/>
      <c r="VFG21"/>
      <c r="VFH21"/>
      <c r="VFI21"/>
      <c r="VFJ21"/>
      <c r="VFK21"/>
      <c r="VFL21"/>
      <c r="VFM21"/>
      <c r="VFN21"/>
      <c r="VFO21"/>
      <c r="VFP21"/>
      <c r="VFQ21"/>
      <c r="VFR21"/>
      <c r="VFS21"/>
      <c r="VFT21"/>
      <c r="VFU21"/>
      <c r="VFV21"/>
      <c r="VFW21"/>
      <c r="VFX21"/>
      <c r="VFY21"/>
      <c r="VFZ21"/>
      <c r="VGA21"/>
      <c r="VGB21"/>
      <c r="VGC21"/>
      <c r="VGD21"/>
      <c r="VGE21"/>
      <c r="VGF21"/>
      <c r="VGG21"/>
      <c r="VGH21"/>
      <c r="VGI21"/>
      <c r="VGJ21"/>
      <c r="VGK21"/>
      <c r="VGL21"/>
      <c r="VGM21"/>
      <c r="VGN21"/>
      <c r="VGO21"/>
      <c r="VGP21"/>
      <c r="VGQ21"/>
      <c r="VGR21"/>
      <c r="VGS21"/>
      <c r="VGT21"/>
      <c r="VGU21"/>
      <c r="VGV21"/>
      <c r="VGW21"/>
      <c r="VGX21"/>
      <c r="VGY21"/>
      <c r="VGZ21"/>
      <c r="VHA21"/>
      <c r="VHB21"/>
      <c r="VHC21"/>
      <c r="VHD21"/>
      <c r="VHE21"/>
      <c r="VHF21"/>
      <c r="VHG21"/>
      <c r="VHH21"/>
      <c r="VHI21"/>
      <c r="VHJ21"/>
      <c r="VHK21"/>
      <c r="VHL21"/>
      <c r="VHM21"/>
      <c r="VHN21"/>
      <c r="VHO21"/>
      <c r="VHP21"/>
      <c r="VHQ21"/>
      <c r="VHR21"/>
      <c r="VHS21"/>
      <c r="VHT21"/>
      <c r="VHU21"/>
      <c r="VHV21"/>
      <c r="VHW21"/>
      <c r="VHX21"/>
      <c r="VHY21"/>
      <c r="VHZ21"/>
      <c r="VIA21"/>
      <c r="VIB21"/>
      <c r="VIC21"/>
      <c r="VID21"/>
      <c r="VIE21"/>
      <c r="VIF21"/>
      <c r="VIG21"/>
      <c r="VIH21"/>
      <c r="VII21"/>
      <c r="VIJ21"/>
      <c r="VIK21"/>
      <c r="VIL21"/>
      <c r="VIM21"/>
      <c r="VIN21"/>
      <c r="VIO21"/>
      <c r="VIP21"/>
      <c r="VIQ21"/>
      <c r="VIR21"/>
      <c r="VIS21"/>
      <c r="VIT21"/>
      <c r="VIU21"/>
      <c r="VIV21"/>
      <c r="VIW21"/>
      <c r="VIX21"/>
      <c r="VIY21"/>
      <c r="VIZ21"/>
      <c r="VJA21"/>
      <c r="VJB21"/>
      <c r="VJC21"/>
      <c r="VJD21"/>
      <c r="VJE21"/>
      <c r="VJF21"/>
      <c r="VJG21"/>
      <c r="VJH21"/>
      <c r="VJI21"/>
      <c r="VJJ21"/>
      <c r="VJK21"/>
      <c r="VJL21"/>
      <c r="VJM21"/>
      <c r="VJN21"/>
      <c r="VJO21"/>
      <c r="VJP21"/>
      <c r="VJQ21"/>
      <c r="VJR21"/>
      <c r="VJS21"/>
      <c r="VJT21"/>
      <c r="VJU21"/>
      <c r="VJV21"/>
      <c r="VJW21"/>
      <c r="VJX21"/>
      <c r="VJY21"/>
      <c r="VJZ21"/>
      <c r="VKA21"/>
      <c r="VKB21"/>
      <c r="VKC21"/>
      <c r="VKD21"/>
      <c r="VKE21"/>
      <c r="VKF21"/>
      <c r="VKG21"/>
      <c r="VKH21"/>
      <c r="VKI21"/>
      <c r="VKJ21"/>
      <c r="VKK21"/>
      <c r="VKL21"/>
      <c r="VKM21"/>
      <c r="VKN21"/>
      <c r="VKO21"/>
      <c r="VKP21"/>
      <c r="VKQ21"/>
      <c r="VKR21"/>
      <c r="VKS21"/>
      <c r="VKT21"/>
      <c r="VKU21"/>
      <c r="VKV21"/>
      <c r="VKW21"/>
      <c r="VKX21"/>
      <c r="VKY21"/>
      <c r="VKZ21"/>
      <c r="VLA21"/>
      <c r="VLB21"/>
      <c r="VLC21"/>
      <c r="VLD21"/>
      <c r="VLE21"/>
      <c r="VLF21"/>
      <c r="VLG21"/>
      <c r="VLH21"/>
      <c r="VLI21"/>
      <c r="VLJ21"/>
      <c r="VLK21"/>
      <c r="VLL21"/>
      <c r="VLM21"/>
      <c r="VLN21"/>
      <c r="VLO21"/>
      <c r="VLP21"/>
      <c r="VLQ21"/>
      <c r="VLR21"/>
      <c r="VLS21"/>
      <c r="VLT21"/>
      <c r="VLU21"/>
      <c r="VLV21"/>
      <c r="VLW21"/>
      <c r="VLX21"/>
      <c r="VLY21"/>
      <c r="VLZ21"/>
      <c r="VMA21"/>
      <c r="VMB21"/>
      <c r="VMC21"/>
      <c r="VMD21"/>
      <c r="VME21"/>
      <c r="VMF21"/>
      <c r="VMG21"/>
      <c r="VMH21"/>
      <c r="VMI21"/>
      <c r="VMJ21"/>
      <c r="VMK21"/>
      <c r="VML21"/>
      <c r="VMM21"/>
      <c r="VMN21"/>
      <c r="VMO21"/>
      <c r="VMP21"/>
      <c r="VMQ21"/>
      <c r="VMR21"/>
      <c r="VMS21"/>
      <c r="VMT21"/>
      <c r="VMU21"/>
      <c r="VMV21"/>
      <c r="VMW21"/>
      <c r="VMX21"/>
      <c r="VMY21"/>
      <c r="VMZ21"/>
      <c r="VNA21"/>
      <c r="VNB21"/>
      <c r="VNC21"/>
      <c r="VND21"/>
      <c r="VNE21"/>
      <c r="VNF21"/>
      <c r="VNG21"/>
      <c r="VNH21"/>
      <c r="VNI21"/>
      <c r="VNJ21"/>
      <c r="VNK21"/>
      <c r="VNL21"/>
      <c r="VNM21"/>
      <c r="VNN21"/>
      <c r="VNO21"/>
      <c r="VNP21"/>
      <c r="VNQ21"/>
      <c r="VNR21"/>
      <c r="VNS21"/>
      <c r="VNT21"/>
      <c r="VNU21"/>
      <c r="VNV21"/>
      <c r="VNW21"/>
      <c r="VNX21"/>
      <c r="VNY21"/>
      <c r="VNZ21"/>
      <c r="VOA21"/>
      <c r="VOB21"/>
      <c r="VOC21"/>
      <c r="VOD21"/>
      <c r="VOE21"/>
      <c r="VOF21"/>
      <c r="VOG21"/>
      <c r="VOH21"/>
      <c r="VOI21"/>
      <c r="VOJ21"/>
      <c r="VOK21"/>
      <c r="VOL21"/>
      <c r="VOM21"/>
      <c r="VON21"/>
      <c r="VOO21"/>
      <c r="VOP21"/>
      <c r="VOQ21"/>
      <c r="VOR21"/>
      <c r="VOS21"/>
      <c r="VOT21"/>
      <c r="VOU21"/>
      <c r="VOV21"/>
      <c r="VOW21"/>
      <c r="VOX21"/>
      <c r="VOY21"/>
      <c r="VOZ21"/>
      <c r="VPA21"/>
      <c r="VPB21"/>
      <c r="VPC21"/>
      <c r="VPD21"/>
      <c r="VPE21"/>
      <c r="VPF21"/>
      <c r="VPG21"/>
      <c r="VPH21"/>
      <c r="VPI21"/>
      <c r="VPJ21"/>
      <c r="VPK21"/>
      <c r="VPL21"/>
      <c r="VPM21"/>
      <c r="VPN21"/>
      <c r="VPO21"/>
      <c r="VPP21"/>
      <c r="VPQ21"/>
      <c r="VPR21"/>
      <c r="VPS21"/>
      <c r="VPT21"/>
      <c r="VPU21"/>
      <c r="VPV21"/>
      <c r="VPW21"/>
      <c r="VPX21"/>
      <c r="VPY21"/>
      <c r="VPZ21"/>
      <c r="VQA21"/>
      <c r="VQB21"/>
      <c r="VQC21"/>
      <c r="VQD21"/>
      <c r="VQE21"/>
      <c r="VQF21"/>
      <c r="VQG21"/>
      <c r="VQH21"/>
      <c r="VQI21"/>
      <c r="VQJ21"/>
      <c r="VQK21"/>
      <c r="VQL21"/>
      <c r="VQM21"/>
      <c r="VQN21"/>
      <c r="VQO21"/>
      <c r="VQP21"/>
      <c r="VQQ21"/>
      <c r="VQR21"/>
      <c r="VQS21"/>
      <c r="VQT21"/>
      <c r="VQU21"/>
      <c r="VQV21"/>
      <c r="VQW21"/>
      <c r="VQX21"/>
      <c r="VQY21"/>
      <c r="VQZ21"/>
      <c r="VRA21"/>
      <c r="VRB21"/>
      <c r="VRC21"/>
      <c r="VRD21"/>
      <c r="VRE21"/>
      <c r="VRF21"/>
      <c r="VRG21"/>
      <c r="VRH21"/>
      <c r="VRI21"/>
      <c r="VRJ21"/>
      <c r="VRK21"/>
      <c r="VRL21"/>
      <c r="VRM21"/>
      <c r="VRN21"/>
      <c r="VRO21"/>
      <c r="VRP21"/>
      <c r="VRQ21"/>
      <c r="VRR21"/>
      <c r="VRS21"/>
      <c r="VRT21"/>
      <c r="VRU21"/>
      <c r="VRV21"/>
      <c r="VRW21"/>
      <c r="VRX21"/>
      <c r="VRY21"/>
      <c r="VRZ21"/>
      <c r="VSA21"/>
      <c r="VSB21"/>
      <c r="VSC21"/>
      <c r="VSD21"/>
      <c r="VSE21"/>
      <c r="VSF21"/>
      <c r="VSG21"/>
      <c r="VSH21"/>
      <c r="VSI21"/>
      <c r="VSJ21"/>
      <c r="VSK21"/>
      <c r="VSL21"/>
      <c r="VSM21"/>
      <c r="VSN21"/>
      <c r="VSO21"/>
      <c r="VSP21"/>
      <c r="VSQ21"/>
      <c r="VSR21"/>
      <c r="VSS21"/>
      <c r="VST21"/>
      <c r="VSU21"/>
      <c r="VSV21"/>
      <c r="VSW21"/>
      <c r="VSX21"/>
      <c r="VSY21"/>
      <c r="VSZ21"/>
      <c r="VTA21"/>
      <c r="VTB21"/>
      <c r="VTC21"/>
      <c r="VTD21"/>
      <c r="VTE21"/>
      <c r="VTF21"/>
      <c r="VTG21"/>
      <c r="VTH21"/>
      <c r="VTI21"/>
      <c r="VTJ21"/>
      <c r="VTK21"/>
      <c r="VTL21"/>
      <c r="VTM21"/>
      <c r="VTN21"/>
      <c r="VTO21"/>
      <c r="VTP21"/>
      <c r="VTQ21"/>
      <c r="VTR21"/>
      <c r="VTS21"/>
      <c r="VTT21"/>
      <c r="VTU21"/>
      <c r="VTV21"/>
      <c r="VTW21"/>
      <c r="VTX21"/>
      <c r="VTY21"/>
      <c r="VTZ21"/>
      <c r="VUA21"/>
      <c r="VUB21"/>
      <c r="VUC21"/>
      <c r="VUD21"/>
      <c r="VUE21"/>
      <c r="VUF21"/>
      <c r="VUG21"/>
      <c r="VUH21"/>
      <c r="VUI21"/>
      <c r="VUJ21"/>
      <c r="VUK21"/>
      <c r="VUL21"/>
      <c r="VUM21"/>
      <c r="VUN21"/>
      <c r="VUO21"/>
      <c r="VUP21"/>
      <c r="VUQ21"/>
      <c r="VUR21"/>
      <c r="VUS21"/>
      <c r="VUT21"/>
      <c r="VUU21"/>
      <c r="VUV21"/>
      <c r="VUW21"/>
      <c r="VUX21"/>
      <c r="VUY21"/>
      <c r="VUZ21"/>
      <c r="VVA21"/>
      <c r="VVB21"/>
      <c r="VVC21"/>
      <c r="VVD21"/>
      <c r="VVE21"/>
      <c r="VVF21"/>
      <c r="VVG21"/>
      <c r="VVH21"/>
      <c r="VVI21"/>
      <c r="VVJ21"/>
      <c r="VVK21"/>
      <c r="VVL21"/>
      <c r="VVM21"/>
      <c r="VVN21"/>
      <c r="VVO21"/>
      <c r="VVP21"/>
      <c r="VVQ21"/>
      <c r="VVR21"/>
      <c r="VVS21"/>
      <c r="VVT21"/>
      <c r="VVU21"/>
      <c r="VVV21"/>
      <c r="VVW21"/>
      <c r="VVX21"/>
      <c r="VVY21"/>
      <c r="VVZ21"/>
      <c r="VWA21"/>
      <c r="VWB21"/>
      <c r="VWC21"/>
      <c r="VWD21"/>
      <c r="VWE21"/>
      <c r="VWF21"/>
      <c r="VWG21"/>
      <c r="VWH21"/>
      <c r="VWI21"/>
      <c r="VWJ21"/>
      <c r="VWK21"/>
      <c r="VWL21"/>
      <c r="VWM21"/>
      <c r="VWN21"/>
      <c r="VWO21"/>
      <c r="VWP21"/>
      <c r="VWQ21"/>
      <c r="VWR21"/>
      <c r="VWS21"/>
      <c r="VWT21"/>
      <c r="VWU21"/>
      <c r="VWV21"/>
      <c r="VWW21"/>
      <c r="VWX21"/>
      <c r="VWY21"/>
      <c r="VWZ21"/>
      <c r="VXA21"/>
      <c r="VXB21"/>
      <c r="VXC21"/>
      <c r="VXD21"/>
      <c r="VXE21"/>
      <c r="VXF21"/>
      <c r="VXG21"/>
      <c r="VXH21"/>
      <c r="VXI21"/>
      <c r="VXJ21"/>
      <c r="VXK21"/>
      <c r="VXL21"/>
      <c r="VXM21"/>
      <c r="VXN21"/>
      <c r="VXO21"/>
      <c r="VXP21"/>
      <c r="VXQ21"/>
      <c r="VXR21"/>
      <c r="VXS21"/>
      <c r="VXT21"/>
      <c r="VXU21"/>
      <c r="VXV21"/>
      <c r="VXW21"/>
      <c r="VXX21"/>
      <c r="VXY21"/>
      <c r="VXZ21"/>
      <c r="VYA21"/>
      <c r="VYB21"/>
      <c r="VYC21"/>
      <c r="VYD21"/>
      <c r="VYE21"/>
      <c r="VYF21"/>
      <c r="VYG21"/>
      <c r="VYH21"/>
      <c r="VYI21"/>
      <c r="VYJ21"/>
      <c r="VYK21"/>
      <c r="VYL21"/>
      <c r="VYM21"/>
      <c r="VYN21"/>
      <c r="VYO21"/>
      <c r="VYP21"/>
      <c r="VYQ21"/>
      <c r="VYR21"/>
      <c r="VYS21"/>
      <c r="VYT21"/>
      <c r="VYU21"/>
      <c r="VYV21"/>
      <c r="VYW21"/>
      <c r="VYX21"/>
      <c r="VYY21"/>
      <c r="VYZ21"/>
      <c r="VZA21"/>
      <c r="VZB21"/>
      <c r="VZC21"/>
      <c r="VZD21"/>
      <c r="VZE21"/>
      <c r="VZF21"/>
      <c r="VZG21"/>
      <c r="VZH21"/>
      <c r="VZI21"/>
      <c r="VZJ21"/>
      <c r="VZK21"/>
      <c r="VZL21"/>
      <c r="VZM21"/>
      <c r="VZN21"/>
      <c r="VZO21"/>
      <c r="VZP21"/>
      <c r="VZQ21"/>
      <c r="VZR21"/>
      <c r="VZS21"/>
      <c r="VZT21"/>
      <c r="VZU21"/>
      <c r="VZV21"/>
      <c r="VZW21"/>
      <c r="VZX21"/>
      <c r="VZY21"/>
      <c r="VZZ21"/>
      <c r="WAA21"/>
      <c r="WAB21"/>
      <c r="WAC21"/>
      <c r="WAD21"/>
      <c r="WAE21"/>
      <c r="WAF21"/>
      <c r="WAG21"/>
      <c r="WAH21"/>
      <c r="WAI21"/>
      <c r="WAJ21"/>
      <c r="WAK21"/>
      <c r="WAL21"/>
      <c r="WAM21"/>
      <c r="WAN21"/>
      <c r="WAO21"/>
      <c r="WAP21"/>
      <c r="WAQ21"/>
      <c r="WAR21"/>
      <c r="WAS21"/>
      <c r="WAT21"/>
      <c r="WAU21"/>
      <c r="WAV21"/>
      <c r="WAW21"/>
      <c r="WAX21"/>
      <c r="WAY21"/>
      <c r="WAZ21"/>
      <c r="WBA21"/>
      <c r="WBB21"/>
      <c r="WBC21"/>
      <c r="WBD21"/>
      <c r="WBE21"/>
      <c r="WBF21"/>
      <c r="WBG21"/>
      <c r="WBH21"/>
      <c r="WBI21"/>
      <c r="WBJ21"/>
      <c r="WBK21"/>
      <c r="WBL21"/>
      <c r="WBM21"/>
      <c r="WBN21"/>
      <c r="WBO21"/>
      <c r="WBP21"/>
      <c r="WBQ21"/>
      <c r="WBR21"/>
      <c r="WBS21"/>
      <c r="WBT21"/>
      <c r="WBU21"/>
      <c r="WBV21"/>
      <c r="WBW21"/>
      <c r="WBX21"/>
      <c r="WBY21"/>
      <c r="WBZ21"/>
      <c r="WCA21"/>
      <c r="WCB21"/>
      <c r="WCC21"/>
      <c r="WCD21"/>
      <c r="WCE21"/>
      <c r="WCF21"/>
      <c r="WCG21"/>
      <c r="WCH21"/>
      <c r="WCI21"/>
      <c r="WCJ21"/>
      <c r="WCK21"/>
      <c r="WCL21"/>
      <c r="WCM21"/>
      <c r="WCN21"/>
      <c r="WCO21"/>
      <c r="WCP21"/>
      <c r="WCQ21"/>
      <c r="WCR21"/>
      <c r="WCS21"/>
      <c r="WCT21"/>
      <c r="WCU21"/>
      <c r="WCV21"/>
      <c r="WCW21"/>
      <c r="WCX21"/>
      <c r="WCY21"/>
      <c r="WCZ21"/>
      <c r="WDA21"/>
      <c r="WDB21"/>
      <c r="WDC21"/>
      <c r="WDD21"/>
      <c r="WDE21"/>
      <c r="WDF21"/>
      <c r="WDG21"/>
      <c r="WDH21"/>
      <c r="WDI21"/>
      <c r="WDJ21"/>
      <c r="WDK21"/>
      <c r="WDL21"/>
      <c r="WDM21"/>
      <c r="WDN21"/>
      <c r="WDO21"/>
      <c r="WDP21"/>
      <c r="WDQ21"/>
      <c r="WDR21"/>
      <c r="WDS21"/>
      <c r="WDT21"/>
      <c r="WDU21"/>
      <c r="WDV21"/>
      <c r="WDW21"/>
      <c r="WDX21"/>
      <c r="WDY21"/>
      <c r="WDZ21"/>
      <c r="WEA21"/>
      <c r="WEB21"/>
      <c r="WEC21"/>
      <c r="WED21"/>
      <c r="WEE21"/>
      <c r="WEF21"/>
      <c r="WEG21"/>
      <c r="WEH21"/>
      <c r="WEI21"/>
      <c r="WEJ21"/>
      <c r="WEK21"/>
      <c r="WEL21"/>
      <c r="WEM21"/>
      <c r="WEN21"/>
      <c r="WEO21"/>
      <c r="WEP21"/>
      <c r="WEQ21"/>
      <c r="WER21"/>
      <c r="WES21"/>
      <c r="WET21"/>
      <c r="WEU21"/>
      <c r="WEV21"/>
      <c r="WEW21"/>
      <c r="WEX21"/>
      <c r="WEY21"/>
      <c r="WEZ21"/>
      <c r="WFA21"/>
      <c r="WFB21"/>
      <c r="WFC21"/>
      <c r="WFD21"/>
      <c r="WFE21"/>
      <c r="WFF21"/>
      <c r="WFG21"/>
      <c r="WFH21"/>
      <c r="WFI21"/>
      <c r="WFJ21"/>
      <c r="WFK21"/>
      <c r="WFL21"/>
      <c r="WFM21"/>
      <c r="WFN21"/>
      <c r="WFO21"/>
      <c r="WFP21"/>
      <c r="WFQ21"/>
      <c r="WFR21"/>
      <c r="WFS21"/>
      <c r="WFT21"/>
      <c r="WFU21"/>
      <c r="WFV21"/>
      <c r="WFW21"/>
      <c r="WFX21"/>
      <c r="WFY21"/>
      <c r="WFZ21"/>
      <c r="WGA21"/>
      <c r="WGB21"/>
      <c r="WGC21"/>
      <c r="WGD21"/>
      <c r="WGE21"/>
      <c r="WGF21"/>
      <c r="WGG21"/>
      <c r="WGH21"/>
      <c r="WGI21"/>
      <c r="WGJ21"/>
      <c r="WGK21"/>
      <c r="WGL21"/>
      <c r="WGM21"/>
      <c r="WGN21"/>
      <c r="WGO21"/>
      <c r="WGP21"/>
      <c r="WGQ21"/>
      <c r="WGR21"/>
      <c r="WGS21"/>
      <c r="WGT21"/>
      <c r="WGU21"/>
      <c r="WGV21"/>
      <c r="WGW21"/>
      <c r="WGX21"/>
      <c r="WGY21"/>
      <c r="WGZ21"/>
      <c r="WHA21"/>
      <c r="WHB21"/>
      <c r="WHC21"/>
      <c r="WHD21"/>
      <c r="WHE21"/>
      <c r="WHF21"/>
      <c r="WHG21"/>
      <c r="WHH21"/>
      <c r="WHI21"/>
      <c r="WHJ21"/>
      <c r="WHK21"/>
      <c r="WHL21"/>
      <c r="WHM21"/>
      <c r="WHN21"/>
      <c r="WHO21"/>
      <c r="WHP21"/>
      <c r="WHQ21"/>
      <c r="WHR21"/>
      <c r="WHS21"/>
      <c r="WHT21"/>
      <c r="WHU21"/>
      <c r="WHV21"/>
      <c r="WHW21"/>
      <c r="WHX21"/>
      <c r="WHY21"/>
      <c r="WHZ21"/>
      <c r="WIA21"/>
      <c r="WIB21"/>
      <c r="WIC21"/>
      <c r="WID21"/>
      <c r="WIE21"/>
      <c r="WIF21"/>
      <c r="WIG21"/>
      <c r="WIH21"/>
      <c r="WII21"/>
      <c r="WIJ21"/>
      <c r="WIK21"/>
      <c r="WIL21"/>
      <c r="WIM21"/>
      <c r="WIN21"/>
      <c r="WIO21"/>
      <c r="WIP21"/>
      <c r="WIQ21"/>
      <c r="WIR21"/>
      <c r="WIS21"/>
      <c r="WIT21"/>
      <c r="WIU21"/>
      <c r="WIV21"/>
      <c r="WIW21"/>
      <c r="WIX21"/>
      <c r="WIY21"/>
      <c r="WIZ21"/>
      <c r="WJA21"/>
      <c r="WJB21"/>
      <c r="WJC21"/>
      <c r="WJD21"/>
      <c r="WJE21"/>
      <c r="WJF21"/>
      <c r="WJG21"/>
      <c r="WJH21"/>
      <c r="WJI21"/>
      <c r="WJJ21"/>
      <c r="WJK21"/>
      <c r="WJL21"/>
      <c r="WJM21"/>
      <c r="WJN21"/>
      <c r="WJO21"/>
      <c r="WJP21"/>
      <c r="WJQ21"/>
      <c r="WJR21"/>
      <c r="WJS21"/>
      <c r="WJT21"/>
      <c r="WJU21"/>
      <c r="WJV21"/>
      <c r="WJW21"/>
      <c r="WJX21"/>
      <c r="WJY21"/>
      <c r="WJZ21"/>
      <c r="WKA21"/>
      <c r="WKB21"/>
      <c r="WKC21"/>
      <c r="WKD21"/>
      <c r="WKE21"/>
      <c r="WKF21"/>
      <c r="WKG21"/>
      <c r="WKH21"/>
      <c r="WKI21"/>
      <c r="WKJ21"/>
      <c r="WKK21"/>
      <c r="WKL21"/>
      <c r="WKM21"/>
      <c r="WKN21"/>
      <c r="WKO21"/>
      <c r="WKP21"/>
      <c r="WKQ21"/>
      <c r="WKR21"/>
      <c r="WKS21"/>
      <c r="WKT21"/>
      <c r="WKU21"/>
      <c r="WKV21"/>
      <c r="WKW21"/>
      <c r="WKX21"/>
      <c r="WKY21"/>
      <c r="WKZ21"/>
      <c r="WLA21"/>
      <c r="WLB21"/>
      <c r="WLC21"/>
      <c r="WLD21"/>
      <c r="WLE21"/>
      <c r="WLF21"/>
      <c r="WLG21"/>
      <c r="WLH21"/>
      <c r="WLI21"/>
      <c r="WLJ21"/>
      <c r="WLK21"/>
      <c r="WLL21"/>
      <c r="WLM21"/>
      <c r="WLN21"/>
      <c r="WLO21"/>
      <c r="WLP21"/>
      <c r="WLQ21"/>
      <c r="WLR21"/>
      <c r="WLS21"/>
      <c r="WLT21"/>
      <c r="WLU21"/>
      <c r="WLV21"/>
      <c r="WLW21"/>
      <c r="WLX21"/>
      <c r="WLY21"/>
      <c r="WLZ21"/>
      <c r="WMA21"/>
      <c r="WMB21"/>
      <c r="WMC21"/>
      <c r="WMD21"/>
      <c r="WME21"/>
      <c r="WMF21"/>
      <c r="WMG21"/>
      <c r="WMH21"/>
      <c r="WMI21"/>
      <c r="WMJ21"/>
      <c r="WMK21"/>
      <c r="WML21"/>
      <c r="WMM21"/>
      <c r="WMN21"/>
      <c r="WMO21"/>
      <c r="WMP21"/>
      <c r="WMQ21"/>
      <c r="WMR21"/>
      <c r="WMS21"/>
      <c r="WMT21"/>
      <c r="WMU21"/>
      <c r="WMV21"/>
      <c r="WMW21"/>
      <c r="WMX21"/>
      <c r="WMY21"/>
      <c r="WMZ21"/>
      <c r="WNA21"/>
      <c r="WNB21"/>
      <c r="WNC21"/>
      <c r="WND21"/>
      <c r="WNE21"/>
      <c r="WNF21"/>
      <c r="WNG21"/>
      <c r="WNH21"/>
      <c r="WNI21"/>
      <c r="WNJ21"/>
      <c r="WNK21"/>
      <c r="WNL21"/>
      <c r="WNM21"/>
      <c r="WNN21"/>
      <c r="WNO21"/>
      <c r="WNP21"/>
      <c r="WNQ21"/>
      <c r="WNR21"/>
      <c r="WNS21"/>
      <c r="WNT21"/>
      <c r="WNU21"/>
      <c r="WNV21"/>
      <c r="WNW21"/>
      <c r="WNX21"/>
      <c r="WNY21"/>
      <c r="WNZ21"/>
      <c r="WOA21"/>
      <c r="WOB21"/>
      <c r="WOC21"/>
      <c r="WOD21"/>
      <c r="WOE21"/>
      <c r="WOF21"/>
      <c r="WOG21"/>
      <c r="WOH21"/>
      <c r="WOI21"/>
      <c r="WOJ21"/>
      <c r="WOK21"/>
      <c r="WOL21"/>
      <c r="WOM21"/>
      <c r="WON21"/>
      <c r="WOO21"/>
      <c r="WOP21"/>
      <c r="WOQ21"/>
      <c r="WOR21"/>
      <c r="WOS21"/>
      <c r="WOT21"/>
      <c r="WOU21"/>
      <c r="WOV21"/>
      <c r="WOW21"/>
      <c r="WOX21"/>
      <c r="WOY21"/>
      <c r="WOZ21"/>
      <c r="WPA21"/>
      <c r="WPB21"/>
      <c r="WPC21"/>
      <c r="WPD21"/>
      <c r="WPE21"/>
      <c r="WPF21"/>
      <c r="WPG21"/>
      <c r="WPH21"/>
      <c r="WPI21"/>
      <c r="WPJ21"/>
      <c r="WPK21"/>
      <c r="WPL21"/>
      <c r="WPM21"/>
      <c r="WPN21"/>
      <c r="WPO21"/>
      <c r="WPP21"/>
      <c r="WPQ21"/>
      <c r="WPR21"/>
      <c r="WPS21"/>
      <c r="WPT21"/>
      <c r="WPU21"/>
      <c r="WPV21"/>
      <c r="WPW21"/>
      <c r="WPX21"/>
      <c r="WPY21"/>
      <c r="WPZ21"/>
      <c r="WQA21"/>
      <c r="WQB21"/>
      <c r="WQC21"/>
      <c r="WQD21"/>
      <c r="WQE21"/>
      <c r="WQF21"/>
      <c r="WQG21"/>
      <c r="WQH21"/>
      <c r="WQI21"/>
      <c r="WQJ21"/>
      <c r="WQK21"/>
      <c r="WQL21"/>
      <c r="WQM21"/>
      <c r="WQN21"/>
      <c r="WQO21"/>
      <c r="WQP21"/>
      <c r="WQQ21"/>
      <c r="WQR21"/>
      <c r="WQS21"/>
      <c r="WQT21"/>
      <c r="WQU21"/>
      <c r="WQV21"/>
      <c r="WQW21"/>
      <c r="WQX21"/>
      <c r="WQY21"/>
      <c r="WQZ21"/>
      <c r="WRA21"/>
      <c r="WRB21"/>
      <c r="WRC21"/>
      <c r="WRD21"/>
      <c r="WRE21"/>
      <c r="WRF21"/>
      <c r="WRG21"/>
      <c r="WRH21"/>
      <c r="WRI21"/>
      <c r="WRJ21"/>
      <c r="WRK21"/>
      <c r="WRL21"/>
      <c r="WRM21"/>
      <c r="WRN21"/>
      <c r="WRO21"/>
      <c r="WRP21"/>
      <c r="WRQ21"/>
      <c r="WRR21"/>
      <c r="WRS21"/>
      <c r="WRT21"/>
      <c r="WRU21"/>
      <c r="WRV21"/>
      <c r="WRW21"/>
      <c r="WRX21"/>
      <c r="WRY21"/>
      <c r="WRZ21"/>
      <c r="WSA21"/>
      <c r="WSB21"/>
      <c r="WSC21"/>
      <c r="WSD21"/>
      <c r="WSE21"/>
      <c r="WSF21"/>
      <c r="WSG21"/>
      <c r="WSH21"/>
      <c r="WSI21"/>
      <c r="WSJ21"/>
      <c r="WSK21"/>
      <c r="WSL21"/>
      <c r="WSM21"/>
      <c r="WSN21"/>
      <c r="WSO21"/>
      <c r="WSP21"/>
      <c r="WSQ21"/>
      <c r="WSR21"/>
      <c r="WSS21"/>
      <c r="WST21"/>
      <c r="WSU21"/>
      <c r="WSV21"/>
      <c r="WSW21"/>
      <c r="WSX21"/>
      <c r="WSY21"/>
      <c r="WSZ21"/>
      <c r="WTA21"/>
      <c r="WTB21"/>
      <c r="WTC21"/>
      <c r="WTD21"/>
      <c r="WTE21"/>
      <c r="WTF21"/>
      <c r="WTG21"/>
      <c r="WTH21"/>
      <c r="WTI21"/>
      <c r="WTJ21"/>
      <c r="WTK21"/>
      <c r="WTL21"/>
      <c r="WTM21"/>
      <c r="WTN21"/>
      <c r="WTO21"/>
      <c r="WTP21"/>
      <c r="WTQ21"/>
      <c r="WTR21"/>
      <c r="WTS21"/>
      <c r="WTT21"/>
      <c r="WTU21"/>
      <c r="WTV21"/>
      <c r="WTW21"/>
      <c r="WTX21"/>
      <c r="WTY21"/>
      <c r="WTZ21"/>
      <c r="WUA21"/>
      <c r="WUB21"/>
      <c r="WUC21"/>
      <c r="WUD21"/>
      <c r="WUE21"/>
      <c r="WUF21"/>
      <c r="WUG21"/>
      <c r="WUH21"/>
      <c r="WUI21"/>
      <c r="WUJ21"/>
      <c r="WUK21"/>
      <c r="WUL21"/>
      <c r="WUM21"/>
      <c r="WUN21"/>
      <c r="WUO21"/>
      <c r="WUP21"/>
      <c r="WUQ21"/>
      <c r="WUR21"/>
      <c r="WUS21"/>
      <c r="WUT21"/>
      <c r="WUU21"/>
      <c r="WUV21"/>
      <c r="WUW21"/>
      <c r="WUX21"/>
      <c r="WUY21"/>
      <c r="WUZ21"/>
      <c r="WVA21"/>
      <c r="WVB21"/>
      <c r="WVC21"/>
      <c r="WVD21"/>
      <c r="WVE21"/>
      <c r="WVF21"/>
      <c r="WVG21"/>
      <c r="WVH21"/>
      <c r="WVI21"/>
      <c r="WVJ21"/>
      <c r="WVK21"/>
      <c r="WVL21"/>
      <c r="WVM21"/>
      <c r="WVN21"/>
      <c r="WVO21"/>
      <c r="WVP21"/>
      <c r="WVQ21"/>
      <c r="WVR21"/>
      <c r="WVS21"/>
      <c r="WVT21"/>
      <c r="WVU21"/>
      <c r="WVV21"/>
      <c r="WVW21"/>
      <c r="WVX21"/>
      <c r="WVY21"/>
      <c r="WVZ21"/>
      <c r="WWA21"/>
      <c r="WWB21"/>
      <c r="WWC21"/>
      <c r="WWD21"/>
      <c r="WWE21"/>
      <c r="WWF21"/>
      <c r="WWG21"/>
      <c r="WWH21"/>
      <c r="WWI21"/>
      <c r="WWJ21"/>
      <c r="WWK21"/>
      <c r="WWL21"/>
      <c r="WWM21"/>
      <c r="WWN21"/>
      <c r="WWO21"/>
      <c r="WWP21"/>
      <c r="WWQ21"/>
      <c r="WWR21"/>
      <c r="WWS21"/>
      <c r="WWT21"/>
      <c r="WWU21"/>
      <c r="WWV21"/>
      <c r="WWW21"/>
      <c r="WWX21"/>
      <c r="WWY21"/>
      <c r="WWZ21"/>
      <c r="WXA21"/>
      <c r="WXB21"/>
      <c r="WXC21"/>
      <c r="WXD21"/>
      <c r="WXE21"/>
      <c r="WXF21"/>
      <c r="WXG21"/>
      <c r="WXH21"/>
      <c r="WXI21"/>
      <c r="WXJ21"/>
      <c r="WXK21"/>
      <c r="WXL21"/>
      <c r="WXM21"/>
      <c r="WXN21"/>
      <c r="WXO21"/>
      <c r="WXP21"/>
      <c r="WXQ21"/>
      <c r="WXR21"/>
      <c r="WXS21"/>
      <c r="WXT21"/>
      <c r="WXU21"/>
      <c r="WXV21"/>
      <c r="WXW21"/>
      <c r="WXX21"/>
      <c r="WXY21"/>
      <c r="WXZ21"/>
      <c r="WYA21"/>
      <c r="WYB21"/>
      <c r="WYC21"/>
      <c r="WYD21"/>
      <c r="WYE21"/>
      <c r="WYF21"/>
      <c r="WYG21"/>
      <c r="WYH21"/>
      <c r="WYI21"/>
      <c r="WYJ21"/>
      <c r="WYK21"/>
      <c r="WYL21"/>
      <c r="WYM21"/>
      <c r="WYN21"/>
      <c r="WYO21"/>
      <c r="WYP21"/>
      <c r="WYQ21"/>
      <c r="WYR21"/>
      <c r="WYS21"/>
      <c r="WYT21"/>
      <c r="WYU21"/>
      <c r="WYV21"/>
      <c r="WYW21"/>
      <c r="WYX21"/>
      <c r="WYY21"/>
      <c r="WYZ21"/>
      <c r="WZA21"/>
      <c r="WZB21"/>
      <c r="WZC21"/>
      <c r="WZD21"/>
      <c r="WZE21"/>
      <c r="WZF21"/>
      <c r="WZG21"/>
      <c r="WZH21"/>
      <c r="WZI21"/>
      <c r="WZJ21"/>
      <c r="WZK21"/>
      <c r="WZL21"/>
      <c r="WZM21"/>
      <c r="WZN21"/>
      <c r="WZO21"/>
      <c r="WZP21"/>
      <c r="WZQ21"/>
      <c r="WZR21"/>
      <c r="WZS21"/>
      <c r="WZT21"/>
      <c r="WZU21"/>
      <c r="WZV21"/>
      <c r="WZW21"/>
      <c r="WZX21"/>
      <c r="WZY21"/>
      <c r="WZZ21"/>
      <c r="XAA21"/>
      <c r="XAB21"/>
      <c r="XAC21"/>
      <c r="XAD21"/>
      <c r="XAE21"/>
      <c r="XAF21"/>
      <c r="XAG21"/>
      <c r="XAH21"/>
      <c r="XAI21"/>
      <c r="XAJ21"/>
      <c r="XAK21"/>
      <c r="XAL21"/>
      <c r="XAM21"/>
      <c r="XAN21"/>
      <c r="XAO21"/>
      <c r="XAP21"/>
      <c r="XAQ21"/>
      <c r="XAR21"/>
      <c r="XAS21"/>
      <c r="XAT21"/>
      <c r="XAU21"/>
      <c r="XAV21"/>
      <c r="XAW21"/>
      <c r="XAX21"/>
      <c r="XAY21"/>
      <c r="XAZ21"/>
      <c r="XBA21"/>
      <c r="XBB21"/>
      <c r="XBC21"/>
      <c r="XBD21"/>
      <c r="XBE21"/>
      <c r="XBF21"/>
      <c r="XBG21"/>
      <c r="XBH21"/>
      <c r="XBI21"/>
      <c r="XBJ21"/>
      <c r="XBK21"/>
      <c r="XBL21"/>
      <c r="XBM21"/>
      <c r="XBN21"/>
      <c r="XBO21"/>
      <c r="XBP21"/>
      <c r="XBQ21"/>
      <c r="XBR21"/>
      <c r="XBS21"/>
      <c r="XBT21"/>
      <c r="XBU21"/>
      <c r="XBV21"/>
      <c r="XBW21"/>
      <c r="XBX21"/>
      <c r="XBY21"/>
      <c r="XBZ21"/>
      <c r="XCA21"/>
      <c r="XCB21"/>
      <c r="XCC21"/>
      <c r="XCD21"/>
      <c r="XCE21"/>
      <c r="XCF21"/>
      <c r="XCG21"/>
      <c r="XCH21"/>
      <c r="XCI21"/>
      <c r="XCJ21"/>
      <c r="XCK21"/>
      <c r="XCL21"/>
      <c r="XCM21"/>
      <c r="XCN21"/>
      <c r="XCO21"/>
      <c r="XCP21"/>
      <c r="XCQ21"/>
      <c r="XCR21"/>
      <c r="XCS21"/>
      <c r="XCT21"/>
      <c r="XCU21"/>
      <c r="XCV21"/>
      <c r="XCW21"/>
      <c r="XCX21"/>
      <c r="XCY21"/>
      <c r="XCZ21"/>
      <c r="XDA21"/>
      <c r="XDB21"/>
      <c r="XDC21"/>
      <c r="XDD21"/>
      <c r="XDE21"/>
      <c r="XDF21"/>
      <c r="XDG21"/>
      <c r="XDH21"/>
      <c r="XDI21"/>
      <c r="XDJ21"/>
      <c r="XDK21"/>
      <c r="XDL21"/>
      <c r="XDM21"/>
      <c r="XDN21"/>
      <c r="XDO21"/>
      <c r="XDP21"/>
      <c r="XDQ21"/>
      <c r="XDR21"/>
      <c r="XDS21"/>
      <c r="XDT21"/>
      <c r="XDU21"/>
      <c r="XDV21"/>
      <c r="XDW21"/>
      <c r="XDX21"/>
      <c r="XDY21"/>
      <c r="XDZ21"/>
      <c r="XEA21"/>
      <c r="XEB21"/>
      <c r="XEC21"/>
      <c r="XED21"/>
      <c r="XEE21"/>
      <c r="XEF21"/>
      <c r="XEG21"/>
      <c r="XEH21"/>
      <c r="XEI21"/>
      <c r="XEJ21"/>
      <c r="XEK21"/>
      <c r="XEL21"/>
      <c r="XEM21"/>
      <c r="XEN21"/>
      <c r="XEO21"/>
      <c r="XEP21"/>
      <c r="XEQ21"/>
      <c r="XER21"/>
      <c r="XES21"/>
      <c r="XET21"/>
      <c r="XEU21"/>
      <c r="XEV21"/>
      <c r="XEW21"/>
      <c r="XEX21"/>
      <c r="XEY21"/>
      <c r="XEZ21"/>
      <c r="XFA21"/>
      <c r="XFB21"/>
    </row>
    <row r="22" spans="1:16382" s="44" customFormat="1" x14ac:dyDescent="0.35">
      <c r="A22"/>
      <c r="B22" t="s">
        <v>914</v>
      </c>
      <c r="C22" s="28" t="s">
        <v>528</v>
      </c>
      <c r="D22" s="29" t="s">
        <v>529</v>
      </c>
      <c r="E22" s="29" t="s">
        <v>530</v>
      </c>
      <c r="F22" s="29" t="s">
        <v>531</v>
      </c>
      <c r="G22" s="29" t="s">
        <v>532</v>
      </c>
      <c r="H22" s="29" t="s">
        <v>533</v>
      </c>
      <c r="I22" s="29" t="s">
        <v>534</v>
      </c>
      <c r="J22" s="30" t="s">
        <v>535</v>
      </c>
      <c r="K22" s="29" t="s">
        <v>82</v>
      </c>
      <c r="L22" s="35">
        <v>2250</v>
      </c>
      <c r="M22" s="35">
        <v>2250</v>
      </c>
      <c r="N22" s="16">
        <f t="shared" si="0"/>
        <v>8839.3846153846152</v>
      </c>
      <c r="O22" s="35">
        <v>2250</v>
      </c>
      <c r="P22" s="35">
        <v>2250</v>
      </c>
      <c r="Q22" s="16">
        <f t="shared" si="1"/>
        <v>2934.782608695652</v>
      </c>
      <c r="R22" s="35">
        <v>2250</v>
      </c>
      <c r="S22" s="35">
        <v>2250</v>
      </c>
      <c r="T22" s="16">
        <f t="shared" si="2"/>
        <v>2124.5901639344261</v>
      </c>
      <c r="U22" s="35">
        <v>2250</v>
      </c>
      <c r="V22" s="35">
        <v>2250</v>
      </c>
      <c r="W22" s="16">
        <f t="shared" si="3"/>
        <v>15.000000000000002</v>
      </c>
      <c r="X22" s="35">
        <v>500</v>
      </c>
      <c r="Y22" s="35">
        <v>500</v>
      </c>
      <c r="Z22" s="16">
        <f t="shared" si="4"/>
        <v>0</v>
      </c>
      <c r="AA22" s="35">
        <v>0</v>
      </c>
      <c r="AB22" s="35">
        <v>0</v>
      </c>
      <c r="AC22" s="16">
        <f t="shared" si="5"/>
        <v>0</v>
      </c>
      <c r="AD22" s="32" t="s">
        <v>82</v>
      </c>
      <c r="AE22" s="5">
        <v>1</v>
      </c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  <c r="AJY22"/>
      <c r="AJZ22"/>
      <c r="AKA22"/>
      <c r="AKB22"/>
      <c r="AKC22"/>
      <c r="AKD22"/>
      <c r="AKE22"/>
      <c r="AKF22"/>
      <c r="AKG22"/>
      <c r="AKH22"/>
      <c r="AKI22"/>
      <c r="AKJ22"/>
      <c r="AKK22"/>
      <c r="AKL22"/>
      <c r="AKM22"/>
      <c r="AKN22"/>
      <c r="AKO22"/>
      <c r="AKP22"/>
      <c r="AKQ22"/>
      <c r="AKR22"/>
      <c r="AKS22"/>
      <c r="AKT22"/>
      <c r="AKU22"/>
      <c r="AKV22"/>
      <c r="AKW22"/>
      <c r="AKX22"/>
      <c r="AKY22"/>
      <c r="AKZ22"/>
      <c r="ALA22"/>
      <c r="ALB22"/>
      <c r="ALC22"/>
      <c r="ALD22"/>
      <c r="ALE22"/>
      <c r="ALF22"/>
      <c r="ALG22"/>
      <c r="ALH22"/>
      <c r="ALI22"/>
      <c r="ALJ22"/>
      <c r="ALK22"/>
      <c r="ALL22"/>
      <c r="ALM22"/>
      <c r="ALN22"/>
      <c r="ALO22"/>
      <c r="ALP22"/>
      <c r="ALQ22"/>
      <c r="ALR22"/>
      <c r="ALS22"/>
      <c r="ALT22"/>
      <c r="ALU22"/>
      <c r="ALV22"/>
      <c r="ALW22"/>
      <c r="ALX22"/>
      <c r="ALY22"/>
      <c r="ALZ22"/>
      <c r="AMA22"/>
      <c r="AMB22"/>
      <c r="AMC22"/>
      <c r="AMD22"/>
      <c r="AME22"/>
      <c r="AMF22"/>
      <c r="AMG22"/>
      <c r="AMH22"/>
      <c r="AMI22"/>
      <c r="AMJ22"/>
      <c r="AMK22"/>
      <c r="AML22"/>
      <c r="AMM22"/>
      <c r="AMN22"/>
      <c r="AMO22"/>
      <c r="AMP22"/>
      <c r="AMQ22"/>
      <c r="AMR22"/>
      <c r="AMS22"/>
      <c r="AMT22"/>
      <c r="AMU22"/>
      <c r="AMV22"/>
      <c r="AMW22"/>
      <c r="AMX22"/>
      <c r="AMY22"/>
      <c r="AMZ22"/>
      <c r="ANA22"/>
      <c r="ANB22"/>
      <c r="ANC22"/>
      <c r="AND22"/>
      <c r="ANE22"/>
      <c r="ANF22"/>
      <c r="ANG22"/>
      <c r="ANH22"/>
      <c r="ANI22"/>
      <c r="ANJ22"/>
      <c r="ANK22"/>
      <c r="ANL22"/>
      <c r="ANM22"/>
      <c r="ANN22"/>
      <c r="ANO22"/>
      <c r="ANP22"/>
      <c r="ANQ22"/>
      <c r="ANR22"/>
      <c r="ANS22"/>
      <c r="ANT22"/>
      <c r="ANU22"/>
      <c r="ANV22"/>
      <c r="ANW22"/>
      <c r="ANX22"/>
      <c r="ANY22"/>
      <c r="ANZ22"/>
      <c r="AOA22"/>
      <c r="AOB22"/>
      <c r="AOC22"/>
      <c r="AOD22"/>
      <c r="AOE22"/>
      <c r="AOF22"/>
      <c r="AOG22"/>
      <c r="AOH22"/>
      <c r="AOI22"/>
      <c r="AOJ22"/>
      <c r="AOK22"/>
      <c r="AOL22"/>
      <c r="AOM22"/>
      <c r="AON22"/>
      <c r="AOO22"/>
      <c r="AOP22"/>
      <c r="AOQ22"/>
      <c r="AOR22"/>
      <c r="AOS22"/>
      <c r="AOT22"/>
      <c r="AOU22"/>
      <c r="AOV22"/>
      <c r="AOW22"/>
      <c r="AOX22"/>
      <c r="AOY22"/>
      <c r="AOZ22"/>
      <c r="APA22"/>
      <c r="APB22"/>
      <c r="APC22"/>
      <c r="APD22"/>
      <c r="APE22"/>
      <c r="APF22"/>
      <c r="APG22"/>
      <c r="APH22"/>
      <c r="API22"/>
      <c r="APJ22"/>
      <c r="APK22"/>
      <c r="APL22"/>
      <c r="APM22"/>
      <c r="APN22"/>
      <c r="APO22"/>
      <c r="APP22"/>
      <c r="APQ22"/>
      <c r="APR22"/>
      <c r="APS22"/>
      <c r="APT22"/>
      <c r="APU22"/>
      <c r="APV22"/>
      <c r="APW22"/>
      <c r="APX22"/>
      <c r="APY22"/>
      <c r="APZ22"/>
      <c r="AQA22"/>
      <c r="AQB22"/>
      <c r="AQC22"/>
      <c r="AQD22"/>
      <c r="AQE22"/>
      <c r="AQF22"/>
      <c r="AQG22"/>
      <c r="AQH22"/>
      <c r="AQI22"/>
      <c r="AQJ22"/>
      <c r="AQK22"/>
      <c r="AQL22"/>
      <c r="AQM22"/>
      <c r="AQN22"/>
      <c r="AQO22"/>
      <c r="AQP22"/>
      <c r="AQQ22"/>
      <c r="AQR22"/>
      <c r="AQS22"/>
      <c r="AQT22"/>
      <c r="AQU22"/>
      <c r="AQV22"/>
      <c r="AQW22"/>
      <c r="AQX22"/>
      <c r="AQY22"/>
      <c r="AQZ22"/>
      <c r="ARA22"/>
      <c r="ARB22"/>
      <c r="ARC22"/>
      <c r="ARD22"/>
      <c r="ARE22"/>
      <c r="ARF22"/>
      <c r="ARG22"/>
      <c r="ARH22"/>
      <c r="ARI22"/>
      <c r="ARJ22"/>
      <c r="ARK22"/>
      <c r="ARL22"/>
      <c r="ARM22"/>
      <c r="ARN22"/>
      <c r="ARO22"/>
      <c r="ARP22"/>
      <c r="ARQ22"/>
      <c r="ARR22"/>
      <c r="ARS22"/>
      <c r="ART22"/>
      <c r="ARU22"/>
      <c r="ARV22"/>
      <c r="ARW22"/>
      <c r="ARX22"/>
      <c r="ARY22"/>
      <c r="ARZ22"/>
      <c r="ASA22"/>
      <c r="ASB22"/>
      <c r="ASC22"/>
      <c r="ASD22"/>
      <c r="ASE22"/>
      <c r="ASF22"/>
      <c r="ASG22"/>
      <c r="ASH22"/>
      <c r="ASI22"/>
      <c r="ASJ22"/>
      <c r="ASK22"/>
      <c r="ASL22"/>
      <c r="ASM22"/>
      <c r="ASN22"/>
      <c r="ASO22"/>
      <c r="ASP22"/>
      <c r="ASQ22"/>
      <c r="ASR22"/>
      <c r="ASS22"/>
      <c r="AST22"/>
      <c r="ASU22"/>
      <c r="ASV22"/>
      <c r="ASW22"/>
      <c r="ASX22"/>
      <c r="ASY22"/>
      <c r="ASZ22"/>
      <c r="ATA22"/>
      <c r="ATB22"/>
      <c r="ATC22"/>
      <c r="ATD22"/>
      <c r="ATE22"/>
      <c r="ATF22"/>
      <c r="ATG22"/>
      <c r="ATH22"/>
      <c r="ATI22"/>
      <c r="ATJ22"/>
      <c r="ATK22"/>
      <c r="ATL22"/>
      <c r="ATM22"/>
      <c r="ATN22"/>
      <c r="ATO22"/>
      <c r="ATP22"/>
      <c r="ATQ22"/>
      <c r="ATR22"/>
      <c r="ATS22"/>
      <c r="ATT22"/>
      <c r="ATU22"/>
      <c r="ATV22"/>
      <c r="ATW22"/>
      <c r="ATX22"/>
      <c r="ATY22"/>
      <c r="ATZ22"/>
      <c r="AUA22"/>
      <c r="AUB22"/>
      <c r="AUC22"/>
      <c r="AUD22"/>
      <c r="AUE22"/>
      <c r="AUF22"/>
      <c r="AUG22"/>
      <c r="AUH22"/>
      <c r="AUI22"/>
      <c r="AUJ22"/>
      <c r="AUK22"/>
      <c r="AUL22"/>
      <c r="AUM22"/>
      <c r="AUN22"/>
      <c r="AUO22"/>
      <c r="AUP22"/>
      <c r="AUQ22"/>
      <c r="AUR22"/>
      <c r="AUS22"/>
      <c r="AUT22"/>
      <c r="AUU22"/>
      <c r="AUV22"/>
      <c r="AUW22"/>
      <c r="AUX22"/>
      <c r="AUY22"/>
      <c r="AUZ22"/>
      <c r="AVA22"/>
      <c r="AVB22"/>
      <c r="AVC22"/>
      <c r="AVD22"/>
      <c r="AVE22"/>
      <c r="AVF22"/>
      <c r="AVG22"/>
      <c r="AVH22"/>
      <c r="AVI22"/>
      <c r="AVJ22"/>
      <c r="AVK22"/>
      <c r="AVL22"/>
      <c r="AVM22"/>
      <c r="AVN22"/>
      <c r="AVO22"/>
      <c r="AVP22"/>
      <c r="AVQ22"/>
      <c r="AVR22"/>
      <c r="AVS22"/>
      <c r="AVT22"/>
      <c r="AVU22"/>
      <c r="AVV22"/>
      <c r="AVW22"/>
      <c r="AVX22"/>
      <c r="AVY22"/>
      <c r="AVZ22"/>
      <c r="AWA22"/>
      <c r="AWB22"/>
      <c r="AWC22"/>
      <c r="AWD22"/>
      <c r="AWE22"/>
      <c r="AWF22"/>
      <c r="AWG22"/>
      <c r="AWH22"/>
      <c r="AWI22"/>
      <c r="AWJ22"/>
      <c r="AWK22"/>
      <c r="AWL22"/>
      <c r="AWM22"/>
      <c r="AWN22"/>
      <c r="AWO22"/>
      <c r="AWP22"/>
      <c r="AWQ22"/>
      <c r="AWR22"/>
      <c r="AWS22"/>
      <c r="AWT22"/>
      <c r="AWU22"/>
      <c r="AWV22"/>
      <c r="AWW22"/>
      <c r="AWX22"/>
      <c r="AWY22"/>
      <c r="AWZ22"/>
      <c r="AXA22"/>
      <c r="AXB22"/>
      <c r="AXC22"/>
      <c r="AXD22"/>
      <c r="AXE22"/>
      <c r="AXF22"/>
      <c r="AXG22"/>
      <c r="AXH22"/>
      <c r="AXI22"/>
      <c r="AXJ22"/>
      <c r="AXK22"/>
      <c r="AXL22"/>
      <c r="AXM22"/>
      <c r="AXN22"/>
      <c r="AXO22"/>
      <c r="AXP22"/>
      <c r="AXQ22"/>
      <c r="AXR22"/>
      <c r="AXS22"/>
      <c r="AXT22"/>
      <c r="AXU22"/>
      <c r="AXV22"/>
      <c r="AXW22"/>
      <c r="AXX22"/>
      <c r="AXY22"/>
      <c r="AXZ22"/>
      <c r="AYA22"/>
      <c r="AYB22"/>
      <c r="AYC22"/>
      <c r="AYD22"/>
      <c r="AYE22"/>
      <c r="AYF22"/>
      <c r="AYG22"/>
      <c r="AYH22"/>
      <c r="AYI22"/>
      <c r="AYJ22"/>
      <c r="AYK22"/>
      <c r="AYL22"/>
      <c r="AYM22"/>
      <c r="AYN22"/>
      <c r="AYO22"/>
      <c r="AYP22"/>
      <c r="AYQ22"/>
      <c r="AYR22"/>
      <c r="AYS22"/>
      <c r="AYT22"/>
      <c r="AYU22"/>
      <c r="AYV22"/>
      <c r="AYW22"/>
      <c r="AYX22"/>
      <c r="AYY22"/>
      <c r="AYZ22"/>
      <c r="AZA22"/>
      <c r="AZB22"/>
      <c r="AZC22"/>
      <c r="AZD22"/>
      <c r="AZE22"/>
      <c r="AZF22"/>
      <c r="AZG22"/>
      <c r="AZH22"/>
      <c r="AZI22"/>
      <c r="AZJ22"/>
      <c r="AZK22"/>
      <c r="AZL22"/>
      <c r="AZM22"/>
      <c r="AZN22"/>
      <c r="AZO22"/>
      <c r="AZP22"/>
      <c r="AZQ22"/>
      <c r="AZR22"/>
      <c r="AZS22"/>
      <c r="AZT22"/>
      <c r="AZU22"/>
      <c r="AZV22"/>
      <c r="AZW22"/>
      <c r="AZX22"/>
      <c r="AZY22"/>
      <c r="AZZ22"/>
      <c r="BAA22"/>
      <c r="BAB22"/>
      <c r="BAC22"/>
      <c r="BAD22"/>
      <c r="BAE22"/>
      <c r="BAF22"/>
      <c r="BAG22"/>
      <c r="BAH22"/>
      <c r="BAI22"/>
      <c r="BAJ22"/>
      <c r="BAK22"/>
      <c r="BAL22"/>
      <c r="BAM22"/>
      <c r="BAN22"/>
      <c r="BAO22"/>
      <c r="BAP22"/>
      <c r="BAQ22"/>
      <c r="BAR22"/>
      <c r="BAS22"/>
      <c r="BAT22"/>
      <c r="BAU22"/>
      <c r="BAV22"/>
      <c r="BAW22"/>
      <c r="BAX22"/>
      <c r="BAY22"/>
      <c r="BAZ22"/>
      <c r="BBA22"/>
      <c r="BBB22"/>
      <c r="BBC22"/>
      <c r="BBD22"/>
      <c r="BBE22"/>
      <c r="BBF22"/>
      <c r="BBG22"/>
      <c r="BBH22"/>
      <c r="BBI22"/>
      <c r="BBJ22"/>
      <c r="BBK22"/>
      <c r="BBL22"/>
      <c r="BBM22"/>
      <c r="BBN22"/>
      <c r="BBO22"/>
      <c r="BBP22"/>
      <c r="BBQ22"/>
      <c r="BBR22"/>
      <c r="BBS22"/>
      <c r="BBT22"/>
      <c r="BBU22"/>
      <c r="BBV22"/>
      <c r="BBW22"/>
      <c r="BBX22"/>
      <c r="BBY22"/>
      <c r="BBZ22"/>
      <c r="BCA22"/>
      <c r="BCB22"/>
      <c r="BCC22"/>
      <c r="BCD22"/>
      <c r="BCE22"/>
      <c r="BCF22"/>
      <c r="BCG22"/>
      <c r="BCH22"/>
      <c r="BCI22"/>
      <c r="BCJ22"/>
      <c r="BCK22"/>
      <c r="BCL22"/>
      <c r="BCM22"/>
      <c r="BCN22"/>
      <c r="BCO22"/>
      <c r="BCP22"/>
      <c r="BCQ22"/>
      <c r="BCR22"/>
      <c r="BCS22"/>
      <c r="BCT22"/>
      <c r="BCU22"/>
      <c r="BCV22"/>
      <c r="BCW22"/>
      <c r="BCX22"/>
      <c r="BCY22"/>
      <c r="BCZ22"/>
      <c r="BDA22"/>
      <c r="BDB22"/>
      <c r="BDC22"/>
      <c r="BDD22"/>
      <c r="BDE22"/>
      <c r="BDF22"/>
      <c r="BDG22"/>
      <c r="BDH22"/>
      <c r="BDI22"/>
      <c r="BDJ22"/>
      <c r="BDK22"/>
      <c r="BDL22"/>
      <c r="BDM22"/>
      <c r="BDN22"/>
      <c r="BDO22"/>
      <c r="BDP22"/>
      <c r="BDQ22"/>
      <c r="BDR22"/>
      <c r="BDS22"/>
      <c r="BDT22"/>
      <c r="BDU22"/>
      <c r="BDV22"/>
      <c r="BDW22"/>
      <c r="BDX22"/>
      <c r="BDY22"/>
      <c r="BDZ22"/>
      <c r="BEA22"/>
      <c r="BEB22"/>
      <c r="BEC22"/>
      <c r="BED22"/>
      <c r="BEE22"/>
      <c r="BEF22"/>
      <c r="BEG22"/>
      <c r="BEH22"/>
      <c r="BEI22"/>
      <c r="BEJ22"/>
      <c r="BEK22"/>
      <c r="BEL22"/>
      <c r="BEM22"/>
      <c r="BEN22"/>
      <c r="BEO22"/>
      <c r="BEP22"/>
      <c r="BEQ22"/>
      <c r="BER22"/>
      <c r="BES22"/>
      <c r="BET22"/>
      <c r="BEU22"/>
      <c r="BEV22"/>
      <c r="BEW22"/>
      <c r="BEX22"/>
      <c r="BEY22"/>
      <c r="BEZ22"/>
      <c r="BFA22"/>
      <c r="BFB22"/>
      <c r="BFC22"/>
      <c r="BFD22"/>
      <c r="BFE22"/>
      <c r="BFF22"/>
      <c r="BFG22"/>
      <c r="BFH22"/>
      <c r="BFI22"/>
      <c r="BFJ22"/>
      <c r="BFK22"/>
      <c r="BFL22"/>
      <c r="BFM22"/>
      <c r="BFN22"/>
      <c r="BFO22"/>
      <c r="BFP22"/>
      <c r="BFQ22"/>
      <c r="BFR22"/>
      <c r="BFS22"/>
      <c r="BFT22"/>
      <c r="BFU22"/>
      <c r="BFV22"/>
      <c r="BFW22"/>
      <c r="BFX22"/>
      <c r="BFY22"/>
      <c r="BFZ22"/>
      <c r="BGA22"/>
      <c r="BGB22"/>
      <c r="BGC22"/>
      <c r="BGD22"/>
      <c r="BGE22"/>
      <c r="BGF22"/>
      <c r="BGG22"/>
      <c r="BGH22"/>
      <c r="BGI22"/>
      <c r="BGJ22"/>
      <c r="BGK22"/>
      <c r="BGL22"/>
      <c r="BGM22"/>
      <c r="BGN22"/>
      <c r="BGO22"/>
      <c r="BGP22"/>
      <c r="BGQ22"/>
      <c r="BGR22"/>
      <c r="BGS22"/>
      <c r="BGT22"/>
      <c r="BGU22"/>
      <c r="BGV22"/>
      <c r="BGW22"/>
      <c r="BGX22"/>
      <c r="BGY22"/>
      <c r="BGZ22"/>
      <c r="BHA22"/>
      <c r="BHB22"/>
      <c r="BHC22"/>
      <c r="BHD22"/>
      <c r="BHE22"/>
      <c r="BHF22"/>
      <c r="BHG22"/>
      <c r="BHH22"/>
      <c r="BHI22"/>
      <c r="BHJ22"/>
      <c r="BHK22"/>
      <c r="BHL22"/>
      <c r="BHM22"/>
      <c r="BHN22"/>
      <c r="BHO22"/>
      <c r="BHP22"/>
      <c r="BHQ22"/>
      <c r="BHR22"/>
      <c r="BHS22"/>
      <c r="BHT22"/>
      <c r="BHU22"/>
      <c r="BHV22"/>
      <c r="BHW22"/>
      <c r="BHX22"/>
      <c r="BHY22"/>
      <c r="BHZ22"/>
      <c r="BIA22"/>
      <c r="BIB22"/>
      <c r="BIC22"/>
      <c r="BID22"/>
      <c r="BIE22"/>
      <c r="BIF22"/>
      <c r="BIG22"/>
      <c r="BIH22"/>
      <c r="BII22"/>
      <c r="BIJ22"/>
      <c r="BIK22"/>
      <c r="BIL22"/>
      <c r="BIM22"/>
      <c r="BIN22"/>
      <c r="BIO22"/>
      <c r="BIP22"/>
      <c r="BIQ22"/>
      <c r="BIR22"/>
      <c r="BIS22"/>
      <c r="BIT22"/>
      <c r="BIU22"/>
      <c r="BIV22"/>
      <c r="BIW22"/>
      <c r="BIX22"/>
      <c r="BIY22"/>
      <c r="BIZ22"/>
      <c r="BJA22"/>
      <c r="BJB22"/>
      <c r="BJC22"/>
      <c r="BJD22"/>
      <c r="BJE22"/>
      <c r="BJF22"/>
      <c r="BJG22"/>
      <c r="BJH22"/>
      <c r="BJI22"/>
      <c r="BJJ22"/>
      <c r="BJK22"/>
      <c r="BJL22"/>
      <c r="BJM22"/>
      <c r="BJN22"/>
      <c r="BJO22"/>
      <c r="BJP22"/>
      <c r="BJQ22"/>
      <c r="BJR22"/>
      <c r="BJS22"/>
      <c r="BJT22"/>
      <c r="BJU22"/>
      <c r="BJV22"/>
      <c r="BJW22"/>
      <c r="BJX22"/>
      <c r="BJY22"/>
      <c r="BJZ22"/>
      <c r="BKA22"/>
      <c r="BKB22"/>
      <c r="BKC22"/>
      <c r="BKD22"/>
      <c r="BKE22"/>
      <c r="BKF22"/>
      <c r="BKG22"/>
      <c r="BKH22"/>
      <c r="BKI22"/>
      <c r="BKJ22"/>
      <c r="BKK22"/>
      <c r="BKL22"/>
      <c r="BKM22"/>
      <c r="BKN22"/>
      <c r="BKO22"/>
      <c r="BKP22"/>
      <c r="BKQ22"/>
      <c r="BKR22"/>
      <c r="BKS22"/>
      <c r="BKT22"/>
      <c r="BKU22"/>
      <c r="BKV22"/>
      <c r="BKW22"/>
      <c r="BKX22"/>
      <c r="BKY22"/>
      <c r="BKZ22"/>
      <c r="BLA22"/>
      <c r="BLB22"/>
      <c r="BLC22"/>
      <c r="BLD22"/>
      <c r="BLE22"/>
      <c r="BLF22"/>
      <c r="BLG22"/>
      <c r="BLH22"/>
      <c r="BLI22"/>
      <c r="BLJ22"/>
      <c r="BLK22"/>
      <c r="BLL22"/>
      <c r="BLM22"/>
      <c r="BLN22"/>
      <c r="BLO22"/>
      <c r="BLP22"/>
      <c r="BLQ22"/>
      <c r="BLR22"/>
      <c r="BLS22"/>
      <c r="BLT22"/>
      <c r="BLU22"/>
      <c r="BLV22"/>
      <c r="BLW22"/>
      <c r="BLX22"/>
      <c r="BLY22"/>
      <c r="BLZ22"/>
      <c r="BMA22"/>
      <c r="BMB22"/>
      <c r="BMC22"/>
      <c r="BMD22"/>
      <c r="BME22"/>
      <c r="BMF22"/>
      <c r="BMG22"/>
      <c r="BMH22"/>
      <c r="BMI22"/>
      <c r="BMJ22"/>
      <c r="BMK22"/>
      <c r="BML22"/>
      <c r="BMM22"/>
      <c r="BMN22"/>
      <c r="BMO22"/>
      <c r="BMP22"/>
      <c r="BMQ22"/>
      <c r="BMR22"/>
      <c r="BMS22"/>
      <c r="BMT22"/>
      <c r="BMU22"/>
      <c r="BMV22"/>
      <c r="BMW22"/>
      <c r="BMX22"/>
      <c r="BMY22"/>
      <c r="BMZ22"/>
      <c r="BNA22"/>
      <c r="BNB22"/>
      <c r="BNC22"/>
      <c r="BND22"/>
      <c r="BNE22"/>
      <c r="BNF22"/>
      <c r="BNG22"/>
      <c r="BNH22"/>
      <c r="BNI22"/>
      <c r="BNJ22"/>
      <c r="BNK22"/>
      <c r="BNL22"/>
      <c r="BNM22"/>
      <c r="BNN22"/>
      <c r="BNO22"/>
      <c r="BNP22"/>
      <c r="BNQ22"/>
      <c r="BNR22"/>
      <c r="BNS22"/>
      <c r="BNT22"/>
      <c r="BNU22"/>
      <c r="BNV22"/>
      <c r="BNW22"/>
      <c r="BNX22"/>
      <c r="BNY22"/>
      <c r="BNZ22"/>
      <c r="BOA22"/>
      <c r="BOB22"/>
      <c r="BOC22"/>
      <c r="BOD22"/>
      <c r="BOE22"/>
      <c r="BOF22"/>
      <c r="BOG22"/>
      <c r="BOH22"/>
      <c r="BOI22"/>
      <c r="BOJ22"/>
      <c r="BOK22"/>
      <c r="BOL22"/>
      <c r="BOM22"/>
      <c r="BON22"/>
      <c r="BOO22"/>
      <c r="BOP22"/>
      <c r="BOQ22"/>
      <c r="BOR22"/>
      <c r="BOS22"/>
      <c r="BOT22"/>
      <c r="BOU22"/>
      <c r="BOV22"/>
      <c r="BOW22"/>
      <c r="BOX22"/>
      <c r="BOY22"/>
      <c r="BOZ22"/>
      <c r="BPA22"/>
      <c r="BPB22"/>
      <c r="BPC22"/>
      <c r="BPD22"/>
      <c r="BPE22"/>
      <c r="BPF22"/>
      <c r="BPG22"/>
      <c r="BPH22"/>
      <c r="BPI22"/>
      <c r="BPJ22"/>
      <c r="BPK22"/>
      <c r="BPL22"/>
      <c r="BPM22"/>
      <c r="BPN22"/>
      <c r="BPO22"/>
      <c r="BPP22"/>
      <c r="BPQ22"/>
      <c r="BPR22"/>
      <c r="BPS22"/>
      <c r="BPT22"/>
      <c r="BPU22"/>
      <c r="BPV22"/>
      <c r="BPW22"/>
      <c r="BPX22"/>
      <c r="BPY22"/>
      <c r="BPZ22"/>
      <c r="BQA22"/>
      <c r="BQB22"/>
      <c r="BQC22"/>
      <c r="BQD22"/>
      <c r="BQE22"/>
      <c r="BQF22"/>
      <c r="BQG22"/>
      <c r="BQH22"/>
      <c r="BQI22"/>
      <c r="BQJ22"/>
      <c r="BQK22"/>
      <c r="BQL22"/>
      <c r="BQM22"/>
      <c r="BQN22"/>
      <c r="BQO22"/>
      <c r="BQP22"/>
      <c r="BQQ22"/>
      <c r="BQR22"/>
      <c r="BQS22"/>
      <c r="BQT22"/>
      <c r="BQU22"/>
      <c r="BQV22"/>
      <c r="BQW22"/>
      <c r="BQX22"/>
      <c r="BQY22"/>
      <c r="BQZ22"/>
      <c r="BRA22"/>
      <c r="BRB22"/>
      <c r="BRC22"/>
      <c r="BRD22"/>
      <c r="BRE22"/>
      <c r="BRF22"/>
      <c r="BRG22"/>
      <c r="BRH22"/>
      <c r="BRI22"/>
      <c r="BRJ22"/>
      <c r="BRK22"/>
      <c r="BRL22"/>
      <c r="BRM22"/>
      <c r="BRN22"/>
      <c r="BRO22"/>
      <c r="BRP22"/>
      <c r="BRQ22"/>
      <c r="BRR22"/>
      <c r="BRS22"/>
      <c r="BRT22"/>
      <c r="BRU22"/>
      <c r="BRV22"/>
      <c r="BRW22"/>
      <c r="BRX22"/>
      <c r="BRY22"/>
      <c r="BRZ22"/>
      <c r="BSA22"/>
      <c r="BSB22"/>
      <c r="BSC22"/>
      <c r="BSD22"/>
      <c r="BSE22"/>
      <c r="BSF22"/>
      <c r="BSG22"/>
      <c r="BSH22"/>
      <c r="BSI22"/>
      <c r="BSJ22"/>
      <c r="BSK22"/>
      <c r="BSL22"/>
      <c r="BSM22"/>
      <c r="BSN22"/>
      <c r="BSO22"/>
      <c r="BSP22"/>
      <c r="BSQ22"/>
      <c r="BSR22"/>
      <c r="BSS22"/>
      <c r="BST22"/>
      <c r="BSU22"/>
      <c r="BSV22"/>
      <c r="BSW22"/>
      <c r="BSX22"/>
      <c r="BSY22"/>
      <c r="BSZ22"/>
      <c r="BTA22"/>
      <c r="BTB22"/>
      <c r="BTC22"/>
      <c r="BTD22"/>
      <c r="BTE22"/>
      <c r="BTF22"/>
      <c r="BTG22"/>
      <c r="BTH22"/>
      <c r="BTI22"/>
      <c r="BTJ22"/>
      <c r="BTK22"/>
      <c r="BTL22"/>
      <c r="BTM22"/>
      <c r="BTN22"/>
      <c r="BTO22"/>
      <c r="BTP22"/>
      <c r="BTQ22"/>
      <c r="BTR22"/>
      <c r="BTS22"/>
      <c r="BTT22"/>
      <c r="BTU22"/>
      <c r="BTV22"/>
      <c r="BTW22"/>
      <c r="BTX22"/>
      <c r="BTY22"/>
      <c r="BTZ22"/>
      <c r="BUA22"/>
      <c r="BUB22"/>
      <c r="BUC22"/>
      <c r="BUD22"/>
      <c r="BUE22"/>
      <c r="BUF22"/>
      <c r="BUG22"/>
      <c r="BUH22"/>
      <c r="BUI22"/>
      <c r="BUJ22"/>
      <c r="BUK22"/>
      <c r="BUL22"/>
      <c r="BUM22"/>
      <c r="BUN22"/>
      <c r="BUO22"/>
      <c r="BUP22"/>
      <c r="BUQ22"/>
      <c r="BUR22"/>
      <c r="BUS22"/>
      <c r="BUT22"/>
      <c r="BUU22"/>
      <c r="BUV22"/>
      <c r="BUW22"/>
      <c r="BUX22"/>
      <c r="BUY22"/>
      <c r="BUZ22"/>
      <c r="BVA22"/>
      <c r="BVB22"/>
      <c r="BVC22"/>
      <c r="BVD22"/>
      <c r="BVE22"/>
      <c r="BVF22"/>
      <c r="BVG22"/>
      <c r="BVH22"/>
      <c r="BVI22"/>
      <c r="BVJ22"/>
      <c r="BVK22"/>
      <c r="BVL22"/>
      <c r="BVM22"/>
      <c r="BVN22"/>
      <c r="BVO22"/>
      <c r="BVP22"/>
      <c r="BVQ22"/>
      <c r="BVR22"/>
      <c r="BVS22"/>
      <c r="BVT22"/>
      <c r="BVU22"/>
      <c r="BVV22"/>
      <c r="BVW22"/>
      <c r="BVX22"/>
      <c r="BVY22"/>
      <c r="BVZ22"/>
      <c r="BWA22"/>
      <c r="BWB22"/>
      <c r="BWC22"/>
      <c r="BWD22"/>
      <c r="BWE22"/>
      <c r="BWF22"/>
      <c r="BWG22"/>
      <c r="BWH22"/>
      <c r="BWI22"/>
      <c r="BWJ22"/>
      <c r="BWK22"/>
      <c r="BWL22"/>
      <c r="BWM22"/>
      <c r="BWN22"/>
      <c r="BWO22"/>
      <c r="BWP22"/>
      <c r="BWQ22"/>
      <c r="BWR22"/>
      <c r="BWS22"/>
      <c r="BWT22"/>
      <c r="BWU22"/>
      <c r="BWV22"/>
      <c r="BWW22"/>
      <c r="BWX22"/>
      <c r="BWY22"/>
      <c r="BWZ22"/>
      <c r="BXA22"/>
      <c r="BXB22"/>
      <c r="BXC22"/>
      <c r="BXD22"/>
      <c r="BXE22"/>
      <c r="BXF22"/>
      <c r="BXG22"/>
      <c r="BXH22"/>
      <c r="BXI22"/>
      <c r="BXJ22"/>
      <c r="BXK22"/>
      <c r="BXL22"/>
      <c r="BXM22"/>
      <c r="BXN22"/>
      <c r="BXO22"/>
      <c r="BXP22"/>
      <c r="BXQ22"/>
      <c r="BXR22"/>
      <c r="BXS22"/>
      <c r="BXT22"/>
      <c r="BXU22"/>
      <c r="BXV22"/>
      <c r="BXW22"/>
      <c r="BXX22"/>
      <c r="BXY22"/>
      <c r="BXZ22"/>
      <c r="BYA22"/>
      <c r="BYB22"/>
      <c r="BYC22"/>
      <c r="BYD22"/>
      <c r="BYE22"/>
      <c r="BYF22"/>
      <c r="BYG22"/>
      <c r="BYH22"/>
      <c r="BYI22"/>
      <c r="BYJ22"/>
      <c r="BYK22"/>
      <c r="BYL22"/>
      <c r="BYM22"/>
      <c r="BYN22"/>
      <c r="BYO22"/>
      <c r="BYP22"/>
      <c r="BYQ22"/>
      <c r="BYR22"/>
      <c r="BYS22"/>
      <c r="BYT22"/>
      <c r="BYU22"/>
      <c r="BYV22"/>
      <c r="BYW22"/>
      <c r="BYX22"/>
      <c r="BYY22"/>
      <c r="BYZ22"/>
      <c r="BZA22"/>
      <c r="BZB22"/>
      <c r="BZC22"/>
      <c r="BZD22"/>
      <c r="BZE22"/>
      <c r="BZF22"/>
      <c r="BZG22"/>
      <c r="BZH22"/>
      <c r="BZI22"/>
      <c r="BZJ22"/>
      <c r="BZK22"/>
      <c r="BZL22"/>
      <c r="BZM22"/>
      <c r="BZN22"/>
      <c r="BZO22"/>
      <c r="BZP22"/>
      <c r="BZQ22"/>
      <c r="BZR22"/>
      <c r="BZS22"/>
      <c r="BZT22"/>
      <c r="BZU22"/>
      <c r="BZV22"/>
      <c r="BZW22"/>
      <c r="BZX22"/>
      <c r="BZY22"/>
      <c r="BZZ22"/>
      <c r="CAA22"/>
      <c r="CAB22"/>
      <c r="CAC22"/>
      <c r="CAD22"/>
      <c r="CAE22"/>
      <c r="CAF22"/>
      <c r="CAG22"/>
      <c r="CAH22"/>
      <c r="CAI22"/>
      <c r="CAJ22"/>
      <c r="CAK22"/>
      <c r="CAL22"/>
      <c r="CAM22"/>
      <c r="CAN22"/>
      <c r="CAO22"/>
      <c r="CAP22"/>
      <c r="CAQ22"/>
      <c r="CAR22"/>
      <c r="CAS22"/>
      <c r="CAT22"/>
      <c r="CAU22"/>
      <c r="CAV22"/>
      <c r="CAW22"/>
      <c r="CAX22"/>
      <c r="CAY22"/>
      <c r="CAZ22"/>
      <c r="CBA22"/>
      <c r="CBB22"/>
      <c r="CBC22"/>
      <c r="CBD22"/>
      <c r="CBE22"/>
      <c r="CBF22"/>
      <c r="CBG22"/>
      <c r="CBH22"/>
      <c r="CBI22"/>
      <c r="CBJ22"/>
      <c r="CBK22"/>
      <c r="CBL22"/>
      <c r="CBM22"/>
      <c r="CBN22"/>
      <c r="CBO22"/>
      <c r="CBP22"/>
      <c r="CBQ22"/>
      <c r="CBR22"/>
      <c r="CBS22"/>
      <c r="CBT22"/>
      <c r="CBU22"/>
      <c r="CBV22"/>
      <c r="CBW22"/>
      <c r="CBX22"/>
      <c r="CBY22"/>
      <c r="CBZ22"/>
      <c r="CCA22"/>
      <c r="CCB22"/>
      <c r="CCC22"/>
      <c r="CCD22"/>
      <c r="CCE22"/>
      <c r="CCF22"/>
      <c r="CCG22"/>
      <c r="CCH22"/>
      <c r="CCI22"/>
      <c r="CCJ22"/>
      <c r="CCK22"/>
      <c r="CCL22"/>
      <c r="CCM22"/>
      <c r="CCN22"/>
      <c r="CCO22"/>
      <c r="CCP22"/>
      <c r="CCQ22"/>
      <c r="CCR22"/>
      <c r="CCS22"/>
      <c r="CCT22"/>
      <c r="CCU22"/>
      <c r="CCV22"/>
      <c r="CCW22"/>
      <c r="CCX22"/>
      <c r="CCY22"/>
      <c r="CCZ22"/>
      <c r="CDA22"/>
      <c r="CDB22"/>
      <c r="CDC22"/>
      <c r="CDD22"/>
      <c r="CDE22"/>
      <c r="CDF22"/>
      <c r="CDG22"/>
      <c r="CDH22"/>
      <c r="CDI22"/>
      <c r="CDJ22"/>
      <c r="CDK22"/>
      <c r="CDL22"/>
      <c r="CDM22"/>
      <c r="CDN22"/>
      <c r="CDO22"/>
      <c r="CDP22"/>
      <c r="CDQ22"/>
      <c r="CDR22"/>
      <c r="CDS22"/>
      <c r="CDT22"/>
      <c r="CDU22"/>
      <c r="CDV22"/>
      <c r="CDW22"/>
      <c r="CDX22"/>
      <c r="CDY22"/>
      <c r="CDZ22"/>
      <c r="CEA22"/>
      <c r="CEB22"/>
      <c r="CEC22"/>
      <c r="CED22"/>
      <c r="CEE22"/>
      <c r="CEF22"/>
      <c r="CEG22"/>
      <c r="CEH22"/>
      <c r="CEI22"/>
      <c r="CEJ22"/>
      <c r="CEK22"/>
      <c r="CEL22"/>
      <c r="CEM22"/>
      <c r="CEN22"/>
      <c r="CEO22"/>
      <c r="CEP22"/>
      <c r="CEQ22"/>
      <c r="CER22"/>
      <c r="CES22"/>
      <c r="CET22"/>
      <c r="CEU22"/>
      <c r="CEV22"/>
      <c r="CEW22"/>
      <c r="CEX22"/>
      <c r="CEY22"/>
      <c r="CEZ22"/>
      <c r="CFA22"/>
      <c r="CFB22"/>
      <c r="CFC22"/>
      <c r="CFD22"/>
      <c r="CFE22"/>
      <c r="CFF22"/>
      <c r="CFG22"/>
      <c r="CFH22"/>
      <c r="CFI22"/>
      <c r="CFJ22"/>
      <c r="CFK22"/>
      <c r="CFL22"/>
      <c r="CFM22"/>
      <c r="CFN22"/>
      <c r="CFO22"/>
      <c r="CFP22"/>
      <c r="CFQ22"/>
      <c r="CFR22"/>
      <c r="CFS22"/>
      <c r="CFT22"/>
      <c r="CFU22"/>
      <c r="CFV22"/>
      <c r="CFW22"/>
      <c r="CFX22"/>
      <c r="CFY22"/>
      <c r="CFZ22"/>
      <c r="CGA22"/>
      <c r="CGB22"/>
      <c r="CGC22"/>
      <c r="CGD22"/>
      <c r="CGE22"/>
      <c r="CGF22"/>
      <c r="CGG22"/>
      <c r="CGH22"/>
      <c r="CGI22"/>
      <c r="CGJ22"/>
      <c r="CGK22"/>
      <c r="CGL22"/>
      <c r="CGM22"/>
      <c r="CGN22"/>
      <c r="CGO22"/>
      <c r="CGP22"/>
      <c r="CGQ22"/>
      <c r="CGR22"/>
      <c r="CGS22"/>
      <c r="CGT22"/>
      <c r="CGU22"/>
      <c r="CGV22"/>
      <c r="CGW22"/>
      <c r="CGX22"/>
      <c r="CGY22"/>
      <c r="CGZ22"/>
      <c r="CHA22"/>
      <c r="CHB22"/>
      <c r="CHC22"/>
      <c r="CHD22"/>
      <c r="CHE22"/>
      <c r="CHF22"/>
      <c r="CHG22"/>
      <c r="CHH22"/>
      <c r="CHI22"/>
      <c r="CHJ22"/>
      <c r="CHK22"/>
      <c r="CHL22"/>
      <c r="CHM22"/>
      <c r="CHN22"/>
      <c r="CHO22"/>
      <c r="CHP22"/>
      <c r="CHQ22"/>
      <c r="CHR22"/>
      <c r="CHS22"/>
      <c r="CHT22"/>
      <c r="CHU22"/>
      <c r="CHV22"/>
      <c r="CHW22"/>
      <c r="CHX22"/>
      <c r="CHY22"/>
      <c r="CHZ22"/>
      <c r="CIA22"/>
      <c r="CIB22"/>
      <c r="CIC22"/>
      <c r="CID22"/>
      <c r="CIE22"/>
      <c r="CIF22"/>
      <c r="CIG22"/>
      <c r="CIH22"/>
      <c r="CII22"/>
      <c r="CIJ22"/>
      <c r="CIK22"/>
      <c r="CIL22"/>
      <c r="CIM22"/>
      <c r="CIN22"/>
      <c r="CIO22"/>
      <c r="CIP22"/>
      <c r="CIQ22"/>
      <c r="CIR22"/>
      <c r="CIS22"/>
      <c r="CIT22"/>
      <c r="CIU22"/>
      <c r="CIV22"/>
      <c r="CIW22"/>
      <c r="CIX22"/>
      <c r="CIY22"/>
      <c r="CIZ22"/>
      <c r="CJA22"/>
      <c r="CJB22"/>
      <c r="CJC22"/>
      <c r="CJD22"/>
      <c r="CJE22"/>
      <c r="CJF22"/>
      <c r="CJG22"/>
      <c r="CJH22"/>
      <c r="CJI22"/>
      <c r="CJJ22"/>
      <c r="CJK22"/>
      <c r="CJL22"/>
      <c r="CJM22"/>
      <c r="CJN22"/>
      <c r="CJO22"/>
      <c r="CJP22"/>
      <c r="CJQ22"/>
      <c r="CJR22"/>
      <c r="CJS22"/>
      <c r="CJT22"/>
      <c r="CJU22"/>
      <c r="CJV22"/>
      <c r="CJW22"/>
      <c r="CJX22"/>
      <c r="CJY22"/>
      <c r="CJZ22"/>
      <c r="CKA22"/>
      <c r="CKB22"/>
      <c r="CKC22"/>
      <c r="CKD22"/>
      <c r="CKE22"/>
      <c r="CKF22"/>
      <c r="CKG22"/>
      <c r="CKH22"/>
      <c r="CKI22"/>
      <c r="CKJ22"/>
      <c r="CKK22"/>
      <c r="CKL22"/>
      <c r="CKM22"/>
      <c r="CKN22"/>
      <c r="CKO22"/>
      <c r="CKP22"/>
      <c r="CKQ22"/>
      <c r="CKR22"/>
      <c r="CKS22"/>
      <c r="CKT22"/>
      <c r="CKU22"/>
      <c r="CKV22"/>
      <c r="CKW22"/>
      <c r="CKX22"/>
      <c r="CKY22"/>
      <c r="CKZ22"/>
      <c r="CLA22"/>
      <c r="CLB22"/>
      <c r="CLC22"/>
      <c r="CLD22"/>
      <c r="CLE22"/>
      <c r="CLF22"/>
      <c r="CLG22"/>
      <c r="CLH22"/>
      <c r="CLI22"/>
      <c r="CLJ22"/>
      <c r="CLK22"/>
      <c r="CLL22"/>
      <c r="CLM22"/>
      <c r="CLN22"/>
      <c r="CLO22"/>
      <c r="CLP22"/>
      <c r="CLQ22"/>
      <c r="CLR22"/>
      <c r="CLS22"/>
      <c r="CLT22"/>
      <c r="CLU22"/>
      <c r="CLV22"/>
      <c r="CLW22"/>
      <c r="CLX22"/>
      <c r="CLY22"/>
      <c r="CLZ22"/>
      <c r="CMA22"/>
      <c r="CMB22"/>
      <c r="CMC22"/>
      <c r="CMD22"/>
      <c r="CME22"/>
      <c r="CMF22"/>
      <c r="CMG22"/>
      <c r="CMH22"/>
      <c r="CMI22"/>
      <c r="CMJ22"/>
      <c r="CMK22"/>
      <c r="CML22"/>
      <c r="CMM22"/>
      <c r="CMN22"/>
      <c r="CMO22"/>
      <c r="CMP22"/>
      <c r="CMQ22"/>
      <c r="CMR22"/>
      <c r="CMS22"/>
      <c r="CMT22"/>
      <c r="CMU22"/>
      <c r="CMV22"/>
      <c r="CMW22"/>
      <c r="CMX22"/>
      <c r="CMY22"/>
      <c r="CMZ22"/>
      <c r="CNA22"/>
      <c r="CNB22"/>
      <c r="CNC22"/>
      <c r="CND22"/>
      <c r="CNE22"/>
      <c r="CNF22"/>
      <c r="CNG22"/>
      <c r="CNH22"/>
      <c r="CNI22"/>
      <c r="CNJ22"/>
      <c r="CNK22"/>
      <c r="CNL22"/>
      <c r="CNM22"/>
      <c r="CNN22"/>
      <c r="CNO22"/>
      <c r="CNP22"/>
      <c r="CNQ22"/>
      <c r="CNR22"/>
      <c r="CNS22"/>
      <c r="CNT22"/>
      <c r="CNU22"/>
      <c r="CNV22"/>
      <c r="CNW22"/>
      <c r="CNX22"/>
      <c r="CNY22"/>
      <c r="CNZ22"/>
      <c r="COA22"/>
      <c r="COB22"/>
      <c r="COC22"/>
      <c r="COD22"/>
      <c r="COE22"/>
      <c r="COF22"/>
      <c r="COG22"/>
      <c r="COH22"/>
      <c r="COI22"/>
      <c r="COJ22"/>
      <c r="COK22"/>
      <c r="COL22"/>
      <c r="COM22"/>
      <c r="CON22"/>
      <c r="COO22"/>
      <c r="COP22"/>
      <c r="COQ22"/>
      <c r="COR22"/>
      <c r="COS22"/>
      <c r="COT22"/>
      <c r="COU22"/>
      <c r="COV22"/>
      <c r="COW22"/>
      <c r="COX22"/>
      <c r="COY22"/>
      <c r="COZ22"/>
      <c r="CPA22"/>
      <c r="CPB22"/>
      <c r="CPC22"/>
      <c r="CPD22"/>
      <c r="CPE22"/>
      <c r="CPF22"/>
      <c r="CPG22"/>
      <c r="CPH22"/>
      <c r="CPI22"/>
      <c r="CPJ22"/>
      <c r="CPK22"/>
      <c r="CPL22"/>
      <c r="CPM22"/>
      <c r="CPN22"/>
      <c r="CPO22"/>
      <c r="CPP22"/>
      <c r="CPQ22"/>
      <c r="CPR22"/>
      <c r="CPS22"/>
      <c r="CPT22"/>
      <c r="CPU22"/>
      <c r="CPV22"/>
      <c r="CPW22"/>
      <c r="CPX22"/>
      <c r="CPY22"/>
      <c r="CPZ22"/>
      <c r="CQA22"/>
      <c r="CQB22"/>
      <c r="CQC22"/>
      <c r="CQD22"/>
      <c r="CQE22"/>
      <c r="CQF22"/>
      <c r="CQG22"/>
      <c r="CQH22"/>
      <c r="CQI22"/>
      <c r="CQJ22"/>
      <c r="CQK22"/>
      <c r="CQL22"/>
      <c r="CQM22"/>
      <c r="CQN22"/>
      <c r="CQO22"/>
      <c r="CQP22"/>
      <c r="CQQ22"/>
      <c r="CQR22"/>
      <c r="CQS22"/>
      <c r="CQT22"/>
      <c r="CQU22"/>
      <c r="CQV22"/>
      <c r="CQW22"/>
      <c r="CQX22"/>
      <c r="CQY22"/>
      <c r="CQZ22"/>
      <c r="CRA22"/>
      <c r="CRB22"/>
      <c r="CRC22"/>
      <c r="CRD22"/>
      <c r="CRE22"/>
      <c r="CRF22"/>
      <c r="CRG22"/>
      <c r="CRH22"/>
      <c r="CRI22"/>
      <c r="CRJ22"/>
      <c r="CRK22"/>
      <c r="CRL22"/>
      <c r="CRM22"/>
      <c r="CRN22"/>
      <c r="CRO22"/>
      <c r="CRP22"/>
      <c r="CRQ22"/>
      <c r="CRR22"/>
      <c r="CRS22"/>
      <c r="CRT22"/>
      <c r="CRU22"/>
      <c r="CRV22"/>
      <c r="CRW22"/>
      <c r="CRX22"/>
      <c r="CRY22"/>
      <c r="CRZ22"/>
      <c r="CSA22"/>
      <c r="CSB22"/>
      <c r="CSC22"/>
      <c r="CSD22"/>
      <c r="CSE22"/>
      <c r="CSF22"/>
      <c r="CSG22"/>
      <c r="CSH22"/>
      <c r="CSI22"/>
      <c r="CSJ22"/>
      <c r="CSK22"/>
      <c r="CSL22"/>
      <c r="CSM22"/>
      <c r="CSN22"/>
      <c r="CSO22"/>
      <c r="CSP22"/>
      <c r="CSQ22"/>
      <c r="CSR22"/>
      <c r="CSS22"/>
      <c r="CST22"/>
      <c r="CSU22"/>
      <c r="CSV22"/>
      <c r="CSW22"/>
      <c r="CSX22"/>
      <c r="CSY22"/>
      <c r="CSZ22"/>
      <c r="CTA22"/>
      <c r="CTB22"/>
      <c r="CTC22"/>
      <c r="CTD22"/>
      <c r="CTE22"/>
      <c r="CTF22"/>
      <c r="CTG22"/>
      <c r="CTH22"/>
      <c r="CTI22"/>
      <c r="CTJ22"/>
      <c r="CTK22"/>
      <c r="CTL22"/>
      <c r="CTM22"/>
      <c r="CTN22"/>
      <c r="CTO22"/>
      <c r="CTP22"/>
      <c r="CTQ22"/>
      <c r="CTR22"/>
      <c r="CTS22"/>
      <c r="CTT22"/>
      <c r="CTU22"/>
      <c r="CTV22"/>
      <c r="CTW22"/>
      <c r="CTX22"/>
      <c r="CTY22"/>
      <c r="CTZ22"/>
      <c r="CUA22"/>
      <c r="CUB22"/>
      <c r="CUC22"/>
      <c r="CUD22"/>
      <c r="CUE22"/>
      <c r="CUF22"/>
      <c r="CUG22"/>
      <c r="CUH22"/>
      <c r="CUI22"/>
      <c r="CUJ22"/>
      <c r="CUK22"/>
      <c r="CUL22"/>
      <c r="CUM22"/>
      <c r="CUN22"/>
      <c r="CUO22"/>
      <c r="CUP22"/>
      <c r="CUQ22"/>
      <c r="CUR22"/>
      <c r="CUS22"/>
      <c r="CUT22"/>
      <c r="CUU22"/>
      <c r="CUV22"/>
      <c r="CUW22"/>
      <c r="CUX22"/>
      <c r="CUY22"/>
      <c r="CUZ22"/>
      <c r="CVA22"/>
      <c r="CVB22"/>
      <c r="CVC22"/>
      <c r="CVD22"/>
      <c r="CVE22"/>
      <c r="CVF22"/>
      <c r="CVG22"/>
      <c r="CVH22"/>
      <c r="CVI22"/>
      <c r="CVJ22"/>
      <c r="CVK22"/>
      <c r="CVL22"/>
      <c r="CVM22"/>
      <c r="CVN22"/>
      <c r="CVO22"/>
      <c r="CVP22"/>
      <c r="CVQ22"/>
      <c r="CVR22"/>
      <c r="CVS22"/>
      <c r="CVT22"/>
      <c r="CVU22"/>
      <c r="CVV22"/>
      <c r="CVW22"/>
      <c r="CVX22"/>
      <c r="CVY22"/>
      <c r="CVZ22"/>
      <c r="CWA22"/>
      <c r="CWB22"/>
      <c r="CWC22"/>
      <c r="CWD22"/>
      <c r="CWE22"/>
      <c r="CWF22"/>
      <c r="CWG22"/>
      <c r="CWH22"/>
      <c r="CWI22"/>
      <c r="CWJ22"/>
      <c r="CWK22"/>
      <c r="CWL22"/>
      <c r="CWM22"/>
      <c r="CWN22"/>
      <c r="CWO22"/>
      <c r="CWP22"/>
      <c r="CWQ22"/>
      <c r="CWR22"/>
      <c r="CWS22"/>
      <c r="CWT22"/>
      <c r="CWU22"/>
      <c r="CWV22"/>
      <c r="CWW22"/>
      <c r="CWX22"/>
      <c r="CWY22"/>
      <c r="CWZ22"/>
      <c r="CXA22"/>
      <c r="CXB22"/>
      <c r="CXC22"/>
      <c r="CXD22"/>
      <c r="CXE22"/>
      <c r="CXF22"/>
      <c r="CXG22"/>
      <c r="CXH22"/>
      <c r="CXI22"/>
      <c r="CXJ22"/>
      <c r="CXK22"/>
      <c r="CXL22"/>
      <c r="CXM22"/>
      <c r="CXN22"/>
      <c r="CXO22"/>
      <c r="CXP22"/>
      <c r="CXQ22"/>
      <c r="CXR22"/>
      <c r="CXS22"/>
      <c r="CXT22"/>
      <c r="CXU22"/>
      <c r="CXV22"/>
      <c r="CXW22"/>
      <c r="CXX22"/>
      <c r="CXY22"/>
      <c r="CXZ22"/>
      <c r="CYA22"/>
      <c r="CYB22"/>
      <c r="CYC22"/>
      <c r="CYD22"/>
      <c r="CYE22"/>
      <c r="CYF22"/>
      <c r="CYG22"/>
      <c r="CYH22"/>
      <c r="CYI22"/>
      <c r="CYJ22"/>
      <c r="CYK22"/>
      <c r="CYL22"/>
      <c r="CYM22"/>
      <c r="CYN22"/>
      <c r="CYO22"/>
      <c r="CYP22"/>
      <c r="CYQ22"/>
      <c r="CYR22"/>
      <c r="CYS22"/>
      <c r="CYT22"/>
      <c r="CYU22"/>
      <c r="CYV22"/>
      <c r="CYW22"/>
      <c r="CYX22"/>
      <c r="CYY22"/>
      <c r="CYZ22"/>
      <c r="CZA22"/>
      <c r="CZB22"/>
      <c r="CZC22"/>
      <c r="CZD22"/>
      <c r="CZE22"/>
      <c r="CZF22"/>
      <c r="CZG22"/>
      <c r="CZH22"/>
      <c r="CZI22"/>
      <c r="CZJ22"/>
      <c r="CZK22"/>
      <c r="CZL22"/>
      <c r="CZM22"/>
      <c r="CZN22"/>
      <c r="CZO22"/>
      <c r="CZP22"/>
      <c r="CZQ22"/>
      <c r="CZR22"/>
      <c r="CZS22"/>
      <c r="CZT22"/>
      <c r="CZU22"/>
      <c r="CZV22"/>
      <c r="CZW22"/>
      <c r="CZX22"/>
      <c r="CZY22"/>
      <c r="CZZ22"/>
      <c r="DAA22"/>
      <c r="DAB22"/>
      <c r="DAC22"/>
      <c r="DAD22"/>
      <c r="DAE22"/>
      <c r="DAF22"/>
      <c r="DAG22"/>
      <c r="DAH22"/>
      <c r="DAI22"/>
      <c r="DAJ22"/>
      <c r="DAK22"/>
      <c r="DAL22"/>
      <c r="DAM22"/>
      <c r="DAN22"/>
      <c r="DAO22"/>
      <c r="DAP22"/>
      <c r="DAQ22"/>
      <c r="DAR22"/>
      <c r="DAS22"/>
      <c r="DAT22"/>
      <c r="DAU22"/>
      <c r="DAV22"/>
      <c r="DAW22"/>
      <c r="DAX22"/>
      <c r="DAY22"/>
      <c r="DAZ22"/>
      <c r="DBA22"/>
      <c r="DBB22"/>
      <c r="DBC22"/>
      <c r="DBD22"/>
      <c r="DBE22"/>
      <c r="DBF22"/>
      <c r="DBG22"/>
      <c r="DBH22"/>
      <c r="DBI22"/>
      <c r="DBJ22"/>
      <c r="DBK22"/>
      <c r="DBL22"/>
      <c r="DBM22"/>
      <c r="DBN22"/>
      <c r="DBO22"/>
      <c r="DBP22"/>
      <c r="DBQ22"/>
      <c r="DBR22"/>
      <c r="DBS22"/>
      <c r="DBT22"/>
      <c r="DBU22"/>
      <c r="DBV22"/>
      <c r="DBW22"/>
      <c r="DBX22"/>
      <c r="DBY22"/>
      <c r="DBZ22"/>
      <c r="DCA22"/>
      <c r="DCB22"/>
      <c r="DCC22"/>
      <c r="DCD22"/>
      <c r="DCE22"/>
      <c r="DCF22"/>
      <c r="DCG22"/>
      <c r="DCH22"/>
      <c r="DCI22"/>
      <c r="DCJ22"/>
      <c r="DCK22"/>
      <c r="DCL22"/>
      <c r="DCM22"/>
      <c r="DCN22"/>
      <c r="DCO22"/>
      <c r="DCP22"/>
      <c r="DCQ22"/>
      <c r="DCR22"/>
      <c r="DCS22"/>
      <c r="DCT22"/>
      <c r="DCU22"/>
      <c r="DCV22"/>
      <c r="DCW22"/>
      <c r="DCX22"/>
      <c r="DCY22"/>
      <c r="DCZ22"/>
      <c r="DDA22"/>
      <c r="DDB22"/>
      <c r="DDC22"/>
      <c r="DDD22"/>
      <c r="DDE22"/>
      <c r="DDF22"/>
      <c r="DDG22"/>
      <c r="DDH22"/>
      <c r="DDI22"/>
      <c r="DDJ22"/>
      <c r="DDK22"/>
      <c r="DDL22"/>
      <c r="DDM22"/>
      <c r="DDN22"/>
      <c r="DDO22"/>
      <c r="DDP22"/>
      <c r="DDQ22"/>
      <c r="DDR22"/>
      <c r="DDS22"/>
      <c r="DDT22"/>
      <c r="DDU22"/>
      <c r="DDV22"/>
      <c r="DDW22"/>
      <c r="DDX22"/>
      <c r="DDY22"/>
      <c r="DDZ22"/>
      <c r="DEA22"/>
      <c r="DEB22"/>
      <c r="DEC22"/>
      <c r="DED22"/>
      <c r="DEE22"/>
      <c r="DEF22"/>
      <c r="DEG22"/>
      <c r="DEH22"/>
      <c r="DEI22"/>
      <c r="DEJ22"/>
      <c r="DEK22"/>
      <c r="DEL22"/>
      <c r="DEM22"/>
      <c r="DEN22"/>
      <c r="DEO22"/>
      <c r="DEP22"/>
      <c r="DEQ22"/>
      <c r="DER22"/>
      <c r="DES22"/>
      <c r="DET22"/>
      <c r="DEU22"/>
      <c r="DEV22"/>
      <c r="DEW22"/>
      <c r="DEX22"/>
      <c r="DEY22"/>
      <c r="DEZ22"/>
      <c r="DFA22"/>
      <c r="DFB22"/>
      <c r="DFC22"/>
      <c r="DFD22"/>
      <c r="DFE22"/>
      <c r="DFF22"/>
      <c r="DFG22"/>
      <c r="DFH22"/>
      <c r="DFI22"/>
      <c r="DFJ22"/>
      <c r="DFK22"/>
      <c r="DFL22"/>
      <c r="DFM22"/>
      <c r="DFN22"/>
      <c r="DFO22"/>
      <c r="DFP22"/>
      <c r="DFQ22"/>
      <c r="DFR22"/>
      <c r="DFS22"/>
      <c r="DFT22"/>
      <c r="DFU22"/>
      <c r="DFV22"/>
      <c r="DFW22"/>
      <c r="DFX22"/>
      <c r="DFY22"/>
      <c r="DFZ22"/>
      <c r="DGA22"/>
      <c r="DGB22"/>
      <c r="DGC22"/>
      <c r="DGD22"/>
      <c r="DGE22"/>
      <c r="DGF22"/>
      <c r="DGG22"/>
      <c r="DGH22"/>
      <c r="DGI22"/>
      <c r="DGJ22"/>
      <c r="DGK22"/>
      <c r="DGL22"/>
      <c r="DGM22"/>
      <c r="DGN22"/>
      <c r="DGO22"/>
      <c r="DGP22"/>
      <c r="DGQ22"/>
      <c r="DGR22"/>
      <c r="DGS22"/>
      <c r="DGT22"/>
      <c r="DGU22"/>
      <c r="DGV22"/>
      <c r="DGW22"/>
      <c r="DGX22"/>
      <c r="DGY22"/>
      <c r="DGZ22"/>
      <c r="DHA22"/>
      <c r="DHB22"/>
      <c r="DHC22"/>
      <c r="DHD22"/>
      <c r="DHE22"/>
      <c r="DHF22"/>
      <c r="DHG22"/>
      <c r="DHH22"/>
      <c r="DHI22"/>
      <c r="DHJ22"/>
      <c r="DHK22"/>
      <c r="DHL22"/>
      <c r="DHM22"/>
      <c r="DHN22"/>
      <c r="DHO22"/>
      <c r="DHP22"/>
      <c r="DHQ22"/>
      <c r="DHR22"/>
      <c r="DHS22"/>
      <c r="DHT22"/>
      <c r="DHU22"/>
      <c r="DHV22"/>
      <c r="DHW22"/>
      <c r="DHX22"/>
      <c r="DHY22"/>
      <c r="DHZ22"/>
      <c r="DIA22"/>
      <c r="DIB22"/>
      <c r="DIC22"/>
      <c r="DID22"/>
      <c r="DIE22"/>
      <c r="DIF22"/>
      <c r="DIG22"/>
      <c r="DIH22"/>
      <c r="DII22"/>
      <c r="DIJ22"/>
      <c r="DIK22"/>
      <c r="DIL22"/>
      <c r="DIM22"/>
      <c r="DIN22"/>
      <c r="DIO22"/>
      <c r="DIP22"/>
      <c r="DIQ22"/>
      <c r="DIR22"/>
      <c r="DIS22"/>
      <c r="DIT22"/>
      <c r="DIU22"/>
      <c r="DIV22"/>
      <c r="DIW22"/>
      <c r="DIX22"/>
      <c r="DIY22"/>
      <c r="DIZ22"/>
      <c r="DJA22"/>
      <c r="DJB22"/>
      <c r="DJC22"/>
      <c r="DJD22"/>
      <c r="DJE22"/>
      <c r="DJF22"/>
      <c r="DJG22"/>
      <c r="DJH22"/>
      <c r="DJI22"/>
      <c r="DJJ22"/>
      <c r="DJK22"/>
      <c r="DJL22"/>
      <c r="DJM22"/>
      <c r="DJN22"/>
      <c r="DJO22"/>
      <c r="DJP22"/>
      <c r="DJQ22"/>
      <c r="DJR22"/>
      <c r="DJS22"/>
      <c r="DJT22"/>
      <c r="DJU22"/>
      <c r="DJV22"/>
      <c r="DJW22"/>
      <c r="DJX22"/>
      <c r="DJY22"/>
      <c r="DJZ22"/>
      <c r="DKA22"/>
      <c r="DKB22"/>
      <c r="DKC22"/>
      <c r="DKD22"/>
      <c r="DKE22"/>
      <c r="DKF22"/>
      <c r="DKG22"/>
      <c r="DKH22"/>
      <c r="DKI22"/>
      <c r="DKJ22"/>
      <c r="DKK22"/>
      <c r="DKL22"/>
      <c r="DKM22"/>
      <c r="DKN22"/>
      <c r="DKO22"/>
      <c r="DKP22"/>
      <c r="DKQ22"/>
      <c r="DKR22"/>
      <c r="DKS22"/>
      <c r="DKT22"/>
      <c r="DKU22"/>
      <c r="DKV22"/>
      <c r="DKW22"/>
      <c r="DKX22"/>
      <c r="DKY22"/>
      <c r="DKZ22"/>
      <c r="DLA22"/>
      <c r="DLB22"/>
      <c r="DLC22"/>
      <c r="DLD22"/>
      <c r="DLE22"/>
      <c r="DLF22"/>
      <c r="DLG22"/>
      <c r="DLH22"/>
      <c r="DLI22"/>
      <c r="DLJ22"/>
      <c r="DLK22"/>
      <c r="DLL22"/>
      <c r="DLM22"/>
      <c r="DLN22"/>
      <c r="DLO22"/>
      <c r="DLP22"/>
      <c r="DLQ22"/>
      <c r="DLR22"/>
      <c r="DLS22"/>
      <c r="DLT22"/>
      <c r="DLU22"/>
      <c r="DLV22"/>
      <c r="DLW22"/>
      <c r="DLX22"/>
      <c r="DLY22"/>
      <c r="DLZ22"/>
      <c r="DMA22"/>
      <c r="DMB22"/>
      <c r="DMC22"/>
      <c r="DMD22"/>
      <c r="DME22"/>
      <c r="DMF22"/>
      <c r="DMG22"/>
      <c r="DMH22"/>
      <c r="DMI22"/>
      <c r="DMJ22"/>
      <c r="DMK22"/>
      <c r="DML22"/>
      <c r="DMM22"/>
      <c r="DMN22"/>
      <c r="DMO22"/>
      <c r="DMP22"/>
      <c r="DMQ22"/>
      <c r="DMR22"/>
      <c r="DMS22"/>
      <c r="DMT22"/>
      <c r="DMU22"/>
      <c r="DMV22"/>
      <c r="DMW22"/>
      <c r="DMX22"/>
      <c r="DMY22"/>
      <c r="DMZ22"/>
      <c r="DNA22"/>
      <c r="DNB22"/>
      <c r="DNC22"/>
      <c r="DND22"/>
      <c r="DNE22"/>
      <c r="DNF22"/>
      <c r="DNG22"/>
      <c r="DNH22"/>
      <c r="DNI22"/>
      <c r="DNJ22"/>
      <c r="DNK22"/>
      <c r="DNL22"/>
      <c r="DNM22"/>
      <c r="DNN22"/>
      <c r="DNO22"/>
      <c r="DNP22"/>
      <c r="DNQ22"/>
      <c r="DNR22"/>
      <c r="DNS22"/>
      <c r="DNT22"/>
      <c r="DNU22"/>
      <c r="DNV22"/>
      <c r="DNW22"/>
      <c r="DNX22"/>
      <c r="DNY22"/>
      <c r="DNZ22"/>
      <c r="DOA22"/>
      <c r="DOB22"/>
      <c r="DOC22"/>
      <c r="DOD22"/>
      <c r="DOE22"/>
      <c r="DOF22"/>
      <c r="DOG22"/>
      <c r="DOH22"/>
      <c r="DOI22"/>
      <c r="DOJ22"/>
      <c r="DOK22"/>
      <c r="DOL22"/>
      <c r="DOM22"/>
      <c r="DON22"/>
      <c r="DOO22"/>
      <c r="DOP22"/>
      <c r="DOQ22"/>
      <c r="DOR22"/>
      <c r="DOS22"/>
      <c r="DOT22"/>
      <c r="DOU22"/>
      <c r="DOV22"/>
      <c r="DOW22"/>
      <c r="DOX22"/>
      <c r="DOY22"/>
      <c r="DOZ22"/>
      <c r="DPA22"/>
      <c r="DPB22"/>
      <c r="DPC22"/>
      <c r="DPD22"/>
      <c r="DPE22"/>
      <c r="DPF22"/>
      <c r="DPG22"/>
      <c r="DPH22"/>
      <c r="DPI22"/>
      <c r="DPJ22"/>
      <c r="DPK22"/>
      <c r="DPL22"/>
      <c r="DPM22"/>
      <c r="DPN22"/>
      <c r="DPO22"/>
      <c r="DPP22"/>
      <c r="DPQ22"/>
      <c r="DPR22"/>
      <c r="DPS22"/>
      <c r="DPT22"/>
      <c r="DPU22"/>
      <c r="DPV22"/>
      <c r="DPW22"/>
      <c r="DPX22"/>
      <c r="DPY22"/>
      <c r="DPZ22"/>
      <c r="DQA22"/>
      <c r="DQB22"/>
      <c r="DQC22"/>
      <c r="DQD22"/>
      <c r="DQE22"/>
      <c r="DQF22"/>
      <c r="DQG22"/>
      <c r="DQH22"/>
      <c r="DQI22"/>
      <c r="DQJ22"/>
      <c r="DQK22"/>
      <c r="DQL22"/>
      <c r="DQM22"/>
      <c r="DQN22"/>
      <c r="DQO22"/>
      <c r="DQP22"/>
      <c r="DQQ22"/>
      <c r="DQR22"/>
      <c r="DQS22"/>
      <c r="DQT22"/>
      <c r="DQU22"/>
      <c r="DQV22"/>
      <c r="DQW22"/>
      <c r="DQX22"/>
      <c r="DQY22"/>
      <c r="DQZ22"/>
      <c r="DRA22"/>
      <c r="DRB22"/>
      <c r="DRC22"/>
      <c r="DRD22"/>
      <c r="DRE22"/>
      <c r="DRF22"/>
      <c r="DRG22"/>
      <c r="DRH22"/>
      <c r="DRI22"/>
      <c r="DRJ22"/>
      <c r="DRK22"/>
      <c r="DRL22"/>
      <c r="DRM22"/>
      <c r="DRN22"/>
      <c r="DRO22"/>
      <c r="DRP22"/>
      <c r="DRQ22"/>
      <c r="DRR22"/>
      <c r="DRS22"/>
      <c r="DRT22"/>
      <c r="DRU22"/>
      <c r="DRV22"/>
      <c r="DRW22"/>
      <c r="DRX22"/>
      <c r="DRY22"/>
      <c r="DRZ22"/>
      <c r="DSA22"/>
      <c r="DSB22"/>
      <c r="DSC22"/>
      <c r="DSD22"/>
      <c r="DSE22"/>
      <c r="DSF22"/>
      <c r="DSG22"/>
      <c r="DSH22"/>
      <c r="DSI22"/>
      <c r="DSJ22"/>
      <c r="DSK22"/>
      <c r="DSL22"/>
      <c r="DSM22"/>
      <c r="DSN22"/>
      <c r="DSO22"/>
      <c r="DSP22"/>
      <c r="DSQ22"/>
      <c r="DSR22"/>
      <c r="DSS22"/>
      <c r="DST22"/>
      <c r="DSU22"/>
      <c r="DSV22"/>
      <c r="DSW22"/>
      <c r="DSX22"/>
      <c r="DSY22"/>
      <c r="DSZ22"/>
      <c r="DTA22"/>
      <c r="DTB22"/>
      <c r="DTC22"/>
      <c r="DTD22"/>
      <c r="DTE22"/>
      <c r="DTF22"/>
      <c r="DTG22"/>
      <c r="DTH22"/>
      <c r="DTI22"/>
      <c r="DTJ22"/>
      <c r="DTK22"/>
      <c r="DTL22"/>
      <c r="DTM22"/>
      <c r="DTN22"/>
      <c r="DTO22"/>
      <c r="DTP22"/>
      <c r="DTQ22"/>
      <c r="DTR22"/>
      <c r="DTS22"/>
      <c r="DTT22"/>
      <c r="DTU22"/>
      <c r="DTV22"/>
      <c r="DTW22"/>
      <c r="DTX22"/>
      <c r="DTY22"/>
      <c r="DTZ22"/>
      <c r="DUA22"/>
      <c r="DUB22"/>
      <c r="DUC22"/>
      <c r="DUD22"/>
      <c r="DUE22"/>
      <c r="DUF22"/>
      <c r="DUG22"/>
      <c r="DUH22"/>
      <c r="DUI22"/>
      <c r="DUJ22"/>
      <c r="DUK22"/>
      <c r="DUL22"/>
      <c r="DUM22"/>
      <c r="DUN22"/>
      <c r="DUO22"/>
      <c r="DUP22"/>
      <c r="DUQ22"/>
      <c r="DUR22"/>
      <c r="DUS22"/>
      <c r="DUT22"/>
      <c r="DUU22"/>
      <c r="DUV22"/>
      <c r="DUW22"/>
      <c r="DUX22"/>
      <c r="DUY22"/>
      <c r="DUZ22"/>
      <c r="DVA22"/>
      <c r="DVB22"/>
      <c r="DVC22"/>
      <c r="DVD22"/>
      <c r="DVE22"/>
      <c r="DVF22"/>
      <c r="DVG22"/>
      <c r="DVH22"/>
      <c r="DVI22"/>
      <c r="DVJ22"/>
      <c r="DVK22"/>
      <c r="DVL22"/>
      <c r="DVM22"/>
      <c r="DVN22"/>
      <c r="DVO22"/>
      <c r="DVP22"/>
      <c r="DVQ22"/>
      <c r="DVR22"/>
      <c r="DVS22"/>
      <c r="DVT22"/>
      <c r="DVU22"/>
      <c r="DVV22"/>
      <c r="DVW22"/>
      <c r="DVX22"/>
      <c r="DVY22"/>
      <c r="DVZ22"/>
      <c r="DWA22"/>
      <c r="DWB22"/>
      <c r="DWC22"/>
      <c r="DWD22"/>
      <c r="DWE22"/>
      <c r="DWF22"/>
      <c r="DWG22"/>
      <c r="DWH22"/>
      <c r="DWI22"/>
      <c r="DWJ22"/>
      <c r="DWK22"/>
      <c r="DWL22"/>
      <c r="DWM22"/>
      <c r="DWN22"/>
      <c r="DWO22"/>
      <c r="DWP22"/>
      <c r="DWQ22"/>
      <c r="DWR22"/>
      <c r="DWS22"/>
      <c r="DWT22"/>
      <c r="DWU22"/>
      <c r="DWV22"/>
      <c r="DWW22"/>
      <c r="DWX22"/>
      <c r="DWY22"/>
      <c r="DWZ22"/>
      <c r="DXA22"/>
      <c r="DXB22"/>
      <c r="DXC22"/>
      <c r="DXD22"/>
      <c r="DXE22"/>
      <c r="DXF22"/>
      <c r="DXG22"/>
      <c r="DXH22"/>
      <c r="DXI22"/>
      <c r="DXJ22"/>
      <c r="DXK22"/>
      <c r="DXL22"/>
      <c r="DXM22"/>
      <c r="DXN22"/>
      <c r="DXO22"/>
      <c r="DXP22"/>
      <c r="DXQ22"/>
      <c r="DXR22"/>
      <c r="DXS22"/>
      <c r="DXT22"/>
      <c r="DXU22"/>
      <c r="DXV22"/>
      <c r="DXW22"/>
      <c r="DXX22"/>
      <c r="DXY22"/>
      <c r="DXZ22"/>
      <c r="DYA22"/>
      <c r="DYB22"/>
      <c r="DYC22"/>
      <c r="DYD22"/>
      <c r="DYE22"/>
      <c r="DYF22"/>
      <c r="DYG22"/>
      <c r="DYH22"/>
      <c r="DYI22"/>
      <c r="DYJ22"/>
      <c r="DYK22"/>
      <c r="DYL22"/>
      <c r="DYM22"/>
      <c r="DYN22"/>
      <c r="DYO22"/>
      <c r="DYP22"/>
      <c r="DYQ22"/>
      <c r="DYR22"/>
      <c r="DYS22"/>
      <c r="DYT22"/>
      <c r="DYU22"/>
      <c r="DYV22"/>
      <c r="DYW22"/>
      <c r="DYX22"/>
      <c r="DYY22"/>
      <c r="DYZ22"/>
      <c r="DZA22"/>
      <c r="DZB22"/>
      <c r="DZC22"/>
      <c r="DZD22"/>
      <c r="DZE22"/>
      <c r="DZF22"/>
      <c r="DZG22"/>
      <c r="DZH22"/>
      <c r="DZI22"/>
      <c r="DZJ22"/>
      <c r="DZK22"/>
      <c r="DZL22"/>
      <c r="DZM22"/>
      <c r="DZN22"/>
      <c r="DZO22"/>
      <c r="DZP22"/>
      <c r="DZQ22"/>
      <c r="DZR22"/>
      <c r="DZS22"/>
      <c r="DZT22"/>
      <c r="DZU22"/>
      <c r="DZV22"/>
      <c r="DZW22"/>
      <c r="DZX22"/>
      <c r="DZY22"/>
      <c r="DZZ22"/>
      <c r="EAA22"/>
      <c r="EAB22"/>
      <c r="EAC22"/>
      <c r="EAD22"/>
      <c r="EAE22"/>
      <c r="EAF22"/>
      <c r="EAG22"/>
      <c r="EAH22"/>
      <c r="EAI22"/>
      <c r="EAJ22"/>
      <c r="EAK22"/>
      <c r="EAL22"/>
      <c r="EAM22"/>
      <c r="EAN22"/>
      <c r="EAO22"/>
      <c r="EAP22"/>
      <c r="EAQ22"/>
      <c r="EAR22"/>
      <c r="EAS22"/>
      <c r="EAT22"/>
      <c r="EAU22"/>
      <c r="EAV22"/>
      <c r="EAW22"/>
      <c r="EAX22"/>
      <c r="EAY22"/>
      <c r="EAZ22"/>
      <c r="EBA22"/>
      <c r="EBB22"/>
      <c r="EBC22"/>
      <c r="EBD22"/>
      <c r="EBE22"/>
      <c r="EBF22"/>
      <c r="EBG22"/>
      <c r="EBH22"/>
      <c r="EBI22"/>
      <c r="EBJ22"/>
      <c r="EBK22"/>
      <c r="EBL22"/>
      <c r="EBM22"/>
      <c r="EBN22"/>
      <c r="EBO22"/>
      <c r="EBP22"/>
      <c r="EBQ22"/>
      <c r="EBR22"/>
      <c r="EBS22"/>
      <c r="EBT22"/>
      <c r="EBU22"/>
      <c r="EBV22"/>
      <c r="EBW22"/>
      <c r="EBX22"/>
      <c r="EBY22"/>
      <c r="EBZ22"/>
      <c r="ECA22"/>
      <c r="ECB22"/>
      <c r="ECC22"/>
      <c r="ECD22"/>
      <c r="ECE22"/>
      <c r="ECF22"/>
      <c r="ECG22"/>
      <c r="ECH22"/>
      <c r="ECI22"/>
      <c r="ECJ22"/>
      <c r="ECK22"/>
      <c r="ECL22"/>
      <c r="ECM22"/>
      <c r="ECN22"/>
      <c r="ECO22"/>
      <c r="ECP22"/>
      <c r="ECQ22"/>
      <c r="ECR22"/>
      <c r="ECS22"/>
      <c r="ECT22"/>
      <c r="ECU22"/>
      <c r="ECV22"/>
      <c r="ECW22"/>
      <c r="ECX22"/>
      <c r="ECY22"/>
      <c r="ECZ22"/>
      <c r="EDA22"/>
      <c r="EDB22"/>
      <c r="EDC22"/>
      <c r="EDD22"/>
      <c r="EDE22"/>
      <c r="EDF22"/>
      <c r="EDG22"/>
      <c r="EDH22"/>
      <c r="EDI22"/>
      <c r="EDJ22"/>
      <c r="EDK22"/>
      <c r="EDL22"/>
      <c r="EDM22"/>
      <c r="EDN22"/>
      <c r="EDO22"/>
      <c r="EDP22"/>
      <c r="EDQ22"/>
      <c r="EDR22"/>
      <c r="EDS22"/>
      <c r="EDT22"/>
      <c r="EDU22"/>
      <c r="EDV22"/>
      <c r="EDW22"/>
      <c r="EDX22"/>
      <c r="EDY22"/>
      <c r="EDZ22"/>
      <c r="EEA22"/>
      <c r="EEB22"/>
      <c r="EEC22"/>
      <c r="EED22"/>
      <c r="EEE22"/>
      <c r="EEF22"/>
      <c r="EEG22"/>
      <c r="EEH22"/>
      <c r="EEI22"/>
      <c r="EEJ22"/>
      <c r="EEK22"/>
      <c r="EEL22"/>
      <c r="EEM22"/>
      <c r="EEN22"/>
      <c r="EEO22"/>
      <c r="EEP22"/>
      <c r="EEQ22"/>
      <c r="EER22"/>
      <c r="EES22"/>
      <c r="EET22"/>
      <c r="EEU22"/>
      <c r="EEV22"/>
      <c r="EEW22"/>
      <c r="EEX22"/>
      <c r="EEY22"/>
      <c r="EEZ22"/>
      <c r="EFA22"/>
      <c r="EFB22"/>
      <c r="EFC22"/>
      <c r="EFD22"/>
      <c r="EFE22"/>
      <c r="EFF22"/>
      <c r="EFG22"/>
      <c r="EFH22"/>
      <c r="EFI22"/>
      <c r="EFJ22"/>
      <c r="EFK22"/>
      <c r="EFL22"/>
      <c r="EFM22"/>
      <c r="EFN22"/>
      <c r="EFO22"/>
      <c r="EFP22"/>
      <c r="EFQ22"/>
      <c r="EFR22"/>
      <c r="EFS22"/>
      <c r="EFT22"/>
      <c r="EFU22"/>
      <c r="EFV22"/>
      <c r="EFW22"/>
      <c r="EFX22"/>
      <c r="EFY22"/>
      <c r="EFZ22"/>
      <c r="EGA22"/>
      <c r="EGB22"/>
      <c r="EGC22"/>
      <c r="EGD22"/>
      <c r="EGE22"/>
      <c r="EGF22"/>
      <c r="EGG22"/>
      <c r="EGH22"/>
      <c r="EGI22"/>
      <c r="EGJ22"/>
      <c r="EGK22"/>
      <c r="EGL22"/>
      <c r="EGM22"/>
      <c r="EGN22"/>
      <c r="EGO22"/>
      <c r="EGP22"/>
      <c r="EGQ22"/>
      <c r="EGR22"/>
      <c r="EGS22"/>
      <c r="EGT22"/>
      <c r="EGU22"/>
      <c r="EGV22"/>
      <c r="EGW22"/>
      <c r="EGX22"/>
      <c r="EGY22"/>
      <c r="EGZ22"/>
      <c r="EHA22"/>
      <c r="EHB22"/>
      <c r="EHC22"/>
      <c r="EHD22"/>
      <c r="EHE22"/>
      <c r="EHF22"/>
      <c r="EHG22"/>
      <c r="EHH22"/>
      <c r="EHI22"/>
      <c r="EHJ22"/>
      <c r="EHK22"/>
      <c r="EHL22"/>
      <c r="EHM22"/>
      <c r="EHN22"/>
      <c r="EHO22"/>
      <c r="EHP22"/>
      <c r="EHQ22"/>
      <c r="EHR22"/>
      <c r="EHS22"/>
      <c r="EHT22"/>
      <c r="EHU22"/>
      <c r="EHV22"/>
      <c r="EHW22"/>
      <c r="EHX22"/>
      <c r="EHY22"/>
      <c r="EHZ22"/>
      <c r="EIA22"/>
      <c r="EIB22"/>
      <c r="EIC22"/>
      <c r="EID22"/>
      <c r="EIE22"/>
      <c r="EIF22"/>
      <c r="EIG22"/>
      <c r="EIH22"/>
      <c r="EII22"/>
      <c r="EIJ22"/>
      <c r="EIK22"/>
      <c r="EIL22"/>
      <c r="EIM22"/>
      <c r="EIN22"/>
      <c r="EIO22"/>
      <c r="EIP22"/>
      <c r="EIQ22"/>
      <c r="EIR22"/>
      <c r="EIS22"/>
      <c r="EIT22"/>
      <c r="EIU22"/>
      <c r="EIV22"/>
      <c r="EIW22"/>
      <c r="EIX22"/>
      <c r="EIY22"/>
      <c r="EIZ22"/>
      <c r="EJA22"/>
      <c r="EJB22"/>
      <c r="EJC22"/>
      <c r="EJD22"/>
      <c r="EJE22"/>
      <c r="EJF22"/>
      <c r="EJG22"/>
      <c r="EJH22"/>
      <c r="EJI22"/>
      <c r="EJJ22"/>
      <c r="EJK22"/>
      <c r="EJL22"/>
      <c r="EJM22"/>
      <c r="EJN22"/>
      <c r="EJO22"/>
      <c r="EJP22"/>
      <c r="EJQ22"/>
      <c r="EJR22"/>
      <c r="EJS22"/>
      <c r="EJT22"/>
      <c r="EJU22"/>
      <c r="EJV22"/>
      <c r="EJW22"/>
      <c r="EJX22"/>
      <c r="EJY22"/>
      <c r="EJZ22"/>
      <c r="EKA22"/>
      <c r="EKB22"/>
      <c r="EKC22"/>
      <c r="EKD22"/>
      <c r="EKE22"/>
      <c r="EKF22"/>
      <c r="EKG22"/>
      <c r="EKH22"/>
      <c r="EKI22"/>
      <c r="EKJ22"/>
      <c r="EKK22"/>
      <c r="EKL22"/>
      <c r="EKM22"/>
      <c r="EKN22"/>
      <c r="EKO22"/>
      <c r="EKP22"/>
      <c r="EKQ22"/>
      <c r="EKR22"/>
      <c r="EKS22"/>
      <c r="EKT22"/>
      <c r="EKU22"/>
      <c r="EKV22"/>
      <c r="EKW22"/>
      <c r="EKX22"/>
      <c r="EKY22"/>
      <c r="EKZ22"/>
      <c r="ELA22"/>
      <c r="ELB22"/>
      <c r="ELC22"/>
      <c r="ELD22"/>
      <c r="ELE22"/>
      <c r="ELF22"/>
      <c r="ELG22"/>
      <c r="ELH22"/>
      <c r="ELI22"/>
      <c r="ELJ22"/>
      <c r="ELK22"/>
      <c r="ELL22"/>
      <c r="ELM22"/>
      <c r="ELN22"/>
      <c r="ELO22"/>
      <c r="ELP22"/>
      <c r="ELQ22"/>
      <c r="ELR22"/>
      <c r="ELS22"/>
      <c r="ELT22"/>
      <c r="ELU22"/>
      <c r="ELV22"/>
      <c r="ELW22"/>
      <c r="ELX22"/>
      <c r="ELY22"/>
      <c r="ELZ22"/>
      <c r="EMA22"/>
      <c r="EMB22"/>
      <c r="EMC22"/>
      <c r="EMD22"/>
      <c r="EME22"/>
      <c r="EMF22"/>
      <c r="EMG22"/>
      <c r="EMH22"/>
      <c r="EMI22"/>
      <c r="EMJ22"/>
      <c r="EMK22"/>
      <c r="EML22"/>
      <c r="EMM22"/>
      <c r="EMN22"/>
      <c r="EMO22"/>
      <c r="EMP22"/>
      <c r="EMQ22"/>
      <c r="EMR22"/>
      <c r="EMS22"/>
      <c r="EMT22"/>
      <c r="EMU22"/>
      <c r="EMV22"/>
      <c r="EMW22"/>
      <c r="EMX22"/>
      <c r="EMY22"/>
      <c r="EMZ22"/>
      <c r="ENA22"/>
      <c r="ENB22"/>
      <c r="ENC22"/>
      <c r="END22"/>
      <c r="ENE22"/>
      <c r="ENF22"/>
      <c r="ENG22"/>
      <c r="ENH22"/>
      <c r="ENI22"/>
      <c r="ENJ22"/>
      <c r="ENK22"/>
      <c r="ENL22"/>
      <c r="ENM22"/>
      <c r="ENN22"/>
      <c r="ENO22"/>
      <c r="ENP22"/>
      <c r="ENQ22"/>
      <c r="ENR22"/>
      <c r="ENS22"/>
      <c r="ENT22"/>
      <c r="ENU22"/>
      <c r="ENV22"/>
      <c r="ENW22"/>
      <c r="ENX22"/>
      <c r="ENY22"/>
      <c r="ENZ22"/>
      <c r="EOA22"/>
      <c r="EOB22"/>
      <c r="EOC22"/>
      <c r="EOD22"/>
      <c r="EOE22"/>
      <c r="EOF22"/>
      <c r="EOG22"/>
      <c r="EOH22"/>
      <c r="EOI22"/>
      <c r="EOJ22"/>
      <c r="EOK22"/>
      <c r="EOL22"/>
      <c r="EOM22"/>
      <c r="EON22"/>
      <c r="EOO22"/>
      <c r="EOP22"/>
      <c r="EOQ22"/>
      <c r="EOR22"/>
      <c r="EOS22"/>
      <c r="EOT22"/>
      <c r="EOU22"/>
      <c r="EOV22"/>
      <c r="EOW22"/>
      <c r="EOX22"/>
      <c r="EOY22"/>
      <c r="EOZ22"/>
      <c r="EPA22"/>
      <c r="EPB22"/>
      <c r="EPC22"/>
      <c r="EPD22"/>
      <c r="EPE22"/>
      <c r="EPF22"/>
      <c r="EPG22"/>
      <c r="EPH22"/>
      <c r="EPI22"/>
      <c r="EPJ22"/>
      <c r="EPK22"/>
      <c r="EPL22"/>
      <c r="EPM22"/>
      <c r="EPN22"/>
      <c r="EPO22"/>
      <c r="EPP22"/>
      <c r="EPQ22"/>
      <c r="EPR22"/>
      <c r="EPS22"/>
      <c r="EPT22"/>
      <c r="EPU22"/>
      <c r="EPV22"/>
      <c r="EPW22"/>
      <c r="EPX22"/>
      <c r="EPY22"/>
      <c r="EPZ22"/>
      <c r="EQA22"/>
      <c r="EQB22"/>
      <c r="EQC22"/>
      <c r="EQD22"/>
      <c r="EQE22"/>
      <c r="EQF22"/>
      <c r="EQG22"/>
      <c r="EQH22"/>
      <c r="EQI22"/>
      <c r="EQJ22"/>
      <c r="EQK22"/>
      <c r="EQL22"/>
      <c r="EQM22"/>
      <c r="EQN22"/>
      <c r="EQO22"/>
      <c r="EQP22"/>
      <c r="EQQ22"/>
      <c r="EQR22"/>
      <c r="EQS22"/>
      <c r="EQT22"/>
      <c r="EQU22"/>
      <c r="EQV22"/>
      <c r="EQW22"/>
      <c r="EQX22"/>
      <c r="EQY22"/>
      <c r="EQZ22"/>
      <c r="ERA22"/>
      <c r="ERB22"/>
      <c r="ERC22"/>
      <c r="ERD22"/>
      <c r="ERE22"/>
      <c r="ERF22"/>
      <c r="ERG22"/>
      <c r="ERH22"/>
      <c r="ERI22"/>
      <c r="ERJ22"/>
      <c r="ERK22"/>
      <c r="ERL22"/>
      <c r="ERM22"/>
      <c r="ERN22"/>
      <c r="ERO22"/>
      <c r="ERP22"/>
      <c r="ERQ22"/>
      <c r="ERR22"/>
      <c r="ERS22"/>
      <c r="ERT22"/>
      <c r="ERU22"/>
      <c r="ERV22"/>
      <c r="ERW22"/>
      <c r="ERX22"/>
      <c r="ERY22"/>
      <c r="ERZ22"/>
      <c r="ESA22"/>
      <c r="ESB22"/>
      <c r="ESC22"/>
      <c r="ESD22"/>
      <c r="ESE22"/>
      <c r="ESF22"/>
      <c r="ESG22"/>
      <c r="ESH22"/>
      <c r="ESI22"/>
      <c r="ESJ22"/>
      <c r="ESK22"/>
      <c r="ESL22"/>
      <c r="ESM22"/>
      <c r="ESN22"/>
      <c r="ESO22"/>
      <c r="ESP22"/>
      <c r="ESQ22"/>
      <c r="ESR22"/>
      <c r="ESS22"/>
      <c r="EST22"/>
      <c r="ESU22"/>
      <c r="ESV22"/>
      <c r="ESW22"/>
      <c r="ESX22"/>
      <c r="ESY22"/>
      <c r="ESZ22"/>
      <c r="ETA22"/>
      <c r="ETB22"/>
      <c r="ETC22"/>
      <c r="ETD22"/>
      <c r="ETE22"/>
      <c r="ETF22"/>
      <c r="ETG22"/>
      <c r="ETH22"/>
      <c r="ETI22"/>
      <c r="ETJ22"/>
      <c r="ETK22"/>
      <c r="ETL22"/>
      <c r="ETM22"/>
      <c r="ETN22"/>
      <c r="ETO22"/>
      <c r="ETP22"/>
      <c r="ETQ22"/>
      <c r="ETR22"/>
      <c r="ETS22"/>
      <c r="ETT22"/>
      <c r="ETU22"/>
      <c r="ETV22"/>
      <c r="ETW22"/>
      <c r="ETX22"/>
      <c r="ETY22"/>
      <c r="ETZ22"/>
      <c r="EUA22"/>
      <c r="EUB22"/>
      <c r="EUC22"/>
      <c r="EUD22"/>
      <c r="EUE22"/>
      <c r="EUF22"/>
      <c r="EUG22"/>
      <c r="EUH22"/>
      <c r="EUI22"/>
      <c r="EUJ22"/>
      <c r="EUK22"/>
      <c r="EUL22"/>
      <c r="EUM22"/>
      <c r="EUN22"/>
      <c r="EUO22"/>
      <c r="EUP22"/>
      <c r="EUQ22"/>
      <c r="EUR22"/>
      <c r="EUS22"/>
      <c r="EUT22"/>
      <c r="EUU22"/>
      <c r="EUV22"/>
      <c r="EUW22"/>
      <c r="EUX22"/>
      <c r="EUY22"/>
      <c r="EUZ22"/>
      <c r="EVA22"/>
      <c r="EVB22"/>
      <c r="EVC22"/>
      <c r="EVD22"/>
      <c r="EVE22"/>
      <c r="EVF22"/>
      <c r="EVG22"/>
      <c r="EVH22"/>
      <c r="EVI22"/>
      <c r="EVJ22"/>
      <c r="EVK22"/>
      <c r="EVL22"/>
      <c r="EVM22"/>
      <c r="EVN22"/>
      <c r="EVO22"/>
      <c r="EVP22"/>
      <c r="EVQ22"/>
      <c r="EVR22"/>
      <c r="EVS22"/>
      <c r="EVT22"/>
      <c r="EVU22"/>
      <c r="EVV22"/>
      <c r="EVW22"/>
      <c r="EVX22"/>
      <c r="EVY22"/>
      <c r="EVZ22"/>
      <c r="EWA22"/>
      <c r="EWB22"/>
      <c r="EWC22"/>
      <c r="EWD22"/>
      <c r="EWE22"/>
      <c r="EWF22"/>
      <c r="EWG22"/>
      <c r="EWH22"/>
      <c r="EWI22"/>
      <c r="EWJ22"/>
      <c r="EWK22"/>
      <c r="EWL22"/>
      <c r="EWM22"/>
      <c r="EWN22"/>
      <c r="EWO22"/>
      <c r="EWP22"/>
      <c r="EWQ22"/>
      <c r="EWR22"/>
      <c r="EWS22"/>
      <c r="EWT22"/>
      <c r="EWU22"/>
      <c r="EWV22"/>
      <c r="EWW22"/>
      <c r="EWX22"/>
      <c r="EWY22"/>
      <c r="EWZ22"/>
      <c r="EXA22"/>
      <c r="EXB22"/>
      <c r="EXC22"/>
      <c r="EXD22"/>
      <c r="EXE22"/>
      <c r="EXF22"/>
      <c r="EXG22"/>
      <c r="EXH22"/>
      <c r="EXI22"/>
      <c r="EXJ22"/>
      <c r="EXK22"/>
      <c r="EXL22"/>
      <c r="EXM22"/>
      <c r="EXN22"/>
      <c r="EXO22"/>
      <c r="EXP22"/>
      <c r="EXQ22"/>
      <c r="EXR22"/>
      <c r="EXS22"/>
      <c r="EXT22"/>
      <c r="EXU22"/>
      <c r="EXV22"/>
      <c r="EXW22"/>
      <c r="EXX22"/>
      <c r="EXY22"/>
      <c r="EXZ22"/>
      <c r="EYA22"/>
      <c r="EYB22"/>
      <c r="EYC22"/>
      <c r="EYD22"/>
      <c r="EYE22"/>
      <c r="EYF22"/>
      <c r="EYG22"/>
      <c r="EYH22"/>
      <c r="EYI22"/>
      <c r="EYJ22"/>
      <c r="EYK22"/>
      <c r="EYL22"/>
      <c r="EYM22"/>
      <c r="EYN22"/>
      <c r="EYO22"/>
      <c r="EYP22"/>
      <c r="EYQ22"/>
      <c r="EYR22"/>
      <c r="EYS22"/>
      <c r="EYT22"/>
      <c r="EYU22"/>
      <c r="EYV22"/>
      <c r="EYW22"/>
      <c r="EYX22"/>
      <c r="EYY22"/>
      <c r="EYZ22"/>
      <c r="EZA22"/>
      <c r="EZB22"/>
      <c r="EZC22"/>
      <c r="EZD22"/>
      <c r="EZE22"/>
      <c r="EZF22"/>
      <c r="EZG22"/>
      <c r="EZH22"/>
      <c r="EZI22"/>
      <c r="EZJ22"/>
      <c r="EZK22"/>
      <c r="EZL22"/>
      <c r="EZM22"/>
      <c r="EZN22"/>
      <c r="EZO22"/>
      <c r="EZP22"/>
      <c r="EZQ22"/>
      <c r="EZR22"/>
      <c r="EZS22"/>
      <c r="EZT22"/>
      <c r="EZU22"/>
      <c r="EZV22"/>
      <c r="EZW22"/>
      <c r="EZX22"/>
      <c r="EZY22"/>
      <c r="EZZ22"/>
      <c r="FAA22"/>
      <c r="FAB22"/>
      <c r="FAC22"/>
      <c r="FAD22"/>
      <c r="FAE22"/>
      <c r="FAF22"/>
      <c r="FAG22"/>
      <c r="FAH22"/>
      <c r="FAI22"/>
      <c r="FAJ22"/>
      <c r="FAK22"/>
      <c r="FAL22"/>
      <c r="FAM22"/>
      <c r="FAN22"/>
      <c r="FAO22"/>
      <c r="FAP22"/>
      <c r="FAQ22"/>
      <c r="FAR22"/>
      <c r="FAS22"/>
      <c r="FAT22"/>
      <c r="FAU22"/>
      <c r="FAV22"/>
      <c r="FAW22"/>
      <c r="FAX22"/>
      <c r="FAY22"/>
      <c r="FAZ22"/>
      <c r="FBA22"/>
      <c r="FBB22"/>
      <c r="FBC22"/>
      <c r="FBD22"/>
      <c r="FBE22"/>
      <c r="FBF22"/>
      <c r="FBG22"/>
      <c r="FBH22"/>
      <c r="FBI22"/>
      <c r="FBJ22"/>
      <c r="FBK22"/>
      <c r="FBL22"/>
      <c r="FBM22"/>
      <c r="FBN22"/>
      <c r="FBO22"/>
      <c r="FBP22"/>
      <c r="FBQ22"/>
      <c r="FBR22"/>
      <c r="FBS22"/>
      <c r="FBT22"/>
      <c r="FBU22"/>
      <c r="FBV22"/>
      <c r="FBW22"/>
      <c r="FBX22"/>
      <c r="FBY22"/>
      <c r="FBZ22"/>
      <c r="FCA22"/>
      <c r="FCB22"/>
      <c r="FCC22"/>
      <c r="FCD22"/>
      <c r="FCE22"/>
      <c r="FCF22"/>
      <c r="FCG22"/>
      <c r="FCH22"/>
      <c r="FCI22"/>
      <c r="FCJ22"/>
      <c r="FCK22"/>
      <c r="FCL22"/>
      <c r="FCM22"/>
      <c r="FCN22"/>
      <c r="FCO22"/>
      <c r="FCP22"/>
      <c r="FCQ22"/>
      <c r="FCR22"/>
      <c r="FCS22"/>
      <c r="FCT22"/>
      <c r="FCU22"/>
      <c r="FCV22"/>
      <c r="FCW22"/>
      <c r="FCX22"/>
      <c r="FCY22"/>
      <c r="FCZ22"/>
      <c r="FDA22"/>
      <c r="FDB22"/>
      <c r="FDC22"/>
      <c r="FDD22"/>
      <c r="FDE22"/>
      <c r="FDF22"/>
      <c r="FDG22"/>
      <c r="FDH22"/>
      <c r="FDI22"/>
      <c r="FDJ22"/>
      <c r="FDK22"/>
      <c r="FDL22"/>
      <c r="FDM22"/>
      <c r="FDN22"/>
      <c r="FDO22"/>
      <c r="FDP22"/>
      <c r="FDQ22"/>
      <c r="FDR22"/>
      <c r="FDS22"/>
      <c r="FDT22"/>
      <c r="FDU22"/>
      <c r="FDV22"/>
      <c r="FDW22"/>
      <c r="FDX22"/>
      <c r="FDY22"/>
      <c r="FDZ22"/>
      <c r="FEA22"/>
      <c r="FEB22"/>
      <c r="FEC22"/>
      <c r="FED22"/>
      <c r="FEE22"/>
      <c r="FEF22"/>
      <c r="FEG22"/>
      <c r="FEH22"/>
      <c r="FEI22"/>
      <c r="FEJ22"/>
      <c r="FEK22"/>
      <c r="FEL22"/>
      <c r="FEM22"/>
      <c r="FEN22"/>
      <c r="FEO22"/>
      <c r="FEP22"/>
      <c r="FEQ22"/>
      <c r="FER22"/>
      <c r="FES22"/>
      <c r="FET22"/>
      <c r="FEU22"/>
      <c r="FEV22"/>
      <c r="FEW22"/>
      <c r="FEX22"/>
      <c r="FEY22"/>
      <c r="FEZ22"/>
      <c r="FFA22"/>
      <c r="FFB22"/>
      <c r="FFC22"/>
      <c r="FFD22"/>
      <c r="FFE22"/>
      <c r="FFF22"/>
      <c r="FFG22"/>
      <c r="FFH22"/>
      <c r="FFI22"/>
      <c r="FFJ22"/>
      <c r="FFK22"/>
      <c r="FFL22"/>
      <c r="FFM22"/>
      <c r="FFN22"/>
      <c r="FFO22"/>
      <c r="FFP22"/>
      <c r="FFQ22"/>
      <c r="FFR22"/>
      <c r="FFS22"/>
      <c r="FFT22"/>
      <c r="FFU22"/>
      <c r="FFV22"/>
      <c r="FFW22"/>
      <c r="FFX22"/>
      <c r="FFY22"/>
      <c r="FFZ22"/>
      <c r="FGA22"/>
      <c r="FGB22"/>
      <c r="FGC22"/>
      <c r="FGD22"/>
      <c r="FGE22"/>
      <c r="FGF22"/>
      <c r="FGG22"/>
      <c r="FGH22"/>
      <c r="FGI22"/>
      <c r="FGJ22"/>
      <c r="FGK22"/>
      <c r="FGL22"/>
      <c r="FGM22"/>
      <c r="FGN22"/>
      <c r="FGO22"/>
      <c r="FGP22"/>
      <c r="FGQ22"/>
      <c r="FGR22"/>
      <c r="FGS22"/>
      <c r="FGT22"/>
      <c r="FGU22"/>
      <c r="FGV22"/>
      <c r="FGW22"/>
      <c r="FGX22"/>
      <c r="FGY22"/>
      <c r="FGZ22"/>
      <c r="FHA22"/>
      <c r="FHB22"/>
      <c r="FHC22"/>
      <c r="FHD22"/>
      <c r="FHE22"/>
      <c r="FHF22"/>
      <c r="FHG22"/>
      <c r="FHH22"/>
      <c r="FHI22"/>
      <c r="FHJ22"/>
      <c r="FHK22"/>
      <c r="FHL22"/>
      <c r="FHM22"/>
      <c r="FHN22"/>
      <c r="FHO22"/>
      <c r="FHP22"/>
      <c r="FHQ22"/>
      <c r="FHR22"/>
      <c r="FHS22"/>
      <c r="FHT22"/>
      <c r="FHU22"/>
      <c r="FHV22"/>
      <c r="FHW22"/>
      <c r="FHX22"/>
      <c r="FHY22"/>
      <c r="FHZ22"/>
      <c r="FIA22"/>
      <c r="FIB22"/>
      <c r="FIC22"/>
      <c r="FID22"/>
      <c r="FIE22"/>
      <c r="FIF22"/>
      <c r="FIG22"/>
      <c r="FIH22"/>
      <c r="FII22"/>
      <c r="FIJ22"/>
      <c r="FIK22"/>
      <c r="FIL22"/>
      <c r="FIM22"/>
      <c r="FIN22"/>
      <c r="FIO22"/>
      <c r="FIP22"/>
      <c r="FIQ22"/>
      <c r="FIR22"/>
      <c r="FIS22"/>
      <c r="FIT22"/>
      <c r="FIU22"/>
      <c r="FIV22"/>
      <c r="FIW22"/>
      <c r="FIX22"/>
      <c r="FIY22"/>
      <c r="FIZ22"/>
      <c r="FJA22"/>
      <c r="FJB22"/>
      <c r="FJC22"/>
      <c r="FJD22"/>
      <c r="FJE22"/>
      <c r="FJF22"/>
      <c r="FJG22"/>
      <c r="FJH22"/>
      <c r="FJI22"/>
      <c r="FJJ22"/>
      <c r="FJK22"/>
      <c r="FJL22"/>
      <c r="FJM22"/>
      <c r="FJN22"/>
      <c r="FJO22"/>
      <c r="FJP22"/>
      <c r="FJQ22"/>
      <c r="FJR22"/>
      <c r="FJS22"/>
      <c r="FJT22"/>
      <c r="FJU22"/>
      <c r="FJV22"/>
      <c r="FJW22"/>
      <c r="FJX22"/>
      <c r="FJY22"/>
      <c r="FJZ22"/>
      <c r="FKA22"/>
      <c r="FKB22"/>
      <c r="FKC22"/>
      <c r="FKD22"/>
      <c r="FKE22"/>
      <c r="FKF22"/>
      <c r="FKG22"/>
      <c r="FKH22"/>
      <c r="FKI22"/>
      <c r="FKJ22"/>
      <c r="FKK22"/>
      <c r="FKL22"/>
      <c r="FKM22"/>
      <c r="FKN22"/>
      <c r="FKO22"/>
      <c r="FKP22"/>
      <c r="FKQ22"/>
      <c r="FKR22"/>
      <c r="FKS22"/>
      <c r="FKT22"/>
      <c r="FKU22"/>
      <c r="FKV22"/>
      <c r="FKW22"/>
      <c r="FKX22"/>
      <c r="FKY22"/>
      <c r="FKZ22"/>
      <c r="FLA22"/>
      <c r="FLB22"/>
      <c r="FLC22"/>
      <c r="FLD22"/>
      <c r="FLE22"/>
      <c r="FLF22"/>
      <c r="FLG22"/>
      <c r="FLH22"/>
      <c r="FLI22"/>
      <c r="FLJ22"/>
      <c r="FLK22"/>
      <c r="FLL22"/>
      <c r="FLM22"/>
      <c r="FLN22"/>
      <c r="FLO22"/>
      <c r="FLP22"/>
      <c r="FLQ22"/>
      <c r="FLR22"/>
      <c r="FLS22"/>
      <c r="FLT22"/>
      <c r="FLU22"/>
      <c r="FLV22"/>
      <c r="FLW22"/>
      <c r="FLX22"/>
      <c r="FLY22"/>
      <c r="FLZ22"/>
      <c r="FMA22"/>
      <c r="FMB22"/>
      <c r="FMC22"/>
      <c r="FMD22"/>
      <c r="FME22"/>
      <c r="FMF22"/>
      <c r="FMG22"/>
      <c r="FMH22"/>
      <c r="FMI22"/>
      <c r="FMJ22"/>
      <c r="FMK22"/>
      <c r="FML22"/>
      <c r="FMM22"/>
      <c r="FMN22"/>
      <c r="FMO22"/>
      <c r="FMP22"/>
      <c r="FMQ22"/>
      <c r="FMR22"/>
      <c r="FMS22"/>
      <c r="FMT22"/>
      <c r="FMU22"/>
      <c r="FMV22"/>
      <c r="FMW22"/>
      <c r="FMX22"/>
      <c r="FMY22"/>
      <c r="FMZ22"/>
      <c r="FNA22"/>
      <c r="FNB22"/>
      <c r="FNC22"/>
      <c r="FND22"/>
      <c r="FNE22"/>
      <c r="FNF22"/>
      <c r="FNG22"/>
      <c r="FNH22"/>
      <c r="FNI22"/>
      <c r="FNJ22"/>
      <c r="FNK22"/>
      <c r="FNL22"/>
      <c r="FNM22"/>
      <c r="FNN22"/>
      <c r="FNO22"/>
      <c r="FNP22"/>
      <c r="FNQ22"/>
      <c r="FNR22"/>
      <c r="FNS22"/>
      <c r="FNT22"/>
      <c r="FNU22"/>
      <c r="FNV22"/>
      <c r="FNW22"/>
      <c r="FNX22"/>
      <c r="FNY22"/>
      <c r="FNZ22"/>
      <c r="FOA22"/>
      <c r="FOB22"/>
      <c r="FOC22"/>
      <c r="FOD22"/>
      <c r="FOE22"/>
      <c r="FOF22"/>
      <c r="FOG22"/>
      <c r="FOH22"/>
      <c r="FOI22"/>
      <c r="FOJ22"/>
      <c r="FOK22"/>
      <c r="FOL22"/>
      <c r="FOM22"/>
      <c r="FON22"/>
      <c r="FOO22"/>
      <c r="FOP22"/>
      <c r="FOQ22"/>
      <c r="FOR22"/>
      <c r="FOS22"/>
      <c r="FOT22"/>
      <c r="FOU22"/>
      <c r="FOV22"/>
      <c r="FOW22"/>
      <c r="FOX22"/>
      <c r="FOY22"/>
      <c r="FOZ22"/>
      <c r="FPA22"/>
      <c r="FPB22"/>
      <c r="FPC22"/>
      <c r="FPD22"/>
      <c r="FPE22"/>
      <c r="FPF22"/>
      <c r="FPG22"/>
      <c r="FPH22"/>
      <c r="FPI22"/>
      <c r="FPJ22"/>
      <c r="FPK22"/>
      <c r="FPL22"/>
      <c r="FPM22"/>
      <c r="FPN22"/>
      <c r="FPO22"/>
      <c r="FPP22"/>
      <c r="FPQ22"/>
      <c r="FPR22"/>
      <c r="FPS22"/>
      <c r="FPT22"/>
      <c r="FPU22"/>
      <c r="FPV22"/>
      <c r="FPW22"/>
      <c r="FPX22"/>
      <c r="FPY22"/>
      <c r="FPZ22"/>
      <c r="FQA22"/>
      <c r="FQB22"/>
      <c r="FQC22"/>
      <c r="FQD22"/>
      <c r="FQE22"/>
      <c r="FQF22"/>
      <c r="FQG22"/>
      <c r="FQH22"/>
      <c r="FQI22"/>
      <c r="FQJ22"/>
      <c r="FQK22"/>
      <c r="FQL22"/>
      <c r="FQM22"/>
      <c r="FQN22"/>
      <c r="FQO22"/>
      <c r="FQP22"/>
      <c r="FQQ22"/>
      <c r="FQR22"/>
      <c r="FQS22"/>
      <c r="FQT22"/>
      <c r="FQU22"/>
      <c r="FQV22"/>
      <c r="FQW22"/>
      <c r="FQX22"/>
      <c r="FQY22"/>
      <c r="FQZ22"/>
      <c r="FRA22"/>
      <c r="FRB22"/>
      <c r="FRC22"/>
      <c r="FRD22"/>
      <c r="FRE22"/>
      <c r="FRF22"/>
      <c r="FRG22"/>
      <c r="FRH22"/>
      <c r="FRI22"/>
      <c r="FRJ22"/>
      <c r="FRK22"/>
      <c r="FRL22"/>
      <c r="FRM22"/>
      <c r="FRN22"/>
      <c r="FRO22"/>
      <c r="FRP22"/>
      <c r="FRQ22"/>
      <c r="FRR22"/>
      <c r="FRS22"/>
      <c r="FRT22"/>
      <c r="FRU22"/>
      <c r="FRV22"/>
      <c r="FRW22"/>
      <c r="FRX22"/>
      <c r="FRY22"/>
      <c r="FRZ22"/>
      <c r="FSA22"/>
      <c r="FSB22"/>
      <c r="FSC22"/>
      <c r="FSD22"/>
      <c r="FSE22"/>
      <c r="FSF22"/>
      <c r="FSG22"/>
      <c r="FSH22"/>
      <c r="FSI22"/>
      <c r="FSJ22"/>
      <c r="FSK22"/>
      <c r="FSL22"/>
      <c r="FSM22"/>
      <c r="FSN22"/>
      <c r="FSO22"/>
      <c r="FSP22"/>
      <c r="FSQ22"/>
      <c r="FSR22"/>
      <c r="FSS22"/>
      <c r="FST22"/>
      <c r="FSU22"/>
      <c r="FSV22"/>
      <c r="FSW22"/>
      <c r="FSX22"/>
      <c r="FSY22"/>
      <c r="FSZ22"/>
      <c r="FTA22"/>
      <c r="FTB22"/>
      <c r="FTC22"/>
      <c r="FTD22"/>
      <c r="FTE22"/>
      <c r="FTF22"/>
      <c r="FTG22"/>
      <c r="FTH22"/>
      <c r="FTI22"/>
      <c r="FTJ22"/>
      <c r="FTK22"/>
      <c r="FTL22"/>
      <c r="FTM22"/>
      <c r="FTN22"/>
      <c r="FTO22"/>
      <c r="FTP22"/>
      <c r="FTQ22"/>
      <c r="FTR22"/>
      <c r="FTS22"/>
      <c r="FTT22"/>
      <c r="FTU22"/>
      <c r="FTV22"/>
      <c r="FTW22"/>
      <c r="FTX22"/>
      <c r="FTY22"/>
      <c r="FTZ22"/>
      <c r="FUA22"/>
      <c r="FUB22"/>
      <c r="FUC22"/>
      <c r="FUD22"/>
      <c r="FUE22"/>
      <c r="FUF22"/>
      <c r="FUG22"/>
      <c r="FUH22"/>
      <c r="FUI22"/>
      <c r="FUJ22"/>
      <c r="FUK22"/>
      <c r="FUL22"/>
      <c r="FUM22"/>
      <c r="FUN22"/>
      <c r="FUO22"/>
      <c r="FUP22"/>
      <c r="FUQ22"/>
      <c r="FUR22"/>
      <c r="FUS22"/>
      <c r="FUT22"/>
      <c r="FUU22"/>
      <c r="FUV22"/>
      <c r="FUW22"/>
      <c r="FUX22"/>
      <c r="FUY22"/>
      <c r="FUZ22"/>
      <c r="FVA22"/>
      <c r="FVB22"/>
      <c r="FVC22"/>
      <c r="FVD22"/>
      <c r="FVE22"/>
      <c r="FVF22"/>
      <c r="FVG22"/>
      <c r="FVH22"/>
      <c r="FVI22"/>
      <c r="FVJ22"/>
      <c r="FVK22"/>
      <c r="FVL22"/>
      <c r="FVM22"/>
      <c r="FVN22"/>
      <c r="FVO22"/>
      <c r="FVP22"/>
      <c r="FVQ22"/>
      <c r="FVR22"/>
      <c r="FVS22"/>
      <c r="FVT22"/>
      <c r="FVU22"/>
      <c r="FVV22"/>
      <c r="FVW22"/>
      <c r="FVX22"/>
      <c r="FVY22"/>
      <c r="FVZ22"/>
      <c r="FWA22"/>
      <c r="FWB22"/>
      <c r="FWC22"/>
      <c r="FWD22"/>
      <c r="FWE22"/>
      <c r="FWF22"/>
      <c r="FWG22"/>
      <c r="FWH22"/>
      <c r="FWI22"/>
      <c r="FWJ22"/>
      <c r="FWK22"/>
      <c r="FWL22"/>
      <c r="FWM22"/>
      <c r="FWN22"/>
      <c r="FWO22"/>
      <c r="FWP22"/>
      <c r="FWQ22"/>
      <c r="FWR22"/>
      <c r="FWS22"/>
      <c r="FWT22"/>
      <c r="FWU22"/>
      <c r="FWV22"/>
      <c r="FWW22"/>
      <c r="FWX22"/>
      <c r="FWY22"/>
      <c r="FWZ22"/>
      <c r="FXA22"/>
      <c r="FXB22"/>
      <c r="FXC22"/>
      <c r="FXD22"/>
      <c r="FXE22"/>
      <c r="FXF22"/>
      <c r="FXG22"/>
      <c r="FXH22"/>
      <c r="FXI22"/>
      <c r="FXJ22"/>
      <c r="FXK22"/>
      <c r="FXL22"/>
      <c r="FXM22"/>
      <c r="FXN22"/>
      <c r="FXO22"/>
      <c r="FXP22"/>
      <c r="FXQ22"/>
      <c r="FXR22"/>
      <c r="FXS22"/>
      <c r="FXT22"/>
      <c r="FXU22"/>
      <c r="FXV22"/>
      <c r="FXW22"/>
      <c r="FXX22"/>
      <c r="FXY22"/>
      <c r="FXZ22"/>
      <c r="FYA22"/>
      <c r="FYB22"/>
      <c r="FYC22"/>
      <c r="FYD22"/>
      <c r="FYE22"/>
      <c r="FYF22"/>
      <c r="FYG22"/>
      <c r="FYH22"/>
      <c r="FYI22"/>
      <c r="FYJ22"/>
      <c r="FYK22"/>
      <c r="FYL22"/>
      <c r="FYM22"/>
      <c r="FYN22"/>
      <c r="FYO22"/>
      <c r="FYP22"/>
      <c r="FYQ22"/>
      <c r="FYR22"/>
      <c r="FYS22"/>
      <c r="FYT22"/>
      <c r="FYU22"/>
      <c r="FYV22"/>
      <c r="FYW22"/>
      <c r="FYX22"/>
      <c r="FYY22"/>
      <c r="FYZ22"/>
      <c r="FZA22"/>
      <c r="FZB22"/>
      <c r="FZC22"/>
      <c r="FZD22"/>
      <c r="FZE22"/>
      <c r="FZF22"/>
      <c r="FZG22"/>
      <c r="FZH22"/>
      <c r="FZI22"/>
      <c r="FZJ22"/>
      <c r="FZK22"/>
      <c r="FZL22"/>
      <c r="FZM22"/>
      <c r="FZN22"/>
      <c r="FZO22"/>
      <c r="FZP22"/>
      <c r="FZQ22"/>
      <c r="FZR22"/>
      <c r="FZS22"/>
      <c r="FZT22"/>
      <c r="FZU22"/>
      <c r="FZV22"/>
      <c r="FZW22"/>
      <c r="FZX22"/>
      <c r="FZY22"/>
      <c r="FZZ22"/>
      <c r="GAA22"/>
      <c r="GAB22"/>
      <c r="GAC22"/>
      <c r="GAD22"/>
      <c r="GAE22"/>
      <c r="GAF22"/>
      <c r="GAG22"/>
      <c r="GAH22"/>
      <c r="GAI22"/>
      <c r="GAJ22"/>
      <c r="GAK22"/>
      <c r="GAL22"/>
      <c r="GAM22"/>
      <c r="GAN22"/>
      <c r="GAO22"/>
      <c r="GAP22"/>
      <c r="GAQ22"/>
      <c r="GAR22"/>
      <c r="GAS22"/>
      <c r="GAT22"/>
      <c r="GAU22"/>
      <c r="GAV22"/>
      <c r="GAW22"/>
      <c r="GAX22"/>
      <c r="GAY22"/>
      <c r="GAZ22"/>
      <c r="GBA22"/>
      <c r="GBB22"/>
      <c r="GBC22"/>
      <c r="GBD22"/>
      <c r="GBE22"/>
      <c r="GBF22"/>
      <c r="GBG22"/>
      <c r="GBH22"/>
      <c r="GBI22"/>
      <c r="GBJ22"/>
      <c r="GBK22"/>
      <c r="GBL22"/>
      <c r="GBM22"/>
      <c r="GBN22"/>
      <c r="GBO22"/>
      <c r="GBP22"/>
      <c r="GBQ22"/>
      <c r="GBR22"/>
      <c r="GBS22"/>
      <c r="GBT22"/>
      <c r="GBU22"/>
      <c r="GBV22"/>
      <c r="GBW22"/>
      <c r="GBX22"/>
      <c r="GBY22"/>
      <c r="GBZ22"/>
      <c r="GCA22"/>
      <c r="GCB22"/>
      <c r="GCC22"/>
      <c r="GCD22"/>
      <c r="GCE22"/>
      <c r="GCF22"/>
      <c r="GCG22"/>
      <c r="GCH22"/>
      <c r="GCI22"/>
      <c r="GCJ22"/>
      <c r="GCK22"/>
      <c r="GCL22"/>
      <c r="GCM22"/>
      <c r="GCN22"/>
      <c r="GCO22"/>
      <c r="GCP22"/>
      <c r="GCQ22"/>
      <c r="GCR22"/>
      <c r="GCS22"/>
      <c r="GCT22"/>
      <c r="GCU22"/>
      <c r="GCV22"/>
      <c r="GCW22"/>
      <c r="GCX22"/>
      <c r="GCY22"/>
      <c r="GCZ22"/>
      <c r="GDA22"/>
      <c r="GDB22"/>
      <c r="GDC22"/>
      <c r="GDD22"/>
      <c r="GDE22"/>
      <c r="GDF22"/>
      <c r="GDG22"/>
      <c r="GDH22"/>
      <c r="GDI22"/>
      <c r="GDJ22"/>
      <c r="GDK22"/>
      <c r="GDL22"/>
      <c r="GDM22"/>
      <c r="GDN22"/>
      <c r="GDO22"/>
      <c r="GDP22"/>
      <c r="GDQ22"/>
      <c r="GDR22"/>
      <c r="GDS22"/>
      <c r="GDT22"/>
      <c r="GDU22"/>
      <c r="GDV22"/>
      <c r="GDW22"/>
      <c r="GDX22"/>
      <c r="GDY22"/>
      <c r="GDZ22"/>
      <c r="GEA22"/>
      <c r="GEB22"/>
      <c r="GEC22"/>
      <c r="GED22"/>
      <c r="GEE22"/>
      <c r="GEF22"/>
      <c r="GEG22"/>
      <c r="GEH22"/>
      <c r="GEI22"/>
      <c r="GEJ22"/>
      <c r="GEK22"/>
      <c r="GEL22"/>
      <c r="GEM22"/>
      <c r="GEN22"/>
      <c r="GEO22"/>
      <c r="GEP22"/>
      <c r="GEQ22"/>
      <c r="GER22"/>
      <c r="GES22"/>
      <c r="GET22"/>
      <c r="GEU22"/>
      <c r="GEV22"/>
      <c r="GEW22"/>
      <c r="GEX22"/>
      <c r="GEY22"/>
      <c r="GEZ22"/>
      <c r="GFA22"/>
      <c r="GFB22"/>
      <c r="GFC22"/>
      <c r="GFD22"/>
      <c r="GFE22"/>
      <c r="GFF22"/>
      <c r="GFG22"/>
      <c r="GFH22"/>
      <c r="GFI22"/>
      <c r="GFJ22"/>
      <c r="GFK22"/>
      <c r="GFL22"/>
      <c r="GFM22"/>
      <c r="GFN22"/>
      <c r="GFO22"/>
      <c r="GFP22"/>
      <c r="GFQ22"/>
      <c r="GFR22"/>
      <c r="GFS22"/>
      <c r="GFT22"/>
      <c r="GFU22"/>
      <c r="GFV22"/>
      <c r="GFW22"/>
      <c r="GFX22"/>
      <c r="GFY22"/>
      <c r="GFZ22"/>
      <c r="GGA22"/>
      <c r="GGB22"/>
      <c r="GGC22"/>
      <c r="GGD22"/>
      <c r="GGE22"/>
      <c r="GGF22"/>
      <c r="GGG22"/>
      <c r="GGH22"/>
      <c r="GGI22"/>
      <c r="GGJ22"/>
      <c r="GGK22"/>
      <c r="GGL22"/>
      <c r="GGM22"/>
      <c r="GGN22"/>
      <c r="GGO22"/>
      <c r="GGP22"/>
      <c r="GGQ22"/>
      <c r="GGR22"/>
      <c r="GGS22"/>
      <c r="GGT22"/>
      <c r="GGU22"/>
      <c r="GGV22"/>
      <c r="GGW22"/>
      <c r="GGX22"/>
      <c r="GGY22"/>
      <c r="GGZ22"/>
      <c r="GHA22"/>
      <c r="GHB22"/>
      <c r="GHC22"/>
      <c r="GHD22"/>
      <c r="GHE22"/>
      <c r="GHF22"/>
      <c r="GHG22"/>
      <c r="GHH22"/>
      <c r="GHI22"/>
      <c r="GHJ22"/>
      <c r="GHK22"/>
      <c r="GHL22"/>
      <c r="GHM22"/>
      <c r="GHN22"/>
      <c r="GHO22"/>
      <c r="GHP22"/>
      <c r="GHQ22"/>
      <c r="GHR22"/>
      <c r="GHS22"/>
      <c r="GHT22"/>
      <c r="GHU22"/>
      <c r="GHV22"/>
      <c r="GHW22"/>
      <c r="GHX22"/>
      <c r="GHY22"/>
      <c r="GHZ22"/>
      <c r="GIA22"/>
      <c r="GIB22"/>
      <c r="GIC22"/>
      <c r="GID22"/>
      <c r="GIE22"/>
      <c r="GIF22"/>
      <c r="GIG22"/>
      <c r="GIH22"/>
      <c r="GII22"/>
      <c r="GIJ22"/>
      <c r="GIK22"/>
      <c r="GIL22"/>
      <c r="GIM22"/>
      <c r="GIN22"/>
      <c r="GIO22"/>
      <c r="GIP22"/>
      <c r="GIQ22"/>
      <c r="GIR22"/>
      <c r="GIS22"/>
      <c r="GIT22"/>
      <c r="GIU22"/>
      <c r="GIV22"/>
      <c r="GIW22"/>
      <c r="GIX22"/>
      <c r="GIY22"/>
      <c r="GIZ22"/>
      <c r="GJA22"/>
      <c r="GJB22"/>
      <c r="GJC22"/>
      <c r="GJD22"/>
      <c r="GJE22"/>
      <c r="GJF22"/>
      <c r="GJG22"/>
      <c r="GJH22"/>
      <c r="GJI22"/>
      <c r="GJJ22"/>
      <c r="GJK22"/>
      <c r="GJL22"/>
      <c r="GJM22"/>
      <c r="GJN22"/>
      <c r="GJO22"/>
      <c r="GJP22"/>
      <c r="GJQ22"/>
      <c r="GJR22"/>
      <c r="GJS22"/>
      <c r="GJT22"/>
      <c r="GJU22"/>
      <c r="GJV22"/>
      <c r="GJW22"/>
      <c r="GJX22"/>
      <c r="GJY22"/>
      <c r="GJZ22"/>
      <c r="GKA22"/>
      <c r="GKB22"/>
      <c r="GKC22"/>
      <c r="GKD22"/>
      <c r="GKE22"/>
      <c r="GKF22"/>
      <c r="GKG22"/>
      <c r="GKH22"/>
      <c r="GKI22"/>
      <c r="GKJ22"/>
      <c r="GKK22"/>
      <c r="GKL22"/>
      <c r="GKM22"/>
      <c r="GKN22"/>
      <c r="GKO22"/>
      <c r="GKP22"/>
      <c r="GKQ22"/>
      <c r="GKR22"/>
      <c r="GKS22"/>
      <c r="GKT22"/>
      <c r="GKU22"/>
      <c r="GKV22"/>
      <c r="GKW22"/>
      <c r="GKX22"/>
      <c r="GKY22"/>
      <c r="GKZ22"/>
      <c r="GLA22"/>
      <c r="GLB22"/>
      <c r="GLC22"/>
      <c r="GLD22"/>
      <c r="GLE22"/>
      <c r="GLF22"/>
      <c r="GLG22"/>
      <c r="GLH22"/>
      <c r="GLI22"/>
      <c r="GLJ22"/>
      <c r="GLK22"/>
      <c r="GLL22"/>
      <c r="GLM22"/>
      <c r="GLN22"/>
      <c r="GLO22"/>
      <c r="GLP22"/>
      <c r="GLQ22"/>
      <c r="GLR22"/>
      <c r="GLS22"/>
      <c r="GLT22"/>
      <c r="GLU22"/>
      <c r="GLV22"/>
      <c r="GLW22"/>
      <c r="GLX22"/>
      <c r="GLY22"/>
      <c r="GLZ22"/>
      <c r="GMA22"/>
      <c r="GMB22"/>
      <c r="GMC22"/>
      <c r="GMD22"/>
      <c r="GME22"/>
      <c r="GMF22"/>
      <c r="GMG22"/>
      <c r="GMH22"/>
      <c r="GMI22"/>
      <c r="GMJ22"/>
      <c r="GMK22"/>
      <c r="GML22"/>
      <c r="GMM22"/>
      <c r="GMN22"/>
      <c r="GMO22"/>
      <c r="GMP22"/>
      <c r="GMQ22"/>
      <c r="GMR22"/>
      <c r="GMS22"/>
      <c r="GMT22"/>
      <c r="GMU22"/>
      <c r="GMV22"/>
      <c r="GMW22"/>
      <c r="GMX22"/>
      <c r="GMY22"/>
      <c r="GMZ22"/>
      <c r="GNA22"/>
      <c r="GNB22"/>
      <c r="GNC22"/>
      <c r="GND22"/>
      <c r="GNE22"/>
      <c r="GNF22"/>
      <c r="GNG22"/>
      <c r="GNH22"/>
      <c r="GNI22"/>
      <c r="GNJ22"/>
      <c r="GNK22"/>
      <c r="GNL22"/>
      <c r="GNM22"/>
      <c r="GNN22"/>
      <c r="GNO22"/>
      <c r="GNP22"/>
      <c r="GNQ22"/>
      <c r="GNR22"/>
      <c r="GNS22"/>
      <c r="GNT22"/>
      <c r="GNU22"/>
      <c r="GNV22"/>
      <c r="GNW22"/>
      <c r="GNX22"/>
      <c r="GNY22"/>
      <c r="GNZ22"/>
      <c r="GOA22"/>
      <c r="GOB22"/>
      <c r="GOC22"/>
      <c r="GOD22"/>
      <c r="GOE22"/>
      <c r="GOF22"/>
      <c r="GOG22"/>
      <c r="GOH22"/>
      <c r="GOI22"/>
      <c r="GOJ22"/>
      <c r="GOK22"/>
      <c r="GOL22"/>
      <c r="GOM22"/>
      <c r="GON22"/>
      <c r="GOO22"/>
      <c r="GOP22"/>
      <c r="GOQ22"/>
      <c r="GOR22"/>
      <c r="GOS22"/>
      <c r="GOT22"/>
      <c r="GOU22"/>
      <c r="GOV22"/>
      <c r="GOW22"/>
      <c r="GOX22"/>
      <c r="GOY22"/>
      <c r="GOZ22"/>
      <c r="GPA22"/>
      <c r="GPB22"/>
      <c r="GPC22"/>
      <c r="GPD22"/>
      <c r="GPE22"/>
      <c r="GPF22"/>
      <c r="GPG22"/>
      <c r="GPH22"/>
      <c r="GPI22"/>
      <c r="GPJ22"/>
      <c r="GPK22"/>
      <c r="GPL22"/>
      <c r="GPM22"/>
      <c r="GPN22"/>
      <c r="GPO22"/>
      <c r="GPP22"/>
      <c r="GPQ22"/>
      <c r="GPR22"/>
      <c r="GPS22"/>
      <c r="GPT22"/>
      <c r="GPU22"/>
      <c r="GPV22"/>
      <c r="GPW22"/>
      <c r="GPX22"/>
      <c r="GPY22"/>
      <c r="GPZ22"/>
      <c r="GQA22"/>
      <c r="GQB22"/>
      <c r="GQC22"/>
      <c r="GQD22"/>
      <c r="GQE22"/>
      <c r="GQF22"/>
      <c r="GQG22"/>
      <c r="GQH22"/>
      <c r="GQI22"/>
      <c r="GQJ22"/>
      <c r="GQK22"/>
      <c r="GQL22"/>
      <c r="GQM22"/>
      <c r="GQN22"/>
      <c r="GQO22"/>
      <c r="GQP22"/>
      <c r="GQQ22"/>
      <c r="GQR22"/>
      <c r="GQS22"/>
      <c r="GQT22"/>
      <c r="GQU22"/>
      <c r="GQV22"/>
      <c r="GQW22"/>
      <c r="GQX22"/>
      <c r="GQY22"/>
      <c r="GQZ22"/>
      <c r="GRA22"/>
      <c r="GRB22"/>
      <c r="GRC22"/>
      <c r="GRD22"/>
      <c r="GRE22"/>
      <c r="GRF22"/>
      <c r="GRG22"/>
      <c r="GRH22"/>
      <c r="GRI22"/>
      <c r="GRJ22"/>
      <c r="GRK22"/>
      <c r="GRL22"/>
      <c r="GRM22"/>
      <c r="GRN22"/>
      <c r="GRO22"/>
      <c r="GRP22"/>
      <c r="GRQ22"/>
      <c r="GRR22"/>
      <c r="GRS22"/>
      <c r="GRT22"/>
      <c r="GRU22"/>
      <c r="GRV22"/>
      <c r="GRW22"/>
      <c r="GRX22"/>
      <c r="GRY22"/>
      <c r="GRZ22"/>
      <c r="GSA22"/>
      <c r="GSB22"/>
      <c r="GSC22"/>
      <c r="GSD22"/>
      <c r="GSE22"/>
      <c r="GSF22"/>
      <c r="GSG22"/>
      <c r="GSH22"/>
      <c r="GSI22"/>
      <c r="GSJ22"/>
      <c r="GSK22"/>
      <c r="GSL22"/>
      <c r="GSM22"/>
      <c r="GSN22"/>
      <c r="GSO22"/>
      <c r="GSP22"/>
      <c r="GSQ22"/>
      <c r="GSR22"/>
      <c r="GSS22"/>
      <c r="GST22"/>
      <c r="GSU22"/>
      <c r="GSV22"/>
      <c r="GSW22"/>
      <c r="GSX22"/>
      <c r="GSY22"/>
      <c r="GSZ22"/>
      <c r="GTA22"/>
      <c r="GTB22"/>
      <c r="GTC22"/>
      <c r="GTD22"/>
      <c r="GTE22"/>
      <c r="GTF22"/>
      <c r="GTG22"/>
      <c r="GTH22"/>
      <c r="GTI22"/>
      <c r="GTJ22"/>
      <c r="GTK22"/>
      <c r="GTL22"/>
      <c r="GTM22"/>
      <c r="GTN22"/>
      <c r="GTO22"/>
      <c r="GTP22"/>
      <c r="GTQ22"/>
      <c r="GTR22"/>
      <c r="GTS22"/>
      <c r="GTT22"/>
      <c r="GTU22"/>
      <c r="GTV22"/>
      <c r="GTW22"/>
      <c r="GTX22"/>
      <c r="GTY22"/>
      <c r="GTZ22"/>
      <c r="GUA22"/>
      <c r="GUB22"/>
      <c r="GUC22"/>
      <c r="GUD22"/>
      <c r="GUE22"/>
      <c r="GUF22"/>
      <c r="GUG22"/>
      <c r="GUH22"/>
      <c r="GUI22"/>
      <c r="GUJ22"/>
      <c r="GUK22"/>
      <c r="GUL22"/>
      <c r="GUM22"/>
      <c r="GUN22"/>
      <c r="GUO22"/>
      <c r="GUP22"/>
      <c r="GUQ22"/>
      <c r="GUR22"/>
      <c r="GUS22"/>
      <c r="GUT22"/>
      <c r="GUU22"/>
      <c r="GUV22"/>
      <c r="GUW22"/>
      <c r="GUX22"/>
      <c r="GUY22"/>
      <c r="GUZ22"/>
      <c r="GVA22"/>
      <c r="GVB22"/>
      <c r="GVC22"/>
      <c r="GVD22"/>
      <c r="GVE22"/>
      <c r="GVF22"/>
      <c r="GVG22"/>
      <c r="GVH22"/>
      <c r="GVI22"/>
      <c r="GVJ22"/>
      <c r="GVK22"/>
      <c r="GVL22"/>
      <c r="GVM22"/>
      <c r="GVN22"/>
      <c r="GVO22"/>
      <c r="GVP22"/>
      <c r="GVQ22"/>
      <c r="GVR22"/>
      <c r="GVS22"/>
      <c r="GVT22"/>
      <c r="GVU22"/>
      <c r="GVV22"/>
      <c r="GVW22"/>
      <c r="GVX22"/>
      <c r="GVY22"/>
      <c r="GVZ22"/>
      <c r="GWA22"/>
      <c r="GWB22"/>
      <c r="GWC22"/>
      <c r="GWD22"/>
      <c r="GWE22"/>
      <c r="GWF22"/>
      <c r="GWG22"/>
      <c r="GWH22"/>
      <c r="GWI22"/>
      <c r="GWJ22"/>
      <c r="GWK22"/>
      <c r="GWL22"/>
      <c r="GWM22"/>
      <c r="GWN22"/>
      <c r="GWO22"/>
      <c r="GWP22"/>
      <c r="GWQ22"/>
      <c r="GWR22"/>
      <c r="GWS22"/>
      <c r="GWT22"/>
      <c r="GWU22"/>
      <c r="GWV22"/>
      <c r="GWW22"/>
      <c r="GWX22"/>
      <c r="GWY22"/>
      <c r="GWZ22"/>
      <c r="GXA22"/>
      <c r="GXB22"/>
      <c r="GXC22"/>
      <c r="GXD22"/>
      <c r="GXE22"/>
      <c r="GXF22"/>
      <c r="GXG22"/>
      <c r="GXH22"/>
      <c r="GXI22"/>
      <c r="GXJ22"/>
      <c r="GXK22"/>
      <c r="GXL22"/>
      <c r="GXM22"/>
      <c r="GXN22"/>
      <c r="GXO22"/>
      <c r="GXP22"/>
      <c r="GXQ22"/>
      <c r="GXR22"/>
      <c r="GXS22"/>
      <c r="GXT22"/>
      <c r="GXU22"/>
      <c r="GXV22"/>
      <c r="GXW22"/>
      <c r="GXX22"/>
      <c r="GXY22"/>
      <c r="GXZ22"/>
      <c r="GYA22"/>
      <c r="GYB22"/>
      <c r="GYC22"/>
      <c r="GYD22"/>
      <c r="GYE22"/>
      <c r="GYF22"/>
      <c r="GYG22"/>
      <c r="GYH22"/>
      <c r="GYI22"/>
      <c r="GYJ22"/>
      <c r="GYK22"/>
      <c r="GYL22"/>
      <c r="GYM22"/>
      <c r="GYN22"/>
      <c r="GYO22"/>
      <c r="GYP22"/>
      <c r="GYQ22"/>
      <c r="GYR22"/>
      <c r="GYS22"/>
      <c r="GYT22"/>
      <c r="GYU22"/>
      <c r="GYV22"/>
      <c r="GYW22"/>
      <c r="GYX22"/>
      <c r="GYY22"/>
      <c r="GYZ22"/>
      <c r="GZA22"/>
      <c r="GZB22"/>
      <c r="GZC22"/>
      <c r="GZD22"/>
      <c r="GZE22"/>
      <c r="GZF22"/>
      <c r="GZG22"/>
      <c r="GZH22"/>
      <c r="GZI22"/>
      <c r="GZJ22"/>
      <c r="GZK22"/>
      <c r="GZL22"/>
      <c r="GZM22"/>
      <c r="GZN22"/>
      <c r="GZO22"/>
      <c r="GZP22"/>
      <c r="GZQ22"/>
      <c r="GZR22"/>
      <c r="GZS22"/>
      <c r="GZT22"/>
      <c r="GZU22"/>
      <c r="GZV22"/>
      <c r="GZW22"/>
      <c r="GZX22"/>
      <c r="GZY22"/>
      <c r="GZZ22"/>
      <c r="HAA22"/>
      <c r="HAB22"/>
      <c r="HAC22"/>
      <c r="HAD22"/>
      <c r="HAE22"/>
      <c r="HAF22"/>
      <c r="HAG22"/>
      <c r="HAH22"/>
      <c r="HAI22"/>
      <c r="HAJ22"/>
      <c r="HAK22"/>
      <c r="HAL22"/>
      <c r="HAM22"/>
      <c r="HAN22"/>
      <c r="HAO22"/>
      <c r="HAP22"/>
      <c r="HAQ22"/>
      <c r="HAR22"/>
      <c r="HAS22"/>
      <c r="HAT22"/>
      <c r="HAU22"/>
      <c r="HAV22"/>
      <c r="HAW22"/>
      <c r="HAX22"/>
      <c r="HAY22"/>
      <c r="HAZ22"/>
      <c r="HBA22"/>
      <c r="HBB22"/>
      <c r="HBC22"/>
      <c r="HBD22"/>
      <c r="HBE22"/>
      <c r="HBF22"/>
      <c r="HBG22"/>
      <c r="HBH22"/>
      <c r="HBI22"/>
      <c r="HBJ22"/>
      <c r="HBK22"/>
      <c r="HBL22"/>
      <c r="HBM22"/>
      <c r="HBN22"/>
      <c r="HBO22"/>
      <c r="HBP22"/>
      <c r="HBQ22"/>
      <c r="HBR22"/>
      <c r="HBS22"/>
      <c r="HBT22"/>
      <c r="HBU22"/>
      <c r="HBV22"/>
      <c r="HBW22"/>
      <c r="HBX22"/>
      <c r="HBY22"/>
      <c r="HBZ22"/>
      <c r="HCA22"/>
      <c r="HCB22"/>
      <c r="HCC22"/>
      <c r="HCD22"/>
      <c r="HCE22"/>
      <c r="HCF22"/>
      <c r="HCG22"/>
      <c r="HCH22"/>
      <c r="HCI22"/>
      <c r="HCJ22"/>
      <c r="HCK22"/>
      <c r="HCL22"/>
      <c r="HCM22"/>
      <c r="HCN22"/>
      <c r="HCO22"/>
      <c r="HCP22"/>
      <c r="HCQ22"/>
      <c r="HCR22"/>
      <c r="HCS22"/>
      <c r="HCT22"/>
      <c r="HCU22"/>
      <c r="HCV22"/>
      <c r="HCW22"/>
      <c r="HCX22"/>
      <c r="HCY22"/>
      <c r="HCZ22"/>
      <c r="HDA22"/>
      <c r="HDB22"/>
      <c r="HDC22"/>
      <c r="HDD22"/>
      <c r="HDE22"/>
      <c r="HDF22"/>
      <c r="HDG22"/>
      <c r="HDH22"/>
      <c r="HDI22"/>
      <c r="HDJ22"/>
      <c r="HDK22"/>
      <c r="HDL22"/>
      <c r="HDM22"/>
      <c r="HDN22"/>
      <c r="HDO22"/>
      <c r="HDP22"/>
      <c r="HDQ22"/>
      <c r="HDR22"/>
      <c r="HDS22"/>
      <c r="HDT22"/>
      <c r="HDU22"/>
      <c r="HDV22"/>
      <c r="HDW22"/>
      <c r="HDX22"/>
      <c r="HDY22"/>
      <c r="HDZ22"/>
      <c r="HEA22"/>
      <c r="HEB22"/>
      <c r="HEC22"/>
      <c r="HED22"/>
      <c r="HEE22"/>
      <c r="HEF22"/>
      <c r="HEG22"/>
      <c r="HEH22"/>
      <c r="HEI22"/>
      <c r="HEJ22"/>
      <c r="HEK22"/>
      <c r="HEL22"/>
      <c r="HEM22"/>
      <c r="HEN22"/>
      <c r="HEO22"/>
      <c r="HEP22"/>
      <c r="HEQ22"/>
      <c r="HER22"/>
      <c r="HES22"/>
      <c r="HET22"/>
      <c r="HEU22"/>
      <c r="HEV22"/>
      <c r="HEW22"/>
      <c r="HEX22"/>
      <c r="HEY22"/>
      <c r="HEZ22"/>
      <c r="HFA22"/>
      <c r="HFB22"/>
      <c r="HFC22"/>
      <c r="HFD22"/>
      <c r="HFE22"/>
      <c r="HFF22"/>
      <c r="HFG22"/>
      <c r="HFH22"/>
      <c r="HFI22"/>
      <c r="HFJ22"/>
      <c r="HFK22"/>
      <c r="HFL22"/>
      <c r="HFM22"/>
      <c r="HFN22"/>
      <c r="HFO22"/>
      <c r="HFP22"/>
      <c r="HFQ22"/>
      <c r="HFR22"/>
      <c r="HFS22"/>
      <c r="HFT22"/>
      <c r="HFU22"/>
      <c r="HFV22"/>
      <c r="HFW22"/>
      <c r="HFX22"/>
      <c r="HFY22"/>
      <c r="HFZ22"/>
      <c r="HGA22"/>
      <c r="HGB22"/>
      <c r="HGC22"/>
      <c r="HGD22"/>
      <c r="HGE22"/>
      <c r="HGF22"/>
      <c r="HGG22"/>
      <c r="HGH22"/>
      <c r="HGI22"/>
      <c r="HGJ22"/>
      <c r="HGK22"/>
      <c r="HGL22"/>
      <c r="HGM22"/>
      <c r="HGN22"/>
      <c r="HGO22"/>
      <c r="HGP22"/>
      <c r="HGQ22"/>
      <c r="HGR22"/>
      <c r="HGS22"/>
      <c r="HGT22"/>
      <c r="HGU22"/>
      <c r="HGV22"/>
      <c r="HGW22"/>
      <c r="HGX22"/>
      <c r="HGY22"/>
      <c r="HGZ22"/>
      <c r="HHA22"/>
      <c r="HHB22"/>
      <c r="HHC22"/>
      <c r="HHD22"/>
      <c r="HHE22"/>
      <c r="HHF22"/>
      <c r="HHG22"/>
      <c r="HHH22"/>
      <c r="HHI22"/>
      <c r="HHJ22"/>
      <c r="HHK22"/>
      <c r="HHL22"/>
      <c r="HHM22"/>
      <c r="HHN22"/>
      <c r="HHO22"/>
      <c r="HHP22"/>
      <c r="HHQ22"/>
      <c r="HHR22"/>
      <c r="HHS22"/>
      <c r="HHT22"/>
      <c r="HHU22"/>
      <c r="HHV22"/>
      <c r="HHW22"/>
      <c r="HHX22"/>
      <c r="HHY22"/>
      <c r="HHZ22"/>
      <c r="HIA22"/>
      <c r="HIB22"/>
      <c r="HIC22"/>
      <c r="HID22"/>
      <c r="HIE22"/>
      <c r="HIF22"/>
      <c r="HIG22"/>
      <c r="HIH22"/>
      <c r="HII22"/>
      <c r="HIJ22"/>
      <c r="HIK22"/>
      <c r="HIL22"/>
      <c r="HIM22"/>
      <c r="HIN22"/>
      <c r="HIO22"/>
      <c r="HIP22"/>
      <c r="HIQ22"/>
      <c r="HIR22"/>
      <c r="HIS22"/>
      <c r="HIT22"/>
      <c r="HIU22"/>
      <c r="HIV22"/>
      <c r="HIW22"/>
      <c r="HIX22"/>
      <c r="HIY22"/>
      <c r="HIZ22"/>
      <c r="HJA22"/>
      <c r="HJB22"/>
      <c r="HJC22"/>
      <c r="HJD22"/>
      <c r="HJE22"/>
      <c r="HJF22"/>
      <c r="HJG22"/>
      <c r="HJH22"/>
      <c r="HJI22"/>
      <c r="HJJ22"/>
      <c r="HJK22"/>
      <c r="HJL22"/>
      <c r="HJM22"/>
      <c r="HJN22"/>
      <c r="HJO22"/>
      <c r="HJP22"/>
      <c r="HJQ22"/>
      <c r="HJR22"/>
      <c r="HJS22"/>
      <c r="HJT22"/>
      <c r="HJU22"/>
      <c r="HJV22"/>
      <c r="HJW22"/>
      <c r="HJX22"/>
      <c r="HJY22"/>
      <c r="HJZ22"/>
      <c r="HKA22"/>
      <c r="HKB22"/>
      <c r="HKC22"/>
      <c r="HKD22"/>
      <c r="HKE22"/>
      <c r="HKF22"/>
      <c r="HKG22"/>
      <c r="HKH22"/>
      <c r="HKI22"/>
      <c r="HKJ22"/>
      <c r="HKK22"/>
      <c r="HKL22"/>
      <c r="HKM22"/>
      <c r="HKN22"/>
      <c r="HKO22"/>
      <c r="HKP22"/>
      <c r="HKQ22"/>
      <c r="HKR22"/>
      <c r="HKS22"/>
      <c r="HKT22"/>
      <c r="HKU22"/>
      <c r="HKV22"/>
      <c r="HKW22"/>
      <c r="HKX22"/>
      <c r="HKY22"/>
      <c r="HKZ22"/>
      <c r="HLA22"/>
      <c r="HLB22"/>
      <c r="HLC22"/>
      <c r="HLD22"/>
      <c r="HLE22"/>
      <c r="HLF22"/>
      <c r="HLG22"/>
      <c r="HLH22"/>
      <c r="HLI22"/>
      <c r="HLJ22"/>
      <c r="HLK22"/>
      <c r="HLL22"/>
      <c r="HLM22"/>
      <c r="HLN22"/>
      <c r="HLO22"/>
      <c r="HLP22"/>
      <c r="HLQ22"/>
      <c r="HLR22"/>
      <c r="HLS22"/>
      <c r="HLT22"/>
      <c r="HLU22"/>
      <c r="HLV22"/>
      <c r="HLW22"/>
      <c r="HLX22"/>
      <c r="HLY22"/>
      <c r="HLZ22"/>
      <c r="HMA22"/>
      <c r="HMB22"/>
      <c r="HMC22"/>
      <c r="HMD22"/>
      <c r="HME22"/>
      <c r="HMF22"/>
      <c r="HMG22"/>
      <c r="HMH22"/>
      <c r="HMI22"/>
      <c r="HMJ22"/>
      <c r="HMK22"/>
      <c r="HML22"/>
      <c r="HMM22"/>
      <c r="HMN22"/>
      <c r="HMO22"/>
      <c r="HMP22"/>
      <c r="HMQ22"/>
      <c r="HMR22"/>
      <c r="HMS22"/>
      <c r="HMT22"/>
      <c r="HMU22"/>
      <c r="HMV22"/>
      <c r="HMW22"/>
      <c r="HMX22"/>
      <c r="HMY22"/>
      <c r="HMZ22"/>
      <c r="HNA22"/>
      <c r="HNB22"/>
      <c r="HNC22"/>
      <c r="HND22"/>
      <c r="HNE22"/>
      <c r="HNF22"/>
      <c r="HNG22"/>
      <c r="HNH22"/>
      <c r="HNI22"/>
      <c r="HNJ22"/>
      <c r="HNK22"/>
      <c r="HNL22"/>
      <c r="HNM22"/>
      <c r="HNN22"/>
      <c r="HNO22"/>
      <c r="HNP22"/>
      <c r="HNQ22"/>
      <c r="HNR22"/>
      <c r="HNS22"/>
      <c r="HNT22"/>
      <c r="HNU22"/>
      <c r="HNV22"/>
      <c r="HNW22"/>
      <c r="HNX22"/>
      <c r="HNY22"/>
      <c r="HNZ22"/>
      <c r="HOA22"/>
      <c r="HOB22"/>
      <c r="HOC22"/>
      <c r="HOD22"/>
      <c r="HOE22"/>
      <c r="HOF22"/>
      <c r="HOG22"/>
      <c r="HOH22"/>
      <c r="HOI22"/>
      <c r="HOJ22"/>
      <c r="HOK22"/>
      <c r="HOL22"/>
      <c r="HOM22"/>
      <c r="HON22"/>
      <c r="HOO22"/>
      <c r="HOP22"/>
      <c r="HOQ22"/>
      <c r="HOR22"/>
      <c r="HOS22"/>
      <c r="HOT22"/>
      <c r="HOU22"/>
      <c r="HOV22"/>
      <c r="HOW22"/>
      <c r="HOX22"/>
      <c r="HOY22"/>
      <c r="HOZ22"/>
      <c r="HPA22"/>
      <c r="HPB22"/>
      <c r="HPC22"/>
      <c r="HPD22"/>
      <c r="HPE22"/>
      <c r="HPF22"/>
      <c r="HPG22"/>
      <c r="HPH22"/>
      <c r="HPI22"/>
      <c r="HPJ22"/>
      <c r="HPK22"/>
      <c r="HPL22"/>
      <c r="HPM22"/>
      <c r="HPN22"/>
      <c r="HPO22"/>
      <c r="HPP22"/>
      <c r="HPQ22"/>
      <c r="HPR22"/>
      <c r="HPS22"/>
      <c r="HPT22"/>
      <c r="HPU22"/>
      <c r="HPV22"/>
      <c r="HPW22"/>
      <c r="HPX22"/>
      <c r="HPY22"/>
      <c r="HPZ22"/>
      <c r="HQA22"/>
      <c r="HQB22"/>
      <c r="HQC22"/>
      <c r="HQD22"/>
      <c r="HQE22"/>
      <c r="HQF22"/>
      <c r="HQG22"/>
      <c r="HQH22"/>
      <c r="HQI22"/>
      <c r="HQJ22"/>
      <c r="HQK22"/>
      <c r="HQL22"/>
      <c r="HQM22"/>
      <c r="HQN22"/>
      <c r="HQO22"/>
      <c r="HQP22"/>
      <c r="HQQ22"/>
      <c r="HQR22"/>
      <c r="HQS22"/>
      <c r="HQT22"/>
      <c r="HQU22"/>
      <c r="HQV22"/>
      <c r="HQW22"/>
      <c r="HQX22"/>
      <c r="HQY22"/>
      <c r="HQZ22"/>
      <c r="HRA22"/>
      <c r="HRB22"/>
      <c r="HRC22"/>
      <c r="HRD22"/>
      <c r="HRE22"/>
      <c r="HRF22"/>
      <c r="HRG22"/>
      <c r="HRH22"/>
      <c r="HRI22"/>
      <c r="HRJ22"/>
      <c r="HRK22"/>
      <c r="HRL22"/>
      <c r="HRM22"/>
      <c r="HRN22"/>
      <c r="HRO22"/>
      <c r="HRP22"/>
      <c r="HRQ22"/>
      <c r="HRR22"/>
      <c r="HRS22"/>
      <c r="HRT22"/>
      <c r="HRU22"/>
      <c r="HRV22"/>
      <c r="HRW22"/>
      <c r="HRX22"/>
      <c r="HRY22"/>
      <c r="HRZ22"/>
      <c r="HSA22"/>
      <c r="HSB22"/>
      <c r="HSC22"/>
      <c r="HSD22"/>
      <c r="HSE22"/>
      <c r="HSF22"/>
      <c r="HSG22"/>
      <c r="HSH22"/>
      <c r="HSI22"/>
      <c r="HSJ22"/>
      <c r="HSK22"/>
      <c r="HSL22"/>
      <c r="HSM22"/>
      <c r="HSN22"/>
      <c r="HSO22"/>
      <c r="HSP22"/>
      <c r="HSQ22"/>
      <c r="HSR22"/>
      <c r="HSS22"/>
      <c r="HST22"/>
      <c r="HSU22"/>
      <c r="HSV22"/>
      <c r="HSW22"/>
      <c r="HSX22"/>
      <c r="HSY22"/>
      <c r="HSZ22"/>
      <c r="HTA22"/>
      <c r="HTB22"/>
      <c r="HTC22"/>
      <c r="HTD22"/>
      <c r="HTE22"/>
      <c r="HTF22"/>
      <c r="HTG22"/>
      <c r="HTH22"/>
      <c r="HTI22"/>
      <c r="HTJ22"/>
      <c r="HTK22"/>
      <c r="HTL22"/>
      <c r="HTM22"/>
      <c r="HTN22"/>
      <c r="HTO22"/>
      <c r="HTP22"/>
      <c r="HTQ22"/>
      <c r="HTR22"/>
      <c r="HTS22"/>
      <c r="HTT22"/>
      <c r="HTU22"/>
      <c r="HTV22"/>
      <c r="HTW22"/>
      <c r="HTX22"/>
      <c r="HTY22"/>
      <c r="HTZ22"/>
      <c r="HUA22"/>
      <c r="HUB22"/>
      <c r="HUC22"/>
      <c r="HUD22"/>
      <c r="HUE22"/>
      <c r="HUF22"/>
      <c r="HUG22"/>
      <c r="HUH22"/>
      <c r="HUI22"/>
      <c r="HUJ22"/>
      <c r="HUK22"/>
      <c r="HUL22"/>
      <c r="HUM22"/>
      <c r="HUN22"/>
      <c r="HUO22"/>
      <c r="HUP22"/>
      <c r="HUQ22"/>
      <c r="HUR22"/>
      <c r="HUS22"/>
      <c r="HUT22"/>
      <c r="HUU22"/>
      <c r="HUV22"/>
      <c r="HUW22"/>
      <c r="HUX22"/>
      <c r="HUY22"/>
      <c r="HUZ22"/>
      <c r="HVA22"/>
      <c r="HVB22"/>
      <c r="HVC22"/>
      <c r="HVD22"/>
      <c r="HVE22"/>
      <c r="HVF22"/>
      <c r="HVG22"/>
      <c r="HVH22"/>
      <c r="HVI22"/>
      <c r="HVJ22"/>
      <c r="HVK22"/>
      <c r="HVL22"/>
      <c r="HVM22"/>
      <c r="HVN22"/>
      <c r="HVO22"/>
      <c r="HVP22"/>
      <c r="HVQ22"/>
      <c r="HVR22"/>
      <c r="HVS22"/>
      <c r="HVT22"/>
      <c r="HVU22"/>
      <c r="HVV22"/>
      <c r="HVW22"/>
      <c r="HVX22"/>
      <c r="HVY22"/>
      <c r="HVZ22"/>
      <c r="HWA22"/>
      <c r="HWB22"/>
      <c r="HWC22"/>
      <c r="HWD22"/>
      <c r="HWE22"/>
      <c r="HWF22"/>
      <c r="HWG22"/>
      <c r="HWH22"/>
      <c r="HWI22"/>
      <c r="HWJ22"/>
      <c r="HWK22"/>
      <c r="HWL22"/>
      <c r="HWM22"/>
      <c r="HWN22"/>
      <c r="HWO22"/>
      <c r="HWP22"/>
      <c r="HWQ22"/>
      <c r="HWR22"/>
      <c r="HWS22"/>
      <c r="HWT22"/>
      <c r="HWU22"/>
      <c r="HWV22"/>
      <c r="HWW22"/>
      <c r="HWX22"/>
      <c r="HWY22"/>
      <c r="HWZ22"/>
      <c r="HXA22"/>
      <c r="HXB22"/>
      <c r="HXC22"/>
      <c r="HXD22"/>
      <c r="HXE22"/>
      <c r="HXF22"/>
      <c r="HXG22"/>
      <c r="HXH22"/>
      <c r="HXI22"/>
      <c r="HXJ22"/>
      <c r="HXK22"/>
      <c r="HXL22"/>
      <c r="HXM22"/>
      <c r="HXN22"/>
      <c r="HXO22"/>
      <c r="HXP22"/>
      <c r="HXQ22"/>
      <c r="HXR22"/>
      <c r="HXS22"/>
      <c r="HXT22"/>
      <c r="HXU22"/>
      <c r="HXV22"/>
      <c r="HXW22"/>
      <c r="HXX22"/>
      <c r="HXY22"/>
      <c r="HXZ22"/>
      <c r="HYA22"/>
      <c r="HYB22"/>
      <c r="HYC22"/>
      <c r="HYD22"/>
      <c r="HYE22"/>
      <c r="HYF22"/>
      <c r="HYG22"/>
      <c r="HYH22"/>
      <c r="HYI22"/>
      <c r="HYJ22"/>
      <c r="HYK22"/>
      <c r="HYL22"/>
      <c r="HYM22"/>
      <c r="HYN22"/>
      <c r="HYO22"/>
      <c r="HYP22"/>
      <c r="HYQ22"/>
      <c r="HYR22"/>
      <c r="HYS22"/>
      <c r="HYT22"/>
      <c r="HYU22"/>
      <c r="HYV22"/>
      <c r="HYW22"/>
      <c r="HYX22"/>
      <c r="HYY22"/>
      <c r="HYZ22"/>
      <c r="HZA22"/>
      <c r="HZB22"/>
      <c r="HZC22"/>
      <c r="HZD22"/>
      <c r="HZE22"/>
      <c r="HZF22"/>
      <c r="HZG22"/>
      <c r="HZH22"/>
      <c r="HZI22"/>
      <c r="HZJ22"/>
      <c r="HZK22"/>
      <c r="HZL22"/>
      <c r="HZM22"/>
      <c r="HZN22"/>
      <c r="HZO22"/>
      <c r="HZP22"/>
      <c r="HZQ22"/>
      <c r="HZR22"/>
      <c r="HZS22"/>
      <c r="HZT22"/>
      <c r="HZU22"/>
      <c r="HZV22"/>
      <c r="HZW22"/>
      <c r="HZX22"/>
      <c r="HZY22"/>
      <c r="HZZ22"/>
      <c r="IAA22"/>
      <c r="IAB22"/>
      <c r="IAC22"/>
      <c r="IAD22"/>
      <c r="IAE22"/>
      <c r="IAF22"/>
      <c r="IAG22"/>
      <c r="IAH22"/>
      <c r="IAI22"/>
      <c r="IAJ22"/>
      <c r="IAK22"/>
      <c r="IAL22"/>
      <c r="IAM22"/>
      <c r="IAN22"/>
      <c r="IAO22"/>
      <c r="IAP22"/>
      <c r="IAQ22"/>
      <c r="IAR22"/>
      <c r="IAS22"/>
      <c r="IAT22"/>
      <c r="IAU22"/>
      <c r="IAV22"/>
      <c r="IAW22"/>
      <c r="IAX22"/>
      <c r="IAY22"/>
      <c r="IAZ22"/>
      <c r="IBA22"/>
      <c r="IBB22"/>
      <c r="IBC22"/>
      <c r="IBD22"/>
      <c r="IBE22"/>
      <c r="IBF22"/>
      <c r="IBG22"/>
      <c r="IBH22"/>
      <c r="IBI22"/>
      <c r="IBJ22"/>
      <c r="IBK22"/>
      <c r="IBL22"/>
      <c r="IBM22"/>
      <c r="IBN22"/>
      <c r="IBO22"/>
      <c r="IBP22"/>
      <c r="IBQ22"/>
      <c r="IBR22"/>
      <c r="IBS22"/>
      <c r="IBT22"/>
      <c r="IBU22"/>
      <c r="IBV22"/>
      <c r="IBW22"/>
      <c r="IBX22"/>
      <c r="IBY22"/>
      <c r="IBZ22"/>
      <c r="ICA22"/>
      <c r="ICB22"/>
      <c r="ICC22"/>
      <c r="ICD22"/>
      <c r="ICE22"/>
      <c r="ICF22"/>
      <c r="ICG22"/>
      <c r="ICH22"/>
      <c r="ICI22"/>
      <c r="ICJ22"/>
      <c r="ICK22"/>
      <c r="ICL22"/>
      <c r="ICM22"/>
      <c r="ICN22"/>
      <c r="ICO22"/>
      <c r="ICP22"/>
      <c r="ICQ22"/>
      <c r="ICR22"/>
      <c r="ICS22"/>
      <c r="ICT22"/>
      <c r="ICU22"/>
      <c r="ICV22"/>
      <c r="ICW22"/>
      <c r="ICX22"/>
      <c r="ICY22"/>
      <c r="ICZ22"/>
      <c r="IDA22"/>
      <c r="IDB22"/>
      <c r="IDC22"/>
      <c r="IDD22"/>
      <c r="IDE22"/>
      <c r="IDF22"/>
      <c r="IDG22"/>
      <c r="IDH22"/>
      <c r="IDI22"/>
      <c r="IDJ22"/>
      <c r="IDK22"/>
      <c r="IDL22"/>
      <c r="IDM22"/>
      <c r="IDN22"/>
      <c r="IDO22"/>
      <c r="IDP22"/>
      <c r="IDQ22"/>
      <c r="IDR22"/>
      <c r="IDS22"/>
      <c r="IDT22"/>
      <c r="IDU22"/>
      <c r="IDV22"/>
      <c r="IDW22"/>
      <c r="IDX22"/>
      <c r="IDY22"/>
      <c r="IDZ22"/>
      <c r="IEA22"/>
      <c r="IEB22"/>
      <c r="IEC22"/>
      <c r="IED22"/>
      <c r="IEE22"/>
      <c r="IEF22"/>
      <c r="IEG22"/>
      <c r="IEH22"/>
      <c r="IEI22"/>
      <c r="IEJ22"/>
      <c r="IEK22"/>
      <c r="IEL22"/>
      <c r="IEM22"/>
      <c r="IEN22"/>
      <c r="IEO22"/>
      <c r="IEP22"/>
      <c r="IEQ22"/>
      <c r="IER22"/>
      <c r="IES22"/>
      <c r="IET22"/>
      <c r="IEU22"/>
      <c r="IEV22"/>
      <c r="IEW22"/>
      <c r="IEX22"/>
      <c r="IEY22"/>
      <c r="IEZ22"/>
      <c r="IFA22"/>
      <c r="IFB22"/>
      <c r="IFC22"/>
      <c r="IFD22"/>
      <c r="IFE22"/>
      <c r="IFF22"/>
      <c r="IFG22"/>
      <c r="IFH22"/>
      <c r="IFI22"/>
      <c r="IFJ22"/>
      <c r="IFK22"/>
      <c r="IFL22"/>
      <c r="IFM22"/>
      <c r="IFN22"/>
      <c r="IFO22"/>
      <c r="IFP22"/>
      <c r="IFQ22"/>
      <c r="IFR22"/>
      <c r="IFS22"/>
      <c r="IFT22"/>
      <c r="IFU22"/>
      <c r="IFV22"/>
      <c r="IFW22"/>
      <c r="IFX22"/>
      <c r="IFY22"/>
      <c r="IFZ22"/>
      <c r="IGA22"/>
      <c r="IGB22"/>
      <c r="IGC22"/>
      <c r="IGD22"/>
      <c r="IGE22"/>
      <c r="IGF22"/>
      <c r="IGG22"/>
      <c r="IGH22"/>
      <c r="IGI22"/>
      <c r="IGJ22"/>
      <c r="IGK22"/>
      <c r="IGL22"/>
      <c r="IGM22"/>
      <c r="IGN22"/>
      <c r="IGO22"/>
      <c r="IGP22"/>
      <c r="IGQ22"/>
      <c r="IGR22"/>
      <c r="IGS22"/>
      <c r="IGT22"/>
      <c r="IGU22"/>
      <c r="IGV22"/>
      <c r="IGW22"/>
      <c r="IGX22"/>
      <c r="IGY22"/>
      <c r="IGZ22"/>
      <c r="IHA22"/>
      <c r="IHB22"/>
      <c r="IHC22"/>
      <c r="IHD22"/>
      <c r="IHE22"/>
      <c r="IHF22"/>
      <c r="IHG22"/>
      <c r="IHH22"/>
      <c r="IHI22"/>
      <c r="IHJ22"/>
      <c r="IHK22"/>
      <c r="IHL22"/>
      <c r="IHM22"/>
      <c r="IHN22"/>
      <c r="IHO22"/>
      <c r="IHP22"/>
      <c r="IHQ22"/>
      <c r="IHR22"/>
      <c r="IHS22"/>
      <c r="IHT22"/>
      <c r="IHU22"/>
      <c r="IHV22"/>
      <c r="IHW22"/>
      <c r="IHX22"/>
      <c r="IHY22"/>
      <c r="IHZ22"/>
      <c r="IIA22"/>
      <c r="IIB22"/>
      <c r="IIC22"/>
      <c r="IID22"/>
      <c r="IIE22"/>
      <c r="IIF22"/>
      <c r="IIG22"/>
      <c r="IIH22"/>
      <c r="III22"/>
      <c r="IIJ22"/>
      <c r="IIK22"/>
      <c r="IIL22"/>
      <c r="IIM22"/>
      <c r="IIN22"/>
      <c r="IIO22"/>
      <c r="IIP22"/>
      <c r="IIQ22"/>
      <c r="IIR22"/>
      <c r="IIS22"/>
      <c r="IIT22"/>
      <c r="IIU22"/>
      <c r="IIV22"/>
      <c r="IIW22"/>
      <c r="IIX22"/>
      <c r="IIY22"/>
      <c r="IIZ22"/>
      <c r="IJA22"/>
      <c r="IJB22"/>
      <c r="IJC22"/>
      <c r="IJD22"/>
      <c r="IJE22"/>
      <c r="IJF22"/>
      <c r="IJG22"/>
      <c r="IJH22"/>
      <c r="IJI22"/>
      <c r="IJJ22"/>
      <c r="IJK22"/>
      <c r="IJL22"/>
      <c r="IJM22"/>
      <c r="IJN22"/>
      <c r="IJO22"/>
      <c r="IJP22"/>
      <c r="IJQ22"/>
      <c r="IJR22"/>
      <c r="IJS22"/>
      <c r="IJT22"/>
      <c r="IJU22"/>
      <c r="IJV22"/>
      <c r="IJW22"/>
      <c r="IJX22"/>
      <c r="IJY22"/>
      <c r="IJZ22"/>
      <c r="IKA22"/>
      <c r="IKB22"/>
      <c r="IKC22"/>
      <c r="IKD22"/>
      <c r="IKE22"/>
      <c r="IKF22"/>
      <c r="IKG22"/>
      <c r="IKH22"/>
      <c r="IKI22"/>
      <c r="IKJ22"/>
      <c r="IKK22"/>
      <c r="IKL22"/>
      <c r="IKM22"/>
      <c r="IKN22"/>
      <c r="IKO22"/>
      <c r="IKP22"/>
      <c r="IKQ22"/>
      <c r="IKR22"/>
      <c r="IKS22"/>
      <c r="IKT22"/>
      <c r="IKU22"/>
      <c r="IKV22"/>
      <c r="IKW22"/>
      <c r="IKX22"/>
      <c r="IKY22"/>
      <c r="IKZ22"/>
      <c r="ILA22"/>
      <c r="ILB22"/>
      <c r="ILC22"/>
      <c r="ILD22"/>
      <c r="ILE22"/>
      <c r="ILF22"/>
      <c r="ILG22"/>
      <c r="ILH22"/>
      <c r="ILI22"/>
      <c r="ILJ22"/>
      <c r="ILK22"/>
      <c r="ILL22"/>
      <c r="ILM22"/>
      <c r="ILN22"/>
      <c r="ILO22"/>
      <c r="ILP22"/>
      <c r="ILQ22"/>
      <c r="ILR22"/>
      <c r="ILS22"/>
      <c r="ILT22"/>
      <c r="ILU22"/>
      <c r="ILV22"/>
      <c r="ILW22"/>
      <c r="ILX22"/>
      <c r="ILY22"/>
      <c r="ILZ22"/>
      <c r="IMA22"/>
      <c r="IMB22"/>
      <c r="IMC22"/>
      <c r="IMD22"/>
      <c r="IME22"/>
      <c r="IMF22"/>
      <c r="IMG22"/>
      <c r="IMH22"/>
      <c r="IMI22"/>
      <c r="IMJ22"/>
      <c r="IMK22"/>
      <c r="IML22"/>
      <c r="IMM22"/>
      <c r="IMN22"/>
      <c r="IMO22"/>
      <c r="IMP22"/>
      <c r="IMQ22"/>
      <c r="IMR22"/>
      <c r="IMS22"/>
      <c r="IMT22"/>
      <c r="IMU22"/>
      <c r="IMV22"/>
      <c r="IMW22"/>
      <c r="IMX22"/>
      <c r="IMY22"/>
      <c r="IMZ22"/>
      <c r="INA22"/>
      <c r="INB22"/>
      <c r="INC22"/>
      <c r="IND22"/>
      <c r="INE22"/>
      <c r="INF22"/>
      <c r="ING22"/>
      <c r="INH22"/>
      <c r="INI22"/>
      <c r="INJ22"/>
      <c r="INK22"/>
      <c r="INL22"/>
      <c r="INM22"/>
      <c r="INN22"/>
      <c r="INO22"/>
      <c r="INP22"/>
      <c r="INQ22"/>
      <c r="INR22"/>
      <c r="INS22"/>
      <c r="INT22"/>
      <c r="INU22"/>
      <c r="INV22"/>
      <c r="INW22"/>
      <c r="INX22"/>
      <c r="INY22"/>
      <c r="INZ22"/>
      <c r="IOA22"/>
      <c r="IOB22"/>
      <c r="IOC22"/>
      <c r="IOD22"/>
      <c r="IOE22"/>
      <c r="IOF22"/>
      <c r="IOG22"/>
      <c r="IOH22"/>
      <c r="IOI22"/>
      <c r="IOJ22"/>
      <c r="IOK22"/>
      <c r="IOL22"/>
      <c r="IOM22"/>
      <c r="ION22"/>
      <c r="IOO22"/>
      <c r="IOP22"/>
      <c r="IOQ22"/>
      <c r="IOR22"/>
      <c r="IOS22"/>
      <c r="IOT22"/>
      <c r="IOU22"/>
      <c r="IOV22"/>
      <c r="IOW22"/>
      <c r="IOX22"/>
      <c r="IOY22"/>
      <c r="IOZ22"/>
      <c r="IPA22"/>
      <c r="IPB22"/>
      <c r="IPC22"/>
      <c r="IPD22"/>
      <c r="IPE22"/>
      <c r="IPF22"/>
      <c r="IPG22"/>
      <c r="IPH22"/>
      <c r="IPI22"/>
      <c r="IPJ22"/>
      <c r="IPK22"/>
      <c r="IPL22"/>
      <c r="IPM22"/>
      <c r="IPN22"/>
      <c r="IPO22"/>
      <c r="IPP22"/>
      <c r="IPQ22"/>
      <c r="IPR22"/>
      <c r="IPS22"/>
      <c r="IPT22"/>
      <c r="IPU22"/>
      <c r="IPV22"/>
      <c r="IPW22"/>
      <c r="IPX22"/>
      <c r="IPY22"/>
      <c r="IPZ22"/>
      <c r="IQA22"/>
      <c r="IQB22"/>
      <c r="IQC22"/>
      <c r="IQD22"/>
      <c r="IQE22"/>
      <c r="IQF22"/>
      <c r="IQG22"/>
      <c r="IQH22"/>
      <c r="IQI22"/>
      <c r="IQJ22"/>
      <c r="IQK22"/>
      <c r="IQL22"/>
      <c r="IQM22"/>
      <c r="IQN22"/>
      <c r="IQO22"/>
      <c r="IQP22"/>
      <c r="IQQ22"/>
      <c r="IQR22"/>
      <c r="IQS22"/>
      <c r="IQT22"/>
      <c r="IQU22"/>
      <c r="IQV22"/>
      <c r="IQW22"/>
      <c r="IQX22"/>
      <c r="IQY22"/>
      <c r="IQZ22"/>
      <c r="IRA22"/>
      <c r="IRB22"/>
      <c r="IRC22"/>
      <c r="IRD22"/>
      <c r="IRE22"/>
      <c r="IRF22"/>
      <c r="IRG22"/>
      <c r="IRH22"/>
      <c r="IRI22"/>
      <c r="IRJ22"/>
      <c r="IRK22"/>
      <c r="IRL22"/>
      <c r="IRM22"/>
      <c r="IRN22"/>
      <c r="IRO22"/>
      <c r="IRP22"/>
      <c r="IRQ22"/>
      <c r="IRR22"/>
      <c r="IRS22"/>
      <c r="IRT22"/>
      <c r="IRU22"/>
      <c r="IRV22"/>
      <c r="IRW22"/>
      <c r="IRX22"/>
      <c r="IRY22"/>
      <c r="IRZ22"/>
      <c r="ISA22"/>
      <c r="ISB22"/>
      <c r="ISC22"/>
      <c r="ISD22"/>
      <c r="ISE22"/>
      <c r="ISF22"/>
      <c r="ISG22"/>
      <c r="ISH22"/>
      <c r="ISI22"/>
      <c r="ISJ22"/>
      <c r="ISK22"/>
      <c r="ISL22"/>
      <c r="ISM22"/>
      <c r="ISN22"/>
      <c r="ISO22"/>
      <c r="ISP22"/>
      <c r="ISQ22"/>
      <c r="ISR22"/>
      <c r="ISS22"/>
      <c r="IST22"/>
      <c r="ISU22"/>
      <c r="ISV22"/>
      <c r="ISW22"/>
      <c r="ISX22"/>
      <c r="ISY22"/>
      <c r="ISZ22"/>
      <c r="ITA22"/>
      <c r="ITB22"/>
      <c r="ITC22"/>
      <c r="ITD22"/>
      <c r="ITE22"/>
      <c r="ITF22"/>
      <c r="ITG22"/>
      <c r="ITH22"/>
      <c r="ITI22"/>
      <c r="ITJ22"/>
      <c r="ITK22"/>
      <c r="ITL22"/>
      <c r="ITM22"/>
      <c r="ITN22"/>
      <c r="ITO22"/>
      <c r="ITP22"/>
      <c r="ITQ22"/>
      <c r="ITR22"/>
      <c r="ITS22"/>
      <c r="ITT22"/>
      <c r="ITU22"/>
      <c r="ITV22"/>
      <c r="ITW22"/>
      <c r="ITX22"/>
      <c r="ITY22"/>
      <c r="ITZ22"/>
      <c r="IUA22"/>
      <c r="IUB22"/>
      <c r="IUC22"/>
      <c r="IUD22"/>
      <c r="IUE22"/>
      <c r="IUF22"/>
      <c r="IUG22"/>
      <c r="IUH22"/>
      <c r="IUI22"/>
      <c r="IUJ22"/>
      <c r="IUK22"/>
      <c r="IUL22"/>
      <c r="IUM22"/>
      <c r="IUN22"/>
      <c r="IUO22"/>
      <c r="IUP22"/>
      <c r="IUQ22"/>
      <c r="IUR22"/>
      <c r="IUS22"/>
      <c r="IUT22"/>
      <c r="IUU22"/>
      <c r="IUV22"/>
      <c r="IUW22"/>
      <c r="IUX22"/>
      <c r="IUY22"/>
      <c r="IUZ22"/>
      <c r="IVA22"/>
      <c r="IVB22"/>
      <c r="IVC22"/>
      <c r="IVD22"/>
      <c r="IVE22"/>
      <c r="IVF22"/>
      <c r="IVG22"/>
      <c r="IVH22"/>
      <c r="IVI22"/>
      <c r="IVJ22"/>
      <c r="IVK22"/>
      <c r="IVL22"/>
      <c r="IVM22"/>
      <c r="IVN22"/>
      <c r="IVO22"/>
      <c r="IVP22"/>
      <c r="IVQ22"/>
      <c r="IVR22"/>
      <c r="IVS22"/>
      <c r="IVT22"/>
      <c r="IVU22"/>
      <c r="IVV22"/>
      <c r="IVW22"/>
      <c r="IVX22"/>
      <c r="IVY22"/>
      <c r="IVZ22"/>
      <c r="IWA22"/>
      <c r="IWB22"/>
      <c r="IWC22"/>
      <c r="IWD22"/>
      <c r="IWE22"/>
      <c r="IWF22"/>
      <c r="IWG22"/>
      <c r="IWH22"/>
      <c r="IWI22"/>
      <c r="IWJ22"/>
      <c r="IWK22"/>
      <c r="IWL22"/>
      <c r="IWM22"/>
      <c r="IWN22"/>
      <c r="IWO22"/>
      <c r="IWP22"/>
      <c r="IWQ22"/>
      <c r="IWR22"/>
      <c r="IWS22"/>
      <c r="IWT22"/>
      <c r="IWU22"/>
      <c r="IWV22"/>
      <c r="IWW22"/>
      <c r="IWX22"/>
      <c r="IWY22"/>
      <c r="IWZ22"/>
      <c r="IXA22"/>
      <c r="IXB22"/>
      <c r="IXC22"/>
      <c r="IXD22"/>
      <c r="IXE22"/>
      <c r="IXF22"/>
      <c r="IXG22"/>
      <c r="IXH22"/>
      <c r="IXI22"/>
      <c r="IXJ22"/>
      <c r="IXK22"/>
      <c r="IXL22"/>
      <c r="IXM22"/>
      <c r="IXN22"/>
      <c r="IXO22"/>
      <c r="IXP22"/>
      <c r="IXQ22"/>
      <c r="IXR22"/>
      <c r="IXS22"/>
      <c r="IXT22"/>
      <c r="IXU22"/>
      <c r="IXV22"/>
      <c r="IXW22"/>
      <c r="IXX22"/>
      <c r="IXY22"/>
      <c r="IXZ22"/>
      <c r="IYA22"/>
      <c r="IYB22"/>
      <c r="IYC22"/>
      <c r="IYD22"/>
      <c r="IYE22"/>
      <c r="IYF22"/>
      <c r="IYG22"/>
      <c r="IYH22"/>
      <c r="IYI22"/>
      <c r="IYJ22"/>
      <c r="IYK22"/>
      <c r="IYL22"/>
      <c r="IYM22"/>
      <c r="IYN22"/>
      <c r="IYO22"/>
      <c r="IYP22"/>
      <c r="IYQ22"/>
      <c r="IYR22"/>
      <c r="IYS22"/>
      <c r="IYT22"/>
      <c r="IYU22"/>
      <c r="IYV22"/>
      <c r="IYW22"/>
      <c r="IYX22"/>
      <c r="IYY22"/>
      <c r="IYZ22"/>
      <c r="IZA22"/>
      <c r="IZB22"/>
      <c r="IZC22"/>
      <c r="IZD22"/>
      <c r="IZE22"/>
      <c r="IZF22"/>
      <c r="IZG22"/>
      <c r="IZH22"/>
      <c r="IZI22"/>
      <c r="IZJ22"/>
      <c r="IZK22"/>
      <c r="IZL22"/>
      <c r="IZM22"/>
      <c r="IZN22"/>
      <c r="IZO22"/>
      <c r="IZP22"/>
      <c r="IZQ22"/>
      <c r="IZR22"/>
      <c r="IZS22"/>
      <c r="IZT22"/>
      <c r="IZU22"/>
      <c r="IZV22"/>
      <c r="IZW22"/>
      <c r="IZX22"/>
      <c r="IZY22"/>
      <c r="IZZ22"/>
      <c r="JAA22"/>
      <c r="JAB22"/>
      <c r="JAC22"/>
      <c r="JAD22"/>
      <c r="JAE22"/>
      <c r="JAF22"/>
      <c r="JAG22"/>
      <c r="JAH22"/>
      <c r="JAI22"/>
      <c r="JAJ22"/>
      <c r="JAK22"/>
      <c r="JAL22"/>
      <c r="JAM22"/>
      <c r="JAN22"/>
      <c r="JAO22"/>
      <c r="JAP22"/>
      <c r="JAQ22"/>
      <c r="JAR22"/>
      <c r="JAS22"/>
      <c r="JAT22"/>
      <c r="JAU22"/>
      <c r="JAV22"/>
      <c r="JAW22"/>
      <c r="JAX22"/>
      <c r="JAY22"/>
      <c r="JAZ22"/>
      <c r="JBA22"/>
      <c r="JBB22"/>
      <c r="JBC22"/>
      <c r="JBD22"/>
      <c r="JBE22"/>
      <c r="JBF22"/>
      <c r="JBG22"/>
      <c r="JBH22"/>
      <c r="JBI22"/>
      <c r="JBJ22"/>
      <c r="JBK22"/>
      <c r="JBL22"/>
      <c r="JBM22"/>
      <c r="JBN22"/>
      <c r="JBO22"/>
      <c r="JBP22"/>
      <c r="JBQ22"/>
      <c r="JBR22"/>
      <c r="JBS22"/>
      <c r="JBT22"/>
      <c r="JBU22"/>
      <c r="JBV22"/>
      <c r="JBW22"/>
      <c r="JBX22"/>
      <c r="JBY22"/>
      <c r="JBZ22"/>
      <c r="JCA22"/>
      <c r="JCB22"/>
      <c r="JCC22"/>
      <c r="JCD22"/>
      <c r="JCE22"/>
      <c r="JCF22"/>
      <c r="JCG22"/>
      <c r="JCH22"/>
      <c r="JCI22"/>
      <c r="JCJ22"/>
      <c r="JCK22"/>
      <c r="JCL22"/>
      <c r="JCM22"/>
      <c r="JCN22"/>
      <c r="JCO22"/>
      <c r="JCP22"/>
      <c r="JCQ22"/>
      <c r="JCR22"/>
      <c r="JCS22"/>
      <c r="JCT22"/>
      <c r="JCU22"/>
      <c r="JCV22"/>
      <c r="JCW22"/>
      <c r="JCX22"/>
      <c r="JCY22"/>
      <c r="JCZ22"/>
      <c r="JDA22"/>
      <c r="JDB22"/>
      <c r="JDC22"/>
      <c r="JDD22"/>
      <c r="JDE22"/>
      <c r="JDF22"/>
      <c r="JDG22"/>
      <c r="JDH22"/>
      <c r="JDI22"/>
      <c r="JDJ22"/>
      <c r="JDK22"/>
      <c r="JDL22"/>
      <c r="JDM22"/>
      <c r="JDN22"/>
      <c r="JDO22"/>
      <c r="JDP22"/>
      <c r="JDQ22"/>
      <c r="JDR22"/>
      <c r="JDS22"/>
      <c r="JDT22"/>
      <c r="JDU22"/>
      <c r="JDV22"/>
      <c r="JDW22"/>
      <c r="JDX22"/>
      <c r="JDY22"/>
      <c r="JDZ22"/>
      <c r="JEA22"/>
      <c r="JEB22"/>
      <c r="JEC22"/>
      <c r="JED22"/>
      <c r="JEE22"/>
      <c r="JEF22"/>
      <c r="JEG22"/>
      <c r="JEH22"/>
      <c r="JEI22"/>
      <c r="JEJ22"/>
      <c r="JEK22"/>
      <c r="JEL22"/>
      <c r="JEM22"/>
      <c r="JEN22"/>
      <c r="JEO22"/>
      <c r="JEP22"/>
      <c r="JEQ22"/>
      <c r="JER22"/>
      <c r="JES22"/>
      <c r="JET22"/>
      <c r="JEU22"/>
      <c r="JEV22"/>
      <c r="JEW22"/>
      <c r="JEX22"/>
      <c r="JEY22"/>
      <c r="JEZ22"/>
      <c r="JFA22"/>
      <c r="JFB22"/>
      <c r="JFC22"/>
      <c r="JFD22"/>
      <c r="JFE22"/>
      <c r="JFF22"/>
      <c r="JFG22"/>
      <c r="JFH22"/>
      <c r="JFI22"/>
      <c r="JFJ22"/>
      <c r="JFK22"/>
      <c r="JFL22"/>
      <c r="JFM22"/>
      <c r="JFN22"/>
      <c r="JFO22"/>
      <c r="JFP22"/>
      <c r="JFQ22"/>
      <c r="JFR22"/>
      <c r="JFS22"/>
      <c r="JFT22"/>
      <c r="JFU22"/>
      <c r="JFV22"/>
      <c r="JFW22"/>
      <c r="JFX22"/>
      <c r="JFY22"/>
      <c r="JFZ22"/>
      <c r="JGA22"/>
      <c r="JGB22"/>
      <c r="JGC22"/>
      <c r="JGD22"/>
      <c r="JGE22"/>
      <c r="JGF22"/>
      <c r="JGG22"/>
      <c r="JGH22"/>
      <c r="JGI22"/>
      <c r="JGJ22"/>
      <c r="JGK22"/>
      <c r="JGL22"/>
      <c r="JGM22"/>
      <c r="JGN22"/>
      <c r="JGO22"/>
      <c r="JGP22"/>
      <c r="JGQ22"/>
      <c r="JGR22"/>
      <c r="JGS22"/>
      <c r="JGT22"/>
      <c r="JGU22"/>
      <c r="JGV22"/>
      <c r="JGW22"/>
      <c r="JGX22"/>
      <c r="JGY22"/>
      <c r="JGZ22"/>
      <c r="JHA22"/>
      <c r="JHB22"/>
      <c r="JHC22"/>
      <c r="JHD22"/>
      <c r="JHE22"/>
      <c r="JHF22"/>
      <c r="JHG22"/>
      <c r="JHH22"/>
      <c r="JHI22"/>
      <c r="JHJ22"/>
      <c r="JHK22"/>
      <c r="JHL22"/>
      <c r="JHM22"/>
      <c r="JHN22"/>
      <c r="JHO22"/>
      <c r="JHP22"/>
      <c r="JHQ22"/>
      <c r="JHR22"/>
      <c r="JHS22"/>
      <c r="JHT22"/>
      <c r="JHU22"/>
      <c r="JHV22"/>
      <c r="JHW22"/>
      <c r="JHX22"/>
      <c r="JHY22"/>
      <c r="JHZ22"/>
      <c r="JIA22"/>
      <c r="JIB22"/>
      <c r="JIC22"/>
      <c r="JID22"/>
      <c r="JIE22"/>
      <c r="JIF22"/>
      <c r="JIG22"/>
      <c r="JIH22"/>
      <c r="JII22"/>
      <c r="JIJ22"/>
      <c r="JIK22"/>
      <c r="JIL22"/>
      <c r="JIM22"/>
      <c r="JIN22"/>
      <c r="JIO22"/>
      <c r="JIP22"/>
      <c r="JIQ22"/>
      <c r="JIR22"/>
      <c r="JIS22"/>
      <c r="JIT22"/>
      <c r="JIU22"/>
      <c r="JIV22"/>
      <c r="JIW22"/>
      <c r="JIX22"/>
      <c r="JIY22"/>
      <c r="JIZ22"/>
      <c r="JJA22"/>
      <c r="JJB22"/>
      <c r="JJC22"/>
      <c r="JJD22"/>
      <c r="JJE22"/>
      <c r="JJF22"/>
      <c r="JJG22"/>
      <c r="JJH22"/>
      <c r="JJI22"/>
      <c r="JJJ22"/>
      <c r="JJK22"/>
      <c r="JJL22"/>
      <c r="JJM22"/>
      <c r="JJN22"/>
      <c r="JJO22"/>
      <c r="JJP22"/>
      <c r="JJQ22"/>
      <c r="JJR22"/>
      <c r="JJS22"/>
      <c r="JJT22"/>
      <c r="JJU22"/>
      <c r="JJV22"/>
      <c r="JJW22"/>
      <c r="JJX22"/>
      <c r="JJY22"/>
      <c r="JJZ22"/>
      <c r="JKA22"/>
      <c r="JKB22"/>
      <c r="JKC22"/>
      <c r="JKD22"/>
      <c r="JKE22"/>
      <c r="JKF22"/>
      <c r="JKG22"/>
      <c r="JKH22"/>
      <c r="JKI22"/>
      <c r="JKJ22"/>
      <c r="JKK22"/>
      <c r="JKL22"/>
      <c r="JKM22"/>
      <c r="JKN22"/>
      <c r="JKO22"/>
      <c r="JKP22"/>
      <c r="JKQ22"/>
      <c r="JKR22"/>
      <c r="JKS22"/>
      <c r="JKT22"/>
      <c r="JKU22"/>
      <c r="JKV22"/>
      <c r="JKW22"/>
      <c r="JKX22"/>
      <c r="JKY22"/>
      <c r="JKZ22"/>
      <c r="JLA22"/>
      <c r="JLB22"/>
      <c r="JLC22"/>
      <c r="JLD22"/>
      <c r="JLE22"/>
      <c r="JLF22"/>
      <c r="JLG22"/>
      <c r="JLH22"/>
      <c r="JLI22"/>
      <c r="JLJ22"/>
      <c r="JLK22"/>
      <c r="JLL22"/>
      <c r="JLM22"/>
      <c r="JLN22"/>
      <c r="JLO22"/>
      <c r="JLP22"/>
      <c r="JLQ22"/>
      <c r="JLR22"/>
      <c r="JLS22"/>
      <c r="JLT22"/>
      <c r="JLU22"/>
      <c r="JLV22"/>
      <c r="JLW22"/>
      <c r="JLX22"/>
      <c r="JLY22"/>
      <c r="JLZ22"/>
      <c r="JMA22"/>
      <c r="JMB22"/>
      <c r="JMC22"/>
      <c r="JMD22"/>
      <c r="JME22"/>
      <c r="JMF22"/>
      <c r="JMG22"/>
      <c r="JMH22"/>
      <c r="JMI22"/>
      <c r="JMJ22"/>
      <c r="JMK22"/>
      <c r="JML22"/>
      <c r="JMM22"/>
      <c r="JMN22"/>
      <c r="JMO22"/>
      <c r="JMP22"/>
      <c r="JMQ22"/>
      <c r="JMR22"/>
      <c r="JMS22"/>
      <c r="JMT22"/>
      <c r="JMU22"/>
      <c r="JMV22"/>
      <c r="JMW22"/>
      <c r="JMX22"/>
      <c r="JMY22"/>
      <c r="JMZ22"/>
      <c r="JNA22"/>
      <c r="JNB22"/>
      <c r="JNC22"/>
      <c r="JND22"/>
      <c r="JNE22"/>
      <c r="JNF22"/>
      <c r="JNG22"/>
      <c r="JNH22"/>
      <c r="JNI22"/>
      <c r="JNJ22"/>
      <c r="JNK22"/>
      <c r="JNL22"/>
      <c r="JNM22"/>
      <c r="JNN22"/>
      <c r="JNO22"/>
      <c r="JNP22"/>
      <c r="JNQ22"/>
      <c r="JNR22"/>
      <c r="JNS22"/>
      <c r="JNT22"/>
      <c r="JNU22"/>
      <c r="JNV22"/>
      <c r="JNW22"/>
      <c r="JNX22"/>
      <c r="JNY22"/>
      <c r="JNZ22"/>
      <c r="JOA22"/>
      <c r="JOB22"/>
      <c r="JOC22"/>
      <c r="JOD22"/>
      <c r="JOE22"/>
      <c r="JOF22"/>
      <c r="JOG22"/>
      <c r="JOH22"/>
      <c r="JOI22"/>
      <c r="JOJ22"/>
      <c r="JOK22"/>
      <c r="JOL22"/>
      <c r="JOM22"/>
      <c r="JON22"/>
      <c r="JOO22"/>
      <c r="JOP22"/>
      <c r="JOQ22"/>
      <c r="JOR22"/>
      <c r="JOS22"/>
      <c r="JOT22"/>
      <c r="JOU22"/>
      <c r="JOV22"/>
      <c r="JOW22"/>
      <c r="JOX22"/>
      <c r="JOY22"/>
      <c r="JOZ22"/>
      <c r="JPA22"/>
      <c r="JPB22"/>
      <c r="JPC22"/>
      <c r="JPD22"/>
      <c r="JPE22"/>
      <c r="JPF22"/>
      <c r="JPG22"/>
      <c r="JPH22"/>
      <c r="JPI22"/>
      <c r="JPJ22"/>
      <c r="JPK22"/>
      <c r="JPL22"/>
      <c r="JPM22"/>
      <c r="JPN22"/>
      <c r="JPO22"/>
      <c r="JPP22"/>
      <c r="JPQ22"/>
      <c r="JPR22"/>
      <c r="JPS22"/>
      <c r="JPT22"/>
      <c r="JPU22"/>
      <c r="JPV22"/>
      <c r="JPW22"/>
      <c r="JPX22"/>
      <c r="JPY22"/>
      <c r="JPZ22"/>
      <c r="JQA22"/>
      <c r="JQB22"/>
      <c r="JQC22"/>
      <c r="JQD22"/>
      <c r="JQE22"/>
      <c r="JQF22"/>
      <c r="JQG22"/>
      <c r="JQH22"/>
      <c r="JQI22"/>
      <c r="JQJ22"/>
      <c r="JQK22"/>
      <c r="JQL22"/>
      <c r="JQM22"/>
      <c r="JQN22"/>
      <c r="JQO22"/>
      <c r="JQP22"/>
      <c r="JQQ22"/>
      <c r="JQR22"/>
      <c r="JQS22"/>
      <c r="JQT22"/>
      <c r="JQU22"/>
      <c r="JQV22"/>
      <c r="JQW22"/>
      <c r="JQX22"/>
      <c r="JQY22"/>
      <c r="JQZ22"/>
      <c r="JRA22"/>
      <c r="JRB22"/>
      <c r="JRC22"/>
      <c r="JRD22"/>
      <c r="JRE22"/>
      <c r="JRF22"/>
      <c r="JRG22"/>
      <c r="JRH22"/>
      <c r="JRI22"/>
      <c r="JRJ22"/>
      <c r="JRK22"/>
      <c r="JRL22"/>
      <c r="JRM22"/>
      <c r="JRN22"/>
      <c r="JRO22"/>
      <c r="JRP22"/>
      <c r="JRQ22"/>
      <c r="JRR22"/>
      <c r="JRS22"/>
      <c r="JRT22"/>
      <c r="JRU22"/>
      <c r="JRV22"/>
      <c r="JRW22"/>
      <c r="JRX22"/>
      <c r="JRY22"/>
      <c r="JRZ22"/>
      <c r="JSA22"/>
      <c r="JSB22"/>
      <c r="JSC22"/>
      <c r="JSD22"/>
      <c r="JSE22"/>
      <c r="JSF22"/>
      <c r="JSG22"/>
      <c r="JSH22"/>
      <c r="JSI22"/>
      <c r="JSJ22"/>
      <c r="JSK22"/>
      <c r="JSL22"/>
      <c r="JSM22"/>
      <c r="JSN22"/>
      <c r="JSO22"/>
      <c r="JSP22"/>
      <c r="JSQ22"/>
      <c r="JSR22"/>
      <c r="JSS22"/>
      <c r="JST22"/>
      <c r="JSU22"/>
      <c r="JSV22"/>
      <c r="JSW22"/>
      <c r="JSX22"/>
      <c r="JSY22"/>
      <c r="JSZ22"/>
      <c r="JTA22"/>
      <c r="JTB22"/>
      <c r="JTC22"/>
      <c r="JTD22"/>
      <c r="JTE22"/>
      <c r="JTF22"/>
      <c r="JTG22"/>
      <c r="JTH22"/>
      <c r="JTI22"/>
      <c r="JTJ22"/>
      <c r="JTK22"/>
      <c r="JTL22"/>
      <c r="JTM22"/>
      <c r="JTN22"/>
      <c r="JTO22"/>
      <c r="JTP22"/>
      <c r="JTQ22"/>
      <c r="JTR22"/>
      <c r="JTS22"/>
      <c r="JTT22"/>
      <c r="JTU22"/>
      <c r="JTV22"/>
      <c r="JTW22"/>
      <c r="JTX22"/>
      <c r="JTY22"/>
      <c r="JTZ22"/>
      <c r="JUA22"/>
      <c r="JUB22"/>
      <c r="JUC22"/>
      <c r="JUD22"/>
      <c r="JUE22"/>
      <c r="JUF22"/>
      <c r="JUG22"/>
      <c r="JUH22"/>
      <c r="JUI22"/>
      <c r="JUJ22"/>
      <c r="JUK22"/>
      <c r="JUL22"/>
      <c r="JUM22"/>
      <c r="JUN22"/>
      <c r="JUO22"/>
      <c r="JUP22"/>
      <c r="JUQ22"/>
      <c r="JUR22"/>
      <c r="JUS22"/>
      <c r="JUT22"/>
      <c r="JUU22"/>
      <c r="JUV22"/>
      <c r="JUW22"/>
      <c r="JUX22"/>
      <c r="JUY22"/>
      <c r="JUZ22"/>
      <c r="JVA22"/>
      <c r="JVB22"/>
      <c r="JVC22"/>
      <c r="JVD22"/>
      <c r="JVE22"/>
      <c r="JVF22"/>
      <c r="JVG22"/>
      <c r="JVH22"/>
      <c r="JVI22"/>
      <c r="JVJ22"/>
      <c r="JVK22"/>
      <c r="JVL22"/>
      <c r="JVM22"/>
      <c r="JVN22"/>
      <c r="JVO22"/>
      <c r="JVP22"/>
      <c r="JVQ22"/>
      <c r="JVR22"/>
      <c r="JVS22"/>
      <c r="JVT22"/>
      <c r="JVU22"/>
      <c r="JVV22"/>
      <c r="JVW22"/>
      <c r="JVX22"/>
      <c r="JVY22"/>
      <c r="JVZ22"/>
      <c r="JWA22"/>
      <c r="JWB22"/>
      <c r="JWC22"/>
      <c r="JWD22"/>
      <c r="JWE22"/>
      <c r="JWF22"/>
      <c r="JWG22"/>
      <c r="JWH22"/>
      <c r="JWI22"/>
      <c r="JWJ22"/>
      <c r="JWK22"/>
      <c r="JWL22"/>
      <c r="JWM22"/>
      <c r="JWN22"/>
      <c r="JWO22"/>
      <c r="JWP22"/>
      <c r="JWQ22"/>
      <c r="JWR22"/>
      <c r="JWS22"/>
      <c r="JWT22"/>
      <c r="JWU22"/>
      <c r="JWV22"/>
      <c r="JWW22"/>
      <c r="JWX22"/>
      <c r="JWY22"/>
      <c r="JWZ22"/>
      <c r="JXA22"/>
      <c r="JXB22"/>
      <c r="JXC22"/>
      <c r="JXD22"/>
      <c r="JXE22"/>
      <c r="JXF22"/>
      <c r="JXG22"/>
      <c r="JXH22"/>
      <c r="JXI22"/>
      <c r="JXJ22"/>
      <c r="JXK22"/>
      <c r="JXL22"/>
      <c r="JXM22"/>
      <c r="JXN22"/>
      <c r="JXO22"/>
      <c r="JXP22"/>
      <c r="JXQ22"/>
      <c r="JXR22"/>
      <c r="JXS22"/>
      <c r="JXT22"/>
      <c r="JXU22"/>
      <c r="JXV22"/>
      <c r="JXW22"/>
      <c r="JXX22"/>
      <c r="JXY22"/>
      <c r="JXZ22"/>
      <c r="JYA22"/>
      <c r="JYB22"/>
      <c r="JYC22"/>
      <c r="JYD22"/>
      <c r="JYE22"/>
      <c r="JYF22"/>
      <c r="JYG22"/>
      <c r="JYH22"/>
      <c r="JYI22"/>
      <c r="JYJ22"/>
      <c r="JYK22"/>
      <c r="JYL22"/>
      <c r="JYM22"/>
      <c r="JYN22"/>
      <c r="JYO22"/>
      <c r="JYP22"/>
      <c r="JYQ22"/>
      <c r="JYR22"/>
      <c r="JYS22"/>
      <c r="JYT22"/>
      <c r="JYU22"/>
      <c r="JYV22"/>
      <c r="JYW22"/>
      <c r="JYX22"/>
      <c r="JYY22"/>
      <c r="JYZ22"/>
      <c r="JZA22"/>
      <c r="JZB22"/>
      <c r="JZC22"/>
      <c r="JZD22"/>
      <c r="JZE22"/>
      <c r="JZF22"/>
      <c r="JZG22"/>
      <c r="JZH22"/>
      <c r="JZI22"/>
      <c r="JZJ22"/>
      <c r="JZK22"/>
      <c r="JZL22"/>
      <c r="JZM22"/>
      <c r="JZN22"/>
      <c r="JZO22"/>
      <c r="JZP22"/>
      <c r="JZQ22"/>
      <c r="JZR22"/>
      <c r="JZS22"/>
      <c r="JZT22"/>
      <c r="JZU22"/>
      <c r="JZV22"/>
      <c r="JZW22"/>
      <c r="JZX22"/>
      <c r="JZY22"/>
      <c r="JZZ22"/>
      <c r="KAA22"/>
      <c r="KAB22"/>
      <c r="KAC22"/>
      <c r="KAD22"/>
      <c r="KAE22"/>
      <c r="KAF22"/>
      <c r="KAG22"/>
      <c r="KAH22"/>
      <c r="KAI22"/>
      <c r="KAJ22"/>
      <c r="KAK22"/>
      <c r="KAL22"/>
      <c r="KAM22"/>
      <c r="KAN22"/>
      <c r="KAO22"/>
      <c r="KAP22"/>
      <c r="KAQ22"/>
      <c r="KAR22"/>
      <c r="KAS22"/>
      <c r="KAT22"/>
      <c r="KAU22"/>
      <c r="KAV22"/>
      <c r="KAW22"/>
      <c r="KAX22"/>
      <c r="KAY22"/>
      <c r="KAZ22"/>
      <c r="KBA22"/>
      <c r="KBB22"/>
      <c r="KBC22"/>
      <c r="KBD22"/>
      <c r="KBE22"/>
      <c r="KBF22"/>
      <c r="KBG22"/>
      <c r="KBH22"/>
      <c r="KBI22"/>
      <c r="KBJ22"/>
      <c r="KBK22"/>
      <c r="KBL22"/>
      <c r="KBM22"/>
      <c r="KBN22"/>
      <c r="KBO22"/>
      <c r="KBP22"/>
      <c r="KBQ22"/>
      <c r="KBR22"/>
      <c r="KBS22"/>
      <c r="KBT22"/>
      <c r="KBU22"/>
      <c r="KBV22"/>
      <c r="KBW22"/>
      <c r="KBX22"/>
      <c r="KBY22"/>
      <c r="KBZ22"/>
      <c r="KCA22"/>
      <c r="KCB22"/>
      <c r="KCC22"/>
      <c r="KCD22"/>
      <c r="KCE22"/>
      <c r="KCF22"/>
      <c r="KCG22"/>
      <c r="KCH22"/>
      <c r="KCI22"/>
      <c r="KCJ22"/>
      <c r="KCK22"/>
      <c r="KCL22"/>
      <c r="KCM22"/>
      <c r="KCN22"/>
      <c r="KCO22"/>
      <c r="KCP22"/>
      <c r="KCQ22"/>
      <c r="KCR22"/>
      <c r="KCS22"/>
      <c r="KCT22"/>
      <c r="KCU22"/>
      <c r="KCV22"/>
      <c r="KCW22"/>
      <c r="KCX22"/>
      <c r="KCY22"/>
      <c r="KCZ22"/>
      <c r="KDA22"/>
      <c r="KDB22"/>
      <c r="KDC22"/>
      <c r="KDD22"/>
      <c r="KDE22"/>
      <c r="KDF22"/>
      <c r="KDG22"/>
      <c r="KDH22"/>
      <c r="KDI22"/>
      <c r="KDJ22"/>
      <c r="KDK22"/>
      <c r="KDL22"/>
      <c r="KDM22"/>
      <c r="KDN22"/>
      <c r="KDO22"/>
      <c r="KDP22"/>
      <c r="KDQ22"/>
      <c r="KDR22"/>
      <c r="KDS22"/>
      <c r="KDT22"/>
      <c r="KDU22"/>
      <c r="KDV22"/>
      <c r="KDW22"/>
      <c r="KDX22"/>
      <c r="KDY22"/>
      <c r="KDZ22"/>
      <c r="KEA22"/>
      <c r="KEB22"/>
      <c r="KEC22"/>
      <c r="KED22"/>
      <c r="KEE22"/>
      <c r="KEF22"/>
      <c r="KEG22"/>
      <c r="KEH22"/>
      <c r="KEI22"/>
      <c r="KEJ22"/>
      <c r="KEK22"/>
      <c r="KEL22"/>
      <c r="KEM22"/>
      <c r="KEN22"/>
      <c r="KEO22"/>
      <c r="KEP22"/>
      <c r="KEQ22"/>
      <c r="KER22"/>
      <c r="KES22"/>
      <c r="KET22"/>
      <c r="KEU22"/>
      <c r="KEV22"/>
      <c r="KEW22"/>
      <c r="KEX22"/>
      <c r="KEY22"/>
      <c r="KEZ22"/>
      <c r="KFA22"/>
      <c r="KFB22"/>
      <c r="KFC22"/>
      <c r="KFD22"/>
      <c r="KFE22"/>
      <c r="KFF22"/>
      <c r="KFG22"/>
      <c r="KFH22"/>
      <c r="KFI22"/>
      <c r="KFJ22"/>
      <c r="KFK22"/>
      <c r="KFL22"/>
      <c r="KFM22"/>
      <c r="KFN22"/>
      <c r="KFO22"/>
      <c r="KFP22"/>
      <c r="KFQ22"/>
      <c r="KFR22"/>
      <c r="KFS22"/>
      <c r="KFT22"/>
      <c r="KFU22"/>
      <c r="KFV22"/>
      <c r="KFW22"/>
      <c r="KFX22"/>
      <c r="KFY22"/>
      <c r="KFZ22"/>
      <c r="KGA22"/>
      <c r="KGB22"/>
      <c r="KGC22"/>
      <c r="KGD22"/>
      <c r="KGE22"/>
      <c r="KGF22"/>
      <c r="KGG22"/>
      <c r="KGH22"/>
      <c r="KGI22"/>
      <c r="KGJ22"/>
      <c r="KGK22"/>
      <c r="KGL22"/>
      <c r="KGM22"/>
      <c r="KGN22"/>
      <c r="KGO22"/>
      <c r="KGP22"/>
      <c r="KGQ22"/>
      <c r="KGR22"/>
      <c r="KGS22"/>
      <c r="KGT22"/>
      <c r="KGU22"/>
      <c r="KGV22"/>
      <c r="KGW22"/>
      <c r="KGX22"/>
      <c r="KGY22"/>
      <c r="KGZ22"/>
      <c r="KHA22"/>
      <c r="KHB22"/>
      <c r="KHC22"/>
      <c r="KHD22"/>
      <c r="KHE22"/>
      <c r="KHF22"/>
      <c r="KHG22"/>
      <c r="KHH22"/>
      <c r="KHI22"/>
      <c r="KHJ22"/>
      <c r="KHK22"/>
      <c r="KHL22"/>
      <c r="KHM22"/>
      <c r="KHN22"/>
      <c r="KHO22"/>
      <c r="KHP22"/>
      <c r="KHQ22"/>
      <c r="KHR22"/>
      <c r="KHS22"/>
      <c r="KHT22"/>
      <c r="KHU22"/>
      <c r="KHV22"/>
      <c r="KHW22"/>
      <c r="KHX22"/>
      <c r="KHY22"/>
      <c r="KHZ22"/>
      <c r="KIA22"/>
      <c r="KIB22"/>
      <c r="KIC22"/>
      <c r="KID22"/>
      <c r="KIE22"/>
      <c r="KIF22"/>
      <c r="KIG22"/>
      <c r="KIH22"/>
      <c r="KII22"/>
      <c r="KIJ22"/>
      <c r="KIK22"/>
      <c r="KIL22"/>
      <c r="KIM22"/>
      <c r="KIN22"/>
      <c r="KIO22"/>
      <c r="KIP22"/>
      <c r="KIQ22"/>
      <c r="KIR22"/>
      <c r="KIS22"/>
      <c r="KIT22"/>
      <c r="KIU22"/>
      <c r="KIV22"/>
      <c r="KIW22"/>
      <c r="KIX22"/>
      <c r="KIY22"/>
      <c r="KIZ22"/>
      <c r="KJA22"/>
      <c r="KJB22"/>
      <c r="KJC22"/>
      <c r="KJD22"/>
      <c r="KJE22"/>
      <c r="KJF22"/>
      <c r="KJG22"/>
      <c r="KJH22"/>
      <c r="KJI22"/>
      <c r="KJJ22"/>
      <c r="KJK22"/>
      <c r="KJL22"/>
      <c r="KJM22"/>
      <c r="KJN22"/>
      <c r="KJO22"/>
      <c r="KJP22"/>
      <c r="KJQ22"/>
      <c r="KJR22"/>
      <c r="KJS22"/>
      <c r="KJT22"/>
      <c r="KJU22"/>
      <c r="KJV22"/>
      <c r="KJW22"/>
      <c r="KJX22"/>
      <c r="KJY22"/>
      <c r="KJZ22"/>
      <c r="KKA22"/>
      <c r="KKB22"/>
      <c r="KKC22"/>
      <c r="KKD22"/>
      <c r="KKE22"/>
      <c r="KKF22"/>
      <c r="KKG22"/>
      <c r="KKH22"/>
      <c r="KKI22"/>
      <c r="KKJ22"/>
      <c r="KKK22"/>
      <c r="KKL22"/>
      <c r="KKM22"/>
      <c r="KKN22"/>
      <c r="KKO22"/>
      <c r="KKP22"/>
      <c r="KKQ22"/>
      <c r="KKR22"/>
      <c r="KKS22"/>
      <c r="KKT22"/>
      <c r="KKU22"/>
      <c r="KKV22"/>
      <c r="KKW22"/>
      <c r="KKX22"/>
      <c r="KKY22"/>
      <c r="KKZ22"/>
      <c r="KLA22"/>
      <c r="KLB22"/>
      <c r="KLC22"/>
      <c r="KLD22"/>
      <c r="KLE22"/>
      <c r="KLF22"/>
      <c r="KLG22"/>
      <c r="KLH22"/>
      <c r="KLI22"/>
      <c r="KLJ22"/>
      <c r="KLK22"/>
      <c r="KLL22"/>
      <c r="KLM22"/>
      <c r="KLN22"/>
      <c r="KLO22"/>
      <c r="KLP22"/>
      <c r="KLQ22"/>
      <c r="KLR22"/>
      <c r="KLS22"/>
      <c r="KLT22"/>
      <c r="KLU22"/>
      <c r="KLV22"/>
      <c r="KLW22"/>
      <c r="KLX22"/>
      <c r="KLY22"/>
      <c r="KLZ22"/>
      <c r="KMA22"/>
      <c r="KMB22"/>
      <c r="KMC22"/>
      <c r="KMD22"/>
      <c r="KME22"/>
      <c r="KMF22"/>
      <c r="KMG22"/>
      <c r="KMH22"/>
      <c r="KMI22"/>
      <c r="KMJ22"/>
      <c r="KMK22"/>
      <c r="KML22"/>
      <c r="KMM22"/>
      <c r="KMN22"/>
      <c r="KMO22"/>
      <c r="KMP22"/>
      <c r="KMQ22"/>
      <c r="KMR22"/>
      <c r="KMS22"/>
      <c r="KMT22"/>
      <c r="KMU22"/>
      <c r="KMV22"/>
      <c r="KMW22"/>
      <c r="KMX22"/>
      <c r="KMY22"/>
      <c r="KMZ22"/>
      <c r="KNA22"/>
      <c r="KNB22"/>
      <c r="KNC22"/>
      <c r="KND22"/>
      <c r="KNE22"/>
      <c r="KNF22"/>
      <c r="KNG22"/>
      <c r="KNH22"/>
      <c r="KNI22"/>
      <c r="KNJ22"/>
      <c r="KNK22"/>
      <c r="KNL22"/>
      <c r="KNM22"/>
      <c r="KNN22"/>
      <c r="KNO22"/>
      <c r="KNP22"/>
      <c r="KNQ22"/>
      <c r="KNR22"/>
      <c r="KNS22"/>
      <c r="KNT22"/>
      <c r="KNU22"/>
      <c r="KNV22"/>
      <c r="KNW22"/>
      <c r="KNX22"/>
      <c r="KNY22"/>
      <c r="KNZ22"/>
      <c r="KOA22"/>
      <c r="KOB22"/>
      <c r="KOC22"/>
      <c r="KOD22"/>
      <c r="KOE22"/>
      <c r="KOF22"/>
      <c r="KOG22"/>
      <c r="KOH22"/>
      <c r="KOI22"/>
      <c r="KOJ22"/>
      <c r="KOK22"/>
      <c r="KOL22"/>
      <c r="KOM22"/>
      <c r="KON22"/>
      <c r="KOO22"/>
      <c r="KOP22"/>
      <c r="KOQ22"/>
      <c r="KOR22"/>
      <c r="KOS22"/>
      <c r="KOT22"/>
      <c r="KOU22"/>
      <c r="KOV22"/>
      <c r="KOW22"/>
      <c r="KOX22"/>
      <c r="KOY22"/>
      <c r="KOZ22"/>
      <c r="KPA22"/>
      <c r="KPB22"/>
      <c r="KPC22"/>
      <c r="KPD22"/>
      <c r="KPE22"/>
      <c r="KPF22"/>
      <c r="KPG22"/>
      <c r="KPH22"/>
      <c r="KPI22"/>
      <c r="KPJ22"/>
      <c r="KPK22"/>
      <c r="KPL22"/>
      <c r="KPM22"/>
      <c r="KPN22"/>
      <c r="KPO22"/>
      <c r="KPP22"/>
      <c r="KPQ22"/>
      <c r="KPR22"/>
      <c r="KPS22"/>
      <c r="KPT22"/>
      <c r="KPU22"/>
      <c r="KPV22"/>
      <c r="KPW22"/>
      <c r="KPX22"/>
      <c r="KPY22"/>
      <c r="KPZ22"/>
      <c r="KQA22"/>
      <c r="KQB22"/>
      <c r="KQC22"/>
      <c r="KQD22"/>
      <c r="KQE22"/>
      <c r="KQF22"/>
      <c r="KQG22"/>
      <c r="KQH22"/>
      <c r="KQI22"/>
      <c r="KQJ22"/>
      <c r="KQK22"/>
      <c r="KQL22"/>
      <c r="KQM22"/>
      <c r="KQN22"/>
      <c r="KQO22"/>
      <c r="KQP22"/>
      <c r="KQQ22"/>
      <c r="KQR22"/>
      <c r="KQS22"/>
      <c r="KQT22"/>
      <c r="KQU22"/>
      <c r="KQV22"/>
      <c r="KQW22"/>
      <c r="KQX22"/>
      <c r="KQY22"/>
      <c r="KQZ22"/>
      <c r="KRA22"/>
      <c r="KRB22"/>
      <c r="KRC22"/>
      <c r="KRD22"/>
      <c r="KRE22"/>
      <c r="KRF22"/>
      <c r="KRG22"/>
      <c r="KRH22"/>
      <c r="KRI22"/>
      <c r="KRJ22"/>
      <c r="KRK22"/>
      <c r="KRL22"/>
      <c r="KRM22"/>
      <c r="KRN22"/>
      <c r="KRO22"/>
      <c r="KRP22"/>
      <c r="KRQ22"/>
      <c r="KRR22"/>
      <c r="KRS22"/>
      <c r="KRT22"/>
      <c r="KRU22"/>
      <c r="KRV22"/>
      <c r="KRW22"/>
      <c r="KRX22"/>
      <c r="KRY22"/>
      <c r="KRZ22"/>
      <c r="KSA22"/>
      <c r="KSB22"/>
      <c r="KSC22"/>
      <c r="KSD22"/>
      <c r="KSE22"/>
      <c r="KSF22"/>
      <c r="KSG22"/>
      <c r="KSH22"/>
      <c r="KSI22"/>
      <c r="KSJ22"/>
      <c r="KSK22"/>
      <c r="KSL22"/>
      <c r="KSM22"/>
      <c r="KSN22"/>
      <c r="KSO22"/>
      <c r="KSP22"/>
      <c r="KSQ22"/>
      <c r="KSR22"/>
      <c r="KSS22"/>
      <c r="KST22"/>
      <c r="KSU22"/>
      <c r="KSV22"/>
      <c r="KSW22"/>
      <c r="KSX22"/>
      <c r="KSY22"/>
      <c r="KSZ22"/>
      <c r="KTA22"/>
      <c r="KTB22"/>
      <c r="KTC22"/>
      <c r="KTD22"/>
      <c r="KTE22"/>
      <c r="KTF22"/>
      <c r="KTG22"/>
      <c r="KTH22"/>
      <c r="KTI22"/>
      <c r="KTJ22"/>
      <c r="KTK22"/>
      <c r="KTL22"/>
      <c r="KTM22"/>
      <c r="KTN22"/>
      <c r="KTO22"/>
      <c r="KTP22"/>
      <c r="KTQ22"/>
      <c r="KTR22"/>
      <c r="KTS22"/>
      <c r="KTT22"/>
      <c r="KTU22"/>
      <c r="KTV22"/>
      <c r="KTW22"/>
      <c r="KTX22"/>
      <c r="KTY22"/>
      <c r="KTZ22"/>
      <c r="KUA22"/>
      <c r="KUB22"/>
      <c r="KUC22"/>
      <c r="KUD22"/>
      <c r="KUE22"/>
      <c r="KUF22"/>
      <c r="KUG22"/>
      <c r="KUH22"/>
      <c r="KUI22"/>
      <c r="KUJ22"/>
      <c r="KUK22"/>
      <c r="KUL22"/>
      <c r="KUM22"/>
      <c r="KUN22"/>
      <c r="KUO22"/>
      <c r="KUP22"/>
      <c r="KUQ22"/>
      <c r="KUR22"/>
      <c r="KUS22"/>
      <c r="KUT22"/>
      <c r="KUU22"/>
      <c r="KUV22"/>
      <c r="KUW22"/>
      <c r="KUX22"/>
      <c r="KUY22"/>
      <c r="KUZ22"/>
      <c r="KVA22"/>
      <c r="KVB22"/>
      <c r="KVC22"/>
      <c r="KVD22"/>
      <c r="KVE22"/>
      <c r="KVF22"/>
      <c r="KVG22"/>
      <c r="KVH22"/>
      <c r="KVI22"/>
      <c r="KVJ22"/>
      <c r="KVK22"/>
      <c r="KVL22"/>
      <c r="KVM22"/>
      <c r="KVN22"/>
      <c r="KVO22"/>
      <c r="KVP22"/>
      <c r="KVQ22"/>
      <c r="KVR22"/>
      <c r="KVS22"/>
      <c r="KVT22"/>
      <c r="KVU22"/>
      <c r="KVV22"/>
      <c r="KVW22"/>
      <c r="KVX22"/>
      <c r="KVY22"/>
      <c r="KVZ22"/>
      <c r="KWA22"/>
      <c r="KWB22"/>
      <c r="KWC22"/>
      <c r="KWD22"/>
      <c r="KWE22"/>
      <c r="KWF22"/>
      <c r="KWG22"/>
      <c r="KWH22"/>
      <c r="KWI22"/>
      <c r="KWJ22"/>
      <c r="KWK22"/>
      <c r="KWL22"/>
      <c r="KWM22"/>
      <c r="KWN22"/>
      <c r="KWO22"/>
      <c r="KWP22"/>
      <c r="KWQ22"/>
      <c r="KWR22"/>
      <c r="KWS22"/>
      <c r="KWT22"/>
      <c r="KWU22"/>
      <c r="KWV22"/>
      <c r="KWW22"/>
      <c r="KWX22"/>
      <c r="KWY22"/>
      <c r="KWZ22"/>
      <c r="KXA22"/>
      <c r="KXB22"/>
      <c r="KXC22"/>
      <c r="KXD22"/>
      <c r="KXE22"/>
      <c r="KXF22"/>
      <c r="KXG22"/>
      <c r="KXH22"/>
      <c r="KXI22"/>
      <c r="KXJ22"/>
      <c r="KXK22"/>
      <c r="KXL22"/>
      <c r="KXM22"/>
      <c r="KXN22"/>
      <c r="KXO22"/>
      <c r="KXP22"/>
      <c r="KXQ22"/>
      <c r="KXR22"/>
      <c r="KXS22"/>
      <c r="KXT22"/>
      <c r="KXU22"/>
      <c r="KXV22"/>
      <c r="KXW22"/>
      <c r="KXX22"/>
      <c r="KXY22"/>
      <c r="KXZ22"/>
      <c r="KYA22"/>
      <c r="KYB22"/>
      <c r="KYC22"/>
      <c r="KYD22"/>
      <c r="KYE22"/>
      <c r="KYF22"/>
      <c r="KYG22"/>
      <c r="KYH22"/>
      <c r="KYI22"/>
      <c r="KYJ22"/>
      <c r="KYK22"/>
      <c r="KYL22"/>
      <c r="KYM22"/>
      <c r="KYN22"/>
      <c r="KYO22"/>
      <c r="KYP22"/>
      <c r="KYQ22"/>
      <c r="KYR22"/>
      <c r="KYS22"/>
      <c r="KYT22"/>
      <c r="KYU22"/>
      <c r="KYV22"/>
      <c r="KYW22"/>
      <c r="KYX22"/>
      <c r="KYY22"/>
      <c r="KYZ22"/>
      <c r="KZA22"/>
      <c r="KZB22"/>
      <c r="KZC22"/>
      <c r="KZD22"/>
      <c r="KZE22"/>
      <c r="KZF22"/>
      <c r="KZG22"/>
      <c r="KZH22"/>
      <c r="KZI22"/>
      <c r="KZJ22"/>
      <c r="KZK22"/>
      <c r="KZL22"/>
      <c r="KZM22"/>
      <c r="KZN22"/>
      <c r="KZO22"/>
      <c r="KZP22"/>
      <c r="KZQ22"/>
      <c r="KZR22"/>
      <c r="KZS22"/>
      <c r="KZT22"/>
      <c r="KZU22"/>
      <c r="KZV22"/>
      <c r="KZW22"/>
      <c r="KZX22"/>
      <c r="KZY22"/>
      <c r="KZZ22"/>
      <c r="LAA22"/>
      <c r="LAB22"/>
      <c r="LAC22"/>
      <c r="LAD22"/>
      <c r="LAE22"/>
      <c r="LAF22"/>
      <c r="LAG22"/>
      <c r="LAH22"/>
      <c r="LAI22"/>
      <c r="LAJ22"/>
      <c r="LAK22"/>
      <c r="LAL22"/>
      <c r="LAM22"/>
      <c r="LAN22"/>
      <c r="LAO22"/>
      <c r="LAP22"/>
      <c r="LAQ22"/>
      <c r="LAR22"/>
      <c r="LAS22"/>
      <c r="LAT22"/>
      <c r="LAU22"/>
      <c r="LAV22"/>
      <c r="LAW22"/>
      <c r="LAX22"/>
      <c r="LAY22"/>
      <c r="LAZ22"/>
      <c r="LBA22"/>
      <c r="LBB22"/>
      <c r="LBC22"/>
      <c r="LBD22"/>
      <c r="LBE22"/>
      <c r="LBF22"/>
      <c r="LBG22"/>
      <c r="LBH22"/>
      <c r="LBI22"/>
      <c r="LBJ22"/>
      <c r="LBK22"/>
      <c r="LBL22"/>
      <c r="LBM22"/>
      <c r="LBN22"/>
      <c r="LBO22"/>
      <c r="LBP22"/>
      <c r="LBQ22"/>
      <c r="LBR22"/>
      <c r="LBS22"/>
      <c r="LBT22"/>
      <c r="LBU22"/>
      <c r="LBV22"/>
      <c r="LBW22"/>
      <c r="LBX22"/>
      <c r="LBY22"/>
      <c r="LBZ22"/>
      <c r="LCA22"/>
      <c r="LCB22"/>
      <c r="LCC22"/>
      <c r="LCD22"/>
      <c r="LCE22"/>
      <c r="LCF22"/>
      <c r="LCG22"/>
      <c r="LCH22"/>
      <c r="LCI22"/>
      <c r="LCJ22"/>
      <c r="LCK22"/>
      <c r="LCL22"/>
      <c r="LCM22"/>
      <c r="LCN22"/>
      <c r="LCO22"/>
      <c r="LCP22"/>
      <c r="LCQ22"/>
      <c r="LCR22"/>
      <c r="LCS22"/>
      <c r="LCT22"/>
      <c r="LCU22"/>
      <c r="LCV22"/>
      <c r="LCW22"/>
      <c r="LCX22"/>
      <c r="LCY22"/>
      <c r="LCZ22"/>
      <c r="LDA22"/>
      <c r="LDB22"/>
      <c r="LDC22"/>
      <c r="LDD22"/>
      <c r="LDE22"/>
      <c r="LDF22"/>
      <c r="LDG22"/>
      <c r="LDH22"/>
      <c r="LDI22"/>
      <c r="LDJ22"/>
      <c r="LDK22"/>
      <c r="LDL22"/>
      <c r="LDM22"/>
      <c r="LDN22"/>
      <c r="LDO22"/>
      <c r="LDP22"/>
      <c r="LDQ22"/>
      <c r="LDR22"/>
      <c r="LDS22"/>
      <c r="LDT22"/>
      <c r="LDU22"/>
      <c r="LDV22"/>
      <c r="LDW22"/>
      <c r="LDX22"/>
      <c r="LDY22"/>
      <c r="LDZ22"/>
      <c r="LEA22"/>
      <c r="LEB22"/>
      <c r="LEC22"/>
      <c r="LED22"/>
      <c r="LEE22"/>
      <c r="LEF22"/>
      <c r="LEG22"/>
      <c r="LEH22"/>
      <c r="LEI22"/>
      <c r="LEJ22"/>
      <c r="LEK22"/>
      <c r="LEL22"/>
      <c r="LEM22"/>
      <c r="LEN22"/>
      <c r="LEO22"/>
      <c r="LEP22"/>
      <c r="LEQ22"/>
      <c r="LER22"/>
      <c r="LES22"/>
      <c r="LET22"/>
      <c r="LEU22"/>
      <c r="LEV22"/>
      <c r="LEW22"/>
      <c r="LEX22"/>
      <c r="LEY22"/>
      <c r="LEZ22"/>
      <c r="LFA22"/>
      <c r="LFB22"/>
      <c r="LFC22"/>
      <c r="LFD22"/>
      <c r="LFE22"/>
      <c r="LFF22"/>
      <c r="LFG22"/>
      <c r="LFH22"/>
      <c r="LFI22"/>
      <c r="LFJ22"/>
      <c r="LFK22"/>
      <c r="LFL22"/>
      <c r="LFM22"/>
      <c r="LFN22"/>
      <c r="LFO22"/>
      <c r="LFP22"/>
      <c r="LFQ22"/>
      <c r="LFR22"/>
      <c r="LFS22"/>
      <c r="LFT22"/>
      <c r="LFU22"/>
      <c r="LFV22"/>
      <c r="LFW22"/>
      <c r="LFX22"/>
      <c r="LFY22"/>
      <c r="LFZ22"/>
      <c r="LGA22"/>
      <c r="LGB22"/>
      <c r="LGC22"/>
      <c r="LGD22"/>
      <c r="LGE22"/>
      <c r="LGF22"/>
      <c r="LGG22"/>
      <c r="LGH22"/>
      <c r="LGI22"/>
      <c r="LGJ22"/>
      <c r="LGK22"/>
      <c r="LGL22"/>
      <c r="LGM22"/>
      <c r="LGN22"/>
      <c r="LGO22"/>
      <c r="LGP22"/>
      <c r="LGQ22"/>
      <c r="LGR22"/>
      <c r="LGS22"/>
      <c r="LGT22"/>
      <c r="LGU22"/>
      <c r="LGV22"/>
      <c r="LGW22"/>
      <c r="LGX22"/>
      <c r="LGY22"/>
      <c r="LGZ22"/>
      <c r="LHA22"/>
      <c r="LHB22"/>
      <c r="LHC22"/>
      <c r="LHD22"/>
      <c r="LHE22"/>
      <c r="LHF22"/>
      <c r="LHG22"/>
      <c r="LHH22"/>
      <c r="LHI22"/>
      <c r="LHJ22"/>
      <c r="LHK22"/>
      <c r="LHL22"/>
      <c r="LHM22"/>
      <c r="LHN22"/>
      <c r="LHO22"/>
      <c r="LHP22"/>
      <c r="LHQ22"/>
      <c r="LHR22"/>
      <c r="LHS22"/>
      <c r="LHT22"/>
      <c r="LHU22"/>
      <c r="LHV22"/>
      <c r="LHW22"/>
      <c r="LHX22"/>
      <c r="LHY22"/>
      <c r="LHZ22"/>
      <c r="LIA22"/>
      <c r="LIB22"/>
      <c r="LIC22"/>
      <c r="LID22"/>
      <c r="LIE22"/>
      <c r="LIF22"/>
      <c r="LIG22"/>
      <c r="LIH22"/>
      <c r="LII22"/>
      <c r="LIJ22"/>
      <c r="LIK22"/>
      <c r="LIL22"/>
      <c r="LIM22"/>
      <c r="LIN22"/>
      <c r="LIO22"/>
      <c r="LIP22"/>
      <c r="LIQ22"/>
      <c r="LIR22"/>
      <c r="LIS22"/>
      <c r="LIT22"/>
      <c r="LIU22"/>
      <c r="LIV22"/>
      <c r="LIW22"/>
      <c r="LIX22"/>
      <c r="LIY22"/>
      <c r="LIZ22"/>
      <c r="LJA22"/>
      <c r="LJB22"/>
      <c r="LJC22"/>
      <c r="LJD22"/>
      <c r="LJE22"/>
      <c r="LJF22"/>
      <c r="LJG22"/>
      <c r="LJH22"/>
      <c r="LJI22"/>
      <c r="LJJ22"/>
      <c r="LJK22"/>
      <c r="LJL22"/>
      <c r="LJM22"/>
      <c r="LJN22"/>
      <c r="LJO22"/>
      <c r="LJP22"/>
      <c r="LJQ22"/>
      <c r="LJR22"/>
      <c r="LJS22"/>
      <c r="LJT22"/>
      <c r="LJU22"/>
      <c r="LJV22"/>
      <c r="LJW22"/>
      <c r="LJX22"/>
      <c r="LJY22"/>
      <c r="LJZ22"/>
      <c r="LKA22"/>
      <c r="LKB22"/>
      <c r="LKC22"/>
      <c r="LKD22"/>
      <c r="LKE22"/>
      <c r="LKF22"/>
      <c r="LKG22"/>
      <c r="LKH22"/>
      <c r="LKI22"/>
      <c r="LKJ22"/>
      <c r="LKK22"/>
      <c r="LKL22"/>
      <c r="LKM22"/>
      <c r="LKN22"/>
      <c r="LKO22"/>
      <c r="LKP22"/>
      <c r="LKQ22"/>
      <c r="LKR22"/>
      <c r="LKS22"/>
      <c r="LKT22"/>
      <c r="LKU22"/>
      <c r="LKV22"/>
      <c r="LKW22"/>
      <c r="LKX22"/>
      <c r="LKY22"/>
      <c r="LKZ22"/>
      <c r="LLA22"/>
      <c r="LLB22"/>
      <c r="LLC22"/>
      <c r="LLD22"/>
      <c r="LLE22"/>
      <c r="LLF22"/>
      <c r="LLG22"/>
      <c r="LLH22"/>
      <c r="LLI22"/>
      <c r="LLJ22"/>
      <c r="LLK22"/>
      <c r="LLL22"/>
      <c r="LLM22"/>
      <c r="LLN22"/>
      <c r="LLO22"/>
      <c r="LLP22"/>
      <c r="LLQ22"/>
      <c r="LLR22"/>
      <c r="LLS22"/>
      <c r="LLT22"/>
      <c r="LLU22"/>
      <c r="LLV22"/>
      <c r="LLW22"/>
      <c r="LLX22"/>
      <c r="LLY22"/>
      <c r="LLZ22"/>
      <c r="LMA22"/>
      <c r="LMB22"/>
      <c r="LMC22"/>
      <c r="LMD22"/>
      <c r="LME22"/>
      <c r="LMF22"/>
      <c r="LMG22"/>
      <c r="LMH22"/>
      <c r="LMI22"/>
      <c r="LMJ22"/>
      <c r="LMK22"/>
      <c r="LML22"/>
      <c r="LMM22"/>
      <c r="LMN22"/>
      <c r="LMO22"/>
      <c r="LMP22"/>
      <c r="LMQ22"/>
      <c r="LMR22"/>
      <c r="LMS22"/>
      <c r="LMT22"/>
      <c r="LMU22"/>
      <c r="LMV22"/>
      <c r="LMW22"/>
      <c r="LMX22"/>
      <c r="LMY22"/>
      <c r="LMZ22"/>
      <c r="LNA22"/>
      <c r="LNB22"/>
      <c r="LNC22"/>
      <c r="LND22"/>
      <c r="LNE22"/>
      <c r="LNF22"/>
      <c r="LNG22"/>
      <c r="LNH22"/>
      <c r="LNI22"/>
      <c r="LNJ22"/>
      <c r="LNK22"/>
      <c r="LNL22"/>
      <c r="LNM22"/>
      <c r="LNN22"/>
      <c r="LNO22"/>
      <c r="LNP22"/>
      <c r="LNQ22"/>
      <c r="LNR22"/>
      <c r="LNS22"/>
      <c r="LNT22"/>
      <c r="LNU22"/>
      <c r="LNV22"/>
      <c r="LNW22"/>
      <c r="LNX22"/>
      <c r="LNY22"/>
      <c r="LNZ22"/>
      <c r="LOA22"/>
      <c r="LOB22"/>
      <c r="LOC22"/>
      <c r="LOD22"/>
      <c r="LOE22"/>
      <c r="LOF22"/>
      <c r="LOG22"/>
      <c r="LOH22"/>
      <c r="LOI22"/>
      <c r="LOJ22"/>
      <c r="LOK22"/>
      <c r="LOL22"/>
      <c r="LOM22"/>
      <c r="LON22"/>
      <c r="LOO22"/>
      <c r="LOP22"/>
      <c r="LOQ22"/>
      <c r="LOR22"/>
      <c r="LOS22"/>
      <c r="LOT22"/>
      <c r="LOU22"/>
      <c r="LOV22"/>
      <c r="LOW22"/>
      <c r="LOX22"/>
      <c r="LOY22"/>
      <c r="LOZ22"/>
      <c r="LPA22"/>
      <c r="LPB22"/>
      <c r="LPC22"/>
      <c r="LPD22"/>
      <c r="LPE22"/>
      <c r="LPF22"/>
      <c r="LPG22"/>
      <c r="LPH22"/>
      <c r="LPI22"/>
      <c r="LPJ22"/>
      <c r="LPK22"/>
      <c r="LPL22"/>
      <c r="LPM22"/>
      <c r="LPN22"/>
      <c r="LPO22"/>
      <c r="LPP22"/>
      <c r="LPQ22"/>
      <c r="LPR22"/>
      <c r="LPS22"/>
      <c r="LPT22"/>
      <c r="LPU22"/>
      <c r="LPV22"/>
      <c r="LPW22"/>
      <c r="LPX22"/>
      <c r="LPY22"/>
      <c r="LPZ22"/>
      <c r="LQA22"/>
      <c r="LQB22"/>
      <c r="LQC22"/>
      <c r="LQD22"/>
      <c r="LQE22"/>
      <c r="LQF22"/>
      <c r="LQG22"/>
      <c r="LQH22"/>
      <c r="LQI22"/>
      <c r="LQJ22"/>
      <c r="LQK22"/>
      <c r="LQL22"/>
      <c r="LQM22"/>
      <c r="LQN22"/>
      <c r="LQO22"/>
      <c r="LQP22"/>
      <c r="LQQ22"/>
      <c r="LQR22"/>
      <c r="LQS22"/>
      <c r="LQT22"/>
      <c r="LQU22"/>
      <c r="LQV22"/>
      <c r="LQW22"/>
      <c r="LQX22"/>
      <c r="LQY22"/>
      <c r="LQZ22"/>
      <c r="LRA22"/>
      <c r="LRB22"/>
      <c r="LRC22"/>
      <c r="LRD22"/>
      <c r="LRE22"/>
      <c r="LRF22"/>
      <c r="LRG22"/>
      <c r="LRH22"/>
      <c r="LRI22"/>
      <c r="LRJ22"/>
      <c r="LRK22"/>
      <c r="LRL22"/>
      <c r="LRM22"/>
      <c r="LRN22"/>
      <c r="LRO22"/>
      <c r="LRP22"/>
      <c r="LRQ22"/>
      <c r="LRR22"/>
      <c r="LRS22"/>
      <c r="LRT22"/>
      <c r="LRU22"/>
      <c r="LRV22"/>
      <c r="LRW22"/>
      <c r="LRX22"/>
      <c r="LRY22"/>
      <c r="LRZ22"/>
      <c r="LSA22"/>
      <c r="LSB22"/>
      <c r="LSC22"/>
      <c r="LSD22"/>
      <c r="LSE22"/>
      <c r="LSF22"/>
      <c r="LSG22"/>
      <c r="LSH22"/>
      <c r="LSI22"/>
      <c r="LSJ22"/>
      <c r="LSK22"/>
      <c r="LSL22"/>
      <c r="LSM22"/>
      <c r="LSN22"/>
      <c r="LSO22"/>
      <c r="LSP22"/>
      <c r="LSQ22"/>
      <c r="LSR22"/>
      <c r="LSS22"/>
      <c r="LST22"/>
      <c r="LSU22"/>
      <c r="LSV22"/>
      <c r="LSW22"/>
      <c r="LSX22"/>
      <c r="LSY22"/>
      <c r="LSZ22"/>
      <c r="LTA22"/>
      <c r="LTB22"/>
      <c r="LTC22"/>
      <c r="LTD22"/>
      <c r="LTE22"/>
      <c r="LTF22"/>
      <c r="LTG22"/>
      <c r="LTH22"/>
      <c r="LTI22"/>
      <c r="LTJ22"/>
      <c r="LTK22"/>
      <c r="LTL22"/>
      <c r="LTM22"/>
      <c r="LTN22"/>
      <c r="LTO22"/>
      <c r="LTP22"/>
      <c r="LTQ22"/>
      <c r="LTR22"/>
      <c r="LTS22"/>
      <c r="LTT22"/>
      <c r="LTU22"/>
      <c r="LTV22"/>
      <c r="LTW22"/>
      <c r="LTX22"/>
      <c r="LTY22"/>
      <c r="LTZ22"/>
      <c r="LUA22"/>
      <c r="LUB22"/>
      <c r="LUC22"/>
      <c r="LUD22"/>
      <c r="LUE22"/>
      <c r="LUF22"/>
      <c r="LUG22"/>
      <c r="LUH22"/>
      <c r="LUI22"/>
      <c r="LUJ22"/>
      <c r="LUK22"/>
      <c r="LUL22"/>
      <c r="LUM22"/>
      <c r="LUN22"/>
      <c r="LUO22"/>
      <c r="LUP22"/>
      <c r="LUQ22"/>
      <c r="LUR22"/>
      <c r="LUS22"/>
      <c r="LUT22"/>
      <c r="LUU22"/>
      <c r="LUV22"/>
      <c r="LUW22"/>
      <c r="LUX22"/>
      <c r="LUY22"/>
      <c r="LUZ22"/>
      <c r="LVA22"/>
      <c r="LVB22"/>
      <c r="LVC22"/>
      <c r="LVD22"/>
      <c r="LVE22"/>
      <c r="LVF22"/>
      <c r="LVG22"/>
      <c r="LVH22"/>
      <c r="LVI22"/>
      <c r="LVJ22"/>
      <c r="LVK22"/>
      <c r="LVL22"/>
      <c r="LVM22"/>
      <c r="LVN22"/>
      <c r="LVO22"/>
      <c r="LVP22"/>
      <c r="LVQ22"/>
      <c r="LVR22"/>
      <c r="LVS22"/>
      <c r="LVT22"/>
      <c r="LVU22"/>
      <c r="LVV22"/>
      <c r="LVW22"/>
      <c r="LVX22"/>
      <c r="LVY22"/>
      <c r="LVZ22"/>
      <c r="LWA22"/>
      <c r="LWB22"/>
      <c r="LWC22"/>
      <c r="LWD22"/>
      <c r="LWE22"/>
      <c r="LWF22"/>
      <c r="LWG22"/>
      <c r="LWH22"/>
      <c r="LWI22"/>
      <c r="LWJ22"/>
      <c r="LWK22"/>
      <c r="LWL22"/>
      <c r="LWM22"/>
      <c r="LWN22"/>
      <c r="LWO22"/>
      <c r="LWP22"/>
      <c r="LWQ22"/>
      <c r="LWR22"/>
      <c r="LWS22"/>
      <c r="LWT22"/>
      <c r="LWU22"/>
      <c r="LWV22"/>
      <c r="LWW22"/>
      <c r="LWX22"/>
      <c r="LWY22"/>
      <c r="LWZ22"/>
      <c r="LXA22"/>
      <c r="LXB22"/>
      <c r="LXC22"/>
      <c r="LXD22"/>
      <c r="LXE22"/>
      <c r="LXF22"/>
      <c r="LXG22"/>
      <c r="LXH22"/>
      <c r="LXI22"/>
      <c r="LXJ22"/>
      <c r="LXK22"/>
      <c r="LXL22"/>
      <c r="LXM22"/>
      <c r="LXN22"/>
      <c r="LXO22"/>
      <c r="LXP22"/>
      <c r="LXQ22"/>
      <c r="LXR22"/>
      <c r="LXS22"/>
      <c r="LXT22"/>
      <c r="LXU22"/>
      <c r="LXV22"/>
      <c r="LXW22"/>
      <c r="LXX22"/>
      <c r="LXY22"/>
      <c r="LXZ22"/>
      <c r="LYA22"/>
      <c r="LYB22"/>
      <c r="LYC22"/>
      <c r="LYD22"/>
      <c r="LYE22"/>
      <c r="LYF22"/>
      <c r="LYG22"/>
      <c r="LYH22"/>
      <c r="LYI22"/>
      <c r="LYJ22"/>
      <c r="LYK22"/>
      <c r="LYL22"/>
      <c r="LYM22"/>
      <c r="LYN22"/>
      <c r="LYO22"/>
      <c r="LYP22"/>
      <c r="LYQ22"/>
      <c r="LYR22"/>
      <c r="LYS22"/>
      <c r="LYT22"/>
      <c r="LYU22"/>
      <c r="LYV22"/>
      <c r="LYW22"/>
      <c r="LYX22"/>
      <c r="LYY22"/>
      <c r="LYZ22"/>
      <c r="LZA22"/>
      <c r="LZB22"/>
      <c r="LZC22"/>
      <c r="LZD22"/>
      <c r="LZE22"/>
      <c r="LZF22"/>
      <c r="LZG22"/>
      <c r="LZH22"/>
      <c r="LZI22"/>
      <c r="LZJ22"/>
      <c r="LZK22"/>
      <c r="LZL22"/>
      <c r="LZM22"/>
      <c r="LZN22"/>
      <c r="LZO22"/>
      <c r="LZP22"/>
      <c r="LZQ22"/>
      <c r="LZR22"/>
      <c r="LZS22"/>
      <c r="LZT22"/>
      <c r="LZU22"/>
      <c r="LZV22"/>
      <c r="LZW22"/>
      <c r="LZX22"/>
      <c r="LZY22"/>
      <c r="LZZ22"/>
      <c r="MAA22"/>
      <c r="MAB22"/>
      <c r="MAC22"/>
      <c r="MAD22"/>
      <c r="MAE22"/>
      <c r="MAF22"/>
      <c r="MAG22"/>
      <c r="MAH22"/>
      <c r="MAI22"/>
      <c r="MAJ22"/>
      <c r="MAK22"/>
      <c r="MAL22"/>
      <c r="MAM22"/>
      <c r="MAN22"/>
      <c r="MAO22"/>
      <c r="MAP22"/>
      <c r="MAQ22"/>
      <c r="MAR22"/>
      <c r="MAS22"/>
      <c r="MAT22"/>
      <c r="MAU22"/>
      <c r="MAV22"/>
      <c r="MAW22"/>
      <c r="MAX22"/>
      <c r="MAY22"/>
      <c r="MAZ22"/>
      <c r="MBA22"/>
      <c r="MBB22"/>
      <c r="MBC22"/>
      <c r="MBD22"/>
      <c r="MBE22"/>
      <c r="MBF22"/>
      <c r="MBG22"/>
      <c r="MBH22"/>
      <c r="MBI22"/>
      <c r="MBJ22"/>
      <c r="MBK22"/>
      <c r="MBL22"/>
      <c r="MBM22"/>
      <c r="MBN22"/>
      <c r="MBO22"/>
      <c r="MBP22"/>
      <c r="MBQ22"/>
      <c r="MBR22"/>
      <c r="MBS22"/>
      <c r="MBT22"/>
      <c r="MBU22"/>
      <c r="MBV22"/>
      <c r="MBW22"/>
      <c r="MBX22"/>
      <c r="MBY22"/>
      <c r="MBZ22"/>
      <c r="MCA22"/>
      <c r="MCB22"/>
      <c r="MCC22"/>
      <c r="MCD22"/>
      <c r="MCE22"/>
      <c r="MCF22"/>
      <c r="MCG22"/>
      <c r="MCH22"/>
      <c r="MCI22"/>
      <c r="MCJ22"/>
      <c r="MCK22"/>
      <c r="MCL22"/>
      <c r="MCM22"/>
      <c r="MCN22"/>
      <c r="MCO22"/>
      <c r="MCP22"/>
      <c r="MCQ22"/>
      <c r="MCR22"/>
      <c r="MCS22"/>
      <c r="MCT22"/>
      <c r="MCU22"/>
      <c r="MCV22"/>
      <c r="MCW22"/>
      <c r="MCX22"/>
      <c r="MCY22"/>
      <c r="MCZ22"/>
      <c r="MDA22"/>
      <c r="MDB22"/>
      <c r="MDC22"/>
      <c r="MDD22"/>
      <c r="MDE22"/>
      <c r="MDF22"/>
      <c r="MDG22"/>
      <c r="MDH22"/>
      <c r="MDI22"/>
      <c r="MDJ22"/>
      <c r="MDK22"/>
      <c r="MDL22"/>
      <c r="MDM22"/>
      <c r="MDN22"/>
      <c r="MDO22"/>
      <c r="MDP22"/>
      <c r="MDQ22"/>
      <c r="MDR22"/>
      <c r="MDS22"/>
      <c r="MDT22"/>
      <c r="MDU22"/>
      <c r="MDV22"/>
      <c r="MDW22"/>
      <c r="MDX22"/>
      <c r="MDY22"/>
      <c r="MDZ22"/>
      <c r="MEA22"/>
      <c r="MEB22"/>
      <c r="MEC22"/>
      <c r="MED22"/>
      <c r="MEE22"/>
      <c r="MEF22"/>
      <c r="MEG22"/>
      <c r="MEH22"/>
      <c r="MEI22"/>
      <c r="MEJ22"/>
      <c r="MEK22"/>
      <c r="MEL22"/>
      <c r="MEM22"/>
      <c r="MEN22"/>
      <c r="MEO22"/>
      <c r="MEP22"/>
      <c r="MEQ22"/>
      <c r="MER22"/>
      <c r="MES22"/>
      <c r="MET22"/>
      <c r="MEU22"/>
      <c r="MEV22"/>
      <c r="MEW22"/>
      <c r="MEX22"/>
      <c r="MEY22"/>
      <c r="MEZ22"/>
      <c r="MFA22"/>
      <c r="MFB22"/>
      <c r="MFC22"/>
      <c r="MFD22"/>
      <c r="MFE22"/>
      <c r="MFF22"/>
      <c r="MFG22"/>
      <c r="MFH22"/>
      <c r="MFI22"/>
      <c r="MFJ22"/>
      <c r="MFK22"/>
      <c r="MFL22"/>
      <c r="MFM22"/>
      <c r="MFN22"/>
      <c r="MFO22"/>
      <c r="MFP22"/>
      <c r="MFQ22"/>
      <c r="MFR22"/>
      <c r="MFS22"/>
      <c r="MFT22"/>
      <c r="MFU22"/>
      <c r="MFV22"/>
      <c r="MFW22"/>
      <c r="MFX22"/>
      <c r="MFY22"/>
      <c r="MFZ22"/>
      <c r="MGA22"/>
      <c r="MGB22"/>
      <c r="MGC22"/>
      <c r="MGD22"/>
      <c r="MGE22"/>
      <c r="MGF22"/>
      <c r="MGG22"/>
      <c r="MGH22"/>
      <c r="MGI22"/>
      <c r="MGJ22"/>
      <c r="MGK22"/>
      <c r="MGL22"/>
      <c r="MGM22"/>
      <c r="MGN22"/>
      <c r="MGO22"/>
      <c r="MGP22"/>
      <c r="MGQ22"/>
      <c r="MGR22"/>
      <c r="MGS22"/>
      <c r="MGT22"/>
      <c r="MGU22"/>
      <c r="MGV22"/>
      <c r="MGW22"/>
      <c r="MGX22"/>
      <c r="MGY22"/>
      <c r="MGZ22"/>
      <c r="MHA22"/>
      <c r="MHB22"/>
      <c r="MHC22"/>
      <c r="MHD22"/>
      <c r="MHE22"/>
      <c r="MHF22"/>
      <c r="MHG22"/>
      <c r="MHH22"/>
      <c r="MHI22"/>
      <c r="MHJ22"/>
      <c r="MHK22"/>
      <c r="MHL22"/>
      <c r="MHM22"/>
      <c r="MHN22"/>
      <c r="MHO22"/>
      <c r="MHP22"/>
      <c r="MHQ22"/>
      <c r="MHR22"/>
      <c r="MHS22"/>
      <c r="MHT22"/>
      <c r="MHU22"/>
      <c r="MHV22"/>
      <c r="MHW22"/>
      <c r="MHX22"/>
      <c r="MHY22"/>
      <c r="MHZ22"/>
      <c r="MIA22"/>
      <c r="MIB22"/>
      <c r="MIC22"/>
      <c r="MID22"/>
      <c r="MIE22"/>
      <c r="MIF22"/>
      <c r="MIG22"/>
      <c r="MIH22"/>
      <c r="MII22"/>
      <c r="MIJ22"/>
      <c r="MIK22"/>
      <c r="MIL22"/>
      <c r="MIM22"/>
      <c r="MIN22"/>
      <c r="MIO22"/>
      <c r="MIP22"/>
      <c r="MIQ22"/>
      <c r="MIR22"/>
      <c r="MIS22"/>
      <c r="MIT22"/>
      <c r="MIU22"/>
      <c r="MIV22"/>
      <c r="MIW22"/>
      <c r="MIX22"/>
      <c r="MIY22"/>
      <c r="MIZ22"/>
      <c r="MJA22"/>
      <c r="MJB22"/>
      <c r="MJC22"/>
      <c r="MJD22"/>
      <c r="MJE22"/>
      <c r="MJF22"/>
      <c r="MJG22"/>
      <c r="MJH22"/>
      <c r="MJI22"/>
      <c r="MJJ22"/>
      <c r="MJK22"/>
      <c r="MJL22"/>
      <c r="MJM22"/>
      <c r="MJN22"/>
      <c r="MJO22"/>
      <c r="MJP22"/>
      <c r="MJQ22"/>
      <c r="MJR22"/>
      <c r="MJS22"/>
      <c r="MJT22"/>
      <c r="MJU22"/>
      <c r="MJV22"/>
      <c r="MJW22"/>
      <c r="MJX22"/>
      <c r="MJY22"/>
      <c r="MJZ22"/>
      <c r="MKA22"/>
      <c r="MKB22"/>
      <c r="MKC22"/>
      <c r="MKD22"/>
      <c r="MKE22"/>
      <c r="MKF22"/>
      <c r="MKG22"/>
      <c r="MKH22"/>
      <c r="MKI22"/>
      <c r="MKJ22"/>
      <c r="MKK22"/>
      <c r="MKL22"/>
      <c r="MKM22"/>
      <c r="MKN22"/>
      <c r="MKO22"/>
      <c r="MKP22"/>
      <c r="MKQ22"/>
      <c r="MKR22"/>
      <c r="MKS22"/>
      <c r="MKT22"/>
      <c r="MKU22"/>
      <c r="MKV22"/>
      <c r="MKW22"/>
      <c r="MKX22"/>
      <c r="MKY22"/>
      <c r="MKZ22"/>
      <c r="MLA22"/>
      <c r="MLB22"/>
      <c r="MLC22"/>
      <c r="MLD22"/>
      <c r="MLE22"/>
      <c r="MLF22"/>
      <c r="MLG22"/>
      <c r="MLH22"/>
      <c r="MLI22"/>
      <c r="MLJ22"/>
      <c r="MLK22"/>
      <c r="MLL22"/>
      <c r="MLM22"/>
      <c r="MLN22"/>
      <c r="MLO22"/>
      <c r="MLP22"/>
      <c r="MLQ22"/>
      <c r="MLR22"/>
      <c r="MLS22"/>
      <c r="MLT22"/>
      <c r="MLU22"/>
      <c r="MLV22"/>
      <c r="MLW22"/>
      <c r="MLX22"/>
      <c r="MLY22"/>
      <c r="MLZ22"/>
      <c r="MMA22"/>
      <c r="MMB22"/>
      <c r="MMC22"/>
      <c r="MMD22"/>
      <c r="MME22"/>
      <c r="MMF22"/>
      <c r="MMG22"/>
      <c r="MMH22"/>
      <c r="MMI22"/>
      <c r="MMJ22"/>
      <c r="MMK22"/>
      <c r="MML22"/>
      <c r="MMM22"/>
      <c r="MMN22"/>
      <c r="MMO22"/>
      <c r="MMP22"/>
      <c r="MMQ22"/>
      <c r="MMR22"/>
      <c r="MMS22"/>
      <c r="MMT22"/>
      <c r="MMU22"/>
      <c r="MMV22"/>
      <c r="MMW22"/>
      <c r="MMX22"/>
      <c r="MMY22"/>
      <c r="MMZ22"/>
      <c r="MNA22"/>
      <c r="MNB22"/>
      <c r="MNC22"/>
      <c r="MND22"/>
      <c r="MNE22"/>
      <c r="MNF22"/>
      <c r="MNG22"/>
      <c r="MNH22"/>
      <c r="MNI22"/>
      <c r="MNJ22"/>
      <c r="MNK22"/>
      <c r="MNL22"/>
      <c r="MNM22"/>
      <c r="MNN22"/>
      <c r="MNO22"/>
      <c r="MNP22"/>
      <c r="MNQ22"/>
      <c r="MNR22"/>
      <c r="MNS22"/>
      <c r="MNT22"/>
      <c r="MNU22"/>
      <c r="MNV22"/>
      <c r="MNW22"/>
      <c r="MNX22"/>
      <c r="MNY22"/>
      <c r="MNZ22"/>
      <c r="MOA22"/>
      <c r="MOB22"/>
      <c r="MOC22"/>
      <c r="MOD22"/>
      <c r="MOE22"/>
      <c r="MOF22"/>
      <c r="MOG22"/>
      <c r="MOH22"/>
      <c r="MOI22"/>
      <c r="MOJ22"/>
      <c r="MOK22"/>
      <c r="MOL22"/>
      <c r="MOM22"/>
      <c r="MON22"/>
      <c r="MOO22"/>
      <c r="MOP22"/>
      <c r="MOQ22"/>
      <c r="MOR22"/>
      <c r="MOS22"/>
      <c r="MOT22"/>
      <c r="MOU22"/>
      <c r="MOV22"/>
      <c r="MOW22"/>
      <c r="MOX22"/>
      <c r="MOY22"/>
      <c r="MOZ22"/>
      <c r="MPA22"/>
      <c r="MPB22"/>
      <c r="MPC22"/>
      <c r="MPD22"/>
      <c r="MPE22"/>
      <c r="MPF22"/>
      <c r="MPG22"/>
      <c r="MPH22"/>
      <c r="MPI22"/>
      <c r="MPJ22"/>
      <c r="MPK22"/>
      <c r="MPL22"/>
      <c r="MPM22"/>
      <c r="MPN22"/>
      <c r="MPO22"/>
      <c r="MPP22"/>
      <c r="MPQ22"/>
      <c r="MPR22"/>
      <c r="MPS22"/>
      <c r="MPT22"/>
      <c r="MPU22"/>
      <c r="MPV22"/>
      <c r="MPW22"/>
      <c r="MPX22"/>
      <c r="MPY22"/>
      <c r="MPZ22"/>
      <c r="MQA22"/>
      <c r="MQB22"/>
      <c r="MQC22"/>
      <c r="MQD22"/>
      <c r="MQE22"/>
      <c r="MQF22"/>
      <c r="MQG22"/>
      <c r="MQH22"/>
      <c r="MQI22"/>
      <c r="MQJ22"/>
      <c r="MQK22"/>
      <c r="MQL22"/>
      <c r="MQM22"/>
      <c r="MQN22"/>
      <c r="MQO22"/>
      <c r="MQP22"/>
      <c r="MQQ22"/>
      <c r="MQR22"/>
      <c r="MQS22"/>
      <c r="MQT22"/>
      <c r="MQU22"/>
      <c r="MQV22"/>
      <c r="MQW22"/>
      <c r="MQX22"/>
      <c r="MQY22"/>
      <c r="MQZ22"/>
      <c r="MRA22"/>
      <c r="MRB22"/>
      <c r="MRC22"/>
      <c r="MRD22"/>
      <c r="MRE22"/>
      <c r="MRF22"/>
      <c r="MRG22"/>
      <c r="MRH22"/>
      <c r="MRI22"/>
      <c r="MRJ22"/>
      <c r="MRK22"/>
      <c r="MRL22"/>
      <c r="MRM22"/>
      <c r="MRN22"/>
      <c r="MRO22"/>
      <c r="MRP22"/>
      <c r="MRQ22"/>
      <c r="MRR22"/>
      <c r="MRS22"/>
      <c r="MRT22"/>
      <c r="MRU22"/>
      <c r="MRV22"/>
      <c r="MRW22"/>
      <c r="MRX22"/>
      <c r="MRY22"/>
      <c r="MRZ22"/>
      <c r="MSA22"/>
      <c r="MSB22"/>
      <c r="MSC22"/>
      <c r="MSD22"/>
      <c r="MSE22"/>
      <c r="MSF22"/>
      <c r="MSG22"/>
      <c r="MSH22"/>
      <c r="MSI22"/>
      <c r="MSJ22"/>
      <c r="MSK22"/>
      <c r="MSL22"/>
      <c r="MSM22"/>
      <c r="MSN22"/>
      <c r="MSO22"/>
      <c r="MSP22"/>
      <c r="MSQ22"/>
      <c r="MSR22"/>
      <c r="MSS22"/>
      <c r="MST22"/>
      <c r="MSU22"/>
      <c r="MSV22"/>
      <c r="MSW22"/>
      <c r="MSX22"/>
      <c r="MSY22"/>
      <c r="MSZ22"/>
      <c r="MTA22"/>
      <c r="MTB22"/>
      <c r="MTC22"/>
      <c r="MTD22"/>
      <c r="MTE22"/>
      <c r="MTF22"/>
      <c r="MTG22"/>
      <c r="MTH22"/>
      <c r="MTI22"/>
      <c r="MTJ22"/>
      <c r="MTK22"/>
      <c r="MTL22"/>
      <c r="MTM22"/>
      <c r="MTN22"/>
      <c r="MTO22"/>
      <c r="MTP22"/>
      <c r="MTQ22"/>
      <c r="MTR22"/>
      <c r="MTS22"/>
      <c r="MTT22"/>
      <c r="MTU22"/>
      <c r="MTV22"/>
      <c r="MTW22"/>
      <c r="MTX22"/>
      <c r="MTY22"/>
      <c r="MTZ22"/>
      <c r="MUA22"/>
      <c r="MUB22"/>
      <c r="MUC22"/>
      <c r="MUD22"/>
      <c r="MUE22"/>
      <c r="MUF22"/>
      <c r="MUG22"/>
      <c r="MUH22"/>
      <c r="MUI22"/>
      <c r="MUJ22"/>
      <c r="MUK22"/>
      <c r="MUL22"/>
      <c r="MUM22"/>
      <c r="MUN22"/>
      <c r="MUO22"/>
      <c r="MUP22"/>
      <c r="MUQ22"/>
      <c r="MUR22"/>
      <c r="MUS22"/>
      <c r="MUT22"/>
      <c r="MUU22"/>
      <c r="MUV22"/>
      <c r="MUW22"/>
      <c r="MUX22"/>
      <c r="MUY22"/>
      <c r="MUZ22"/>
      <c r="MVA22"/>
      <c r="MVB22"/>
      <c r="MVC22"/>
      <c r="MVD22"/>
      <c r="MVE22"/>
      <c r="MVF22"/>
      <c r="MVG22"/>
      <c r="MVH22"/>
      <c r="MVI22"/>
      <c r="MVJ22"/>
      <c r="MVK22"/>
      <c r="MVL22"/>
      <c r="MVM22"/>
      <c r="MVN22"/>
      <c r="MVO22"/>
      <c r="MVP22"/>
      <c r="MVQ22"/>
      <c r="MVR22"/>
      <c r="MVS22"/>
      <c r="MVT22"/>
      <c r="MVU22"/>
      <c r="MVV22"/>
      <c r="MVW22"/>
      <c r="MVX22"/>
      <c r="MVY22"/>
      <c r="MVZ22"/>
      <c r="MWA22"/>
      <c r="MWB22"/>
      <c r="MWC22"/>
      <c r="MWD22"/>
      <c r="MWE22"/>
      <c r="MWF22"/>
      <c r="MWG22"/>
      <c r="MWH22"/>
      <c r="MWI22"/>
      <c r="MWJ22"/>
      <c r="MWK22"/>
      <c r="MWL22"/>
      <c r="MWM22"/>
      <c r="MWN22"/>
      <c r="MWO22"/>
      <c r="MWP22"/>
      <c r="MWQ22"/>
      <c r="MWR22"/>
      <c r="MWS22"/>
      <c r="MWT22"/>
      <c r="MWU22"/>
      <c r="MWV22"/>
      <c r="MWW22"/>
      <c r="MWX22"/>
      <c r="MWY22"/>
      <c r="MWZ22"/>
      <c r="MXA22"/>
      <c r="MXB22"/>
      <c r="MXC22"/>
      <c r="MXD22"/>
      <c r="MXE22"/>
      <c r="MXF22"/>
      <c r="MXG22"/>
      <c r="MXH22"/>
      <c r="MXI22"/>
      <c r="MXJ22"/>
      <c r="MXK22"/>
      <c r="MXL22"/>
      <c r="MXM22"/>
      <c r="MXN22"/>
      <c r="MXO22"/>
      <c r="MXP22"/>
      <c r="MXQ22"/>
      <c r="MXR22"/>
      <c r="MXS22"/>
      <c r="MXT22"/>
      <c r="MXU22"/>
      <c r="MXV22"/>
      <c r="MXW22"/>
      <c r="MXX22"/>
      <c r="MXY22"/>
      <c r="MXZ22"/>
      <c r="MYA22"/>
      <c r="MYB22"/>
      <c r="MYC22"/>
      <c r="MYD22"/>
      <c r="MYE22"/>
      <c r="MYF22"/>
      <c r="MYG22"/>
      <c r="MYH22"/>
      <c r="MYI22"/>
      <c r="MYJ22"/>
      <c r="MYK22"/>
      <c r="MYL22"/>
      <c r="MYM22"/>
      <c r="MYN22"/>
      <c r="MYO22"/>
      <c r="MYP22"/>
      <c r="MYQ22"/>
      <c r="MYR22"/>
      <c r="MYS22"/>
      <c r="MYT22"/>
      <c r="MYU22"/>
      <c r="MYV22"/>
      <c r="MYW22"/>
      <c r="MYX22"/>
      <c r="MYY22"/>
      <c r="MYZ22"/>
      <c r="MZA22"/>
      <c r="MZB22"/>
      <c r="MZC22"/>
      <c r="MZD22"/>
      <c r="MZE22"/>
      <c r="MZF22"/>
      <c r="MZG22"/>
      <c r="MZH22"/>
      <c r="MZI22"/>
      <c r="MZJ22"/>
      <c r="MZK22"/>
      <c r="MZL22"/>
      <c r="MZM22"/>
      <c r="MZN22"/>
      <c r="MZO22"/>
      <c r="MZP22"/>
      <c r="MZQ22"/>
      <c r="MZR22"/>
      <c r="MZS22"/>
      <c r="MZT22"/>
      <c r="MZU22"/>
      <c r="MZV22"/>
      <c r="MZW22"/>
      <c r="MZX22"/>
      <c r="MZY22"/>
      <c r="MZZ22"/>
      <c r="NAA22"/>
      <c r="NAB22"/>
      <c r="NAC22"/>
      <c r="NAD22"/>
      <c r="NAE22"/>
      <c r="NAF22"/>
      <c r="NAG22"/>
      <c r="NAH22"/>
      <c r="NAI22"/>
      <c r="NAJ22"/>
      <c r="NAK22"/>
      <c r="NAL22"/>
      <c r="NAM22"/>
      <c r="NAN22"/>
      <c r="NAO22"/>
      <c r="NAP22"/>
      <c r="NAQ22"/>
      <c r="NAR22"/>
      <c r="NAS22"/>
      <c r="NAT22"/>
      <c r="NAU22"/>
      <c r="NAV22"/>
      <c r="NAW22"/>
      <c r="NAX22"/>
      <c r="NAY22"/>
      <c r="NAZ22"/>
      <c r="NBA22"/>
      <c r="NBB22"/>
      <c r="NBC22"/>
      <c r="NBD22"/>
      <c r="NBE22"/>
      <c r="NBF22"/>
      <c r="NBG22"/>
      <c r="NBH22"/>
      <c r="NBI22"/>
      <c r="NBJ22"/>
      <c r="NBK22"/>
      <c r="NBL22"/>
      <c r="NBM22"/>
      <c r="NBN22"/>
      <c r="NBO22"/>
      <c r="NBP22"/>
      <c r="NBQ22"/>
      <c r="NBR22"/>
      <c r="NBS22"/>
      <c r="NBT22"/>
      <c r="NBU22"/>
      <c r="NBV22"/>
      <c r="NBW22"/>
      <c r="NBX22"/>
      <c r="NBY22"/>
      <c r="NBZ22"/>
      <c r="NCA22"/>
      <c r="NCB22"/>
      <c r="NCC22"/>
      <c r="NCD22"/>
      <c r="NCE22"/>
      <c r="NCF22"/>
      <c r="NCG22"/>
      <c r="NCH22"/>
      <c r="NCI22"/>
      <c r="NCJ22"/>
      <c r="NCK22"/>
      <c r="NCL22"/>
      <c r="NCM22"/>
      <c r="NCN22"/>
      <c r="NCO22"/>
      <c r="NCP22"/>
      <c r="NCQ22"/>
      <c r="NCR22"/>
      <c r="NCS22"/>
      <c r="NCT22"/>
      <c r="NCU22"/>
      <c r="NCV22"/>
      <c r="NCW22"/>
      <c r="NCX22"/>
      <c r="NCY22"/>
      <c r="NCZ22"/>
      <c r="NDA22"/>
      <c r="NDB22"/>
      <c r="NDC22"/>
      <c r="NDD22"/>
      <c r="NDE22"/>
      <c r="NDF22"/>
      <c r="NDG22"/>
      <c r="NDH22"/>
      <c r="NDI22"/>
      <c r="NDJ22"/>
      <c r="NDK22"/>
      <c r="NDL22"/>
      <c r="NDM22"/>
      <c r="NDN22"/>
      <c r="NDO22"/>
      <c r="NDP22"/>
      <c r="NDQ22"/>
      <c r="NDR22"/>
      <c r="NDS22"/>
      <c r="NDT22"/>
      <c r="NDU22"/>
      <c r="NDV22"/>
      <c r="NDW22"/>
      <c r="NDX22"/>
      <c r="NDY22"/>
      <c r="NDZ22"/>
      <c r="NEA22"/>
      <c r="NEB22"/>
      <c r="NEC22"/>
      <c r="NED22"/>
      <c r="NEE22"/>
      <c r="NEF22"/>
      <c r="NEG22"/>
      <c r="NEH22"/>
      <c r="NEI22"/>
      <c r="NEJ22"/>
      <c r="NEK22"/>
      <c r="NEL22"/>
      <c r="NEM22"/>
      <c r="NEN22"/>
      <c r="NEO22"/>
      <c r="NEP22"/>
      <c r="NEQ22"/>
      <c r="NER22"/>
      <c r="NES22"/>
      <c r="NET22"/>
      <c r="NEU22"/>
      <c r="NEV22"/>
      <c r="NEW22"/>
      <c r="NEX22"/>
      <c r="NEY22"/>
      <c r="NEZ22"/>
      <c r="NFA22"/>
      <c r="NFB22"/>
      <c r="NFC22"/>
      <c r="NFD22"/>
      <c r="NFE22"/>
      <c r="NFF22"/>
      <c r="NFG22"/>
      <c r="NFH22"/>
      <c r="NFI22"/>
      <c r="NFJ22"/>
      <c r="NFK22"/>
      <c r="NFL22"/>
      <c r="NFM22"/>
      <c r="NFN22"/>
      <c r="NFO22"/>
      <c r="NFP22"/>
      <c r="NFQ22"/>
      <c r="NFR22"/>
      <c r="NFS22"/>
      <c r="NFT22"/>
      <c r="NFU22"/>
      <c r="NFV22"/>
      <c r="NFW22"/>
      <c r="NFX22"/>
      <c r="NFY22"/>
      <c r="NFZ22"/>
      <c r="NGA22"/>
      <c r="NGB22"/>
      <c r="NGC22"/>
      <c r="NGD22"/>
      <c r="NGE22"/>
      <c r="NGF22"/>
      <c r="NGG22"/>
      <c r="NGH22"/>
      <c r="NGI22"/>
      <c r="NGJ22"/>
      <c r="NGK22"/>
      <c r="NGL22"/>
      <c r="NGM22"/>
      <c r="NGN22"/>
      <c r="NGO22"/>
      <c r="NGP22"/>
      <c r="NGQ22"/>
      <c r="NGR22"/>
      <c r="NGS22"/>
      <c r="NGT22"/>
      <c r="NGU22"/>
      <c r="NGV22"/>
      <c r="NGW22"/>
      <c r="NGX22"/>
      <c r="NGY22"/>
      <c r="NGZ22"/>
      <c r="NHA22"/>
      <c r="NHB22"/>
      <c r="NHC22"/>
      <c r="NHD22"/>
      <c r="NHE22"/>
      <c r="NHF22"/>
      <c r="NHG22"/>
      <c r="NHH22"/>
      <c r="NHI22"/>
      <c r="NHJ22"/>
      <c r="NHK22"/>
      <c r="NHL22"/>
      <c r="NHM22"/>
      <c r="NHN22"/>
      <c r="NHO22"/>
      <c r="NHP22"/>
      <c r="NHQ22"/>
      <c r="NHR22"/>
      <c r="NHS22"/>
      <c r="NHT22"/>
      <c r="NHU22"/>
      <c r="NHV22"/>
      <c r="NHW22"/>
      <c r="NHX22"/>
      <c r="NHY22"/>
      <c r="NHZ22"/>
      <c r="NIA22"/>
      <c r="NIB22"/>
      <c r="NIC22"/>
      <c r="NID22"/>
      <c r="NIE22"/>
      <c r="NIF22"/>
      <c r="NIG22"/>
      <c r="NIH22"/>
      <c r="NII22"/>
      <c r="NIJ22"/>
      <c r="NIK22"/>
      <c r="NIL22"/>
      <c r="NIM22"/>
      <c r="NIN22"/>
      <c r="NIO22"/>
      <c r="NIP22"/>
      <c r="NIQ22"/>
      <c r="NIR22"/>
      <c r="NIS22"/>
      <c r="NIT22"/>
      <c r="NIU22"/>
      <c r="NIV22"/>
      <c r="NIW22"/>
      <c r="NIX22"/>
      <c r="NIY22"/>
      <c r="NIZ22"/>
      <c r="NJA22"/>
      <c r="NJB22"/>
      <c r="NJC22"/>
      <c r="NJD22"/>
      <c r="NJE22"/>
      <c r="NJF22"/>
      <c r="NJG22"/>
      <c r="NJH22"/>
      <c r="NJI22"/>
      <c r="NJJ22"/>
      <c r="NJK22"/>
      <c r="NJL22"/>
      <c r="NJM22"/>
      <c r="NJN22"/>
      <c r="NJO22"/>
      <c r="NJP22"/>
      <c r="NJQ22"/>
      <c r="NJR22"/>
      <c r="NJS22"/>
      <c r="NJT22"/>
      <c r="NJU22"/>
      <c r="NJV22"/>
      <c r="NJW22"/>
      <c r="NJX22"/>
      <c r="NJY22"/>
      <c r="NJZ22"/>
      <c r="NKA22"/>
      <c r="NKB22"/>
      <c r="NKC22"/>
      <c r="NKD22"/>
      <c r="NKE22"/>
      <c r="NKF22"/>
      <c r="NKG22"/>
      <c r="NKH22"/>
      <c r="NKI22"/>
      <c r="NKJ22"/>
      <c r="NKK22"/>
      <c r="NKL22"/>
      <c r="NKM22"/>
      <c r="NKN22"/>
      <c r="NKO22"/>
      <c r="NKP22"/>
      <c r="NKQ22"/>
      <c r="NKR22"/>
      <c r="NKS22"/>
      <c r="NKT22"/>
      <c r="NKU22"/>
      <c r="NKV22"/>
      <c r="NKW22"/>
      <c r="NKX22"/>
      <c r="NKY22"/>
      <c r="NKZ22"/>
      <c r="NLA22"/>
      <c r="NLB22"/>
      <c r="NLC22"/>
      <c r="NLD22"/>
      <c r="NLE22"/>
      <c r="NLF22"/>
      <c r="NLG22"/>
      <c r="NLH22"/>
      <c r="NLI22"/>
      <c r="NLJ22"/>
      <c r="NLK22"/>
      <c r="NLL22"/>
      <c r="NLM22"/>
      <c r="NLN22"/>
      <c r="NLO22"/>
      <c r="NLP22"/>
      <c r="NLQ22"/>
      <c r="NLR22"/>
      <c r="NLS22"/>
      <c r="NLT22"/>
      <c r="NLU22"/>
      <c r="NLV22"/>
      <c r="NLW22"/>
      <c r="NLX22"/>
      <c r="NLY22"/>
      <c r="NLZ22"/>
      <c r="NMA22"/>
      <c r="NMB22"/>
      <c r="NMC22"/>
      <c r="NMD22"/>
      <c r="NME22"/>
      <c r="NMF22"/>
      <c r="NMG22"/>
      <c r="NMH22"/>
      <c r="NMI22"/>
      <c r="NMJ22"/>
      <c r="NMK22"/>
      <c r="NML22"/>
      <c r="NMM22"/>
      <c r="NMN22"/>
      <c r="NMO22"/>
      <c r="NMP22"/>
      <c r="NMQ22"/>
      <c r="NMR22"/>
      <c r="NMS22"/>
      <c r="NMT22"/>
      <c r="NMU22"/>
      <c r="NMV22"/>
      <c r="NMW22"/>
      <c r="NMX22"/>
      <c r="NMY22"/>
      <c r="NMZ22"/>
      <c r="NNA22"/>
      <c r="NNB22"/>
      <c r="NNC22"/>
      <c r="NND22"/>
      <c r="NNE22"/>
      <c r="NNF22"/>
      <c r="NNG22"/>
      <c r="NNH22"/>
      <c r="NNI22"/>
      <c r="NNJ22"/>
      <c r="NNK22"/>
      <c r="NNL22"/>
      <c r="NNM22"/>
      <c r="NNN22"/>
      <c r="NNO22"/>
      <c r="NNP22"/>
      <c r="NNQ22"/>
      <c r="NNR22"/>
      <c r="NNS22"/>
      <c r="NNT22"/>
      <c r="NNU22"/>
      <c r="NNV22"/>
      <c r="NNW22"/>
      <c r="NNX22"/>
      <c r="NNY22"/>
      <c r="NNZ22"/>
      <c r="NOA22"/>
      <c r="NOB22"/>
      <c r="NOC22"/>
      <c r="NOD22"/>
      <c r="NOE22"/>
      <c r="NOF22"/>
      <c r="NOG22"/>
      <c r="NOH22"/>
      <c r="NOI22"/>
      <c r="NOJ22"/>
      <c r="NOK22"/>
      <c r="NOL22"/>
      <c r="NOM22"/>
      <c r="NON22"/>
      <c r="NOO22"/>
      <c r="NOP22"/>
      <c r="NOQ22"/>
      <c r="NOR22"/>
      <c r="NOS22"/>
      <c r="NOT22"/>
      <c r="NOU22"/>
      <c r="NOV22"/>
      <c r="NOW22"/>
      <c r="NOX22"/>
      <c r="NOY22"/>
      <c r="NOZ22"/>
      <c r="NPA22"/>
      <c r="NPB22"/>
      <c r="NPC22"/>
      <c r="NPD22"/>
      <c r="NPE22"/>
      <c r="NPF22"/>
      <c r="NPG22"/>
      <c r="NPH22"/>
      <c r="NPI22"/>
      <c r="NPJ22"/>
      <c r="NPK22"/>
      <c r="NPL22"/>
      <c r="NPM22"/>
      <c r="NPN22"/>
      <c r="NPO22"/>
      <c r="NPP22"/>
      <c r="NPQ22"/>
      <c r="NPR22"/>
      <c r="NPS22"/>
      <c r="NPT22"/>
      <c r="NPU22"/>
      <c r="NPV22"/>
      <c r="NPW22"/>
      <c r="NPX22"/>
      <c r="NPY22"/>
      <c r="NPZ22"/>
      <c r="NQA22"/>
      <c r="NQB22"/>
      <c r="NQC22"/>
      <c r="NQD22"/>
      <c r="NQE22"/>
      <c r="NQF22"/>
      <c r="NQG22"/>
      <c r="NQH22"/>
      <c r="NQI22"/>
      <c r="NQJ22"/>
      <c r="NQK22"/>
      <c r="NQL22"/>
      <c r="NQM22"/>
      <c r="NQN22"/>
      <c r="NQO22"/>
      <c r="NQP22"/>
      <c r="NQQ22"/>
      <c r="NQR22"/>
      <c r="NQS22"/>
      <c r="NQT22"/>
      <c r="NQU22"/>
      <c r="NQV22"/>
      <c r="NQW22"/>
      <c r="NQX22"/>
      <c r="NQY22"/>
      <c r="NQZ22"/>
      <c r="NRA22"/>
      <c r="NRB22"/>
      <c r="NRC22"/>
      <c r="NRD22"/>
      <c r="NRE22"/>
      <c r="NRF22"/>
      <c r="NRG22"/>
      <c r="NRH22"/>
      <c r="NRI22"/>
      <c r="NRJ22"/>
      <c r="NRK22"/>
      <c r="NRL22"/>
      <c r="NRM22"/>
      <c r="NRN22"/>
      <c r="NRO22"/>
      <c r="NRP22"/>
      <c r="NRQ22"/>
      <c r="NRR22"/>
      <c r="NRS22"/>
      <c r="NRT22"/>
      <c r="NRU22"/>
      <c r="NRV22"/>
      <c r="NRW22"/>
      <c r="NRX22"/>
      <c r="NRY22"/>
      <c r="NRZ22"/>
      <c r="NSA22"/>
      <c r="NSB22"/>
      <c r="NSC22"/>
      <c r="NSD22"/>
      <c r="NSE22"/>
      <c r="NSF22"/>
      <c r="NSG22"/>
      <c r="NSH22"/>
      <c r="NSI22"/>
      <c r="NSJ22"/>
      <c r="NSK22"/>
      <c r="NSL22"/>
      <c r="NSM22"/>
      <c r="NSN22"/>
      <c r="NSO22"/>
      <c r="NSP22"/>
      <c r="NSQ22"/>
      <c r="NSR22"/>
      <c r="NSS22"/>
      <c r="NST22"/>
      <c r="NSU22"/>
      <c r="NSV22"/>
      <c r="NSW22"/>
      <c r="NSX22"/>
      <c r="NSY22"/>
      <c r="NSZ22"/>
      <c r="NTA22"/>
      <c r="NTB22"/>
      <c r="NTC22"/>
      <c r="NTD22"/>
      <c r="NTE22"/>
      <c r="NTF22"/>
      <c r="NTG22"/>
      <c r="NTH22"/>
      <c r="NTI22"/>
      <c r="NTJ22"/>
      <c r="NTK22"/>
      <c r="NTL22"/>
      <c r="NTM22"/>
      <c r="NTN22"/>
      <c r="NTO22"/>
      <c r="NTP22"/>
      <c r="NTQ22"/>
      <c r="NTR22"/>
      <c r="NTS22"/>
      <c r="NTT22"/>
      <c r="NTU22"/>
      <c r="NTV22"/>
      <c r="NTW22"/>
      <c r="NTX22"/>
      <c r="NTY22"/>
      <c r="NTZ22"/>
      <c r="NUA22"/>
      <c r="NUB22"/>
      <c r="NUC22"/>
      <c r="NUD22"/>
      <c r="NUE22"/>
      <c r="NUF22"/>
      <c r="NUG22"/>
      <c r="NUH22"/>
      <c r="NUI22"/>
      <c r="NUJ22"/>
      <c r="NUK22"/>
      <c r="NUL22"/>
      <c r="NUM22"/>
      <c r="NUN22"/>
      <c r="NUO22"/>
      <c r="NUP22"/>
      <c r="NUQ22"/>
      <c r="NUR22"/>
      <c r="NUS22"/>
      <c r="NUT22"/>
      <c r="NUU22"/>
      <c r="NUV22"/>
      <c r="NUW22"/>
      <c r="NUX22"/>
      <c r="NUY22"/>
      <c r="NUZ22"/>
      <c r="NVA22"/>
      <c r="NVB22"/>
      <c r="NVC22"/>
      <c r="NVD22"/>
      <c r="NVE22"/>
      <c r="NVF22"/>
      <c r="NVG22"/>
      <c r="NVH22"/>
      <c r="NVI22"/>
      <c r="NVJ22"/>
      <c r="NVK22"/>
      <c r="NVL22"/>
      <c r="NVM22"/>
      <c r="NVN22"/>
      <c r="NVO22"/>
      <c r="NVP22"/>
      <c r="NVQ22"/>
      <c r="NVR22"/>
      <c r="NVS22"/>
      <c r="NVT22"/>
      <c r="NVU22"/>
      <c r="NVV22"/>
      <c r="NVW22"/>
      <c r="NVX22"/>
      <c r="NVY22"/>
      <c r="NVZ22"/>
      <c r="NWA22"/>
      <c r="NWB22"/>
      <c r="NWC22"/>
      <c r="NWD22"/>
      <c r="NWE22"/>
      <c r="NWF22"/>
      <c r="NWG22"/>
      <c r="NWH22"/>
      <c r="NWI22"/>
      <c r="NWJ22"/>
      <c r="NWK22"/>
      <c r="NWL22"/>
      <c r="NWM22"/>
      <c r="NWN22"/>
      <c r="NWO22"/>
      <c r="NWP22"/>
      <c r="NWQ22"/>
      <c r="NWR22"/>
      <c r="NWS22"/>
      <c r="NWT22"/>
      <c r="NWU22"/>
      <c r="NWV22"/>
      <c r="NWW22"/>
      <c r="NWX22"/>
      <c r="NWY22"/>
      <c r="NWZ22"/>
      <c r="NXA22"/>
      <c r="NXB22"/>
      <c r="NXC22"/>
      <c r="NXD22"/>
      <c r="NXE22"/>
      <c r="NXF22"/>
      <c r="NXG22"/>
      <c r="NXH22"/>
      <c r="NXI22"/>
      <c r="NXJ22"/>
      <c r="NXK22"/>
      <c r="NXL22"/>
      <c r="NXM22"/>
      <c r="NXN22"/>
      <c r="NXO22"/>
      <c r="NXP22"/>
      <c r="NXQ22"/>
      <c r="NXR22"/>
      <c r="NXS22"/>
      <c r="NXT22"/>
      <c r="NXU22"/>
      <c r="NXV22"/>
      <c r="NXW22"/>
      <c r="NXX22"/>
      <c r="NXY22"/>
      <c r="NXZ22"/>
      <c r="NYA22"/>
      <c r="NYB22"/>
      <c r="NYC22"/>
      <c r="NYD22"/>
      <c r="NYE22"/>
      <c r="NYF22"/>
      <c r="NYG22"/>
      <c r="NYH22"/>
      <c r="NYI22"/>
      <c r="NYJ22"/>
      <c r="NYK22"/>
      <c r="NYL22"/>
      <c r="NYM22"/>
      <c r="NYN22"/>
      <c r="NYO22"/>
      <c r="NYP22"/>
      <c r="NYQ22"/>
      <c r="NYR22"/>
      <c r="NYS22"/>
      <c r="NYT22"/>
      <c r="NYU22"/>
      <c r="NYV22"/>
      <c r="NYW22"/>
      <c r="NYX22"/>
      <c r="NYY22"/>
      <c r="NYZ22"/>
      <c r="NZA22"/>
      <c r="NZB22"/>
      <c r="NZC22"/>
      <c r="NZD22"/>
      <c r="NZE22"/>
      <c r="NZF22"/>
      <c r="NZG22"/>
      <c r="NZH22"/>
      <c r="NZI22"/>
      <c r="NZJ22"/>
      <c r="NZK22"/>
      <c r="NZL22"/>
      <c r="NZM22"/>
      <c r="NZN22"/>
      <c r="NZO22"/>
      <c r="NZP22"/>
      <c r="NZQ22"/>
      <c r="NZR22"/>
      <c r="NZS22"/>
      <c r="NZT22"/>
      <c r="NZU22"/>
      <c r="NZV22"/>
      <c r="NZW22"/>
      <c r="NZX22"/>
      <c r="NZY22"/>
      <c r="NZZ22"/>
      <c r="OAA22"/>
      <c r="OAB22"/>
      <c r="OAC22"/>
      <c r="OAD22"/>
      <c r="OAE22"/>
      <c r="OAF22"/>
      <c r="OAG22"/>
      <c r="OAH22"/>
      <c r="OAI22"/>
      <c r="OAJ22"/>
      <c r="OAK22"/>
      <c r="OAL22"/>
      <c r="OAM22"/>
      <c r="OAN22"/>
      <c r="OAO22"/>
      <c r="OAP22"/>
      <c r="OAQ22"/>
      <c r="OAR22"/>
      <c r="OAS22"/>
      <c r="OAT22"/>
      <c r="OAU22"/>
      <c r="OAV22"/>
      <c r="OAW22"/>
      <c r="OAX22"/>
      <c r="OAY22"/>
      <c r="OAZ22"/>
      <c r="OBA22"/>
      <c r="OBB22"/>
      <c r="OBC22"/>
      <c r="OBD22"/>
      <c r="OBE22"/>
      <c r="OBF22"/>
      <c r="OBG22"/>
      <c r="OBH22"/>
      <c r="OBI22"/>
      <c r="OBJ22"/>
      <c r="OBK22"/>
      <c r="OBL22"/>
      <c r="OBM22"/>
      <c r="OBN22"/>
      <c r="OBO22"/>
      <c r="OBP22"/>
      <c r="OBQ22"/>
      <c r="OBR22"/>
      <c r="OBS22"/>
      <c r="OBT22"/>
      <c r="OBU22"/>
      <c r="OBV22"/>
      <c r="OBW22"/>
      <c r="OBX22"/>
      <c r="OBY22"/>
      <c r="OBZ22"/>
      <c r="OCA22"/>
      <c r="OCB22"/>
      <c r="OCC22"/>
      <c r="OCD22"/>
      <c r="OCE22"/>
      <c r="OCF22"/>
      <c r="OCG22"/>
      <c r="OCH22"/>
      <c r="OCI22"/>
      <c r="OCJ22"/>
      <c r="OCK22"/>
      <c r="OCL22"/>
      <c r="OCM22"/>
      <c r="OCN22"/>
      <c r="OCO22"/>
      <c r="OCP22"/>
      <c r="OCQ22"/>
      <c r="OCR22"/>
      <c r="OCS22"/>
      <c r="OCT22"/>
      <c r="OCU22"/>
      <c r="OCV22"/>
      <c r="OCW22"/>
      <c r="OCX22"/>
      <c r="OCY22"/>
      <c r="OCZ22"/>
      <c r="ODA22"/>
      <c r="ODB22"/>
      <c r="ODC22"/>
      <c r="ODD22"/>
      <c r="ODE22"/>
      <c r="ODF22"/>
      <c r="ODG22"/>
      <c r="ODH22"/>
      <c r="ODI22"/>
      <c r="ODJ22"/>
      <c r="ODK22"/>
      <c r="ODL22"/>
      <c r="ODM22"/>
      <c r="ODN22"/>
      <c r="ODO22"/>
      <c r="ODP22"/>
      <c r="ODQ22"/>
      <c r="ODR22"/>
      <c r="ODS22"/>
      <c r="ODT22"/>
      <c r="ODU22"/>
      <c r="ODV22"/>
      <c r="ODW22"/>
      <c r="ODX22"/>
      <c r="ODY22"/>
      <c r="ODZ22"/>
      <c r="OEA22"/>
      <c r="OEB22"/>
      <c r="OEC22"/>
      <c r="OED22"/>
      <c r="OEE22"/>
      <c r="OEF22"/>
      <c r="OEG22"/>
      <c r="OEH22"/>
      <c r="OEI22"/>
      <c r="OEJ22"/>
      <c r="OEK22"/>
      <c r="OEL22"/>
      <c r="OEM22"/>
      <c r="OEN22"/>
      <c r="OEO22"/>
      <c r="OEP22"/>
      <c r="OEQ22"/>
      <c r="OER22"/>
      <c r="OES22"/>
      <c r="OET22"/>
      <c r="OEU22"/>
      <c r="OEV22"/>
      <c r="OEW22"/>
      <c r="OEX22"/>
      <c r="OEY22"/>
      <c r="OEZ22"/>
      <c r="OFA22"/>
      <c r="OFB22"/>
      <c r="OFC22"/>
      <c r="OFD22"/>
      <c r="OFE22"/>
      <c r="OFF22"/>
      <c r="OFG22"/>
      <c r="OFH22"/>
      <c r="OFI22"/>
      <c r="OFJ22"/>
      <c r="OFK22"/>
      <c r="OFL22"/>
      <c r="OFM22"/>
      <c r="OFN22"/>
      <c r="OFO22"/>
      <c r="OFP22"/>
      <c r="OFQ22"/>
      <c r="OFR22"/>
      <c r="OFS22"/>
      <c r="OFT22"/>
      <c r="OFU22"/>
      <c r="OFV22"/>
      <c r="OFW22"/>
      <c r="OFX22"/>
      <c r="OFY22"/>
      <c r="OFZ22"/>
      <c r="OGA22"/>
      <c r="OGB22"/>
      <c r="OGC22"/>
      <c r="OGD22"/>
      <c r="OGE22"/>
      <c r="OGF22"/>
      <c r="OGG22"/>
      <c r="OGH22"/>
      <c r="OGI22"/>
      <c r="OGJ22"/>
      <c r="OGK22"/>
      <c r="OGL22"/>
      <c r="OGM22"/>
      <c r="OGN22"/>
      <c r="OGO22"/>
      <c r="OGP22"/>
      <c r="OGQ22"/>
      <c r="OGR22"/>
      <c r="OGS22"/>
      <c r="OGT22"/>
      <c r="OGU22"/>
      <c r="OGV22"/>
      <c r="OGW22"/>
      <c r="OGX22"/>
      <c r="OGY22"/>
      <c r="OGZ22"/>
      <c r="OHA22"/>
      <c r="OHB22"/>
      <c r="OHC22"/>
      <c r="OHD22"/>
      <c r="OHE22"/>
      <c r="OHF22"/>
      <c r="OHG22"/>
      <c r="OHH22"/>
      <c r="OHI22"/>
      <c r="OHJ22"/>
      <c r="OHK22"/>
      <c r="OHL22"/>
      <c r="OHM22"/>
      <c r="OHN22"/>
      <c r="OHO22"/>
      <c r="OHP22"/>
      <c r="OHQ22"/>
      <c r="OHR22"/>
      <c r="OHS22"/>
      <c r="OHT22"/>
      <c r="OHU22"/>
      <c r="OHV22"/>
      <c r="OHW22"/>
      <c r="OHX22"/>
      <c r="OHY22"/>
      <c r="OHZ22"/>
      <c r="OIA22"/>
      <c r="OIB22"/>
      <c r="OIC22"/>
      <c r="OID22"/>
      <c r="OIE22"/>
      <c r="OIF22"/>
      <c r="OIG22"/>
      <c r="OIH22"/>
      <c r="OII22"/>
      <c r="OIJ22"/>
      <c r="OIK22"/>
      <c r="OIL22"/>
      <c r="OIM22"/>
      <c r="OIN22"/>
      <c r="OIO22"/>
      <c r="OIP22"/>
      <c r="OIQ22"/>
      <c r="OIR22"/>
      <c r="OIS22"/>
      <c r="OIT22"/>
      <c r="OIU22"/>
      <c r="OIV22"/>
      <c r="OIW22"/>
      <c r="OIX22"/>
      <c r="OIY22"/>
      <c r="OIZ22"/>
      <c r="OJA22"/>
      <c r="OJB22"/>
      <c r="OJC22"/>
      <c r="OJD22"/>
      <c r="OJE22"/>
      <c r="OJF22"/>
      <c r="OJG22"/>
      <c r="OJH22"/>
      <c r="OJI22"/>
      <c r="OJJ22"/>
      <c r="OJK22"/>
      <c r="OJL22"/>
      <c r="OJM22"/>
      <c r="OJN22"/>
      <c r="OJO22"/>
      <c r="OJP22"/>
      <c r="OJQ22"/>
      <c r="OJR22"/>
      <c r="OJS22"/>
      <c r="OJT22"/>
      <c r="OJU22"/>
      <c r="OJV22"/>
      <c r="OJW22"/>
      <c r="OJX22"/>
      <c r="OJY22"/>
      <c r="OJZ22"/>
      <c r="OKA22"/>
      <c r="OKB22"/>
      <c r="OKC22"/>
      <c r="OKD22"/>
      <c r="OKE22"/>
      <c r="OKF22"/>
      <c r="OKG22"/>
      <c r="OKH22"/>
      <c r="OKI22"/>
      <c r="OKJ22"/>
      <c r="OKK22"/>
      <c r="OKL22"/>
      <c r="OKM22"/>
      <c r="OKN22"/>
      <c r="OKO22"/>
      <c r="OKP22"/>
      <c r="OKQ22"/>
      <c r="OKR22"/>
      <c r="OKS22"/>
      <c r="OKT22"/>
      <c r="OKU22"/>
      <c r="OKV22"/>
      <c r="OKW22"/>
      <c r="OKX22"/>
      <c r="OKY22"/>
      <c r="OKZ22"/>
      <c r="OLA22"/>
      <c r="OLB22"/>
      <c r="OLC22"/>
      <c r="OLD22"/>
      <c r="OLE22"/>
      <c r="OLF22"/>
      <c r="OLG22"/>
      <c r="OLH22"/>
      <c r="OLI22"/>
      <c r="OLJ22"/>
      <c r="OLK22"/>
      <c r="OLL22"/>
      <c r="OLM22"/>
      <c r="OLN22"/>
      <c r="OLO22"/>
      <c r="OLP22"/>
      <c r="OLQ22"/>
      <c r="OLR22"/>
      <c r="OLS22"/>
      <c r="OLT22"/>
      <c r="OLU22"/>
      <c r="OLV22"/>
      <c r="OLW22"/>
      <c r="OLX22"/>
      <c r="OLY22"/>
      <c r="OLZ22"/>
      <c r="OMA22"/>
      <c r="OMB22"/>
      <c r="OMC22"/>
      <c r="OMD22"/>
      <c r="OME22"/>
      <c r="OMF22"/>
      <c r="OMG22"/>
      <c r="OMH22"/>
      <c r="OMI22"/>
      <c r="OMJ22"/>
      <c r="OMK22"/>
      <c r="OML22"/>
      <c r="OMM22"/>
      <c r="OMN22"/>
      <c r="OMO22"/>
      <c r="OMP22"/>
      <c r="OMQ22"/>
      <c r="OMR22"/>
      <c r="OMS22"/>
      <c r="OMT22"/>
      <c r="OMU22"/>
      <c r="OMV22"/>
      <c r="OMW22"/>
      <c r="OMX22"/>
      <c r="OMY22"/>
      <c r="OMZ22"/>
      <c r="ONA22"/>
      <c r="ONB22"/>
      <c r="ONC22"/>
      <c r="OND22"/>
      <c r="ONE22"/>
      <c r="ONF22"/>
      <c r="ONG22"/>
      <c r="ONH22"/>
      <c r="ONI22"/>
      <c r="ONJ22"/>
      <c r="ONK22"/>
      <c r="ONL22"/>
      <c r="ONM22"/>
      <c r="ONN22"/>
      <c r="ONO22"/>
      <c r="ONP22"/>
      <c r="ONQ22"/>
      <c r="ONR22"/>
      <c r="ONS22"/>
      <c r="ONT22"/>
      <c r="ONU22"/>
      <c r="ONV22"/>
      <c r="ONW22"/>
      <c r="ONX22"/>
      <c r="ONY22"/>
      <c r="ONZ22"/>
      <c r="OOA22"/>
      <c r="OOB22"/>
      <c r="OOC22"/>
      <c r="OOD22"/>
      <c r="OOE22"/>
      <c r="OOF22"/>
      <c r="OOG22"/>
      <c r="OOH22"/>
      <c r="OOI22"/>
      <c r="OOJ22"/>
      <c r="OOK22"/>
      <c r="OOL22"/>
      <c r="OOM22"/>
      <c r="OON22"/>
      <c r="OOO22"/>
      <c r="OOP22"/>
      <c r="OOQ22"/>
      <c r="OOR22"/>
      <c r="OOS22"/>
      <c r="OOT22"/>
      <c r="OOU22"/>
      <c r="OOV22"/>
      <c r="OOW22"/>
      <c r="OOX22"/>
      <c r="OOY22"/>
      <c r="OOZ22"/>
      <c r="OPA22"/>
      <c r="OPB22"/>
      <c r="OPC22"/>
      <c r="OPD22"/>
      <c r="OPE22"/>
      <c r="OPF22"/>
      <c r="OPG22"/>
      <c r="OPH22"/>
      <c r="OPI22"/>
      <c r="OPJ22"/>
      <c r="OPK22"/>
      <c r="OPL22"/>
      <c r="OPM22"/>
      <c r="OPN22"/>
      <c r="OPO22"/>
      <c r="OPP22"/>
      <c r="OPQ22"/>
      <c r="OPR22"/>
      <c r="OPS22"/>
      <c r="OPT22"/>
      <c r="OPU22"/>
      <c r="OPV22"/>
      <c r="OPW22"/>
      <c r="OPX22"/>
      <c r="OPY22"/>
      <c r="OPZ22"/>
      <c r="OQA22"/>
      <c r="OQB22"/>
      <c r="OQC22"/>
      <c r="OQD22"/>
      <c r="OQE22"/>
      <c r="OQF22"/>
      <c r="OQG22"/>
      <c r="OQH22"/>
      <c r="OQI22"/>
      <c r="OQJ22"/>
      <c r="OQK22"/>
      <c r="OQL22"/>
      <c r="OQM22"/>
      <c r="OQN22"/>
      <c r="OQO22"/>
      <c r="OQP22"/>
      <c r="OQQ22"/>
      <c r="OQR22"/>
      <c r="OQS22"/>
      <c r="OQT22"/>
      <c r="OQU22"/>
      <c r="OQV22"/>
      <c r="OQW22"/>
      <c r="OQX22"/>
      <c r="OQY22"/>
      <c r="OQZ22"/>
      <c r="ORA22"/>
      <c r="ORB22"/>
      <c r="ORC22"/>
      <c r="ORD22"/>
      <c r="ORE22"/>
      <c r="ORF22"/>
      <c r="ORG22"/>
      <c r="ORH22"/>
      <c r="ORI22"/>
      <c r="ORJ22"/>
      <c r="ORK22"/>
      <c r="ORL22"/>
      <c r="ORM22"/>
      <c r="ORN22"/>
      <c r="ORO22"/>
      <c r="ORP22"/>
      <c r="ORQ22"/>
      <c r="ORR22"/>
      <c r="ORS22"/>
      <c r="ORT22"/>
      <c r="ORU22"/>
      <c r="ORV22"/>
      <c r="ORW22"/>
      <c r="ORX22"/>
      <c r="ORY22"/>
      <c r="ORZ22"/>
      <c r="OSA22"/>
      <c r="OSB22"/>
      <c r="OSC22"/>
      <c r="OSD22"/>
      <c r="OSE22"/>
      <c r="OSF22"/>
      <c r="OSG22"/>
      <c r="OSH22"/>
      <c r="OSI22"/>
      <c r="OSJ22"/>
      <c r="OSK22"/>
      <c r="OSL22"/>
      <c r="OSM22"/>
      <c r="OSN22"/>
      <c r="OSO22"/>
      <c r="OSP22"/>
      <c r="OSQ22"/>
      <c r="OSR22"/>
      <c r="OSS22"/>
      <c r="OST22"/>
      <c r="OSU22"/>
      <c r="OSV22"/>
      <c r="OSW22"/>
      <c r="OSX22"/>
      <c r="OSY22"/>
      <c r="OSZ22"/>
      <c r="OTA22"/>
      <c r="OTB22"/>
      <c r="OTC22"/>
      <c r="OTD22"/>
      <c r="OTE22"/>
      <c r="OTF22"/>
      <c r="OTG22"/>
      <c r="OTH22"/>
      <c r="OTI22"/>
      <c r="OTJ22"/>
      <c r="OTK22"/>
      <c r="OTL22"/>
      <c r="OTM22"/>
      <c r="OTN22"/>
      <c r="OTO22"/>
      <c r="OTP22"/>
      <c r="OTQ22"/>
      <c r="OTR22"/>
      <c r="OTS22"/>
      <c r="OTT22"/>
      <c r="OTU22"/>
      <c r="OTV22"/>
      <c r="OTW22"/>
      <c r="OTX22"/>
      <c r="OTY22"/>
      <c r="OTZ22"/>
      <c r="OUA22"/>
      <c r="OUB22"/>
      <c r="OUC22"/>
      <c r="OUD22"/>
      <c r="OUE22"/>
      <c r="OUF22"/>
      <c r="OUG22"/>
      <c r="OUH22"/>
      <c r="OUI22"/>
      <c r="OUJ22"/>
      <c r="OUK22"/>
      <c r="OUL22"/>
      <c r="OUM22"/>
      <c r="OUN22"/>
      <c r="OUO22"/>
      <c r="OUP22"/>
      <c r="OUQ22"/>
      <c r="OUR22"/>
      <c r="OUS22"/>
      <c r="OUT22"/>
      <c r="OUU22"/>
      <c r="OUV22"/>
      <c r="OUW22"/>
      <c r="OUX22"/>
      <c r="OUY22"/>
      <c r="OUZ22"/>
      <c r="OVA22"/>
      <c r="OVB22"/>
      <c r="OVC22"/>
      <c r="OVD22"/>
      <c r="OVE22"/>
      <c r="OVF22"/>
      <c r="OVG22"/>
      <c r="OVH22"/>
      <c r="OVI22"/>
      <c r="OVJ22"/>
      <c r="OVK22"/>
      <c r="OVL22"/>
      <c r="OVM22"/>
      <c r="OVN22"/>
      <c r="OVO22"/>
      <c r="OVP22"/>
      <c r="OVQ22"/>
      <c r="OVR22"/>
      <c r="OVS22"/>
      <c r="OVT22"/>
      <c r="OVU22"/>
      <c r="OVV22"/>
      <c r="OVW22"/>
      <c r="OVX22"/>
      <c r="OVY22"/>
      <c r="OVZ22"/>
      <c r="OWA22"/>
      <c r="OWB22"/>
      <c r="OWC22"/>
      <c r="OWD22"/>
      <c r="OWE22"/>
      <c r="OWF22"/>
      <c r="OWG22"/>
      <c r="OWH22"/>
      <c r="OWI22"/>
      <c r="OWJ22"/>
      <c r="OWK22"/>
      <c r="OWL22"/>
      <c r="OWM22"/>
      <c r="OWN22"/>
      <c r="OWO22"/>
      <c r="OWP22"/>
      <c r="OWQ22"/>
      <c r="OWR22"/>
      <c r="OWS22"/>
      <c r="OWT22"/>
      <c r="OWU22"/>
      <c r="OWV22"/>
      <c r="OWW22"/>
      <c r="OWX22"/>
      <c r="OWY22"/>
      <c r="OWZ22"/>
      <c r="OXA22"/>
      <c r="OXB22"/>
      <c r="OXC22"/>
      <c r="OXD22"/>
      <c r="OXE22"/>
      <c r="OXF22"/>
      <c r="OXG22"/>
      <c r="OXH22"/>
      <c r="OXI22"/>
      <c r="OXJ22"/>
      <c r="OXK22"/>
      <c r="OXL22"/>
      <c r="OXM22"/>
      <c r="OXN22"/>
      <c r="OXO22"/>
      <c r="OXP22"/>
      <c r="OXQ22"/>
      <c r="OXR22"/>
      <c r="OXS22"/>
      <c r="OXT22"/>
      <c r="OXU22"/>
      <c r="OXV22"/>
      <c r="OXW22"/>
      <c r="OXX22"/>
      <c r="OXY22"/>
      <c r="OXZ22"/>
      <c r="OYA22"/>
      <c r="OYB22"/>
      <c r="OYC22"/>
      <c r="OYD22"/>
      <c r="OYE22"/>
      <c r="OYF22"/>
      <c r="OYG22"/>
      <c r="OYH22"/>
      <c r="OYI22"/>
      <c r="OYJ22"/>
      <c r="OYK22"/>
      <c r="OYL22"/>
      <c r="OYM22"/>
      <c r="OYN22"/>
      <c r="OYO22"/>
      <c r="OYP22"/>
      <c r="OYQ22"/>
      <c r="OYR22"/>
      <c r="OYS22"/>
      <c r="OYT22"/>
      <c r="OYU22"/>
      <c r="OYV22"/>
      <c r="OYW22"/>
      <c r="OYX22"/>
      <c r="OYY22"/>
      <c r="OYZ22"/>
      <c r="OZA22"/>
      <c r="OZB22"/>
      <c r="OZC22"/>
      <c r="OZD22"/>
      <c r="OZE22"/>
      <c r="OZF22"/>
      <c r="OZG22"/>
      <c r="OZH22"/>
      <c r="OZI22"/>
      <c r="OZJ22"/>
      <c r="OZK22"/>
      <c r="OZL22"/>
      <c r="OZM22"/>
      <c r="OZN22"/>
      <c r="OZO22"/>
      <c r="OZP22"/>
      <c r="OZQ22"/>
      <c r="OZR22"/>
      <c r="OZS22"/>
      <c r="OZT22"/>
      <c r="OZU22"/>
      <c r="OZV22"/>
      <c r="OZW22"/>
      <c r="OZX22"/>
      <c r="OZY22"/>
      <c r="OZZ22"/>
      <c r="PAA22"/>
      <c r="PAB22"/>
      <c r="PAC22"/>
      <c r="PAD22"/>
      <c r="PAE22"/>
      <c r="PAF22"/>
      <c r="PAG22"/>
      <c r="PAH22"/>
      <c r="PAI22"/>
      <c r="PAJ22"/>
      <c r="PAK22"/>
      <c r="PAL22"/>
      <c r="PAM22"/>
      <c r="PAN22"/>
      <c r="PAO22"/>
      <c r="PAP22"/>
      <c r="PAQ22"/>
      <c r="PAR22"/>
      <c r="PAS22"/>
      <c r="PAT22"/>
      <c r="PAU22"/>
      <c r="PAV22"/>
      <c r="PAW22"/>
      <c r="PAX22"/>
      <c r="PAY22"/>
      <c r="PAZ22"/>
      <c r="PBA22"/>
      <c r="PBB22"/>
      <c r="PBC22"/>
      <c r="PBD22"/>
      <c r="PBE22"/>
      <c r="PBF22"/>
      <c r="PBG22"/>
      <c r="PBH22"/>
      <c r="PBI22"/>
      <c r="PBJ22"/>
      <c r="PBK22"/>
      <c r="PBL22"/>
      <c r="PBM22"/>
      <c r="PBN22"/>
      <c r="PBO22"/>
      <c r="PBP22"/>
      <c r="PBQ22"/>
      <c r="PBR22"/>
      <c r="PBS22"/>
      <c r="PBT22"/>
      <c r="PBU22"/>
      <c r="PBV22"/>
      <c r="PBW22"/>
      <c r="PBX22"/>
      <c r="PBY22"/>
      <c r="PBZ22"/>
      <c r="PCA22"/>
      <c r="PCB22"/>
      <c r="PCC22"/>
      <c r="PCD22"/>
      <c r="PCE22"/>
      <c r="PCF22"/>
      <c r="PCG22"/>
      <c r="PCH22"/>
      <c r="PCI22"/>
      <c r="PCJ22"/>
      <c r="PCK22"/>
      <c r="PCL22"/>
      <c r="PCM22"/>
      <c r="PCN22"/>
      <c r="PCO22"/>
      <c r="PCP22"/>
      <c r="PCQ22"/>
      <c r="PCR22"/>
      <c r="PCS22"/>
      <c r="PCT22"/>
      <c r="PCU22"/>
      <c r="PCV22"/>
      <c r="PCW22"/>
      <c r="PCX22"/>
      <c r="PCY22"/>
      <c r="PCZ22"/>
      <c r="PDA22"/>
      <c r="PDB22"/>
      <c r="PDC22"/>
      <c r="PDD22"/>
      <c r="PDE22"/>
      <c r="PDF22"/>
      <c r="PDG22"/>
      <c r="PDH22"/>
      <c r="PDI22"/>
      <c r="PDJ22"/>
      <c r="PDK22"/>
      <c r="PDL22"/>
      <c r="PDM22"/>
      <c r="PDN22"/>
      <c r="PDO22"/>
      <c r="PDP22"/>
      <c r="PDQ22"/>
      <c r="PDR22"/>
      <c r="PDS22"/>
      <c r="PDT22"/>
      <c r="PDU22"/>
      <c r="PDV22"/>
      <c r="PDW22"/>
      <c r="PDX22"/>
      <c r="PDY22"/>
      <c r="PDZ22"/>
      <c r="PEA22"/>
      <c r="PEB22"/>
      <c r="PEC22"/>
      <c r="PED22"/>
      <c r="PEE22"/>
      <c r="PEF22"/>
      <c r="PEG22"/>
      <c r="PEH22"/>
      <c r="PEI22"/>
      <c r="PEJ22"/>
      <c r="PEK22"/>
      <c r="PEL22"/>
      <c r="PEM22"/>
      <c r="PEN22"/>
      <c r="PEO22"/>
      <c r="PEP22"/>
      <c r="PEQ22"/>
      <c r="PER22"/>
      <c r="PES22"/>
      <c r="PET22"/>
      <c r="PEU22"/>
      <c r="PEV22"/>
      <c r="PEW22"/>
      <c r="PEX22"/>
      <c r="PEY22"/>
      <c r="PEZ22"/>
      <c r="PFA22"/>
      <c r="PFB22"/>
      <c r="PFC22"/>
      <c r="PFD22"/>
      <c r="PFE22"/>
      <c r="PFF22"/>
      <c r="PFG22"/>
      <c r="PFH22"/>
      <c r="PFI22"/>
      <c r="PFJ22"/>
      <c r="PFK22"/>
      <c r="PFL22"/>
      <c r="PFM22"/>
      <c r="PFN22"/>
      <c r="PFO22"/>
      <c r="PFP22"/>
      <c r="PFQ22"/>
      <c r="PFR22"/>
      <c r="PFS22"/>
      <c r="PFT22"/>
      <c r="PFU22"/>
      <c r="PFV22"/>
      <c r="PFW22"/>
      <c r="PFX22"/>
      <c r="PFY22"/>
      <c r="PFZ22"/>
      <c r="PGA22"/>
      <c r="PGB22"/>
      <c r="PGC22"/>
      <c r="PGD22"/>
      <c r="PGE22"/>
      <c r="PGF22"/>
      <c r="PGG22"/>
      <c r="PGH22"/>
      <c r="PGI22"/>
      <c r="PGJ22"/>
      <c r="PGK22"/>
      <c r="PGL22"/>
      <c r="PGM22"/>
      <c r="PGN22"/>
      <c r="PGO22"/>
      <c r="PGP22"/>
      <c r="PGQ22"/>
      <c r="PGR22"/>
      <c r="PGS22"/>
      <c r="PGT22"/>
      <c r="PGU22"/>
      <c r="PGV22"/>
      <c r="PGW22"/>
      <c r="PGX22"/>
      <c r="PGY22"/>
      <c r="PGZ22"/>
      <c r="PHA22"/>
      <c r="PHB22"/>
      <c r="PHC22"/>
      <c r="PHD22"/>
      <c r="PHE22"/>
      <c r="PHF22"/>
      <c r="PHG22"/>
      <c r="PHH22"/>
      <c r="PHI22"/>
      <c r="PHJ22"/>
      <c r="PHK22"/>
      <c r="PHL22"/>
      <c r="PHM22"/>
      <c r="PHN22"/>
      <c r="PHO22"/>
      <c r="PHP22"/>
      <c r="PHQ22"/>
      <c r="PHR22"/>
      <c r="PHS22"/>
      <c r="PHT22"/>
      <c r="PHU22"/>
      <c r="PHV22"/>
      <c r="PHW22"/>
      <c r="PHX22"/>
      <c r="PHY22"/>
      <c r="PHZ22"/>
      <c r="PIA22"/>
      <c r="PIB22"/>
      <c r="PIC22"/>
      <c r="PID22"/>
      <c r="PIE22"/>
      <c r="PIF22"/>
      <c r="PIG22"/>
      <c r="PIH22"/>
      <c r="PII22"/>
      <c r="PIJ22"/>
      <c r="PIK22"/>
      <c r="PIL22"/>
      <c r="PIM22"/>
      <c r="PIN22"/>
      <c r="PIO22"/>
      <c r="PIP22"/>
      <c r="PIQ22"/>
      <c r="PIR22"/>
      <c r="PIS22"/>
      <c r="PIT22"/>
      <c r="PIU22"/>
      <c r="PIV22"/>
      <c r="PIW22"/>
      <c r="PIX22"/>
      <c r="PIY22"/>
      <c r="PIZ22"/>
      <c r="PJA22"/>
      <c r="PJB22"/>
      <c r="PJC22"/>
      <c r="PJD22"/>
      <c r="PJE22"/>
      <c r="PJF22"/>
      <c r="PJG22"/>
      <c r="PJH22"/>
      <c r="PJI22"/>
      <c r="PJJ22"/>
      <c r="PJK22"/>
      <c r="PJL22"/>
      <c r="PJM22"/>
      <c r="PJN22"/>
      <c r="PJO22"/>
      <c r="PJP22"/>
      <c r="PJQ22"/>
      <c r="PJR22"/>
      <c r="PJS22"/>
      <c r="PJT22"/>
      <c r="PJU22"/>
      <c r="PJV22"/>
      <c r="PJW22"/>
      <c r="PJX22"/>
      <c r="PJY22"/>
      <c r="PJZ22"/>
      <c r="PKA22"/>
      <c r="PKB22"/>
      <c r="PKC22"/>
      <c r="PKD22"/>
      <c r="PKE22"/>
      <c r="PKF22"/>
      <c r="PKG22"/>
      <c r="PKH22"/>
      <c r="PKI22"/>
      <c r="PKJ22"/>
      <c r="PKK22"/>
      <c r="PKL22"/>
      <c r="PKM22"/>
      <c r="PKN22"/>
      <c r="PKO22"/>
      <c r="PKP22"/>
      <c r="PKQ22"/>
      <c r="PKR22"/>
      <c r="PKS22"/>
      <c r="PKT22"/>
      <c r="PKU22"/>
      <c r="PKV22"/>
      <c r="PKW22"/>
      <c r="PKX22"/>
      <c r="PKY22"/>
      <c r="PKZ22"/>
      <c r="PLA22"/>
      <c r="PLB22"/>
      <c r="PLC22"/>
      <c r="PLD22"/>
      <c r="PLE22"/>
      <c r="PLF22"/>
      <c r="PLG22"/>
      <c r="PLH22"/>
      <c r="PLI22"/>
      <c r="PLJ22"/>
      <c r="PLK22"/>
      <c r="PLL22"/>
      <c r="PLM22"/>
      <c r="PLN22"/>
      <c r="PLO22"/>
      <c r="PLP22"/>
      <c r="PLQ22"/>
      <c r="PLR22"/>
      <c r="PLS22"/>
      <c r="PLT22"/>
      <c r="PLU22"/>
      <c r="PLV22"/>
      <c r="PLW22"/>
      <c r="PLX22"/>
      <c r="PLY22"/>
      <c r="PLZ22"/>
      <c r="PMA22"/>
      <c r="PMB22"/>
      <c r="PMC22"/>
      <c r="PMD22"/>
      <c r="PME22"/>
      <c r="PMF22"/>
      <c r="PMG22"/>
      <c r="PMH22"/>
      <c r="PMI22"/>
      <c r="PMJ22"/>
      <c r="PMK22"/>
      <c r="PML22"/>
      <c r="PMM22"/>
      <c r="PMN22"/>
      <c r="PMO22"/>
      <c r="PMP22"/>
      <c r="PMQ22"/>
      <c r="PMR22"/>
      <c r="PMS22"/>
      <c r="PMT22"/>
      <c r="PMU22"/>
      <c r="PMV22"/>
      <c r="PMW22"/>
      <c r="PMX22"/>
      <c r="PMY22"/>
      <c r="PMZ22"/>
      <c r="PNA22"/>
      <c r="PNB22"/>
      <c r="PNC22"/>
      <c r="PND22"/>
      <c r="PNE22"/>
      <c r="PNF22"/>
      <c r="PNG22"/>
      <c r="PNH22"/>
      <c r="PNI22"/>
      <c r="PNJ22"/>
      <c r="PNK22"/>
      <c r="PNL22"/>
      <c r="PNM22"/>
      <c r="PNN22"/>
      <c r="PNO22"/>
      <c r="PNP22"/>
      <c r="PNQ22"/>
      <c r="PNR22"/>
      <c r="PNS22"/>
      <c r="PNT22"/>
      <c r="PNU22"/>
      <c r="PNV22"/>
      <c r="PNW22"/>
      <c r="PNX22"/>
      <c r="PNY22"/>
      <c r="PNZ22"/>
      <c r="POA22"/>
      <c r="POB22"/>
      <c r="POC22"/>
      <c r="POD22"/>
      <c r="POE22"/>
      <c r="POF22"/>
      <c r="POG22"/>
      <c r="POH22"/>
      <c r="POI22"/>
      <c r="POJ22"/>
      <c r="POK22"/>
      <c r="POL22"/>
      <c r="POM22"/>
      <c r="PON22"/>
      <c r="POO22"/>
      <c r="POP22"/>
      <c r="POQ22"/>
      <c r="POR22"/>
      <c r="POS22"/>
      <c r="POT22"/>
      <c r="POU22"/>
      <c r="POV22"/>
      <c r="POW22"/>
      <c r="POX22"/>
      <c r="POY22"/>
      <c r="POZ22"/>
      <c r="PPA22"/>
      <c r="PPB22"/>
      <c r="PPC22"/>
      <c r="PPD22"/>
      <c r="PPE22"/>
      <c r="PPF22"/>
      <c r="PPG22"/>
      <c r="PPH22"/>
      <c r="PPI22"/>
      <c r="PPJ22"/>
      <c r="PPK22"/>
      <c r="PPL22"/>
      <c r="PPM22"/>
      <c r="PPN22"/>
      <c r="PPO22"/>
      <c r="PPP22"/>
      <c r="PPQ22"/>
      <c r="PPR22"/>
      <c r="PPS22"/>
      <c r="PPT22"/>
      <c r="PPU22"/>
      <c r="PPV22"/>
      <c r="PPW22"/>
      <c r="PPX22"/>
      <c r="PPY22"/>
      <c r="PPZ22"/>
      <c r="PQA22"/>
      <c r="PQB22"/>
      <c r="PQC22"/>
      <c r="PQD22"/>
      <c r="PQE22"/>
      <c r="PQF22"/>
      <c r="PQG22"/>
      <c r="PQH22"/>
      <c r="PQI22"/>
      <c r="PQJ22"/>
      <c r="PQK22"/>
      <c r="PQL22"/>
      <c r="PQM22"/>
      <c r="PQN22"/>
      <c r="PQO22"/>
      <c r="PQP22"/>
      <c r="PQQ22"/>
      <c r="PQR22"/>
      <c r="PQS22"/>
      <c r="PQT22"/>
      <c r="PQU22"/>
      <c r="PQV22"/>
      <c r="PQW22"/>
      <c r="PQX22"/>
      <c r="PQY22"/>
      <c r="PQZ22"/>
      <c r="PRA22"/>
      <c r="PRB22"/>
      <c r="PRC22"/>
      <c r="PRD22"/>
      <c r="PRE22"/>
      <c r="PRF22"/>
      <c r="PRG22"/>
      <c r="PRH22"/>
      <c r="PRI22"/>
      <c r="PRJ22"/>
      <c r="PRK22"/>
      <c r="PRL22"/>
      <c r="PRM22"/>
      <c r="PRN22"/>
      <c r="PRO22"/>
      <c r="PRP22"/>
      <c r="PRQ22"/>
      <c r="PRR22"/>
      <c r="PRS22"/>
      <c r="PRT22"/>
      <c r="PRU22"/>
      <c r="PRV22"/>
      <c r="PRW22"/>
      <c r="PRX22"/>
      <c r="PRY22"/>
      <c r="PRZ22"/>
      <c r="PSA22"/>
      <c r="PSB22"/>
      <c r="PSC22"/>
      <c r="PSD22"/>
      <c r="PSE22"/>
      <c r="PSF22"/>
      <c r="PSG22"/>
      <c r="PSH22"/>
      <c r="PSI22"/>
      <c r="PSJ22"/>
      <c r="PSK22"/>
      <c r="PSL22"/>
      <c r="PSM22"/>
      <c r="PSN22"/>
      <c r="PSO22"/>
      <c r="PSP22"/>
      <c r="PSQ22"/>
      <c r="PSR22"/>
      <c r="PSS22"/>
      <c r="PST22"/>
      <c r="PSU22"/>
      <c r="PSV22"/>
      <c r="PSW22"/>
      <c r="PSX22"/>
      <c r="PSY22"/>
      <c r="PSZ22"/>
      <c r="PTA22"/>
      <c r="PTB22"/>
      <c r="PTC22"/>
      <c r="PTD22"/>
      <c r="PTE22"/>
      <c r="PTF22"/>
      <c r="PTG22"/>
      <c r="PTH22"/>
      <c r="PTI22"/>
      <c r="PTJ22"/>
      <c r="PTK22"/>
      <c r="PTL22"/>
      <c r="PTM22"/>
      <c r="PTN22"/>
      <c r="PTO22"/>
      <c r="PTP22"/>
      <c r="PTQ22"/>
      <c r="PTR22"/>
      <c r="PTS22"/>
      <c r="PTT22"/>
      <c r="PTU22"/>
      <c r="PTV22"/>
      <c r="PTW22"/>
      <c r="PTX22"/>
      <c r="PTY22"/>
      <c r="PTZ22"/>
      <c r="PUA22"/>
      <c r="PUB22"/>
      <c r="PUC22"/>
      <c r="PUD22"/>
      <c r="PUE22"/>
      <c r="PUF22"/>
      <c r="PUG22"/>
      <c r="PUH22"/>
      <c r="PUI22"/>
      <c r="PUJ22"/>
      <c r="PUK22"/>
      <c r="PUL22"/>
      <c r="PUM22"/>
      <c r="PUN22"/>
      <c r="PUO22"/>
      <c r="PUP22"/>
      <c r="PUQ22"/>
      <c r="PUR22"/>
      <c r="PUS22"/>
      <c r="PUT22"/>
      <c r="PUU22"/>
      <c r="PUV22"/>
      <c r="PUW22"/>
      <c r="PUX22"/>
      <c r="PUY22"/>
      <c r="PUZ22"/>
      <c r="PVA22"/>
      <c r="PVB22"/>
      <c r="PVC22"/>
      <c r="PVD22"/>
      <c r="PVE22"/>
      <c r="PVF22"/>
      <c r="PVG22"/>
      <c r="PVH22"/>
      <c r="PVI22"/>
      <c r="PVJ22"/>
      <c r="PVK22"/>
      <c r="PVL22"/>
      <c r="PVM22"/>
      <c r="PVN22"/>
      <c r="PVO22"/>
      <c r="PVP22"/>
      <c r="PVQ22"/>
      <c r="PVR22"/>
      <c r="PVS22"/>
      <c r="PVT22"/>
      <c r="PVU22"/>
      <c r="PVV22"/>
      <c r="PVW22"/>
      <c r="PVX22"/>
      <c r="PVY22"/>
      <c r="PVZ22"/>
      <c r="PWA22"/>
      <c r="PWB22"/>
      <c r="PWC22"/>
      <c r="PWD22"/>
      <c r="PWE22"/>
      <c r="PWF22"/>
      <c r="PWG22"/>
      <c r="PWH22"/>
      <c r="PWI22"/>
      <c r="PWJ22"/>
      <c r="PWK22"/>
      <c r="PWL22"/>
      <c r="PWM22"/>
      <c r="PWN22"/>
      <c r="PWO22"/>
      <c r="PWP22"/>
      <c r="PWQ22"/>
      <c r="PWR22"/>
      <c r="PWS22"/>
      <c r="PWT22"/>
      <c r="PWU22"/>
      <c r="PWV22"/>
      <c r="PWW22"/>
      <c r="PWX22"/>
      <c r="PWY22"/>
      <c r="PWZ22"/>
      <c r="PXA22"/>
      <c r="PXB22"/>
      <c r="PXC22"/>
      <c r="PXD22"/>
      <c r="PXE22"/>
      <c r="PXF22"/>
      <c r="PXG22"/>
      <c r="PXH22"/>
      <c r="PXI22"/>
      <c r="PXJ22"/>
      <c r="PXK22"/>
      <c r="PXL22"/>
      <c r="PXM22"/>
      <c r="PXN22"/>
      <c r="PXO22"/>
      <c r="PXP22"/>
      <c r="PXQ22"/>
      <c r="PXR22"/>
      <c r="PXS22"/>
      <c r="PXT22"/>
      <c r="PXU22"/>
      <c r="PXV22"/>
      <c r="PXW22"/>
      <c r="PXX22"/>
      <c r="PXY22"/>
      <c r="PXZ22"/>
      <c r="PYA22"/>
      <c r="PYB22"/>
      <c r="PYC22"/>
      <c r="PYD22"/>
      <c r="PYE22"/>
      <c r="PYF22"/>
      <c r="PYG22"/>
      <c r="PYH22"/>
      <c r="PYI22"/>
      <c r="PYJ22"/>
      <c r="PYK22"/>
      <c r="PYL22"/>
      <c r="PYM22"/>
      <c r="PYN22"/>
      <c r="PYO22"/>
      <c r="PYP22"/>
      <c r="PYQ22"/>
      <c r="PYR22"/>
      <c r="PYS22"/>
      <c r="PYT22"/>
      <c r="PYU22"/>
      <c r="PYV22"/>
      <c r="PYW22"/>
      <c r="PYX22"/>
      <c r="PYY22"/>
      <c r="PYZ22"/>
      <c r="PZA22"/>
      <c r="PZB22"/>
      <c r="PZC22"/>
      <c r="PZD22"/>
      <c r="PZE22"/>
      <c r="PZF22"/>
      <c r="PZG22"/>
      <c r="PZH22"/>
      <c r="PZI22"/>
      <c r="PZJ22"/>
      <c r="PZK22"/>
      <c r="PZL22"/>
      <c r="PZM22"/>
      <c r="PZN22"/>
      <c r="PZO22"/>
      <c r="PZP22"/>
      <c r="PZQ22"/>
      <c r="PZR22"/>
      <c r="PZS22"/>
      <c r="PZT22"/>
      <c r="PZU22"/>
      <c r="PZV22"/>
      <c r="PZW22"/>
      <c r="PZX22"/>
      <c r="PZY22"/>
      <c r="PZZ22"/>
      <c r="QAA22"/>
      <c r="QAB22"/>
      <c r="QAC22"/>
      <c r="QAD22"/>
      <c r="QAE22"/>
      <c r="QAF22"/>
      <c r="QAG22"/>
      <c r="QAH22"/>
      <c r="QAI22"/>
      <c r="QAJ22"/>
      <c r="QAK22"/>
      <c r="QAL22"/>
      <c r="QAM22"/>
      <c r="QAN22"/>
      <c r="QAO22"/>
      <c r="QAP22"/>
      <c r="QAQ22"/>
      <c r="QAR22"/>
      <c r="QAS22"/>
      <c r="QAT22"/>
      <c r="QAU22"/>
      <c r="QAV22"/>
      <c r="QAW22"/>
      <c r="QAX22"/>
      <c r="QAY22"/>
      <c r="QAZ22"/>
      <c r="QBA22"/>
      <c r="QBB22"/>
      <c r="QBC22"/>
      <c r="QBD22"/>
      <c r="QBE22"/>
      <c r="QBF22"/>
      <c r="QBG22"/>
      <c r="QBH22"/>
      <c r="QBI22"/>
      <c r="QBJ22"/>
      <c r="QBK22"/>
      <c r="QBL22"/>
      <c r="QBM22"/>
      <c r="QBN22"/>
      <c r="QBO22"/>
      <c r="QBP22"/>
      <c r="QBQ22"/>
      <c r="QBR22"/>
      <c r="QBS22"/>
      <c r="QBT22"/>
      <c r="QBU22"/>
      <c r="QBV22"/>
      <c r="QBW22"/>
      <c r="QBX22"/>
      <c r="QBY22"/>
      <c r="QBZ22"/>
      <c r="QCA22"/>
      <c r="QCB22"/>
      <c r="QCC22"/>
      <c r="QCD22"/>
      <c r="QCE22"/>
      <c r="QCF22"/>
      <c r="QCG22"/>
      <c r="QCH22"/>
      <c r="QCI22"/>
      <c r="QCJ22"/>
      <c r="QCK22"/>
      <c r="QCL22"/>
      <c r="QCM22"/>
      <c r="QCN22"/>
      <c r="QCO22"/>
      <c r="QCP22"/>
      <c r="QCQ22"/>
      <c r="QCR22"/>
      <c r="QCS22"/>
      <c r="QCT22"/>
      <c r="QCU22"/>
      <c r="QCV22"/>
      <c r="QCW22"/>
      <c r="QCX22"/>
      <c r="QCY22"/>
      <c r="QCZ22"/>
      <c r="QDA22"/>
      <c r="QDB22"/>
      <c r="QDC22"/>
      <c r="QDD22"/>
      <c r="QDE22"/>
      <c r="QDF22"/>
      <c r="QDG22"/>
      <c r="QDH22"/>
      <c r="QDI22"/>
      <c r="QDJ22"/>
      <c r="QDK22"/>
      <c r="QDL22"/>
      <c r="QDM22"/>
      <c r="QDN22"/>
      <c r="QDO22"/>
      <c r="QDP22"/>
      <c r="QDQ22"/>
      <c r="QDR22"/>
      <c r="QDS22"/>
      <c r="QDT22"/>
      <c r="QDU22"/>
      <c r="QDV22"/>
      <c r="QDW22"/>
      <c r="QDX22"/>
      <c r="QDY22"/>
      <c r="QDZ22"/>
      <c r="QEA22"/>
      <c r="QEB22"/>
      <c r="QEC22"/>
      <c r="QED22"/>
      <c r="QEE22"/>
      <c r="QEF22"/>
      <c r="QEG22"/>
      <c r="QEH22"/>
      <c r="QEI22"/>
      <c r="QEJ22"/>
      <c r="QEK22"/>
      <c r="QEL22"/>
      <c r="QEM22"/>
      <c r="QEN22"/>
      <c r="QEO22"/>
      <c r="QEP22"/>
      <c r="QEQ22"/>
      <c r="QER22"/>
      <c r="QES22"/>
      <c r="QET22"/>
      <c r="QEU22"/>
      <c r="QEV22"/>
      <c r="QEW22"/>
      <c r="QEX22"/>
      <c r="QEY22"/>
      <c r="QEZ22"/>
      <c r="QFA22"/>
      <c r="QFB22"/>
      <c r="QFC22"/>
      <c r="QFD22"/>
      <c r="QFE22"/>
      <c r="QFF22"/>
      <c r="QFG22"/>
      <c r="QFH22"/>
      <c r="QFI22"/>
      <c r="QFJ22"/>
      <c r="QFK22"/>
      <c r="QFL22"/>
      <c r="QFM22"/>
      <c r="QFN22"/>
      <c r="QFO22"/>
      <c r="QFP22"/>
      <c r="QFQ22"/>
      <c r="QFR22"/>
      <c r="QFS22"/>
      <c r="QFT22"/>
      <c r="QFU22"/>
      <c r="QFV22"/>
      <c r="QFW22"/>
      <c r="QFX22"/>
      <c r="QFY22"/>
      <c r="QFZ22"/>
      <c r="QGA22"/>
      <c r="QGB22"/>
      <c r="QGC22"/>
      <c r="QGD22"/>
      <c r="QGE22"/>
      <c r="QGF22"/>
      <c r="QGG22"/>
      <c r="QGH22"/>
      <c r="QGI22"/>
      <c r="QGJ22"/>
      <c r="QGK22"/>
      <c r="QGL22"/>
      <c r="QGM22"/>
      <c r="QGN22"/>
      <c r="QGO22"/>
      <c r="QGP22"/>
      <c r="QGQ22"/>
      <c r="QGR22"/>
      <c r="QGS22"/>
      <c r="QGT22"/>
      <c r="QGU22"/>
      <c r="QGV22"/>
      <c r="QGW22"/>
      <c r="QGX22"/>
      <c r="QGY22"/>
      <c r="QGZ22"/>
      <c r="QHA22"/>
      <c r="QHB22"/>
      <c r="QHC22"/>
      <c r="QHD22"/>
      <c r="QHE22"/>
      <c r="QHF22"/>
      <c r="QHG22"/>
      <c r="QHH22"/>
      <c r="QHI22"/>
      <c r="QHJ22"/>
      <c r="QHK22"/>
      <c r="QHL22"/>
      <c r="QHM22"/>
      <c r="QHN22"/>
      <c r="QHO22"/>
      <c r="QHP22"/>
      <c r="QHQ22"/>
      <c r="QHR22"/>
      <c r="QHS22"/>
      <c r="QHT22"/>
      <c r="QHU22"/>
      <c r="QHV22"/>
      <c r="QHW22"/>
      <c r="QHX22"/>
      <c r="QHY22"/>
      <c r="QHZ22"/>
      <c r="QIA22"/>
      <c r="QIB22"/>
      <c r="QIC22"/>
      <c r="QID22"/>
      <c r="QIE22"/>
      <c r="QIF22"/>
      <c r="QIG22"/>
      <c r="QIH22"/>
      <c r="QII22"/>
      <c r="QIJ22"/>
      <c r="QIK22"/>
      <c r="QIL22"/>
      <c r="QIM22"/>
      <c r="QIN22"/>
      <c r="QIO22"/>
      <c r="QIP22"/>
      <c r="QIQ22"/>
      <c r="QIR22"/>
      <c r="QIS22"/>
      <c r="QIT22"/>
      <c r="QIU22"/>
      <c r="QIV22"/>
      <c r="QIW22"/>
      <c r="QIX22"/>
      <c r="QIY22"/>
      <c r="QIZ22"/>
      <c r="QJA22"/>
      <c r="QJB22"/>
      <c r="QJC22"/>
      <c r="QJD22"/>
      <c r="QJE22"/>
      <c r="QJF22"/>
      <c r="QJG22"/>
      <c r="QJH22"/>
      <c r="QJI22"/>
      <c r="QJJ22"/>
      <c r="QJK22"/>
      <c r="QJL22"/>
      <c r="QJM22"/>
      <c r="QJN22"/>
      <c r="QJO22"/>
      <c r="QJP22"/>
      <c r="QJQ22"/>
      <c r="QJR22"/>
      <c r="QJS22"/>
      <c r="QJT22"/>
      <c r="QJU22"/>
      <c r="QJV22"/>
      <c r="QJW22"/>
      <c r="QJX22"/>
      <c r="QJY22"/>
      <c r="QJZ22"/>
      <c r="QKA22"/>
      <c r="QKB22"/>
      <c r="QKC22"/>
      <c r="QKD22"/>
      <c r="QKE22"/>
      <c r="QKF22"/>
      <c r="QKG22"/>
      <c r="QKH22"/>
      <c r="QKI22"/>
      <c r="QKJ22"/>
      <c r="QKK22"/>
      <c r="QKL22"/>
      <c r="QKM22"/>
      <c r="QKN22"/>
      <c r="QKO22"/>
      <c r="QKP22"/>
      <c r="QKQ22"/>
      <c r="QKR22"/>
      <c r="QKS22"/>
      <c r="QKT22"/>
      <c r="QKU22"/>
      <c r="QKV22"/>
      <c r="QKW22"/>
      <c r="QKX22"/>
      <c r="QKY22"/>
      <c r="QKZ22"/>
      <c r="QLA22"/>
      <c r="QLB22"/>
      <c r="QLC22"/>
      <c r="QLD22"/>
      <c r="QLE22"/>
      <c r="QLF22"/>
      <c r="QLG22"/>
      <c r="QLH22"/>
      <c r="QLI22"/>
      <c r="QLJ22"/>
      <c r="QLK22"/>
      <c r="QLL22"/>
      <c r="QLM22"/>
      <c r="QLN22"/>
      <c r="QLO22"/>
      <c r="QLP22"/>
      <c r="QLQ22"/>
      <c r="QLR22"/>
      <c r="QLS22"/>
      <c r="QLT22"/>
      <c r="QLU22"/>
      <c r="QLV22"/>
      <c r="QLW22"/>
      <c r="QLX22"/>
      <c r="QLY22"/>
      <c r="QLZ22"/>
      <c r="QMA22"/>
      <c r="QMB22"/>
      <c r="QMC22"/>
      <c r="QMD22"/>
      <c r="QME22"/>
      <c r="QMF22"/>
      <c r="QMG22"/>
      <c r="QMH22"/>
      <c r="QMI22"/>
      <c r="QMJ22"/>
      <c r="QMK22"/>
      <c r="QML22"/>
      <c r="QMM22"/>
      <c r="QMN22"/>
      <c r="QMO22"/>
      <c r="QMP22"/>
      <c r="QMQ22"/>
      <c r="QMR22"/>
      <c r="QMS22"/>
      <c r="QMT22"/>
      <c r="QMU22"/>
      <c r="QMV22"/>
      <c r="QMW22"/>
      <c r="QMX22"/>
      <c r="QMY22"/>
      <c r="QMZ22"/>
      <c r="QNA22"/>
      <c r="QNB22"/>
      <c r="QNC22"/>
      <c r="QND22"/>
      <c r="QNE22"/>
      <c r="QNF22"/>
      <c r="QNG22"/>
      <c r="QNH22"/>
      <c r="QNI22"/>
      <c r="QNJ22"/>
      <c r="QNK22"/>
      <c r="QNL22"/>
      <c r="QNM22"/>
      <c r="QNN22"/>
      <c r="QNO22"/>
      <c r="QNP22"/>
      <c r="QNQ22"/>
      <c r="QNR22"/>
      <c r="QNS22"/>
      <c r="QNT22"/>
      <c r="QNU22"/>
      <c r="QNV22"/>
      <c r="QNW22"/>
      <c r="QNX22"/>
      <c r="QNY22"/>
      <c r="QNZ22"/>
      <c r="QOA22"/>
      <c r="QOB22"/>
      <c r="QOC22"/>
      <c r="QOD22"/>
      <c r="QOE22"/>
      <c r="QOF22"/>
      <c r="QOG22"/>
      <c r="QOH22"/>
      <c r="QOI22"/>
      <c r="QOJ22"/>
      <c r="QOK22"/>
      <c r="QOL22"/>
      <c r="QOM22"/>
      <c r="QON22"/>
      <c r="QOO22"/>
      <c r="QOP22"/>
      <c r="QOQ22"/>
      <c r="QOR22"/>
      <c r="QOS22"/>
      <c r="QOT22"/>
      <c r="QOU22"/>
      <c r="QOV22"/>
      <c r="QOW22"/>
      <c r="QOX22"/>
      <c r="QOY22"/>
      <c r="QOZ22"/>
      <c r="QPA22"/>
      <c r="QPB22"/>
      <c r="QPC22"/>
      <c r="QPD22"/>
      <c r="QPE22"/>
      <c r="QPF22"/>
      <c r="QPG22"/>
      <c r="QPH22"/>
      <c r="QPI22"/>
      <c r="QPJ22"/>
      <c r="QPK22"/>
      <c r="QPL22"/>
      <c r="QPM22"/>
      <c r="QPN22"/>
      <c r="QPO22"/>
      <c r="QPP22"/>
      <c r="QPQ22"/>
      <c r="QPR22"/>
      <c r="QPS22"/>
      <c r="QPT22"/>
      <c r="QPU22"/>
      <c r="QPV22"/>
      <c r="QPW22"/>
      <c r="QPX22"/>
      <c r="QPY22"/>
      <c r="QPZ22"/>
      <c r="QQA22"/>
      <c r="QQB22"/>
      <c r="QQC22"/>
      <c r="QQD22"/>
      <c r="QQE22"/>
      <c r="QQF22"/>
      <c r="QQG22"/>
      <c r="QQH22"/>
      <c r="QQI22"/>
      <c r="QQJ22"/>
      <c r="QQK22"/>
      <c r="QQL22"/>
      <c r="QQM22"/>
      <c r="QQN22"/>
      <c r="QQO22"/>
      <c r="QQP22"/>
      <c r="QQQ22"/>
      <c r="QQR22"/>
      <c r="QQS22"/>
      <c r="QQT22"/>
      <c r="QQU22"/>
      <c r="QQV22"/>
      <c r="QQW22"/>
      <c r="QQX22"/>
      <c r="QQY22"/>
      <c r="QQZ22"/>
      <c r="QRA22"/>
      <c r="QRB22"/>
      <c r="QRC22"/>
      <c r="QRD22"/>
      <c r="QRE22"/>
      <c r="QRF22"/>
      <c r="QRG22"/>
      <c r="QRH22"/>
      <c r="QRI22"/>
      <c r="QRJ22"/>
      <c r="QRK22"/>
      <c r="QRL22"/>
      <c r="QRM22"/>
      <c r="QRN22"/>
      <c r="QRO22"/>
      <c r="QRP22"/>
      <c r="QRQ22"/>
      <c r="QRR22"/>
      <c r="QRS22"/>
      <c r="QRT22"/>
      <c r="QRU22"/>
      <c r="QRV22"/>
      <c r="QRW22"/>
      <c r="QRX22"/>
      <c r="QRY22"/>
      <c r="QRZ22"/>
      <c r="QSA22"/>
      <c r="QSB22"/>
      <c r="QSC22"/>
      <c r="QSD22"/>
      <c r="QSE22"/>
      <c r="QSF22"/>
      <c r="QSG22"/>
      <c r="QSH22"/>
      <c r="QSI22"/>
      <c r="QSJ22"/>
      <c r="QSK22"/>
      <c r="QSL22"/>
      <c r="QSM22"/>
      <c r="QSN22"/>
      <c r="QSO22"/>
      <c r="QSP22"/>
      <c r="QSQ22"/>
      <c r="QSR22"/>
      <c r="QSS22"/>
      <c r="QST22"/>
      <c r="QSU22"/>
      <c r="QSV22"/>
      <c r="QSW22"/>
      <c r="QSX22"/>
      <c r="QSY22"/>
      <c r="QSZ22"/>
      <c r="QTA22"/>
      <c r="QTB22"/>
      <c r="QTC22"/>
      <c r="QTD22"/>
      <c r="QTE22"/>
      <c r="QTF22"/>
      <c r="QTG22"/>
      <c r="QTH22"/>
      <c r="QTI22"/>
      <c r="QTJ22"/>
      <c r="QTK22"/>
      <c r="QTL22"/>
      <c r="QTM22"/>
      <c r="QTN22"/>
      <c r="QTO22"/>
      <c r="QTP22"/>
      <c r="QTQ22"/>
      <c r="QTR22"/>
      <c r="QTS22"/>
      <c r="QTT22"/>
      <c r="QTU22"/>
      <c r="QTV22"/>
      <c r="QTW22"/>
      <c r="QTX22"/>
      <c r="QTY22"/>
      <c r="QTZ22"/>
      <c r="QUA22"/>
      <c r="QUB22"/>
      <c r="QUC22"/>
      <c r="QUD22"/>
      <c r="QUE22"/>
      <c r="QUF22"/>
      <c r="QUG22"/>
      <c r="QUH22"/>
      <c r="QUI22"/>
      <c r="QUJ22"/>
      <c r="QUK22"/>
      <c r="QUL22"/>
      <c r="QUM22"/>
      <c r="QUN22"/>
      <c r="QUO22"/>
      <c r="QUP22"/>
      <c r="QUQ22"/>
      <c r="QUR22"/>
      <c r="QUS22"/>
      <c r="QUT22"/>
      <c r="QUU22"/>
      <c r="QUV22"/>
      <c r="QUW22"/>
      <c r="QUX22"/>
      <c r="QUY22"/>
      <c r="QUZ22"/>
      <c r="QVA22"/>
      <c r="QVB22"/>
      <c r="QVC22"/>
      <c r="QVD22"/>
      <c r="QVE22"/>
      <c r="QVF22"/>
      <c r="QVG22"/>
      <c r="QVH22"/>
      <c r="QVI22"/>
      <c r="QVJ22"/>
      <c r="QVK22"/>
      <c r="QVL22"/>
      <c r="QVM22"/>
      <c r="QVN22"/>
      <c r="QVO22"/>
      <c r="QVP22"/>
      <c r="QVQ22"/>
      <c r="QVR22"/>
      <c r="QVS22"/>
      <c r="QVT22"/>
      <c r="QVU22"/>
      <c r="QVV22"/>
      <c r="QVW22"/>
      <c r="QVX22"/>
      <c r="QVY22"/>
      <c r="QVZ22"/>
      <c r="QWA22"/>
      <c r="QWB22"/>
      <c r="QWC22"/>
      <c r="QWD22"/>
      <c r="QWE22"/>
      <c r="QWF22"/>
      <c r="QWG22"/>
      <c r="QWH22"/>
      <c r="QWI22"/>
      <c r="QWJ22"/>
      <c r="QWK22"/>
      <c r="QWL22"/>
      <c r="QWM22"/>
      <c r="QWN22"/>
      <c r="QWO22"/>
      <c r="QWP22"/>
      <c r="QWQ22"/>
      <c r="QWR22"/>
      <c r="QWS22"/>
      <c r="QWT22"/>
      <c r="QWU22"/>
      <c r="QWV22"/>
      <c r="QWW22"/>
      <c r="QWX22"/>
      <c r="QWY22"/>
      <c r="QWZ22"/>
      <c r="QXA22"/>
      <c r="QXB22"/>
      <c r="QXC22"/>
      <c r="QXD22"/>
      <c r="QXE22"/>
      <c r="QXF22"/>
      <c r="QXG22"/>
      <c r="QXH22"/>
      <c r="QXI22"/>
      <c r="QXJ22"/>
      <c r="QXK22"/>
      <c r="QXL22"/>
      <c r="QXM22"/>
      <c r="QXN22"/>
      <c r="QXO22"/>
      <c r="QXP22"/>
      <c r="QXQ22"/>
      <c r="QXR22"/>
      <c r="QXS22"/>
      <c r="QXT22"/>
      <c r="QXU22"/>
      <c r="QXV22"/>
      <c r="QXW22"/>
      <c r="QXX22"/>
      <c r="QXY22"/>
      <c r="QXZ22"/>
      <c r="QYA22"/>
      <c r="QYB22"/>
      <c r="QYC22"/>
      <c r="QYD22"/>
      <c r="QYE22"/>
      <c r="QYF22"/>
      <c r="QYG22"/>
      <c r="QYH22"/>
      <c r="QYI22"/>
      <c r="QYJ22"/>
      <c r="QYK22"/>
      <c r="QYL22"/>
      <c r="QYM22"/>
      <c r="QYN22"/>
      <c r="QYO22"/>
      <c r="QYP22"/>
      <c r="QYQ22"/>
      <c r="QYR22"/>
      <c r="QYS22"/>
      <c r="QYT22"/>
      <c r="QYU22"/>
      <c r="QYV22"/>
      <c r="QYW22"/>
      <c r="QYX22"/>
      <c r="QYY22"/>
      <c r="QYZ22"/>
      <c r="QZA22"/>
      <c r="QZB22"/>
      <c r="QZC22"/>
      <c r="QZD22"/>
      <c r="QZE22"/>
      <c r="QZF22"/>
      <c r="QZG22"/>
      <c r="QZH22"/>
      <c r="QZI22"/>
      <c r="QZJ22"/>
      <c r="QZK22"/>
      <c r="QZL22"/>
      <c r="QZM22"/>
      <c r="QZN22"/>
      <c r="QZO22"/>
      <c r="QZP22"/>
      <c r="QZQ22"/>
      <c r="QZR22"/>
      <c r="QZS22"/>
      <c r="QZT22"/>
      <c r="QZU22"/>
      <c r="QZV22"/>
      <c r="QZW22"/>
      <c r="QZX22"/>
      <c r="QZY22"/>
      <c r="QZZ22"/>
      <c r="RAA22"/>
      <c r="RAB22"/>
      <c r="RAC22"/>
      <c r="RAD22"/>
      <c r="RAE22"/>
      <c r="RAF22"/>
      <c r="RAG22"/>
      <c r="RAH22"/>
      <c r="RAI22"/>
      <c r="RAJ22"/>
      <c r="RAK22"/>
      <c r="RAL22"/>
      <c r="RAM22"/>
      <c r="RAN22"/>
      <c r="RAO22"/>
      <c r="RAP22"/>
      <c r="RAQ22"/>
      <c r="RAR22"/>
      <c r="RAS22"/>
      <c r="RAT22"/>
      <c r="RAU22"/>
      <c r="RAV22"/>
      <c r="RAW22"/>
      <c r="RAX22"/>
      <c r="RAY22"/>
      <c r="RAZ22"/>
      <c r="RBA22"/>
      <c r="RBB22"/>
      <c r="RBC22"/>
      <c r="RBD22"/>
      <c r="RBE22"/>
      <c r="RBF22"/>
      <c r="RBG22"/>
      <c r="RBH22"/>
      <c r="RBI22"/>
      <c r="RBJ22"/>
      <c r="RBK22"/>
      <c r="RBL22"/>
      <c r="RBM22"/>
      <c r="RBN22"/>
      <c r="RBO22"/>
      <c r="RBP22"/>
      <c r="RBQ22"/>
      <c r="RBR22"/>
      <c r="RBS22"/>
      <c r="RBT22"/>
      <c r="RBU22"/>
      <c r="RBV22"/>
      <c r="RBW22"/>
      <c r="RBX22"/>
      <c r="RBY22"/>
      <c r="RBZ22"/>
      <c r="RCA22"/>
      <c r="RCB22"/>
      <c r="RCC22"/>
      <c r="RCD22"/>
      <c r="RCE22"/>
      <c r="RCF22"/>
      <c r="RCG22"/>
      <c r="RCH22"/>
      <c r="RCI22"/>
      <c r="RCJ22"/>
      <c r="RCK22"/>
      <c r="RCL22"/>
      <c r="RCM22"/>
      <c r="RCN22"/>
      <c r="RCO22"/>
      <c r="RCP22"/>
      <c r="RCQ22"/>
      <c r="RCR22"/>
      <c r="RCS22"/>
      <c r="RCT22"/>
      <c r="RCU22"/>
      <c r="RCV22"/>
      <c r="RCW22"/>
      <c r="RCX22"/>
      <c r="RCY22"/>
      <c r="RCZ22"/>
      <c r="RDA22"/>
      <c r="RDB22"/>
      <c r="RDC22"/>
      <c r="RDD22"/>
      <c r="RDE22"/>
      <c r="RDF22"/>
      <c r="RDG22"/>
      <c r="RDH22"/>
      <c r="RDI22"/>
      <c r="RDJ22"/>
      <c r="RDK22"/>
      <c r="RDL22"/>
      <c r="RDM22"/>
      <c r="RDN22"/>
      <c r="RDO22"/>
      <c r="RDP22"/>
      <c r="RDQ22"/>
      <c r="RDR22"/>
      <c r="RDS22"/>
      <c r="RDT22"/>
      <c r="RDU22"/>
      <c r="RDV22"/>
      <c r="RDW22"/>
      <c r="RDX22"/>
      <c r="RDY22"/>
      <c r="RDZ22"/>
      <c r="REA22"/>
      <c r="REB22"/>
      <c r="REC22"/>
      <c r="RED22"/>
      <c r="REE22"/>
      <c r="REF22"/>
      <c r="REG22"/>
      <c r="REH22"/>
      <c r="REI22"/>
      <c r="REJ22"/>
      <c r="REK22"/>
      <c r="REL22"/>
      <c r="REM22"/>
      <c r="REN22"/>
      <c r="REO22"/>
      <c r="REP22"/>
      <c r="REQ22"/>
      <c r="RER22"/>
      <c r="RES22"/>
      <c r="RET22"/>
      <c r="REU22"/>
      <c r="REV22"/>
      <c r="REW22"/>
      <c r="REX22"/>
      <c r="REY22"/>
      <c r="REZ22"/>
      <c r="RFA22"/>
      <c r="RFB22"/>
      <c r="RFC22"/>
      <c r="RFD22"/>
      <c r="RFE22"/>
      <c r="RFF22"/>
      <c r="RFG22"/>
      <c r="RFH22"/>
      <c r="RFI22"/>
      <c r="RFJ22"/>
      <c r="RFK22"/>
      <c r="RFL22"/>
      <c r="RFM22"/>
      <c r="RFN22"/>
      <c r="RFO22"/>
      <c r="RFP22"/>
      <c r="RFQ22"/>
      <c r="RFR22"/>
      <c r="RFS22"/>
      <c r="RFT22"/>
      <c r="RFU22"/>
      <c r="RFV22"/>
      <c r="RFW22"/>
      <c r="RFX22"/>
      <c r="RFY22"/>
      <c r="RFZ22"/>
      <c r="RGA22"/>
      <c r="RGB22"/>
      <c r="RGC22"/>
      <c r="RGD22"/>
      <c r="RGE22"/>
      <c r="RGF22"/>
      <c r="RGG22"/>
      <c r="RGH22"/>
      <c r="RGI22"/>
      <c r="RGJ22"/>
      <c r="RGK22"/>
      <c r="RGL22"/>
      <c r="RGM22"/>
      <c r="RGN22"/>
      <c r="RGO22"/>
      <c r="RGP22"/>
      <c r="RGQ22"/>
      <c r="RGR22"/>
      <c r="RGS22"/>
      <c r="RGT22"/>
      <c r="RGU22"/>
      <c r="RGV22"/>
      <c r="RGW22"/>
      <c r="RGX22"/>
      <c r="RGY22"/>
      <c r="RGZ22"/>
      <c r="RHA22"/>
      <c r="RHB22"/>
      <c r="RHC22"/>
      <c r="RHD22"/>
      <c r="RHE22"/>
      <c r="RHF22"/>
      <c r="RHG22"/>
      <c r="RHH22"/>
      <c r="RHI22"/>
      <c r="RHJ22"/>
      <c r="RHK22"/>
      <c r="RHL22"/>
      <c r="RHM22"/>
      <c r="RHN22"/>
      <c r="RHO22"/>
      <c r="RHP22"/>
      <c r="RHQ22"/>
      <c r="RHR22"/>
      <c r="RHS22"/>
      <c r="RHT22"/>
      <c r="RHU22"/>
      <c r="RHV22"/>
      <c r="RHW22"/>
      <c r="RHX22"/>
      <c r="RHY22"/>
      <c r="RHZ22"/>
      <c r="RIA22"/>
      <c r="RIB22"/>
      <c r="RIC22"/>
      <c r="RID22"/>
      <c r="RIE22"/>
      <c r="RIF22"/>
      <c r="RIG22"/>
      <c r="RIH22"/>
      <c r="RII22"/>
      <c r="RIJ22"/>
      <c r="RIK22"/>
      <c r="RIL22"/>
      <c r="RIM22"/>
      <c r="RIN22"/>
      <c r="RIO22"/>
      <c r="RIP22"/>
      <c r="RIQ22"/>
      <c r="RIR22"/>
      <c r="RIS22"/>
      <c r="RIT22"/>
      <c r="RIU22"/>
      <c r="RIV22"/>
      <c r="RIW22"/>
      <c r="RIX22"/>
      <c r="RIY22"/>
      <c r="RIZ22"/>
      <c r="RJA22"/>
      <c r="RJB22"/>
      <c r="RJC22"/>
      <c r="RJD22"/>
      <c r="RJE22"/>
      <c r="RJF22"/>
      <c r="RJG22"/>
      <c r="RJH22"/>
      <c r="RJI22"/>
      <c r="RJJ22"/>
      <c r="RJK22"/>
      <c r="RJL22"/>
      <c r="RJM22"/>
      <c r="RJN22"/>
      <c r="RJO22"/>
      <c r="RJP22"/>
      <c r="RJQ22"/>
      <c r="RJR22"/>
      <c r="RJS22"/>
      <c r="RJT22"/>
      <c r="RJU22"/>
      <c r="RJV22"/>
      <c r="RJW22"/>
      <c r="RJX22"/>
      <c r="RJY22"/>
      <c r="RJZ22"/>
      <c r="RKA22"/>
      <c r="RKB22"/>
      <c r="RKC22"/>
      <c r="RKD22"/>
      <c r="RKE22"/>
      <c r="RKF22"/>
      <c r="RKG22"/>
      <c r="RKH22"/>
      <c r="RKI22"/>
      <c r="RKJ22"/>
      <c r="RKK22"/>
      <c r="RKL22"/>
      <c r="RKM22"/>
      <c r="RKN22"/>
      <c r="RKO22"/>
      <c r="RKP22"/>
      <c r="RKQ22"/>
      <c r="RKR22"/>
      <c r="RKS22"/>
      <c r="RKT22"/>
      <c r="RKU22"/>
      <c r="RKV22"/>
      <c r="RKW22"/>
      <c r="RKX22"/>
      <c r="RKY22"/>
      <c r="RKZ22"/>
      <c r="RLA22"/>
      <c r="RLB22"/>
      <c r="RLC22"/>
      <c r="RLD22"/>
      <c r="RLE22"/>
      <c r="RLF22"/>
      <c r="RLG22"/>
      <c r="RLH22"/>
      <c r="RLI22"/>
      <c r="RLJ22"/>
      <c r="RLK22"/>
      <c r="RLL22"/>
      <c r="RLM22"/>
      <c r="RLN22"/>
      <c r="RLO22"/>
      <c r="RLP22"/>
      <c r="RLQ22"/>
      <c r="RLR22"/>
      <c r="RLS22"/>
      <c r="RLT22"/>
      <c r="RLU22"/>
      <c r="RLV22"/>
      <c r="RLW22"/>
      <c r="RLX22"/>
      <c r="RLY22"/>
      <c r="RLZ22"/>
      <c r="RMA22"/>
      <c r="RMB22"/>
      <c r="RMC22"/>
      <c r="RMD22"/>
      <c r="RME22"/>
      <c r="RMF22"/>
      <c r="RMG22"/>
      <c r="RMH22"/>
      <c r="RMI22"/>
      <c r="RMJ22"/>
      <c r="RMK22"/>
      <c r="RML22"/>
      <c r="RMM22"/>
      <c r="RMN22"/>
      <c r="RMO22"/>
      <c r="RMP22"/>
      <c r="RMQ22"/>
      <c r="RMR22"/>
      <c r="RMS22"/>
      <c r="RMT22"/>
      <c r="RMU22"/>
      <c r="RMV22"/>
      <c r="RMW22"/>
      <c r="RMX22"/>
      <c r="RMY22"/>
      <c r="RMZ22"/>
      <c r="RNA22"/>
      <c r="RNB22"/>
      <c r="RNC22"/>
      <c r="RND22"/>
      <c r="RNE22"/>
      <c r="RNF22"/>
      <c r="RNG22"/>
      <c r="RNH22"/>
      <c r="RNI22"/>
      <c r="RNJ22"/>
      <c r="RNK22"/>
      <c r="RNL22"/>
      <c r="RNM22"/>
      <c r="RNN22"/>
      <c r="RNO22"/>
      <c r="RNP22"/>
      <c r="RNQ22"/>
      <c r="RNR22"/>
      <c r="RNS22"/>
      <c r="RNT22"/>
      <c r="RNU22"/>
      <c r="RNV22"/>
      <c r="RNW22"/>
      <c r="RNX22"/>
      <c r="RNY22"/>
      <c r="RNZ22"/>
      <c r="ROA22"/>
      <c r="ROB22"/>
      <c r="ROC22"/>
      <c r="ROD22"/>
      <c r="ROE22"/>
      <c r="ROF22"/>
      <c r="ROG22"/>
      <c r="ROH22"/>
      <c r="ROI22"/>
      <c r="ROJ22"/>
      <c r="ROK22"/>
      <c r="ROL22"/>
      <c r="ROM22"/>
      <c r="RON22"/>
      <c r="ROO22"/>
      <c r="ROP22"/>
      <c r="ROQ22"/>
      <c r="ROR22"/>
      <c r="ROS22"/>
      <c r="ROT22"/>
      <c r="ROU22"/>
      <c r="ROV22"/>
      <c r="ROW22"/>
      <c r="ROX22"/>
      <c r="ROY22"/>
      <c r="ROZ22"/>
      <c r="RPA22"/>
      <c r="RPB22"/>
      <c r="RPC22"/>
      <c r="RPD22"/>
      <c r="RPE22"/>
      <c r="RPF22"/>
      <c r="RPG22"/>
      <c r="RPH22"/>
      <c r="RPI22"/>
      <c r="RPJ22"/>
      <c r="RPK22"/>
      <c r="RPL22"/>
      <c r="RPM22"/>
      <c r="RPN22"/>
      <c r="RPO22"/>
      <c r="RPP22"/>
      <c r="RPQ22"/>
      <c r="RPR22"/>
      <c r="RPS22"/>
      <c r="RPT22"/>
      <c r="RPU22"/>
      <c r="RPV22"/>
      <c r="RPW22"/>
      <c r="RPX22"/>
      <c r="RPY22"/>
      <c r="RPZ22"/>
      <c r="RQA22"/>
      <c r="RQB22"/>
      <c r="RQC22"/>
      <c r="RQD22"/>
      <c r="RQE22"/>
      <c r="RQF22"/>
      <c r="RQG22"/>
      <c r="RQH22"/>
      <c r="RQI22"/>
      <c r="RQJ22"/>
      <c r="RQK22"/>
      <c r="RQL22"/>
      <c r="RQM22"/>
      <c r="RQN22"/>
      <c r="RQO22"/>
      <c r="RQP22"/>
      <c r="RQQ22"/>
      <c r="RQR22"/>
      <c r="RQS22"/>
      <c r="RQT22"/>
      <c r="RQU22"/>
      <c r="RQV22"/>
      <c r="RQW22"/>
      <c r="RQX22"/>
      <c r="RQY22"/>
      <c r="RQZ22"/>
      <c r="RRA22"/>
      <c r="RRB22"/>
      <c r="RRC22"/>
      <c r="RRD22"/>
      <c r="RRE22"/>
      <c r="RRF22"/>
      <c r="RRG22"/>
      <c r="RRH22"/>
      <c r="RRI22"/>
      <c r="RRJ22"/>
      <c r="RRK22"/>
      <c r="RRL22"/>
      <c r="RRM22"/>
      <c r="RRN22"/>
      <c r="RRO22"/>
      <c r="RRP22"/>
      <c r="RRQ22"/>
      <c r="RRR22"/>
      <c r="RRS22"/>
      <c r="RRT22"/>
      <c r="RRU22"/>
      <c r="RRV22"/>
      <c r="RRW22"/>
      <c r="RRX22"/>
      <c r="RRY22"/>
      <c r="RRZ22"/>
      <c r="RSA22"/>
      <c r="RSB22"/>
      <c r="RSC22"/>
      <c r="RSD22"/>
      <c r="RSE22"/>
      <c r="RSF22"/>
      <c r="RSG22"/>
      <c r="RSH22"/>
      <c r="RSI22"/>
      <c r="RSJ22"/>
      <c r="RSK22"/>
      <c r="RSL22"/>
      <c r="RSM22"/>
      <c r="RSN22"/>
      <c r="RSO22"/>
      <c r="RSP22"/>
      <c r="RSQ22"/>
      <c r="RSR22"/>
      <c r="RSS22"/>
      <c r="RST22"/>
      <c r="RSU22"/>
      <c r="RSV22"/>
      <c r="RSW22"/>
      <c r="RSX22"/>
      <c r="RSY22"/>
      <c r="RSZ22"/>
      <c r="RTA22"/>
      <c r="RTB22"/>
      <c r="RTC22"/>
      <c r="RTD22"/>
      <c r="RTE22"/>
      <c r="RTF22"/>
      <c r="RTG22"/>
      <c r="RTH22"/>
      <c r="RTI22"/>
      <c r="RTJ22"/>
      <c r="RTK22"/>
      <c r="RTL22"/>
      <c r="RTM22"/>
      <c r="RTN22"/>
      <c r="RTO22"/>
      <c r="RTP22"/>
      <c r="RTQ22"/>
      <c r="RTR22"/>
      <c r="RTS22"/>
      <c r="RTT22"/>
      <c r="RTU22"/>
      <c r="RTV22"/>
      <c r="RTW22"/>
      <c r="RTX22"/>
      <c r="RTY22"/>
      <c r="RTZ22"/>
      <c r="RUA22"/>
      <c r="RUB22"/>
      <c r="RUC22"/>
      <c r="RUD22"/>
      <c r="RUE22"/>
      <c r="RUF22"/>
      <c r="RUG22"/>
      <c r="RUH22"/>
      <c r="RUI22"/>
      <c r="RUJ22"/>
      <c r="RUK22"/>
      <c r="RUL22"/>
      <c r="RUM22"/>
      <c r="RUN22"/>
      <c r="RUO22"/>
      <c r="RUP22"/>
      <c r="RUQ22"/>
      <c r="RUR22"/>
      <c r="RUS22"/>
      <c r="RUT22"/>
      <c r="RUU22"/>
      <c r="RUV22"/>
      <c r="RUW22"/>
      <c r="RUX22"/>
      <c r="RUY22"/>
      <c r="RUZ22"/>
      <c r="RVA22"/>
      <c r="RVB22"/>
      <c r="RVC22"/>
      <c r="RVD22"/>
      <c r="RVE22"/>
      <c r="RVF22"/>
      <c r="RVG22"/>
      <c r="RVH22"/>
      <c r="RVI22"/>
      <c r="RVJ22"/>
      <c r="RVK22"/>
      <c r="RVL22"/>
      <c r="RVM22"/>
      <c r="RVN22"/>
      <c r="RVO22"/>
      <c r="RVP22"/>
      <c r="RVQ22"/>
      <c r="RVR22"/>
      <c r="RVS22"/>
      <c r="RVT22"/>
      <c r="RVU22"/>
      <c r="RVV22"/>
      <c r="RVW22"/>
      <c r="RVX22"/>
      <c r="RVY22"/>
      <c r="RVZ22"/>
      <c r="RWA22"/>
      <c r="RWB22"/>
      <c r="RWC22"/>
      <c r="RWD22"/>
      <c r="RWE22"/>
      <c r="RWF22"/>
      <c r="RWG22"/>
      <c r="RWH22"/>
      <c r="RWI22"/>
      <c r="RWJ22"/>
      <c r="RWK22"/>
      <c r="RWL22"/>
      <c r="RWM22"/>
      <c r="RWN22"/>
      <c r="RWO22"/>
      <c r="RWP22"/>
      <c r="RWQ22"/>
      <c r="RWR22"/>
      <c r="RWS22"/>
      <c r="RWT22"/>
      <c r="RWU22"/>
      <c r="RWV22"/>
      <c r="RWW22"/>
      <c r="RWX22"/>
      <c r="RWY22"/>
      <c r="RWZ22"/>
      <c r="RXA22"/>
      <c r="RXB22"/>
      <c r="RXC22"/>
      <c r="RXD22"/>
      <c r="RXE22"/>
      <c r="RXF22"/>
      <c r="RXG22"/>
      <c r="RXH22"/>
      <c r="RXI22"/>
      <c r="RXJ22"/>
      <c r="RXK22"/>
      <c r="RXL22"/>
      <c r="RXM22"/>
      <c r="RXN22"/>
      <c r="RXO22"/>
      <c r="RXP22"/>
      <c r="RXQ22"/>
      <c r="RXR22"/>
      <c r="RXS22"/>
      <c r="RXT22"/>
      <c r="RXU22"/>
      <c r="RXV22"/>
      <c r="RXW22"/>
      <c r="RXX22"/>
      <c r="RXY22"/>
      <c r="RXZ22"/>
      <c r="RYA22"/>
      <c r="RYB22"/>
      <c r="RYC22"/>
      <c r="RYD22"/>
      <c r="RYE22"/>
      <c r="RYF22"/>
      <c r="RYG22"/>
      <c r="RYH22"/>
      <c r="RYI22"/>
      <c r="RYJ22"/>
      <c r="RYK22"/>
      <c r="RYL22"/>
      <c r="RYM22"/>
      <c r="RYN22"/>
      <c r="RYO22"/>
      <c r="RYP22"/>
      <c r="RYQ22"/>
      <c r="RYR22"/>
      <c r="RYS22"/>
      <c r="RYT22"/>
      <c r="RYU22"/>
      <c r="RYV22"/>
      <c r="RYW22"/>
      <c r="RYX22"/>
      <c r="RYY22"/>
      <c r="RYZ22"/>
      <c r="RZA22"/>
      <c r="RZB22"/>
      <c r="RZC22"/>
      <c r="RZD22"/>
      <c r="RZE22"/>
      <c r="RZF22"/>
      <c r="RZG22"/>
      <c r="RZH22"/>
      <c r="RZI22"/>
      <c r="RZJ22"/>
      <c r="RZK22"/>
      <c r="RZL22"/>
      <c r="RZM22"/>
      <c r="RZN22"/>
      <c r="RZO22"/>
      <c r="RZP22"/>
      <c r="RZQ22"/>
      <c r="RZR22"/>
      <c r="RZS22"/>
      <c r="RZT22"/>
      <c r="RZU22"/>
      <c r="RZV22"/>
      <c r="RZW22"/>
      <c r="RZX22"/>
      <c r="RZY22"/>
      <c r="RZZ22"/>
      <c r="SAA22"/>
      <c r="SAB22"/>
      <c r="SAC22"/>
      <c r="SAD22"/>
      <c r="SAE22"/>
      <c r="SAF22"/>
      <c r="SAG22"/>
      <c r="SAH22"/>
      <c r="SAI22"/>
      <c r="SAJ22"/>
      <c r="SAK22"/>
      <c r="SAL22"/>
      <c r="SAM22"/>
      <c r="SAN22"/>
      <c r="SAO22"/>
      <c r="SAP22"/>
      <c r="SAQ22"/>
      <c r="SAR22"/>
      <c r="SAS22"/>
      <c r="SAT22"/>
      <c r="SAU22"/>
      <c r="SAV22"/>
      <c r="SAW22"/>
      <c r="SAX22"/>
      <c r="SAY22"/>
      <c r="SAZ22"/>
      <c r="SBA22"/>
      <c r="SBB22"/>
      <c r="SBC22"/>
      <c r="SBD22"/>
      <c r="SBE22"/>
      <c r="SBF22"/>
      <c r="SBG22"/>
      <c r="SBH22"/>
      <c r="SBI22"/>
      <c r="SBJ22"/>
      <c r="SBK22"/>
      <c r="SBL22"/>
      <c r="SBM22"/>
      <c r="SBN22"/>
      <c r="SBO22"/>
      <c r="SBP22"/>
      <c r="SBQ22"/>
      <c r="SBR22"/>
      <c r="SBS22"/>
      <c r="SBT22"/>
      <c r="SBU22"/>
      <c r="SBV22"/>
      <c r="SBW22"/>
      <c r="SBX22"/>
      <c r="SBY22"/>
      <c r="SBZ22"/>
      <c r="SCA22"/>
      <c r="SCB22"/>
      <c r="SCC22"/>
      <c r="SCD22"/>
      <c r="SCE22"/>
      <c r="SCF22"/>
      <c r="SCG22"/>
      <c r="SCH22"/>
      <c r="SCI22"/>
      <c r="SCJ22"/>
      <c r="SCK22"/>
      <c r="SCL22"/>
      <c r="SCM22"/>
      <c r="SCN22"/>
      <c r="SCO22"/>
      <c r="SCP22"/>
      <c r="SCQ22"/>
      <c r="SCR22"/>
      <c r="SCS22"/>
      <c r="SCT22"/>
      <c r="SCU22"/>
      <c r="SCV22"/>
      <c r="SCW22"/>
      <c r="SCX22"/>
      <c r="SCY22"/>
      <c r="SCZ22"/>
      <c r="SDA22"/>
      <c r="SDB22"/>
      <c r="SDC22"/>
      <c r="SDD22"/>
      <c r="SDE22"/>
      <c r="SDF22"/>
      <c r="SDG22"/>
      <c r="SDH22"/>
      <c r="SDI22"/>
      <c r="SDJ22"/>
      <c r="SDK22"/>
      <c r="SDL22"/>
      <c r="SDM22"/>
      <c r="SDN22"/>
      <c r="SDO22"/>
      <c r="SDP22"/>
      <c r="SDQ22"/>
      <c r="SDR22"/>
      <c r="SDS22"/>
      <c r="SDT22"/>
      <c r="SDU22"/>
      <c r="SDV22"/>
      <c r="SDW22"/>
      <c r="SDX22"/>
      <c r="SDY22"/>
      <c r="SDZ22"/>
      <c r="SEA22"/>
      <c r="SEB22"/>
      <c r="SEC22"/>
      <c r="SED22"/>
      <c r="SEE22"/>
      <c r="SEF22"/>
      <c r="SEG22"/>
      <c r="SEH22"/>
      <c r="SEI22"/>
      <c r="SEJ22"/>
      <c r="SEK22"/>
      <c r="SEL22"/>
      <c r="SEM22"/>
      <c r="SEN22"/>
      <c r="SEO22"/>
      <c r="SEP22"/>
      <c r="SEQ22"/>
      <c r="SER22"/>
      <c r="SES22"/>
      <c r="SET22"/>
      <c r="SEU22"/>
      <c r="SEV22"/>
      <c r="SEW22"/>
      <c r="SEX22"/>
      <c r="SEY22"/>
      <c r="SEZ22"/>
      <c r="SFA22"/>
      <c r="SFB22"/>
      <c r="SFC22"/>
      <c r="SFD22"/>
      <c r="SFE22"/>
      <c r="SFF22"/>
      <c r="SFG22"/>
      <c r="SFH22"/>
      <c r="SFI22"/>
      <c r="SFJ22"/>
      <c r="SFK22"/>
      <c r="SFL22"/>
      <c r="SFM22"/>
      <c r="SFN22"/>
      <c r="SFO22"/>
      <c r="SFP22"/>
      <c r="SFQ22"/>
      <c r="SFR22"/>
      <c r="SFS22"/>
      <c r="SFT22"/>
      <c r="SFU22"/>
      <c r="SFV22"/>
      <c r="SFW22"/>
      <c r="SFX22"/>
      <c r="SFY22"/>
      <c r="SFZ22"/>
      <c r="SGA22"/>
      <c r="SGB22"/>
      <c r="SGC22"/>
      <c r="SGD22"/>
      <c r="SGE22"/>
      <c r="SGF22"/>
      <c r="SGG22"/>
      <c r="SGH22"/>
      <c r="SGI22"/>
      <c r="SGJ22"/>
      <c r="SGK22"/>
      <c r="SGL22"/>
      <c r="SGM22"/>
      <c r="SGN22"/>
      <c r="SGO22"/>
      <c r="SGP22"/>
      <c r="SGQ22"/>
      <c r="SGR22"/>
      <c r="SGS22"/>
      <c r="SGT22"/>
      <c r="SGU22"/>
      <c r="SGV22"/>
      <c r="SGW22"/>
      <c r="SGX22"/>
      <c r="SGY22"/>
      <c r="SGZ22"/>
      <c r="SHA22"/>
      <c r="SHB22"/>
      <c r="SHC22"/>
      <c r="SHD22"/>
      <c r="SHE22"/>
      <c r="SHF22"/>
      <c r="SHG22"/>
      <c r="SHH22"/>
      <c r="SHI22"/>
      <c r="SHJ22"/>
      <c r="SHK22"/>
      <c r="SHL22"/>
      <c r="SHM22"/>
      <c r="SHN22"/>
      <c r="SHO22"/>
      <c r="SHP22"/>
      <c r="SHQ22"/>
      <c r="SHR22"/>
      <c r="SHS22"/>
      <c r="SHT22"/>
      <c r="SHU22"/>
      <c r="SHV22"/>
      <c r="SHW22"/>
      <c r="SHX22"/>
      <c r="SHY22"/>
      <c r="SHZ22"/>
      <c r="SIA22"/>
      <c r="SIB22"/>
      <c r="SIC22"/>
      <c r="SID22"/>
      <c r="SIE22"/>
      <c r="SIF22"/>
      <c r="SIG22"/>
      <c r="SIH22"/>
      <c r="SII22"/>
      <c r="SIJ22"/>
      <c r="SIK22"/>
      <c r="SIL22"/>
      <c r="SIM22"/>
      <c r="SIN22"/>
      <c r="SIO22"/>
      <c r="SIP22"/>
      <c r="SIQ22"/>
      <c r="SIR22"/>
      <c r="SIS22"/>
      <c r="SIT22"/>
      <c r="SIU22"/>
      <c r="SIV22"/>
      <c r="SIW22"/>
      <c r="SIX22"/>
      <c r="SIY22"/>
      <c r="SIZ22"/>
      <c r="SJA22"/>
      <c r="SJB22"/>
      <c r="SJC22"/>
      <c r="SJD22"/>
      <c r="SJE22"/>
      <c r="SJF22"/>
      <c r="SJG22"/>
      <c r="SJH22"/>
      <c r="SJI22"/>
      <c r="SJJ22"/>
      <c r="SJK22"/>
      <c r="SJL22"/>
      <c r="SJM22"/>
      <c r="SJN22"/>
      <c r="SJO22"/>
      <c r="SJP22"/>
      <c r="SJQ22"/>
      <c r="SJR22"/>
      <c r="SJS22"/>
      <c r="SJT22"/>
      <c r="SJU22"/>
      <c r="SJV22"/>
      <c r="SJW22"/>
      <c r="SJX22"/>
      <c r="SJY22"/>
      <c r="SJZ22"/>
      <c r="SKA22"/>
      <c r="SKB22"/>
      <c r="SKC22"/>
      <c r="SKD22"/>
      <c r="SKE22"/>
      <c r="SKF22"/>
      <c r="SKG22"/>
      <c r="SKH22"/>
      <c r="SKI22"/>
      <c r="SKJ22"/>
      <c r="SKK22"/>
      <c r="SKL22"/>
      <c r="SKM22"/>
      <c r="SKN22"/>
      <c r="SKO22"/>
      <c r="SKP22"/>
      <c r="SKQ22"/>
      <c r="SKR22"/>
      <c r="SKS22"/>
      <c r="SKT22"/>
      <c r="SKU22"/>
      <c r="SKV22"/>
      <c r="SKW22"/>
      <c r="SKX22"/>
      <c r="SKY22"/>
      <c r="SKZ22"/>
      <c r="SLA22"/>
      <c r="SLB22"/>
      <c r="SLC22"/>
      <c r="SLD22"/>
      <c r="SLE22"/>
      <c r="SLF22"/>
      <c r="SLG22"/>
      <c r="SLH22"/>
      <c r="SLI22"/>
      <c r="SLJ22"/>
      <c r="SLK22"/>
      <c r="SLL22"/>
      <c r="SLM22"/>
      <c r="SLN22"/>
      <c r="SLO22"/>
      <c r="SLP22"/>
      <c r="SLQ22"/>
      <c r="SLR22"/>
      <c r="SLS22"/>
      <c r="SLT22"/>
      <c r="SLU22"/>
      <c r="SLV22"/>
      <c r="SLW22"/>
      <c r="SLX22"/>
      <c r="SLY22"/>
      <c r="SLZ22"/>
      <c r="SMA22"/>
      <c r="SMB22"/>
      <c r="SMC22"/>
      <c r="SMD22"/>
      <c r="SME22"/>
      <c r="SMF22"/>
      <c r="SMG22"/>
      <c r="SMH22"/>
      <c r="SMI22"/>
      <c r="SMJ22"/>
      <c r="SMK22"/>
      <c r="SML22"/>
      <c r="SMM22"/>
      <c r="SMN22"/>
      <c r="SMO22"/>
      <c r="SMP22"/>
      <c r="SMQ22"/>
      <c r="SMR22"/>
      <c r="SMS22"/>
      <c r="SMT22"/>
      <c r="SMU22"/>
      <c r="SMV22"/>
      <c r="SMW22"/>
      <c r="SMX22"/>
      <c r="SMY22"/>
      <c r="SMZ22"/>
      <c r="SNA22"/>
      <c r="SNB22"/>
      <c r="SNC22"/>
      <c r="SND22"/>
      <c r="SNE22"/>
      <c r="SNF22"/>
      <c r="SNG22"/>
      <c r="SNH22"/>
      <c r="SNI22"/>
      <c r="SNJ22"/>
      <c r="SNK22"/>
      <c r="SNL22"/>
      <c r="SNM22"/>
      <c r="SNN22"/>
      <c r="SNO22"/>
      <c r="SNP22"/>
      <c r="SNQ22"/>
      <c r="SNR22"/>
      <c r="SNS22"/>
      <c r="SNT22"/>
      <c r="SNU22"/>
      <c r="SNV22"/>
      <c r="SNW22"/>
      <c r="SNX22"/>
      <c r="SNY22"/>
      <c r="SNZ22"/>
      <c r="SOA22"/>
      <c r="SOB22"/>
      <c r="SOC22"/>
      <c r="SOD22"/>
      <c r="SOE22"/>
      <c r="SOF22"/>
      <c r="SOG22"/>
      <c r="SOH22"/>
      <c r="SOI22"/>
      <c r="SOJ22"/>
      <c r="SOK22"/>
      <c r="SOL22"/>
      <c r="SOM22"/>
      <c r="SON22"/>
      <c r="SOO22"/>
      <c r="SOP22"/>
      <c r="SOQ22"/>
      <c r="SOR22"/>
      <c r="SOS22"/>
      <c r="SOT22"/>
      <c r="SOU22"/>
      <c r="SOV22"/>
      <c r="SOW22"/>
      <c r="SOX22"/>
      <c r="SOY22"/>
      <c r="SOZ22"/>
      <c r="SPA22"/>
      <c r="SPB22"/>
      <c r="SPC22"/>
      <c r="SPD22"/>
      <c r="SPE22"/>
      <c r="SPF22"/>
      <c r="SPG22"/>
      <c r="SPH22"/>
      <c r="SPI22"/>
      <c r="SPJ22"/>
      <c r="SPK22"/>
      <c r="SPL22"/>
      <c r="SPM22"/>
      <c r="SPN22"/>
      <c r="SPO22"/>
      <c r="SPP22"/>
      <c r="SPQ22"/>
      <c r="SPR22"/>
      <c r="SPS22"/>
      <c r="SPT22"/>
      <c r="SPU22"/>
      <c r="SPV22"/>
      <c r="SPW22"/>
      <c r="SPX22"/>
      <c r="SPY22"/>
      <c r="SPZ22"/>
      <c r="SQA22"/>
      <c r="SQB22"/>
      <c r="SQC22"/>
      <c r="SQD22"/>
      <c r="SQE22"/>
      <c r="SQF22"/>
      <c r="SQG22"/>
      <c r="SQH22"/>
      <c r="SQI22"/>
      <c r="SQJ22"/>
      <c r="SQK22"/>
      <c r="SQL22"/>
      <c r="SQM22"/>
      <c r="SQN22"/>
      <c r="SQO22"/>
      <c r="SQP22"/>
      <c r="SQQ22"/>
      <c r="SQR22"/>
      <c r="SQS22"/>
      <c r="SQT22"/>
      <c r="SQU22"/>
      <c r="SQV22"/>
      <c r="SQW22"/>
      <c r="SQX22"/>
      <c r="SQY22"/>
      <c r="SQZ22"/>
      <c r="SRA22"/>
      <c r="SRB22"/>
      <c r="SRC22"/>
      <c r="SRD22"/>
      <c r="SRE22"/>
      <c r="SRF22"/>
      <c r="SRG22"/>
      <c r="SRH22"/>
      <c r="SRI22"/>
      <c r="SRJ22"/>
      <c r="SRK22"/>
      <c r="SRL22"/>
      <c r="SRM22"/>
      <c r="SRN22"/>
      <c r="SRO22"/>
      <c r="SRP22"/>
      <c r="SRQ22"/>
      <c r="SRR22"/>
      <c r="SRS22"/>
      <c r="SRT22"/>
      <c r="SRU22"/>
      <c r="SRV22"/>
      <c r="SRW22"/>
      <c r="SRX22"/>
      <c r="SRY22"/>
      <c r="SRZ22"/>
      <c r="SSA22"/>
      <c r="SSB22"/>
      <c r="SSC22"/>
      <c r="SSD22"/>
      <c r="SSE22"/>
      <c r="SSF22"/>
      <c r="SSG22"/>
      <c r="SSH22"/>
      <c r="SSI22"/>
      <c r="SSJ22"/>
      <c r="SSK22"/>
      <c r="SSL22"/>
      <c r="SSM22"/>
      <c r="SSN22"/>
      <c r="SSO22"/>
      <c r="SSP22"/>
      <c r="SSQ22"/>
      <c r="SSR22"/>
      <c r="SSS22"/>
      <c r="SST22"/>
      <c r="SSU22"/>
      <c r="SSV22"/>
      <c r="SSW22"/>
      <c r="SSX22"/>
      <c r="SSY22"/>
      <c r="SSZ22"/>
      <c r="STA22"/>
      <c r="STB22"/>
      <c r="STC22"/>
      <c r="STD22"/>
      <c r="STE22"/>
      <c r="STF22"/>
      <c r="STG22"/>
      <c r="STH22"/>
      <c r="STI22"/>
      <c r="STJ22"/>
      <c r="STK22"/>
      <c r="STL22"/>
      <c r="STM22"/>
      <c r="STN22"/>
      <c r="STO22"/>
      <c r="STP22"/>
      <c r="STQ22"/>
      <c r="STR22"/>
      <c r="STS22"/>
      <c r="STT22"/>
      <c r="STU22"/>
      <c r="STV22"/>
      <c r="STW22"/>
      <c r="STX22"/>
      <c r="STY22"/>
      <c r="STZ22"/>
      <c r="SUA22"/>
      <c r="SUB22"/>
      <c r="SUC22"/>
      <c r="SUD22"/>
      <c r="SUE22"/>
      <c r="SUF22"/>
      <c r="SUG22"/>
      <c r="SUH22"/>
      <c r="SUI22"/>
      <c r="SUJ22"/>
      <c r="SUK22"/>
      <c r="SUL22"/>
      <c r="SUM22"/>
      <c r="SUN22"/>
      <c r="SUO22"/>
      <c r="SUP22"/>
      <c r="SUQ22"/>
      <c r="SUR22"/>
      <c r="SUS22"/>
      <c r="SUT22"/>
      <c r="SUU22"/>
      <c r="SUV22"/>
      <c r="SUW22"/>
      <c r="SUX22"/>
      <c r="SUY22"/>
      <c r="SUZ22"/>
      <c r="SVA22"/>
      <c r="SVB22"/>
      <c r="SVC22"/>
      <c r="SVD22"/>
      <c r="SVE22"/>
      <c r="SVF22"/>
      <c r="SVG22"/>
      <c r="SVH22"/>
      <c r="SVI22"/>
      <c r="SVJ22"/>
      <c r="SVK22"/>
      <c r="SVL22"/>
      <c r="SVM22"/>
      <c r="SVN22"/>
      <c r="SVO22"/>
      <c r="SVP22"/>
      <c r="SVQ22"/>
      <c r="SVR22"/>
      <c r="SVS22"/>
      <c r="SVT22"/>
      <c r="SVU22"/>
      <c r="SVV22"/>
      <c r="SVW22"/>
      <c r="SVX22"/>
      <c r="SVY22"/>
      <c r="SVZ22"/>
      <c r="SWA22"/>
      <c r="SWB22"/>
      <c r="SWC22"/>
      <c r="SWD22"/>
      <c r="SWE22"/>
      <c r="SWF22"/>
      <c r="SWG22"/>
      <c r="SWH22"/>
      <c r="SWI22"/>
      <c r="SWJ22"/>
      <c r="SWK22"/>
      <c r="SWL22"/>
      <c r="SWM22"/>
      <c r="SWN22"/>
      <c r="SWO22"/>
      <c r="SWP22"/>
      <c r="SWQ22"/>
      <c r="SWR22"/>
      <c r="SWS22"/>
      <c r="SWT22"/>
      <c r="SWU22"/>
      <c r="SWV22"/>
      <c r="SWW22"/>
      <c r="SWX22"/>
      <c r="SWY22"/>
      <c r="SWZ22"/>
      <c r="SXA22"/>
      <c r="SXB22"/>
      <c r="SXC22"/>
      <c r="SXD22"/>
      <c r="SXE22"/>
      <c r="SXF22"/>
      <c r="SXG22"/>
      <c r="SXH22"/>
      <c r="SXI22"/>
      <c r="SXJ22"/>
      <c r="SXK22"/>
      <c r="SXL22"/>
      <c r="SXM22"/>
      <c r="SXN22"/>
      <c r="SXO22"/>
      <c r="SXP22"/>
      <c r="SXQ22"/>
      <c r="SXR22"/>
      <c r="SXS22"/>
      <c r="SXT22"/>
      <c r="SXU22"/>
      <c r="SXV22"/>
      <c r="SXW22"/>
      <c r="SXX22"/>
      <c r="SXY22"/>
      <c r="SXZ22"/>
      <c r="SYA22"/>
      <c r="SYB22"/>
      <c r="SYC22"/>
      <c r="SYD22"/>
      <c r="SYE22"/>
      <c r="SYF22"/>
      <c r="SYG22"/>
      <c r="SYH22"/>
      <c r="SYI22"/>
      <c r="SYJ22"/>
      <c r="SYK22"/>
      <c r="SYL22"/>
      <c r="SYM22"/>
      <c r="SYN22"/>
      <c r="SYO22"/>
      <c r="SYP22"/>
      <c r="SYQ22"/>
      <c r="SYR22"/>
      <c r="SYS22"/>
      <c r="SYT22"/>
      <c r="SYU22"/>
      <c r="SYV22"/>
      <c r="SYW22"/>
      <c r="SYX22"/>
      <c r="SYY22"/>
      <c r="SYZ22"/>
      <c r="SZA22"/>
      <c r="SZB22"/>
      <c r="SZC22"/>
      <c r="SZD22"/>
      <c r="SZE22"/>
      <c r="SZF22"/>
      <c r="SZG22"/>
      <c r="SZH22"/>
      <c r="SZI22"/>
      <c r="SZJ22"/>
      <c r="SZK22"/>
      <c r="SZL22"/>
      <c r="SZM22"/>
      <c r="SZN22"/>
      <c r="SZO22"/>
      <c r="SZP22"/>
      <c r="SZQ22"/>
      <c r="SZR22"/>
      <c r="SZS22"/>
      <c r="SZT22"/>
      <c r="SZU22"/>
      <c r="SZV22"/>
      <c r="SZW22"/>
      <c r="SZX22"/>
      <c r="SZY22"/>
      <c r="SZZ22"/>
      <c r="TAA22"/>
      <c r="TAB22"/>
      <c r="TAC22"/>
      <c r="TAD22"/>
      <c r="TAE22"/>
      <c r="TAF22"/>
      <c r="TAG22"/>
      <c r="TAH22"/>
      <c r="TAI22"/>
      <c r="TAJ22"/>
      <c r="TAK22"/>
      <c r="TAL22"/>
      <c r="TAM22"/>
      <c r="TAN22"/>
      <c r="TAO22"/>
      <c r="TAP22"/>
      <c r="TAQ22"/>
      <c r="TAR22"/>
      <c r="TAS22"/>
      <c r="TAT22"/>
      <c r="TAU22"/>
      <c r="TAV22"/>
      <c r="TAW22"/>
      <c r="TAX22"/>
      <c r="TAY22"/>
      <c r="TAZ22"/>
      <c r="TBA22"/>
      <c r="TBB22"/>
      <c r="TBC22"/>
      <c r="TBD22"/>
      <c r="TBE22"/>
      <c r="TBF22"/>
      <c r="TBG22"/>
      <c r="TBH22"/>
      <c r="TBI22"/>
      <c r="TBJ22"/>
      <c r="TBK22"/>
      <c r="TBL22"/>
      <c r="TBM22"/>
      <c r="TBN22"/>
      <c r="TBO22"/>
      <c r="TBP22"/>
      <c r="TBQ22"/>
      <c r="TBR22"/>
      <c r="TBS22"/>
      <c r="TBT22"/>
      <c r="TBU22"/>
      <c r="TBV22"/>
      <c r="TBW22"/>
      <c r="TBX22"/>
      <c r="TBY22"/>
      <c r="TBZ22"/>
      <c r="TCA22"/>
      <c r="TCB22"/>
      <c r="TCC22"/>
      <c r="TCD22"/>
      <c r="TCE22"/>
      <c r="TCF22"/>
      <c r="TCG22"/>
      <c r="TCH22"/>
      <c r="TCI22"/>
      <c r="TCJ22"/>
      <c r="TCK22"/>
      <c r="TCL22"/>
      <c r="TCM22"/>
      <c r="TCN22"/>
      <c r="TCO22"/>
      <c r="TCP22"/>
      <c r="TCQ22"/>
      <c r="TCR22"/>
      <c r="TCS22"/>
      <c r="TCT22"/>
      <c r="TCU22"/>
      <c r="TCV22"/>
      <c r="TCW22"/>
      <c r="TCX22"/>
      <c r="TCY22"/>
      <c r="TCZ22"/>
      <c r="TDA22"/>
      <c r="TDB22"/>
      <c r="TDC22"/>
      <c r="TDD22"/>
      <c r="TDE22"/>
      <c r="TDF22"/>
      <c r="TDG22"/>
      <c r="TDH22"/>
      <c r="TDI22"/>
      <c r="TDJ22"/>
      <c r="TDK22"/>
      <c r="TDL22"/>
      <c r="TDM22"/>
      <c r="TDN22"/>
      <c r="TDO22"/>
      <c r="TDP22"/>
      <c r="TDQ22"/>
      <c r="TDR22"/>
      <c r="TDS22"/>
      <c r="TDT22"/>
      <c r="TDU22"/>
      <c r="TDV22"/>
      <c r="TDW22"/>
      <c r="TDX22"/>
      <c r="TDY22"/>
      <c r="TDZ22"/>
      <c r="TEA22"/>
      <c r="TEB22"/>
      <c r="TEC22"/>
      <c r="TED22"/>
      <c r="TEE22"/>
      <c r="TEF22"/>
      <c r="TEG22"/>
      <c r="TEH22"/>
      <c r="TEI22"/>
      <c r="TEJ22"/>
      <c r="TEK22"/>
      <c r="TEL22"/>
      <c r="TEM22"/>
      <c r="TEN22"/>
      <c r="TEO22"/>
      <c r="TEP22"/>
      <c r="TEQ22"/>
      <c r="TER22"/>
      <c r="TES22"/>
      <c r="TET22"/>
      <c r="TEU22"/>
      <c r="TEV22"/>
      <c r="TEW22"/>
      <c r="TEX22"/>
      <c r="TEY22"/>
      <c r="TEZ22"/>
      <c r="TFA22"/>
      <c r="TFB22"/>
      <c r="TFC22"/>
      <c r="TFD22"/>
      <c r="TFE22"/>
      <c r="TFF22"/>
      <c r="TFG22"/>
      <c r="TFH22"/>
      <c r="TFI22"/>
      <c r="TFJ22"/>
      <c r="TFK22"/>
      <c r="TFL22"/>
      <c r="TFM22"/>
      <c r="TFN22"/>
      <c r="TFO22"/>
      <c r="TFP22"/>
      <c r="TFQ22"/>
      <c r="TFR22"/>
      <c r="TFS22"/>
      <c r="TFT22"/>
      <c r="TFU22"/>
      <c r="TFV22"/>
      <c r="TFW22"/>
      <c r="TFX22"/>
      <c r="TFY22"/>
      <c r="TFZ22"/>
      <c r="TGA22"/>
      <c r="TGB22"/>
      <c r="TGC22"/>
      <c r="TGD22"/>
      <c r="TGE22"/>
      <c r="TGF22"/>
      <c r="TGG22"/>
      <c r="TGH22"/>
      <c r="TGI22"/>
      <c r="TGJ22"/>
      <c r="TGK22"/>
      <c r="TGL22"/>
      <c r="TGM22"/>
      <c r="TGN22"/>
      <c r="TGO22"/>
      <c r="TGP22"/>
      <c r="TGQ22"/>
      <c r="TGR22"/>
      <c r="TGS22"/>
      <c r="TGT22"/>
      <c r="TGU22"/>
      <c r="TGV22"/>
      <c r="TGW22"/>
      <c r="TGX22"/>
      <c r="TGY22"/>
      <c r="TGZ22"/>
      <c r="THA22"/>
      <c r="THB22"/>
      <c r="THC22"/>
      <c r="THD22"/>
      <c r="THE22"/>
      <c r="THF22"/>
      <c r="THG22"/>
      <c r="THH22"/>
      <c r="THI22"/>
      <c r="THJ22"/>
      <c r="THK22"/>
      <c r="THL22"/>
      <c r="THM22"/>
      <c r="THN22"/>
      <c r="THO22"/>
      <c r="THP22"/>
      <c r="THQ22"/>
      <c r="THR22"/>
      <c r="THS22"/>
      <c r="THT22"/>
      <c r="THU22"/>
      <c r="THV22"/>
      <c r="THW22"/>
      <c r="THX22"/>
      <c r="THY22"/>
      <c r="THZ22"/>
      <c r="TIA22"/>
      <c r="TIB22"/>
      <c r="TIC22"/>
      <c r="TID22"/>
      <c r="TIE22"/>
      <c r="TIF22"/>
      <c r="TIG22"/>
      <c r="TIH22"/>
      <c r="TII22"/>
      <c r="TIJ22"/>
      <c r="TIK22"/>
      <c r="TIL22"/>
      <c r="TIM22"/>
      <c r="TIN22"/>
      <c r="TIO22"/>
      <c r="TIP22"/>
      <c r="TIQ22"/>
      <c r="TIR22"/>
      <c r="TIS22"/>
      <c r="TIT22"/>
      <c r="TIU22"/>
      <c r="TIV22"/>
      <c r="TIW22"/>
      <c r="TIX22"/>
      <c r="TIY22"/>
      <c r="TIZ22"/>
      <c r="TJA22"/>
      <c r="TJB22"/>
      <c r="TJC22"/>
      <c r="TJD22"/>
      <c r="TJE22"/>
      <c r="TJF22"/>
      <c r="TJG22"/>
      <c r="TJH22"/>
      <c r="TJI22"/>
      <c r="TJJ22"/>
      <c r="TJK22"/>
      <c r="TJL22"/>
      <c r="TJM22"/>
      <c r="TJN22"/>
      <c r="TJO22"/>
      <c r="TJP22"/>
      <c r="TJQ22"/>
      <c r="TJR22"/>
      <c r="TJS22"/>
      <c r="TJT22"/>
      <c r="TJU22"/>
      <c r="TJV22"/>
      <c r="TJW22"/>
      <c r="TJX22"/>
      <c r="TJY22"/>
      <c r="TJZ22"/>
      <c r="TKA22"/>
      <c r="TKB22"/>
      <c r="TKC22"/>
      <c r="TKD22"/>
      <c r="TKE22"/>
      <c r="TKF22"/>
      <c r="TKG22"/>
      <c r="TKH22"/>
      <c r="TKI22"/>
      <c r="TKJ22"/>
      <c r="TKK22"/>
      <c r="TKL22"/>
      <c r="TKM22"/>
      <c r="TKN22"/>
      <c r="TKO22"/>
      <c r="TKP22"/>
      <c r="TKQ22"/>
      <c r="TKR22"/>
      <c r="TKS22"/>
      <c r="TKT22"/>
      <c r="TKU22"/>
      <c r="TKV22"/>
      <c r="TKW22"/>
      <c r="TKX22"/>
      <c r="TKY22"/>
      <c r="TKZ22"/>
      <c r="TLA22"/>
      <c r="TLB22"/>
      <c r="TLC22"/>
      <c r="TLD22"/>
      <c r="TLE22"/>
      <c r="TLF22"/>
      <c r="TLG22"/>
      <c r="TLH22"/>
      <c r="TLI22"/>
      <c r="TLJ22"/>
      <c r="TLK22"/>
      <c r="TLL22"/>
      <c r="TLM22"/>
      <c r="TLN22"/>
      <c r="TLO22"/>
      <c r="TLP22"/>
      <c r="TLQ22"/>
      <c r="TLR22"/>
      <c r="TLS22"/>
      <c r="TLT22"/>
      <c r="TLU22"/>
      <c r="TLV22"/>
      <c r="TLW22"/>
      <c r="TLX22"/>
      <c r="TLY22"/>
      <c r="TLZ22"/>
      <c r="TMA22"/>
      <c r="TMB22"/>
      <c r="TMC22"/>
      <c r="TMD22"/>
      <c r="TME22"/>
      <c r="TMF22"/>
      <c r="TMG22"/>
      <c r="TMH22"/>
      <c r="TMI22"/>
      <c r="TMJ22"/>
      <c r="TMK22"/>
      <c r="TML22"/>
      <c r="TMM22"/>
      <c r="TMN22"/>
      <c r="TMO22"/>
      <c r="TMP22"/>
      <c r="TMQ22"/>
      <c r="TMR22"/>
      <c r="TMS22"/>
      <c r="TMT22"/>
      <c r="TMU22"/>
      <c r="TMV22"/>
      <c r="TMW22"/>
      <c r="TMX22"/>
      <c r="TMY22"/>
      <c r="TMZ22"/>
      <c r="TNA22"/>
      <c r="TNB22"/>
      <c r="TNC22"/>
      <c r="TND22"/>
      <c r="TNE22"/>
      <c r="TNF22"/>
      <c r="TNG22"/>
      <c r="TNH22"/>
      <c r="TNI22"/>
      <c r="TNJ22"/>
      <c r="TNK22"/>
      <c r="TNL22"/>
      <c r="TNM22"/>
      <c r="TNN22"/>
      <c r="TNO22"/>
      <c r="TNP22"/>
      <c r="TNQ22"/>
      <c r="TNR22"/>
      <c r="TNS22"/>
      <c r="TNT22"/>
      <c r="TNU22"/>
      <c r="TNV22"/>
      <c r="TNW22"/>
      <c r="TNX22"/>
      <c r="TNY22"/>
      <c r="TNZ22"/>
      <c r="TOA22"/>
      <c r="TOB22"/>
      <c r="TOC22"/>
      <c r="TOD22"/>
      <c r="TOE22"/>
      <c r="TOF22"/>
      <c r="TOG22"/>
      <c r="TOH22"/>
      <c r="TOI22"/>
      <c r="TOJ22"/>
      <c r="TOK22"/>
      <c r="TOL22"/>
      <c r="TOM22"/>
      <c r="TON22"/>
      <c r="TOO22"/>
      <c r="TOP22"/>
      <c r="TOQ22"/>
      <c r="TOR22"/>
      <c r="TOS22"/>
      <c r="TOT22"/>
      <c r="TOU22"/>
      <c r="TOV22"/>
      <c r="TOW22"/>
      <c r="TOX22"/>
      <c r="TOY22"/>
      <c r="TOZ22"/>
      <c r="TPA22"/>
      <c r="TPB22"/>
      <c r="TPC22"/>
      <c r="TPD22"/>
      <c r="TPE22"/>
      <c r="TPF22"/>
      <c r="TPG22"/>
      <c r="TPH22"/>
      <c r="TPI22"/>
      <c r="TPJ22"/>
      <c r="TPK22"/>
      <c r="TPL22"/>
      <c r="TPM22"/>
      <c r="TPN22"/>
      <c r="TPO22"/>
      <c r="TPP22"/>
      <c r="TPQ22"/>
      <c r="TPR22"/>
      <c r="TPS22"/>
      <c r="TPT22"/>
      <c r="TPU22"/>
      <c r="TPV22"/>
      <c r="TPW22"/>
      <c r="TPX22"/>
      <c r="TPY22"/>
      <c r="TPZ22"/>
      <c r="TQA22"/>
      <c r="TQB22"/>
      <c r="TQC22"/>
      <c r="TQD22"/>
      <c r="TQE22"/>
      <c r="TQF22"/>
      <c r="TQG22"/>
      <c r="TQH22"/>
      <c r="TQI22"/>
      <c r="TQJ22"/>
      <c r="TQK22"/>
      <c r="TQL22"/>
      <c r="TQM22"/>
      <c r="TQN22"/>
      <c r="TQO22"/>
      <c r="TQP22"/>
      <c r="TQQ22"/>
      <c r="TQR22"/>
      <c r="TQS22"/>
      <c r="TQT22"/>
      <c r="TQU22"/>
      <c r="TQV22"/>
      <c r="TQW22"/>
      <c r="TQX22"/>
      <c r="TQY22"/>
      <c r="TQZ22"/>
      <c r="TRA22"/>
      <c r="TRB22"/>
      <c r="TRC22"/>
      <c r="TRD22"/>
      <c r="TRE22"/>
      <c r="TRF22"/>
      <c r="TRG22"/>
      <c r="TRH22"/>
      <c r="TRI22"/>
      <c r="TRJ22"/>
      <c r="TRK22"/>
      <c r="TRL22"/>
      <c r="TRM22"/>
      <c r="TRN22"/>
      <c r="TRO22"/>
      <c r="TRP22"/>
      <c r="TRQ22"/>
      <c r="TRR22"/>
      <c r="TRS22"/>
      <c r="TRT22"/>
      <c r="TRU22"/>
      <c r="TRV22"/>
      <c r="TRW22"/>
      <c r="TRX22"/>
      <c r="TRY22"/>
      <c r="TRZ22"/>
      <c r="TSA22"/>
      <c r="TSB22"/>
      <c r="TSC22"/>
      <c r="TSD22"/>
      <c r="TSE22"/>
      <c r="TSF22"/>
      <c r="TSG22"/>
      <c r="TSH22"/>
      <c r="TSI22"/>
      <c r="TSJ22"/>
      <c r="TSK22"/>
      <c r="TSL22"/>
      <c r="TSM22"/>
      <c r="TSN22"/>
      <c r="TSO22"/>
      <c r="TSP22"/>
      <c r="TSQ22"/>
      <c r="TSR22"/>
      <c r="TSS22"/>
      <c r="TST22"/>
      <c r="TSU22"/>
      <c r="TSV22"/>
      <c r="TSW22"/>
      <c r="TSX22"/>
      <c r="TSY22"/>
      <c r="TSZ22"/>
      <c r="TTA22"/>
      <c r="TTB22"/>
      <c r="TTC22"/>
      <c r="TTD22"/>
      <c r="TTE22"/>
      <c r="TTF22"/>
      <c r="TTG22"/>
      <c r="TTH22"/>
      <c r="TTI22"/>
      <c r="TTJ22"/>
      <c r="TTK22"/>
      <c r="TTL22"/>
      <c r="TTM22"/>
      <c r="TTN22"/>
      <c r="TTO22"/>
      <c r="TTP22"/>
      <c r="TTQ22"/>
      <c r="TTR22"/>
      <c r="TTS22"/>
      <c r="TTT22"/>
      <c r="TTU22"/>
      <c r="TTV22"/>
      <c r="TTW22"/>
      <c r="TTX22"/>
      <c r="TTY22"/>
      <c r="TTZ22"/>
      <c r="TUA22"/>
      <c r="TUB22"/>
      <c r="TUC22"/>
      <c r="TUD22"/>
      <c r="TUE22"/>
      <c r="TUF22"/>
      <c r="TUG22"/>
      <c r="TUH22"/>
      <c r="TUI22"/>
      <c r="TUJ22"/>
      <c r="TUK22"/>
      <c r="TUL22"/>
      <c r="TUM22"/>
      <c r="TUN22"/>
      <c r="TUO22"/>
      <c r="TUP22"/>
      <c r="TUQ22"/>
      <c r="TUR22"/>
      <c r="TUS22"/>
      <c r="TUT22"/>
      <c r="TUU22"/>
      <c r="TUV22"/>
      <c r="TUW22"/>
      <c r="TUX22"/>
      <c r="TUY22"/>
      <c r="TUZ22"/>
      <c r="TVA22"/>
      <c r="TVB22"/>
      <c r="TVC22"/>
      <c r="TVD22"/>
      <c r="TVE22"/>
      <c r="TVF22"/>
      <c r="TVG22"/>
      <c r="TVH22"/>
      <c r="TVI22"/>
      <c r="TVJ22"/>
      <c r="TVK22"/>
      <c r="TVL22"/>
      <c r="TVM22"/>
      <c r="TVN22"/>
      <c r="TVO22"/>
      <c r="TVP22"/>
      <c r="TVQ22"/>
      <c r="TVR22"/>
      <c r="TVS22"/>
      <c r="TVT22"/>
      <c r="TVU22"/>
      <c r="TVV22"/>
      <c r="TVW22"/>
      <c r="TVX22"/>
      <c r="TVY22"/>
      <c r="TVZ22"/>
      <c r="TWA22"/>
      <c r="TWB22"/>
      <c r="TWC22"/>
      <c r="TWD22"/>
      <c r="TWE22"/>
      <c r="TWF22"/>
      <c r="TWG22"/>
      <c r="TWH22"/>
      <c r="TWI22"/>
      <c r="TWJ22"/>
      <c r="TWK22"/>
      <c r="TWL22"/>
      <c r="TWM22"/>
      <c r="TWN22"/>
      <c r="TWO22"/>
      <c r="TWP22"/>
      <c r="TWQ22"/>
      <c r="TWR22"/>
      <c r="TWS22"/>
      <c r="TWT22"/>
      <c r="TWU22"/>
      <c r="TWV22"/>
      <c r="TWW22"/>
      <c r="TWX22"/>
      <c r="TWY22"/>
      <c r="TWZ22"/>
      <c r="TXA22"/>
      <c r="TXB22"/>
      <c r="TXC22"/>
      <c r="TXD22"/>
      <c r="TXE22"/>
      <c r="TXF22"/>
      <c r="TXG22"/>
      <c r="TXH22"/>
      <c r="TXI22"/>
      <c r="TXJ22"/>
      <c r="TXK22"/>
      <c r="TXL22"/>
      <c r="TXM22"/>
      <c r="TXN22"/>
      <c r="TXO22"/>
      <c r="TXP22"/>
      <c r="TXQ22"/>
      <c r="TXR22"/>
      <c r="TXS22"/>
      <c r="TXT22"/>
      <c r="TXU22"/>
      <c r="TXV22"/>
      <c r="TXW22"/>
      <c r="TXX22"/>
      <c r="TXY22"/>
      <c r="TXZ22"/>
      <c r="TYA22"/>
      <c r="TYB22"/>
      <c r="TYC22"/>
      <c r="TYD22"/>
      <c r="TYE22"/>
      <c r="TYF22"/>
      <c r="TYG22"/>
      <c r="TYH22"/>
      <c r="TYI22"/>
      <c r="TYJ22"/>
      <c r="TYK22"/>
      <c r="TYL22"/>
      <c r="TYM22"/>
      <c r="TYN22"/>
      <c r="TYO22"/>
      <c r="TYP22"/>
      <c r="TYQ22"/>
      <c r="TYR22"/>
      <c r="TYS22"/>
      <c r="TYT22"/>
      <c r="TYU22"/>
      <c r="TYV22"/>
      <c r="TYW22"/>
      <c r="TYX22"/>
      <c r="TYY22"/>
      <c r="TYZ22"/>
      <c r="TZA22"/>
      <c r="TZB22"/>
      <c r="TZC22"/>
      <c r="TZD22"/>
      <c r="TZE22"/>
      <c r="TZF22"/>
      <c r="TZG22"/>
      <c r="TZH22"/>
      <c r="TZI22"/>
      <c r="TZJ22"/>
      <c r="TZK22"/>
      <c r="TZL22"/>
      <c r="TZM22"/>
      <c r="TZN22"/>
      <c r="TZO22"/>
      <c r="TZP22"/>
      <c r="TZQ22"/>
      <c r="TZR22"/>
      <c r="TZS22"/>
      <c r="TZT22"/>
      <c r="TZU22"/>
      <c r="TZV22"/>
      <c r="TZW22"/>
      <c r="TZX22"/>
      <c r="TZY22"/>
      <c r="TZZ22"/>
      <c r="UAA22"/>
      <c r="UAB22"/>
      <c r="UAC22"/>
      <c r="UAD22"/>
      <c r="UAE22"/>
      <c r="UAF22"/>
      <c r="UAG22"/>
      <c r="UAH22"/>
      <c r="UAI22"/>
      <c r="UAJ22"/>
      <c r="UAK22"/>
      <c r="UAL22"/>
      <c r="UAM22"/>
      <c r="UAN22"/>
      <c r="UAO22"/>
      <c r="UAP22"/>
      <c r="UAQ22"/>
      <c r="UAR22"/>
      <c r="UAS22"/>
      <c r="UAT22"/>
      <c r="UAU22"/>
      <c r="UAV22"/>
      <c r="UAW22"/>
      <c r="UAX22"/>
      <c r="UAY22"/>
      <c r="UAZ22"/>
      <c r="UBA22"/>
      <c r="UBB22"/>
      <c r="UBC22"/>
      <c r="UBD22"/>
      <c r="UBE22"/>
      <c r="UBF22"/>
      <c r="UBG22"/>
      <c r="UBH22"/>
      <c r="UBI22"/>
      <c r="UBJ22"/>
      <c r="UBK22"/>
      <c r="UBL22"/>
      <c r="UBM22"/>
      <c r="UBN22"/>
      <c r="UBO22"/>
      <c r="UBP22"/>
      <c r="UBQ22"/>
      <c r="UBR22"/>
      <c r="UBS22"/>
      <c r="UBT22"/>
      <c r="UBU22"/>
      <c r="UBV22"/>
      <c r="UBW22"/>
      <c r="UBX22"/>
      <c r="UBY22"/>
      <c r="UBZ22"/>
      <c r="UCA22"/>
      <c r="UCB22"/>
      <c r="UCC22"/>
      <c r="UCD22"/>
      <c r="UCE22"/>
      <c r="UCF22"/>
      <c r="UCG22"/>
      <c r="UCH22"/>
      <c r="UCI22"/>
      <c r="UCJ22"/>
      <c r="UCK22"/>
      <c r="UCL22"/>
      <c r="UCM22"/>
      <c r="UCN22"/>
      <c r="UCO22"/>
      <c r="UCP22"/>
      <c r="UCQ22"/>
      <c r="UCR22"/>
      <c r="UCS22"/>
      <c r="UCT22"/>
      <c r="UCU22"/>
      <c r="UCV22"/>
      <c r="UCW22"/>
      <c r="UCX22"/>
      <c r="UCY22"/>
      <c r="UCZ22"/>
      <c r="UDA22"/>
      <c r="UDB22"/>
      <c r="UDC22"/>
      <c r="UDD22"/>
      <c r="UDE22"/>
      <c r="UDF22"/>
      <c r="UDG22"/>
      <c r="UDH22"/>
      <c r="UDI22"/>
      <c r="UDJ22"/>
      <c r="UDK22"/>
      <c r="UDL22"/>
      <c r="UDM22"/>
      <c r="UDN22"/>
      <c r="UDO22"/>
      <c r="UDP22"/>
      <c r="UDQ22"/>
      <c r="UDR22"/>
      <c r="UDS22"/>
      <c r="UDT22"/>
      <c r="UDU22"/>
      <c r="UDV22"/>
      <c r="UDW22"/>
      <c r="UDX22"/>
      <c r="UDY22"/>
      <c r="UDZ22"/>
      <c r="UEA22"/>
      <c r="UEB22"/>
      <c r="UEC22"/>
      <c r="UED22"/>
      <c r="UEE22"/>
      <c r="UEF22"/>
      <c r="UEG22"/>
      <c r="UEH22"/>
      <c r="UEI22"/>
      <c r="UEJ22"/>
      <c r="UEK22"/>
      <c r="UEL22"/>
      <c r="UEM22"/>
      <c r="UEN22"/>
      <c r="UEO22"/>
      <c r="UEP22"/>
      <c r="UEQ22"/>
      <c r="UER22"/>
      <c r="UES22"/>
      <c r="UET22"/>
      <c r="UEU22"/>
      <c r="UEV22"/>
      <c r="UEW22"/>
      <c r="UEX22"/>
      <c r="UEY22"/>
      <c r="UEZ22"/>
      <c r="UFA22"/>
      <c r="UFB22"/>
      <c r="UFC22"/>
      <c r="UFD22"/>
      <c r="UFE22"/>
      <c r="UFF22"/>
      <c r="UFG22"/>
      <c r="UFH22"/>
      <c r="UFI22"/>
      <c r="UFJ22"/>
      <c r="UFK22"/>
      <c r="UFL22"/>
      <c r="UFM22"/>
      <c r="UFN22"/>
      <c r="UFO22"/>
      <c r="UFP22"/>
      <c r="UFQ22"/>
      <c r="UFR22"/>
      <c r="UFS22"/>
      <c r="UFT22"/>
      <c r="UFU22"/>
      <c r="UFV22"/>
      <c r="UFW22"/>
      <c r="UFX22"/>
      <c r="UFY22"/>
      <c r="UFZ22"/>
      <c r="UGA22"/>
      <c r="UGB22"/>
      <c r="UGC22"/>
      <c r="UGD22"/>
      <c r="UGE22"/>
      <c r="UGF22"/>
      <c r="UGG22"/>
      <c r="UGH22"/>
      <c r="UGI22"/>
      <c r="UGJ22"/>
      <c r="UGK22"/>
      <c r="UGL22"/>
      <c r="UGM22"/>
      <c r="UGN22"/>
      <c r="UGO22"/>
      <c r="UGP22"/>
      <c r="UGQ22"/>
      <c r="UGR22"/>
      <c r="UGS22"/>
      <c r="UGT22"/>
      <c r="UGU22"/>
      <c r="UGV22"/>
      <c r="UGW22"/>
      <c r="UGX22"/>
      <c r="UGY22"/>
      <c r="UGZ22"/>
      <c r="UHA22"/>
      <c r="UHB22"/>
      <c r="UHC22"/>
      <c r="UHD22"/>
      <c r="UHE22"/>
      <c r="UHF22"/>
      <c r="UHG22"/>
      <c r="UHH22"/>
      <c r="UHI22"/>
      <c r="UHJ22"/>
      <c r="UHK22"/>
      <c r="UHL22"/>
      <c r="UHM22"/>
      <c r="UHN22"/>
      <c r="UHO22"/>
      <c r="UHP22"/>
      <c r="UHQ22"/>
      <c r="UHR22"/>
      <c r="UHS22"/>
      <c r="UHT22"/>
      <c r="UHU22"/>
      <c r="UHV22"/>
      <c r="UHW22"/>
      <c r="UHX22"/>
      <c r="UHY22"/>
      <c r="UHZ22"/>
      <c r="UIA22"/>
      <c r="UIB22"/>
      <c r="UIC22"/>
      <c r="UID22"/>
      <c r="UIE22"/>
      <c r="UIF22"/>
      <c r="UIG22"/>
      <c r="UIH22"/>
      <c r="UII22"/>
      <c r="UIJ22"/>
      <c r="UIK22"/>
      <c r="UIL22"/>
      <c r="UIM22"/>
      <c r="UIN22"/>
      <c r="UIO22"/>
      <c r="UIP22"/>
      <c r="UIQ22"/>
      <c r="UIR22"/>
      <c r="UIS22"/>
      <c r="UIT22"/>
      <c r="UIU22"/>
      <c r="UIV22"/>
      <c r="UIW22"/>
      <c r="UIX22"/>
      <c r="UIY22"/>
      <c r="UIZ22"/>
      <c r="UJA22"/>
      <c r="UJB22"/>
      <c r="UJC22"/>
      <c r="UJD22"/>
      <c r="UJE22"/>
      <c r="UJF22"/>
      <c r="UJG22"/>
      <c r="UJH22"/>
      <c r="UJI22"/>
      <c r="UJJ22"/>
      <c r="UJK22"/>
      <c r="UJL22"/>
      <c r="UJM22"/>
      <c r="UJN22"/>
      <c r="UJO22"/>
      <c r="UJP22"/>
      <c r="UJQ22"/>
      <c r="UJR22"/>
      <c r="UJS22"/>
      <c r="UJT22"/>
      <c r="UJU22"/>
      <c r="UJV22"/>
      <c r="UJW22"/>
      <c r="UJX22"/>
      <c r="UJY22"/>
      <c r="UJZ22"/>
      <c r="UKA22"/>
      <c r="UKB22"/>
      <c r="UKC22"/>
      <c r="UKD22"/>
      <c r="UKE22"/>
      <c r="UKF22"/>
      <c r="UKG22"/>
      <c r="UKH22"/>
      <c r="UKI22"/>
      <c r="UKJ22"/>
      <c r="UKK22"/>
      <c r="UKL22"/>
      <c r="UKM22"/>
      <c r="UKN22"/>
      <c r="UKO22"/>
      <c r="UKP22"/>
      <c r="UKQ22"/>
      <c r="UKR22"/>
      <c r="UKS22"/>
      <c r="UKT22"/>
      <c r="UKU22"/>
      <c r="UKV22"/>
      <c r="UKW22"/>
      <c r="UKX22"/>
      <c r="UKY22"/>
      <c r="UKZ22"/>
      <c r="ULA22"/>
      <c r="ULB22"/>
      <c r="ULC22"/>
      <c r="ULD22"/>
      <c r="ULE22"/>
      <c r="ULF22"/>
      <c r="ULG22"/>
      <c r="ULH22"/>
      <c r="ULI22"/>
      <c r="ULJ22"/>
      <c r="ULK22"/>
      <c r="ULL22"/>
      <c r="ULM22"/>
      <c r="ULN22"/>
      <c r="ULO22"/>
      <c r="ULP22"/>
      <c r="ULQ22"/>
      <c r="ULR22"/>
      <c r="ULS22"/>
      <c r="ULT22"/>
      <c r="ULU22"/>
      <c r="ULV22"/>
      <c r="ULW22"/>
      <c r="ULX22"/>
      <c r="ULY22"/>
      <c r="ULZ22"/>
      <c r="UMA22"/>
      <c r="UMB22"/>
      <c r="UMC22"/>
      <c r="UMD22"/>
      <c r="UME22"/>
      <c r="UMF22"/>
      <c r="UMG22"/>
      <c r="UMH22"/>
      <c r="UMI22"/>
      <c r="UMJ22"/>
      <c r="UMK22"/>
      <c r="UML22"/>
      <c r="UMM22"/>
      <c r="UMN22"/>
      <c r="UMO22"/>
      <c r="UMP22"/>
      <c r="UMQ22"/>
      <c r="UMR22"/>
      <c r="UMS22"/>
      <c r="UMT22"/>
      <c r="UMU22"/>
      <c r="UMV22"/>
      <c r="UMW22"/>
      <c r="UMX22"/>
      <c r="UMY22"/>
      <c r="UMZ22"/>
      <c r="UNA22"/>
      <c r="UNB22"/>
      <c r="UNC22"/>
      <c r="UND22"/>
      <c r="UNE22"/>
      <c r="UNF22"/>
      <c r="UNG22"/>
      <c r="UNH22"/>
      <c r="UNI22"/>
      <c r="UNJ22"/>
      <c r="UNK22"/>
      <c r="UNL22"/>
      <c r="UNM22"/>
      <c r="UNN22"/>
      <c r="UNO22"/>
      <c r="UNP22"/>
      <c r="UNQ22"/>
      <c r="UNR22"/>
      <c r="UNS22"/>
      <c r="UNT22"/>
      <c r="UNU22"/>
      <c r="UNV22"/>
      <c r="UNW22"/>
      <c r="UNX22"/>
      <c r="UNY22"/>
      <c r="UNZ22"/>
      <c r="UOA22"/>
      <c r="UOB22"/>
      <c r="UOC22"/>
      <c r="UOD22"/>
      <c r="UOE22"/>
      <c r="UOF22"/>
      <c r="UOG22"/>
      <c r="UOH22"/>
      <c r="UOI22"/>
      <c r="UOJ22"/>
      <c r="UOK22"/>
      <c r="UOL22"/>
      <c r="UOM22"/>
      <c r="UON22"/>
      <c r="UOO22"/>
      <c r="UOP22"/>
      <c r="UOQ22"/>
      <c r="UOR22"/>
      <c r="UOS22"/>
      <c r="UOT22"/>
      <c r="UOU22"/>
      <c r="UOV22"/>
      <c r="UOW22"/>
      <c r="UOX22"/>
      <c r="UOY22"/>
      <c r="UOZ22"/>
      <c r="UPA22"/>
      <c r="UPB22"/>
      <c r="UPC22"/>
      <c r="UPD22"/>
      <c r="UPE22"/>
      <c r="UPF22"/>
      <c r="UPG22"/>
      <c r="UPH22"/>
      <c r="UPI22"/>
      <c r="UPJ22"/>
      <c r="UPK22"/>
      <c r="UPL22"/>
      <c r="UPM22"/>
      <c r="UPN22"/>
      <c r="UPO22"/>
      <c r="UPP22"/>
      <c r="UPQ22"/>
      <c r="UPR22"/>
      <c r="UPS22"/>
      <c r="UPT22"/>
      <c r="UPU22"/>
      <c r="UPV22"/>
      <c r="UPW22"/>
      <c r="UPX22"/>
      <c r="UPY22"/>
      <c r="UPZ22"/>
      <c r="UQA22"/>
      <c r="UQB22"/>
      <c r="UQC22"/>
      <c r="UQD22"/>
      <c r="UQE22"/>
      <c r="UQF22"/>
      <c r="UQG22"/>
      <c r="UQH22"/>
      <c r="UQI22"/>
      <c r="UQJ22"/>
      <c r="UQK22"/>
      <c r="UQL22"/>
      <c r="UQM22"/>
      <c r="UQN22"/>
      <c r="UQO22"/>
      <c r="UQP22"/>
      <c r="UQQ22"/>
      <c r="UQR22"/>
      <c r="UQS22"/>
      <c r="UQT22"/>
      <c r="UQU22"/>
      <c r="UQV22"/>
      <c r="UQW22"/>
      <c r="UQX22"/>
      <c r="UQY22"/>
      <c r="UQZ22"/>
      <c r="URA22"/>
      <c r="URB22"/>
      <c r="URC22"/>
      <c r="URD22"/>
      <c r="URE22"/>
      <c r="URF22"/>
      <c r="URG22"/>
      <c r="URH22"/>
      <c r="URI22"/>
      <c r="URJ22"/>
      <c r="URK22"/>
      <c r="URL22"/>
      <c r="URM22"/>
      <c r="URN22"/>
      <c r="URO22"/>
      <c r="URP22"/>
      <c r="URQ22"/>
      <c r="URR22"/>
      <c r="URS22"/>
      <c r="URT22"/>
      <c r="URU22"/>
      <c r="URV22"/>
      <c r="URW22"/>
      <c r="URX22"/>
      <c r="URY22"/>
      <c r="URZ22"/>
      <c r="USA22"/>
      <c r="USB22"/>
      <c r="USC22"/>
      <c r="USD22"/>
      <c r="USE22"/>
      <c r="USF22"/>
      <c r="USG22"/>
      <c r="USH22"/>
      <c r="USI22"/>
      <c r="USJ22"/>
      <c r="USK22"/>
      <c r="USL22"/>
      <c r="USM22"/>
      <c r="USN22"/>
      <c r="USO22"/>
      <c r="USP22"/>
      <c r="USQ22"/>
      <c r="USR22"/>
      <c r="USS22"/>
      <c r="UST22"/>
      <c r="USU22"/>
      <c r="USV22"/>
      <c r="USW22"/>
      <c r="USX22"/>
      <c r="USY22"/>
      <c r="USZ22"/>
      <c r="UTA22"/>
      <c r="UTB22"/>
      <c r="UTC22"/>
      <c r="UTD22"/>
      <c r="UTE22"/>
      <c r="UTF22"/>
      <c r="UTG22"/>
      <c r="UTH22"/>
      <c r="UTI22"/>
      <c r="UTJ22"/>
      <c r="UTK22"/>
      <c r="UTL22"/>
      <c r="UTM22"/>
      <c r="UTN22"/>
      <c r="UTO22"/>
      <c r="UTP22"/>
      <c r="UTQ22"/>
      <c r="UTR22"/>
      <c r="UTS22"/>
      <c r="UTT22"/>
      <c r="UTU22"/>
      <c r="UTV22"/>
      <c r="UTW22"/>
      <c r="UTX22"/>
      <c r="UTY22"/>
      <c r="UTZ22"/>
      <c r="UUA22"/>
      <c r="UUB22"/>
      <c r="UUC22"/>
      <c r="UUD22"/>
      <c r="UUE22"/>
      <c r="UUF22"/>
      <c r="UUG22"/>
      <c r="UUH22"/>
      <c r="UUI22"/>
      <c r="UUJ22"/>
      <c r="UUK22"/>
      <c r="UUL22"/>
      <c r="UUM22"/>
      <c r="UUN22"/>
      <c r="UUO22"/>
      <c r="UUP22"/>
      <c r="UUQ22"/>
      <c r="UUR22"/>
      <c r="UUS22"/>
      <c r="UUT22"/>
      <c r="UUU22"/>
      <c r="UUV22"/>
      <c r="UUW22"/>
      <c r="UUX22"/>
      <c r="UUY22"/>
      <c r="UUZ22"/>
      <c r="UVA22"/>
      <c r="UVB22"/>
      <c r="UVC22"/>
      <c r="UVD22"/>
      <c r="UVE22"/>
      <c r="UVF22"/>
      <c r="UVG22"/>
      <c r="UVH22"/>
      <c r="UVI22"/>
      <c r="UVJ22"/>
      <c r="UVK22"/>
      <c r="UVL22"/>
      <c r="UVM22"/>
      <c r="UVN22"/>
      <c r="UVO22"/>
      <c r="UVP22"/>
      <c r="UVQ22"/>
      <c r="UVR22"/>
      <c r="UVS22"/>
      <c r="UVT22"/>
      <c r="UVU22"/>
      <c r="UVV22"/>
      <c r="UVW22"/>
      <c r="UVX22"/>
      <c r="UVY22"/>
      <c r="UVZ22"/>
      <c r="UWA22"/>
      <c r="UWB22"/>
      <c r="UWC22"/>
      <c r="UWD22"/>
      <c r="UWE22"/>
      <c r="UWF22"/>
      <c r="UWG22"/>
      <c r="UWH22"/>
      <c r="UWI22"/>
      <c r="UWJ22"/>
      <c r="UWK22"/>
      <c r="UWL22"/>
      <c r="UWM22"/>
      <c r="UWN22"/>
      <c r="UWO22"/>
      <c r="UWP22"/>
      <c r="UWQ22"/>
      <c r="UWR22"/>
      <c r="UWS22"/>
      <c r="UWT22"/>
      <c r="UWU22"/>
      <c r="UWV22"/>
      <c r="UWW22"/>
      <c r="UWX22"/>
      <c r="UWY22"/>
      <c r="UWZ22"/>
      <c r="UXA22"/>
      <c r="UXB22"/>
      <c r="UXC22"/>
      <c r="UXD22"/>
      <c r="UXE22"/>
      <c r="UXF22"/>
      <c r="UXG22"/>
      <c r="UXH22"/>
      <c r="UXI22"/>
      <c r="UXJ22"/>
      <c r="UXK22"/>
      <c r="UXL22"/>
      <c r="UXM22"/>
      <c r="UXN22"/>
      <c r="UXO22"/>
      <c r="UXP22"/>
      <c r="UXQ22"/>
      <c r="UXR22"/>
      <c r="UXS22"/>
      <c r="UXT22"/>
      <c r="UXU22"/>
      <c r="UXV22"/>
      <c r="UXW22"/>
      <c r="UXX22"/>
      <c r="UXY22"/>
      <c r="UXZ22"/>
      <c r="UYA22"/>
      <c r="UYB22"/>
      <c r="UYC22"/>
      <c r="UYD22"/>
      <c r="UYE22"/>
      <c r="UYF22"/>
      <c r="UYG22"/>
      <c r="UYH22"/>
      <c r="UYI22"/>
      <c r="UYJ22"/>
      <c r="UYK22"/>
      <c r="UYL22"/>
      <c r="UYM22"/>
      <c r="UYN22"/>
      <c r="UYO22"/>
      <c r="UYP22"/>
      <c r="UYQ22"/>
      <c r="UYR22"/>
      <c r="UYS22"/>
      <c r="UYT22"/>
      <c r="UYU22"/>
      <c r="UYV22"/>
      <c r="UYW22"/>
      <c r="UYX22"/>
      <c r="UYY22"/>
      <c r="UYZ22"/>
      <c r="UZA22"/>
      <c r="UZB22"/>
      <c r="UZC22"/>
      <c r="UZD22"/>
      <c r="UZE22"/>
      <c r="UZF22"/>
      <c r="UZG22"/>
      <c r="UZH22"/>
      <c r="UZI22"/>
      <c r="UZJ22"/>
      <c r="UZK22"/>
      <c r="UZL22"/>
      <c r="UZM22"/>
      <c r="UZN22"/>
      <c r="UZO22"/>
      <c r="UZP22"/>
      <c r="UZQ22"/>
      <c r="UZR22"/>
      <c r="UZS22"/>
      <c r="UZT22"/>
      <c r="UZU22"/>
      <c r="UZV22"/>
      <c r="UZW22"/>
      <c r="UZX22"/>
      <c r="UZY22"/>
      <c r="UZZ22"/>
      <c r="VAA22"/>
      <c r="VAB22"/>
      <c r="VAC22"/>
      <c r="VAD22"/>
      <c r="VAE22"/>
      <c r="VAF22"/>
      <c r="VAG22"/>
      <c r="VAH22"/>
      <c r="VAI22"/>
      <c r="VAJ22"/>
      <c r="VAK22"/>
      <c r="VAL22"/>
      <c r="VAM22"/>
      <c r="VAN22"/>
      <c r="VAO22"/>
      <c r="VAP22"/>
      <c r="VAQ22"/>
      <c r="VAR22"/>
      <c r="VAS22"/>
      <c r="VAT22"/>
      <c r="VAU22"/>
      <c r="VAV22"/>
      <c r="VAW22"/>
      <c r="VAX22"/>
      <c r="VAY22"/>
      <c r="VAZ22"/>
      <c r="VBA22"/>
      <c r="VBB22"/>
      <c r="VBC22"/>
      <c r="VBD22"/>
      <c r="VBE22"/>
      <c r="VBF22"/>
      <c r="VBG22"/>
      <c r="VBH22"/>
      <c r="VBI22"/>
      <c r="VBJ22"/>
      <c r="VBK22"/>
      <c r="VBL22"/>
      <c r="VBM22"/>
      <c r="VBN22"/>
      <c r="VBO22"/>
      <c r="VBP22"/>
      <c r="VBQ22"/>
      <c r="VBR22"/>
      <c r="VBS22"/>
      <c r="VBT22"/>
      <c r="VBU22"/>
      <c r="VBV22"/>
      <c r="VBW22"/>
      <c r="VBX22"/>
      <c r="VBY22"/>
      <c r="VBZ22"/>
      <c r="VCA22"/>
      <c r="VCB22"/>
      <c r="VCC22"/>
      <c r="VCD22"/>
      <c r="VCE22"/>
      <c r="VCF22"/>
      <c r="VCG22"/>
      <c r="VCH22"/>
      <c r="VCI22"/>
      <c r="VCJ22"/>
      <c r="VCK22"/>
      <c r="VCL22"/>
      <c r="VCM22"/>
      <c r="VCN22"/>
      <c r="VCO22"/>
      <c r="VCP22"/>
      <c r="VCQ22"/>
      <c r="VCR22"/>
      <c r="VCS22"/>
      <c r="VCT22"/>
      <c r="VCU22"/>
      <c r="VCV22"/>
      <c r="VCW22"/>
      <c r="VCX22"/>
      <c r="VCY22"/>
      <c r="VCZ22"/>
      <c r="VDA22"/>
      <c r="VDB22"/>
      <c r="VDC22"/>
      <c r="VDD22"/>
      <c r="VDE22"/>
      <c r="VDF22"/>
      <c r="VDG22"/>
      <c r="VDH22"/>
      <c r="VDI22"/>
      <c r="VDJ22"/>
      <c r="VDK22"/>
      <c r="VDL22"/>
      <c r="VDM22"/>
      <c r="VDN22"/>
      <c r="VDO22"/>
      <c r="VDP22"/>
      <c r="VDQ22"/>
      <c r="VDR22"/>
      <c r="VDS22"/>
      <c r="VDT22"/>
      <c r="VDU22"/>
      <c r="VDV22"/>
      <c r="VDW22"/>
      <c r="VDX22"/>
      <c r="VDY22"/>
      <c r="VDZ22"/>
      <c r="VEA22"/>
      <c r="VEB22"/>
      <c r="VEC22"/>
      <c r="VED22"/>
      <c r="VEE22"/>
      <c r="VEF22"/>
      <c r="VEG22"/>
      <c r="VEH22"/>
      <c r="VEI22"/>
      <c r="VEJ22"/>
      <c r="VEK22"/>
      <c r="VEL22"/>
      <c r="VEM22"/>
      <c r="VEN22"/>
      <c r="VEO22"/>
      <c r="VEP22"/>
      <c r="VEQ22"/>
      <c r="VER22"/>
      <c r="VES22"/>
      <c r="VET22"/>
      <c r="VEU22"/>
      <c r="VEV22"/>
      <c r="VEW22"/>
      <c r="VEX22"/>
      <c r="VEY22"/>
      <c r="VEZ22"/>
      <c r="VFA22"/>
      <c r="VFB22"/>
      <c r="VFC22"/>
      <c r="VFD22"/>
      <c r="VFE22"/>
      <c r="VFF22"/>
      <c r="VFG22"/>
      <c r="VFH22"/>
      <c r="VFI22"/>
      <c r="VFJ22"/>
      <c r="VFK22"/>
      <c r="VFL22"/>
      <c r="VFM22"/>
      <c r="VFN22"/>
      <c r="VFO22"/>
      <c r="VFP22"/>
      <c r="VFQ22"/>
      <c r="VFR22"/>
      <c r="VFS22"/>
      <c r="VFT22"/>
      <c r="VFU22"/>
      <c r="VFV22"/>
      <c r="VFW22"/>
      <c r="VFX22"/>
      <c r="VFY22"/>
      <c r="VFZ22"/>
      <c r="VGA22"/>
      <c r="VGB22"/>
      <c r="VGC22"/>
      <c r="VGD22"/>
      <c r="VGE22"/>
      <c r="VGF22"/>
      <c r="VGG22"/>
      <c r="VGH22"/>
      <c r="VGI22"/>
      <c r="VGJ22"/>
      <c r="VGK22"/>
      <c r="VGL22"/>
      <c r="VGM22"/>
      <c r="VGN22"/>
      <c r="VGO22"/>
      <c r="VGP22"/>
      <c r="VGQ22"/>
      <c r="VGR22"/>
      <c r="VGS22"/>
      <c r="VGT22"/>
      <c r="VGU22"/>
      <c r="VGV22"/>
      <c r="VGW22"/>
      <c r="VGX22"/>
      <c r="VGY22"/>
      <c r="VGZ22"/>
      <c r="VHA22"/>
      <c r="VHB22"/>
      <c r="VHC22"/>
      <c r="VHD22"/>
      <c r="VHE22"/>
      <c r="VHF22"/>
      <c r="VHG22"/>
      <c r="VHH22"/>
      <c r="VHI22"/>
      <c r="VHJ22"/>
      <c r="VHK22"/>
      <c r="VHL22"/>
      <c r="VHM22"/>
      <c r="VHN22"/>
      <c r="VHO22"/>
      <c r="VHP22"/>
      <c r="VHQ22"/>
      <c r="VHR22"/>
      <c r="VHS22"/>
      <c r="VHT22"/>
      <c r="VHU22"/>
      <c r="VHV22"/>
      <c r="VHW22"/>
      <c r="VHX22"/>
      <c r="VHY22"/>
      <c r="VHZ22"/>
      <c r="VIA22"/>
      <c r="VIB22"/>
      <c r="VIC22"/>
      <c r="VID22"/>
      <c r="VIE22"/>
      <c r="VIF22"/>
      <c r="VIG22"/>
      <c r="VIH22"/>
      <c r="VII22"/>
      <c r="VIJ22"/>
      <c r="VIK22"/>
      <c r="VIL22"/>
      <c r="VIM22"/>
      <c r="VIN22"/>
      <c r="VIO22"/>
      <c r="VIP22"/>
      <c r="VIQ22"/>
      <c r="VIR22"/>
      <c r="VIS22"/>
      <c r="VIT22"/>
      <c r="VIU22"/>
      <c r="VIV22"/>
      <c r="VIW22"/>
      <c r="VIX22"/>
      <c r="VIY22"/>
      <c r="VIZ22"/>
      <c r="VJA22"/>
      <c r="VJB22"/>
      <c r="VJC22"/>
      <c r="VJD22"/>
      <c r="VJE22"/>
      <c r="VJF22"/>
      <c r="VJG22"/>
      <c r="VJH22"/>
      <c r="VJI22"/>
      <c r="VJJ22"/>
      <c r="VJK22"/>
      <c r="VJL22"/>
      <c r="VJM22"/>
      <c r="VJN22"/>
      <c r="VJO22"/>
      <c r="VJP22"/>
      <c r="VJQ22"/>
      <c r="VJR22"/>
      <c r="VJS22"/>
      <c r="VJT22"/>
      <c r="VJU22"/>
      <c r="VJV22"/>
      <c r="VJW22"/>
      <c r="VJX22"/>
      <c r="VJY22"/>
      <c r="VJZ22"/>
      <c r="VKA22"/>
      <c r="VKB22"/>
      <c r="VKC22"/>
      <c r="VKD22"/>
      <c r="VKE22"/>
      <c r="VKF22"/>
      <c r="VKG22"/>
      <c r="VKH22"/>
      <c r="VKI22"/>
      <c r="VKJ22"/>
      <c r="VKK22"/>
      <c r="VKL22"/>
      <c r="VKM22"/>
      <c r="VKN22"/>
      <c r="VKO22"/>
      <c r="VKP22"/>
      <c r="VKQ22"/>
      <c r="VKR22"/>
      <c r="VKS22"/>
      <c r="VKT22"/>
      <c r="VKU22"/>
      <c r="VKV22"/>
      <c r="VKW22"/>
      <c r="VKX22"/>
      <c r="VKY22"/>
      <c r="VKZ22"/>
      <c r="VLA22"/>
      <c r="VLB22"/>
      <c r="VLC22"/>
      <c r="VLD22"/>
      <c r="VLE22"/>
      <c r="VLF22"/>
      <c r="VLG22"/>
      <c r="VLH22"/>
      <c r="VLI22"/>
      <c r="VLJ22"/>
      <c r="VLK22"/>
      <c r="VLL22"/>
      <c r="VLM22"/>
      <c r="VLN22"/>
      <c r="VLO22"/>
      <c r="VLP22"/>
      <c r="VLQ22"/>
      <c r="VLR22"/>
      <c r="VLS22"/>
      <c r="VLT22"/>
      <c r="VLU22"/>
      <c r="VLV22"/>
      <c r="VLW22"/>
      <c r="VLX22"/>
      <c r="VLY22"/>
      <c r="VLZ22"/>
      <c r="VMA22"/>
      <c r="VMB22"/>
      <c r="VMC22"/>
      <c r="VMD22"/>
      <c r="VME22"/>
      <c r="VMF22"/>
      <c r="VMG22"/>
      <c r="VMH22"/>
      <c r="VMI22"/>
      <c r="VMJ22"/>
      <c r="VMK22"/>
      <c r="VML22"/>
      <c r="VMM22"/>
      <c r="VMN22"/>
      <c r="VMO22"/>
      <c r="VMP22"/>
      <c r="VMQ22"/>
      <c r="VMR22"/>
      <c r="VMS22"/>
      <c r="VMT22"/>
      <c r="VMU22"/>
      <c r="VMV22"/>
      <c r="VMW22"/>
      <c r="VMX22"/>
      <c r="VMY22"/>
      <c r="VMZ22"/>
      <c r="VNA22"/>
      <c r="VNB22"/>
      <c r="VNC22"/>
      <c r="VND22"/>
      <c r="VNE22"/>
      <c r="VNF22"/>
      <c r="VNG22"/>
      <c r="VNH22"/>
      <c r="VNI22"/>
      <c r="VNJ22"/>
      <c r="VNK22"/>
      <c r="VNL22"/>
      <c r="VNM22"/>
      <c r="VNN22"/>
      <c r="VNO22"/>
      <c r="VNP22"/>
      <c r="VNQ22"/>
      <c r="VNR22"/>
      <c r="VNS22"/>
      <c r="VNT22"/>
      <c r="VNU22"/>
      <c r="VNV22"/>
      <c r="VNW22"/>
      <c r="VNX22"/>
      <c r="VNY22"/>
      <c r="VNZ22"/>
      <c r="VOA22"/>
      <c r="VOB22"/>
      <c r="VOC22"/>
      <c r="VOD22"/>
      <c r="VOE22"/>
      <c r="VOF22"/>
      <c r="VOG22"/>
      <c r="VOH22"/>
      <c r="VOI22"/>
      <c r="VOJ22"/>
      <c r="VOK22"/>
      <c r="VOL22"/>
      <c r="VOM22"/>
      <c r="VON22"/>
      <c r="VOO22"/>
      <c r="VOP22"/>
      <c r="VOQ22"/>
      <c r="VOR22"/>
      <c r="VOS22"/>
      <c r="VOT22"/>
      <c r="VOU22"/>
      <c r="VOV22"/>
      <c r="VOW22"/>
      <c r="VOX22"/>
      <c r="VOY22"/>
      <c r="VOZ22"/>
      <c r="VPA22"/>
      <c r="VPB22"/>
      <c r="VPC22"/>
      <c r="VPD22"/>
      <c r="VPE22"/>
      <c r="VPF22"/>
      <c r="VPG22"/>
      <c r="VPH22"/>
      <c r="VPI22"/>
      <c r="VPJ22"/>
      <c r="VPK22"/>
      <c r="VPL22"/>
      <c r="VPM22"/>
      <c r="VPN22"/>
      <c r="VPO22"/>
      <c r="VPP22"/>
      <c r="VPQ22"/>
      <c r="VPR22"/>
      <c r="VPS22"/>
      <c r="VPT22"/>
      <c r="VPU22"/>
      <c r="VPV22"/>
      <c r="VPW22"/>
      <c r="VPX22"/>
      <c r="VPY22"/>
      <c r="VPZ22"/>
      <c r="VQA22"/>
      <c r="VQB22"/>
      <c r="VQC22"/>
      <c r="VQD22"/>
      <c r="VQE22"/>
      <c r="VQF22"/>
      <c r="VQG22"/>
      <c r="VQH22"/>
      <c r="VQI22"/>
      <c r="VQJ22"/>
      <c r="VQK22"/>
      <c r="VQL22"/>
      <c r="VQM22"/>
      <c r="VQN22"/>
      <c r="VQO22"/>
      <c r="VQP22"/>
      <c r="VQQ22"/>
      <c r="VQR22"/>
      <c r="VQS22"/>
      <c r="VQT22"/>
      <c r="VQU22"/>
      <c r="VQV22"/>
      <c r="VQW22"/>
      <c r="VQX22"/>
      <c r="VQY22"/>
      <c r="VQZ22"/>
      <c r="VRA22"/>
      <c r="VRB22"/>
      <c r="VRC22"/>
      <c r="VRD22"/>
      <c r="VRE22"/>
      <c r="VRF22"/>
      <c r="VRG22"/>
      <c r="VRH22"/>
      <c r="VRI22"/>
      <c r="VRJ22"/>
      <c r="VRK22"/>
      <c r="VRL22"/>
      <c r="VRM22"/>
      <c r="VRN22"/>
      <c r="VRO22"/>
      <c r="VRP22"/>
      <c r="VRQ22"/>
      <c r="VRR22"/>
      <c r="VRS22"/>
      <c r="VRT22"/>
      <c r="VRU22"/>
      <c r="VRV22"/>
      <c r="VRW22"/>
      <c r="VRX22"/>
      <c r="VRY22"/>
      <c r="VRZ22"/>
      <c r="VSA22"/>
      <c r="VSB22"/>
      <c r="VSC22"/>
      <c r="VSD22"/>
      <c r="VSE22"/>
      <c r="VSF22"/>
      <c r="VSG22"/>
      <c r="VSH22"/>
      <c r="VSI22"/>
      <c r="VSJ22"/>
      <c r="VSK22"/>
      <c r="VSL22"/>
      <c r="VSM22"/>
      <c r="VSN22"/>
      <c r="VSO22"/>
      <c r="VSP22"/>
      <c r="VSQ22"/>
      <c r="VSR22"/>
      <c r="VSS22"/>
      <c r="VST22"/>
      <c r="VSU22"/>
      <c r="VSV22"/>
      <c r="VSW22"/>
      <c r="VSX22"/>
      <c r="VSY22"/>
      <c r="VSZ22"/>
      <c r="VTA22"/>
      <c r="VTB22"/>
      <c r="VTC22"/>
      <c r="VTD22"/>
      <c r="VTE22"/>
      <c r="VTF22"/>
      <c r="VTG22"/>
      <c r="VTH22"/>
      <c r="VTI22"/>
      <c r="VTJ22"/>
      <c r="VTK22"/>
      <c r="VTL22"/>
      <c r="VTM22"/>
      <c r="VTN22"/>
      <c r="VTO22"/>
      <c r="VTP22"/>
      <c r="VTQ22"/>
      <c r="VTR22"/>
      <c r="VTS22"/>
      <c r="VTT22"/>
      <c r="VTU22"/>
      <c r="VTV22"/>
      <c r="VTW22"/>
      <c r="VTX22"/>
      <c r="VTY22"/>
      <c r="VTZ22"/>
      <c r="VUA22"/>
      <c r="VUB22"/>
      <c r="VUC22"/>
      <c r="VUD22"/>
      <c r="VUE22"/>
      <c r="VUF22"/>
      <c r="VUG22"/>
      <c r="VUH22"/>
      <c r="VUI22"/>
      <c r="VUJ22"/>
      <c r="VUK22"/>
      <c r="VUL22"/>
      <c r="VUM22"/>
      <c r="VUN22"/>
      <c r="VUO22"/>
      <c r="VUP22"/>
      <c r="VUQ22"/>
      <c r="VUR22"/>
      <c r="VUS22"/>
      <c r="VUT22"/>
      <c r="VUU22"/>
      <c r="VUV22"/>
      <c r="VUW22"/>
      <c r="VUX22"/>
      <c r="VUY22"/>
      <c r="VUZ22"/>
      <c r="VVA22"/>
      <c r="VVB22"/>
      <c r="VVC22"/>
      <c r="VVD22"/>
      <c r="VVE22"/>
      <c r="VVF22"/>
      <c r="VVG22"/>
      <c r="VVH22"/>
      <c r="VVI22"/>
      <c r="VVJ22"/>
      <c r="VVK22"/>
      <c r="VVL22"/>
      <c r="VVM22"/>
      <c r="VVN22"/>
      <c r="VVO22"/>
      <c r="VVP22"/>
      <c r="VVQ22"/>
      <c r="VVR22"/>
      <c r="VVS22"/>
      <c r="VVT22"/>
      <c r="VVU22"/>
      <c r="VVV22"/>
      <c r="VVW22"/>
      <c r="VVX22"/>
      <c r="VVY22"/>
      <c r="VVZ22"/>
      <c r="VWA22"/>
      <c r="VWB22"/>
      <c r="VWC22"/>
      <c r="VWD22"/>
      <c r="VWE22"/>
      <c r="VWF22"/>
      <c r="VWG22"/>
      <c r="VWH22"/>
      <c r="VWI22"/>
      <c r="VWJ22"/>
      <c r="VWK22"/>
      <c r="VWL22"/>
      <c r="VWM22"/>
      <c r="VWN22"/>
      <c r="VWO22"/>
      <c r="VWP22"/>
      <c r="VWQ22"/>
      <c r="VWR22"/>
      <c r="VWS22"/>
      <c r="VWT22"/>
      <c r="VWU22"/>
      <c r="VWV22"/>
      <c r="VWW22"/>
      <c r="VWX22"/>
      <c r="VWY22"/>
      <c r="VWZ22"/>
      <c r="VXA22"/>
      <c r="VXB22"/>
      <c r="VXC22"/>
      <c r="VXD22"/>
      <c r="VXE22"/>
      <c r="VXF22"/>
      <c r="VXG22"/>
      <c r="VXH22"/>
      <c r="VXI22"/>
      <c r="VXJ22"/>
      <c r="VXK22"/>
      <c r="VXL22"/>
      <c r="VXM22"/>
      <c r="VXN22"/>
      <c r="VXO22"/>
      <c r="VXP22"/>
      <c r="VXQ22"/>
      <c r="VXR22"/>
      <c r="VXS22"/>
      <c r="VXT22"/>
      <c r="VXU22"/>
      <c r="VXV22"/>
      <c r="VXW22"/>
      <c r="VXX22"/>
      <c r="VXY22"/>
      <c r="VXZ22"/>
      <c r="VYA22"/>
      <c r="VYB22"/>
      <c r="VYC22"/>
      <c r="VYD22"/>
      <c r="VYE22"/>
      <c r="VYF22"/>
      <c r="VYG22"/>
      <c r="VYH22"/>
      <c r="VYI22"/>
      <c r="VYJ22"/>
      <c r="VYK22"/>
      <c r="VYL22"/>
      <c r="VYM22"/>
      <c r="VYN22"/>
      <c r="VYO22"/>
      <c r="VYP22"/>
      <c r="VYQ22"/>
      <c r="VYR22"/>
      <c r="VYS22"/>
      <c r="VYT22"/>
      <c r="VYU22"/>
      <c r="VYV22"/>
      <c r="VYW22"/>
      <c r="VYX22"/>
      <c r="VYY22"/>
      <c r="VYZ22"/>
      <c r="VZA22"/>
      <c r="VZB22"/>
      <c r="VZC22"/>
      <c r="VZD22"/>
      <c r="VZE22"/>
      <c r="VZF22"/>
      <c r="VZG22"/>
      <c r="VZH22"/>
      <c r="VZI22"/>
      <c r="VZJ22"/>
      <c r="VZK22"/>
      <c r="VZL22"/>
      <c r="VZM22"/>
      <c r="VZN22"/>
      <c r="VZO22"/>
      <c r="VZP22"/>
      <c r="VZQ22"/>
      <c r="VZR22"/>
      <c r="VZS22"/>
      <c r="VZT22"/>
      <c r="VZU22"/>
      <c r="VZV22"/>
      <c r="VZW22"/>
      <c r="VZX22"/>
      <c r="VZY22"/>
      <c r="VZZ22"/>
      <c r="WAA22"/>
      <c r="WAB22"/>
      <c r="WAC22"/>
      <c r="WAD22"/>
      <c r="WAE22"/>
      <c r="WAF22"/>
      <c r="WAG22"/>
      <c r="WAH22"/>
      <c r="WAI22"/>
      <c r="WAJ22"/>
      <c r="WAK22"/>
      <c r="WAL22"/>
      <c r="WAM22"/>
      <c r="WAN22"/>
      <c r="WAO22"/>
      <c r="WAP22"/>
      <c r="WAQ22"/>
      <c r="WAR22"/>
      <c r="WAS22"/>
      <c r="WAT22"/>
      <c r="WAU22"/>
      <c r="WAV22"/>
      <c r="WAW22"/>
      <c r="WAX22"/>
      <c r="WAY22"/>
      <c r="WAZ22"/>
      <c r="WBA22"/>
      <c r="WBB22"/>
      <c r="WBC22"/>
      <c r="WBD22"/>
      <c r="WBE22"/>
      <c r="WBF22"/>
      <c r="WBG22"/>
      <c r="WBH22"/>
      <c r="WBI22"/>
      <c r="WBJ22"/>
      <c r="WBK22"/>
      <c r="WBL22"/>
      <c r="WBM22"/>
      <c r="WBN22"/>
      <c r="WBO22"/>
      <c r="WBP22"/>
      <c r="WBQ22"/>
      <c r="WBR22"/>
      <c r="WBS22"/>
      <c r="WBT22"/>
      <c r="WBU22"/>
      <c r="WBV22"/>
      <c r="WBW22"/>
      <c r="WBX22"/>
      <c r="WBY22"/>
      <c r="WBZ22"/>
      <c r="WCA22"/>
      <c r="WCB22"/>
      <c r="WCC22"/>
      <c r="WCD22"/>
      <c r="WCE22"/>
      <c r="WCF22"/>
      <c r="WCG22"/>
      <c r="WCH22"/>
      <c r="WCI22"/>
      <c r="WCJ22"/>
      <c r="WCK22"/>
      <c r="WCL22"/>
      <c r="WCM22"/>
      <c r="WCN22"/>
      <c r="WCO22"/>
      <c r="WCP22"/>
      <c r="WCQ22"/>
      <c r="WCR22"/>
      <c r="WCS22"/>
      <c r="WCT22"/>
      <c r="WCU22"/>
      <c r="WCV22"/>
      <c r="WCW22"/>
      <c r="WCX22"/>
      <c r="WCY22"/>
      <c r="WCZ22"/>
      <c r="WDA22"/>
      <c r="WDB22"/>
      <c r="WDC22"/>
      <c r="WDD22"/>
      <c r="WDE22"/>
      <c r="WDF22"/>
      <c r="WDG22"/>
      <c r="WDH22"/>
      <c r="WDI22"/>
      <c r="WDJ22"/>
      <c r="WDK22"/>
      <c r="WDL22"/>
      <c r="WDM22"/>
      <c r="WDN22"/>
      <c r="WDO22"/>
      <c r="WDP22"/>
      <c r="WDQ22"/>
      <c r="WDR22"/>
      <c r="WDS22"/>
      <c r="WDT22"/>
      <c r="WDU22"/>
      <c r="WDV22"/>
      <c r="WDW22"/>
      <c r="WDX22"/>
      <c r="WDY22"/>
      <c r="WDZ22"/>
      <c r="WEA22"/>
      <c r="WEB22"/>
      <c r="WEC22"/>
      <c r="WED22"/>
      <c r="WEE22"/>
      <c r="WEF22"/>
      <c r="WEG22"/>
      <c r="WEH22"/>
      <c r="WEI22"/>
      <c r="WEJ22"/>
      <c r="WEK22"/>
      <c r="WEL22"/>
      <c r="WEM22"/>
      <c r="WEN22"/>
      <c r="WEO22"/>
      <c r="WEP22"/>
      <c r="WEQ22"/>
      <c r="WER22"/>
      <c r="WES22"/>
      <c r="WET22"/>
      <c r="WEU22"/>
      <c r="WEV22"/>
      <c r="WEW22"/>
      <c r="WEX22"/>
      <c r="WEY22"/>
      <c r="WEZ22"/>
      <c r="WFA22"/>
      <c r="WFB22"/>
      <c r="WFC22"/>
      <c r="WFD22"/>
      <c r="WFE22"/>
      <c r="WFF22"/>
      <c r="WFG22"/>
      <c r="WFH22"/>
      <c r="WFI22"/>
      <c r="WFJ22"/>
      <c r="WFK22"/>
      <c r="WFL22"/>
      <c r="WFM22"/>
      <c r="WFN22"/>
      <c r="WFO22"/>
      <c r="WFP22"/>
      <c r="WFQ22"/>
      <c r="WFR22"/>
      <c r="WFS22"/>
      <c r="WFT22"/>
      <c r="WFU22"/>
      <c r="WFV22"/>
      <c r="WFW22"/>
      <c r="WFX22"/>
      <c r="WFY22"/>
      <c r="WFZ22"/>
      <c r="WGA22"/>
      <c r="WGB22"/>
      <c r="WGC22"/>
      <c r="WGD22"/>
      <c r="WGE22"/>
      <c r="WGF22"/>
      <c r="WGG22"/>
      <c r="WGH22"/>
      <c r="WGI22"/>
      <c r="WGJ22"/>
      <c r="WGK22"/>
      <c r="WGL22"/>
      <c r="WGM22"/>
      <c r="WGN22"/>
      <c r="WGO22"/>
      <c r="WGP22"/>
      <c r="WGQ22"/>
      <c r="WGR22"/>
      <c r="WGS22"/>
      <c r="WGT22"/>
      <c r="WGU22"/>
      <c r="WGV22"/>
      <c r="WGW22"/>
      <c r="WGX22"/>
      <c r="WGY22"/>
      <c r="WGZ22"/>
      <c r="WHA22"/>
      <c r="WHB22"/>
      <c r="WHC22"/>
      <c r="WHD22"/>
      <c r="WHE22"/>
      <c r="WHF22"/>
      <c r="WHG22"/>
      <c r="WHH22"/>
      <c r="WHI22"/>
      <c r="WHJ22"/>
      <c r="WHK22"/>
      <c r="WHL22"/>
      <c r="WHM22"/>
      <c r="WHN22"/>
      <c r="WHO22"/>
      <c r="WHP22"/>
      <c r="WHQ22"/>
      <c r="WHR22"/>
      <c r="WHS22"/>
      <c r="WHT22"/>
      <c r="WHU22"/>
      <c r="WHV22"/>
      <c r="WHW22"/>
      <c r="WHX22"/>
      <c r="WHY22"/>
      <c r="WHZ22"/>
      <c r="WIA22"/>
      <c r="WIB22"/>
      <c r="WIC22"/>
      <c r="WID22"/>
      <c r="WIE22"/>
      <c r="WIF22"/>
      <c r="WIG22"/>
      <c r="WIH22"/>
      <c r="WII22"/>
      <c r="WIJ22"/>
      <c r="WIK22"/>
      <c r="WIL22"/>
      <c r="WIM22"/>
      <c r="WIN22"/>
      <c r="WIO22"/>
      <c r="WIP22"/>
      <c r="WIQ22"/>
      <c r="WIR22"/>
      <c r="WIS22"/>
      <c r="WIT22"/>
      <c r="WIU22"/>
      <c r="WIV22"/>
      <c r="WIW22"/>
      <c r="WIX22"/>
      <c r="WIY22"/>
      <c r="WIZ22"/>
      <c r="WJA22"/>
      <c r="WJB22"/>
      <c r="WJC22"/>
      <c r="WJD22"/>
      <c r="WJE22"/>
      <c r="WJF22"/>
      <c r="WJG22"/>
      <c r="WJH22"/>
      <c r="WJI22"/>
      <c r="WJJ22"/>
      <c r="WJK22"/>
      <c r="WJL22"/>
      <c r="WJM22"/>
      <c r="WJN22"/>
      <c r="WJO22"/>
      <c r="WJP22"/>
      <c r="WJQ22"/>
      <c r="WJR22"/>
      <c r="WJS22"/>
      <c r="WJT22"/>
      <c r="WJU22"/>
      <c r="WJV22"/>
      <c r="WJW22"/>
      <c r="WJX22"/>
      <c r="WJY22"/>
      <c r="WJZ22"/>
      <c r="WKA22"/>
      <c r="WKB22"/>
      <c r="WKC22"/>
      <c r="WKD22"/>
      <c r="WKE22"/>
      <c r="WKF22"/>
      <c r="WKG22"/>
      <c r="WKH22"/>
      <c r="WKI22"/>
      <c r="WKJ22"/>
      <c r="WKK22"/>
      <c r="WKL22"/>
      <c r="WKM22"/>
      <c r="WKN22"/>
      <c r="WKO22"/>
      <c r="WKP22"/>
      <c r="WKQ22"/>
      <c r="WKR22"/>
      <c r="WKS22"/>
      <c r="WKT22"/>
      <c r="WKU22"/>
      <c r="WKV22"/>
      <c r="WKW22"/>
      <c r="WKX22"/>
      <c r="WKY22"/>
      <c r="WKZ22"/>
      <c r="WLA22"/>
      <c r="WLB22"/>
      <c r="WLC22"/>
      <c r="WLD22"/>
      <c r="WLE22"/>
      <c r="WLF22"/>
      <c r="WLG22"/>
      <c r="WLH22"/>
      <c r="WLI22"/>
      <c r="WLJ22"/>
      <c r="WLK22"/>
      <c r="WLL22"/>
      <c r="WLM22"/>
      <c r="WLN22"/>
      <c r="WLO22"/>
      <c r="WLP22"/>
      <c r="WLQ22"/>
      <c r="WLR22"/>
      <c r="WLS22"/>
      <c r="WLT22"/>
      <c r="WLU22"/>
      <c r="WLV22"/>
      <c r="WLW22"/>
      <c r="WLX22"/>
      <c r="WLY22"/>
      <c r="WLZ22"/>
      <c r="WMA22"/>
      <c r="WMB22"/>
      <c r="WMC22"/>
      <c r="WMD22"/>
      <c r="WME22"/>
      <c r="WMF22"/>
      <c r="WMG22"/>
      <c r="WMH22"/>
      <c r="WMI22"/>
      <c r="WMJ22"/>
      <c r="WMK22"/>
      <c r="WML22"/>
      <c r="WMM22"/>
      <c r="WMN22"/>
      <c r="WMO22"/>
      <c r="WMP22"/>
      <c r="WMQ22"/>
      <c r="WMR22"/>
      <c r="WMS22"/>
      <c r="WMT22"/>
      <c r="WMU22"/>
      <c r="WMV22"/>
      <c r="WMW22"/>
      <c r="WMX22"/>
      <c r="WMY22"/>
      <c r="WMZ22"/>
      <c r="WNA22"/>
      <c r="WNB22"/>
      <c r="WNC22"/>
      <c r="WND22"/>
      <c r="WNE22"/>
      <c r="WNF22"/>
      <c r="WNG22"/>
      <c r="WNH22"/>
      <c r="WNI22"/>
      <c r="WNJ22"/>
      <c r="WNK22"/>
      <c r="WNL22"/>
      <c r="WNM22"/>
      <c r="WNN22"/>
      <c r="WNO22"/>
      <c r="WNP22"/>
      <c r="WNQ22"/>
      <c r="WNR22"/>
      <c r="WNS22"/>
      <c r="WNT22"/>
      <c r="WNU22"/>
      <c r="WNV22"/>
      <c r="WNW22"/>
      <c r="WNX22"/>
      <c r="WNY22"/>
      <c r="WNZ22"/>
      <c r="WOA22"/>
      <c r="WOB22"/>
      <c r="WOC22"/>
      <c r="WOD22"/>
      <c r="WOE22"/>
      <c r="WOF22"/>
      <c r="WOG22"/>
      <c r="WOH22"/>
      <c r="WOI22"/>
      <c r="WOJ22"/>
      <c r="WOK22"/>
      <c r="WOL22"/>
      <c r="WOM22"/>
      <c r="WON22"/>
      <c r="WOO22"/>
      <c r="WOP22"/>
      <c r="WOQ22"/>
      <c r="WOR22"/>
      <c r="WOS22"/>
      <c r="WOT22"/>
      <c r="WOU22"/>
      <c r="WOV22"/>
      <c r="WOW22"/>
      <c r="WOX22"/>
      <c r="WOY22"/>
      <c r="WOZ22"/>
      <c r="WPA22"/>
      <c r="WPB22"/>
      <c r="WPC22"/>
      <c r="WPD22"/>
      <c r="WPE22"/>
      <c r="WPF22"/>
      <c r="WPG22"/>
      <c r="WPH22"/>
      <c r="WPI22"/>
      <c r="WPJ22"/>
      <c r="WPK22"/>
      <c r="WPL22"/>
      <c r="WPM22"/>
      <c r="WPN22"/>
      <c r="WPO22"/>
      <c r="WPP22"/>
      <c r="WPQ22"/>
      <c r="WPR22"/>
      <c r="WPS22"/>
      <c r="WPT22"/>
      <c r="WPU22"/>
      <c r="WPV22"/>
      <c r="WPW22"/>
      <c r="WPX22"/>
      <c r="WPY22"/>
      <c r="WPZ22"/>
      <c r="WQA22"/>
      <c r="WQB22"/>
      <c r="WQC22"/>
      <c r="WQD22"/>
      <c r="WQE22"/>
      <c r="WQF22"/>
      <c r="WQG22"/>
      <c r="WQH22"/>
      <c r="WQI22"/>
      <c r="WQJ22"/>
      <c r="WQK22"/>
      <c r="WQL22"/>
      <c r="WQM22"/>
      <c r="WQN22"/>
      <c r="WQO22"/>
      <c r="WQP22"/>
      <c r="WQQ22"/>
      <c r="WQR22"/>
      <c r="WQS22"/>
      <c r="WQT22"/>
      <c r="WQU22"/>
      <c r="WQV22"/>
      <c r="WQW22"/>
      <c r="WQX22"/>
      <c r="WQY22"/>
      <c r="WQZ22"/>
      <c r="WRA22"/>
      <c r="WRB22"/>
      <c r="WRC22"/>
      <c r="WRD22"/>
      <c r="WRE22"/>
      <c r="WRF22"/>
      <c r="WRG22"/>
      <c r="WRH22"/>
      <c r="WRI22"/>
      <c r="WRJ22"/>
      <c r="WRK22"/>
      <c r="WRL22"/>
      <c r="WRM22"/>
      <c r="WRN22"/>
      <c r="WRO22"/>
      <c r="WRP22"/>
      <c r="WRQ22"/>
      <c r="WRR22"/>
      <c r="WRS22"/>
      <c r="WRT22"/>
      <c r="WRU22"/>
      <c r="WRV22"/>
      <c r="WRW22"/>
      <c r="WRX22"/>
      <c r="WRY22"/>
      <c r="WRZ22"/>
      <c r="WSA22"/>
      <c r="WSB22"/>
      <c r="WSC22"/>
      <c r="WSD22"/>
      <c r="WSE22"/>
      <c r="WSF22"/>
      <c r="WSG22"/>
      <c r="WSH22"/>
      <c r="WSI22"/>
      <c r="WSJ22"/>
      <c r="WSK22"/>
      <c r="WSL22"/>
      <c r="WSM22"/>
      <c r="WSN22"/>
      <c r="WSO22"/>
      <c r="WSP22"/>
      <c r="WSQ22"/>
      <c r="WSR22"/>
      <c r="WSS22"/>
      <c r="WST22"/>
      <c r="WSU22"/>
      <c r="WSV22"/>
      <c r="WSW22"/>
      <c r="WSX22"/>
      <c r="WSY22"/>
      <c r="WSZ22"/>
      <c r="WTA22"/>
      <c r="WTB22"/>
      <c r="WTC22"/>
      <c r="WTD22"/>
      <c r="WTE22"/>
      <c r="WTF22"/>
      <c r="WTG22"/>
      <c r="WTH22"/>
      <c r="WTI22"/>
      <c r="WTJ22"/>
      <c r="WTK22"/>
      <c r="WTL22"/>
      <c r="WTM22"/>
      <c r="WTN22"/>
      <c r="WTO22"/>
      <c r="WTP22"/>
      <c r="WTQ22"/>
      <c r="WTR22"/>
      <c r="WTS22"/>
      <c r="WTT22"/>
      <c r="WTU22"/>
      <c r="WTV22"/>
      <c r="WTW22"/>
      <c r="WTX22"/>
      <c r="WTY22"/>
      <c r="WTZ22"/>
      <c r="WUA22"/>
      <c r="WUB22"/>
      <c r="WUC22"/>
      <c r="WUD22"/>
      <c r="WUE22"/>
      <c r="WUF22"/>
      <c r="WUG22"/>
      <c r="WUH22"/>
      <c r="WUI22"/>
      <c r="WUJ22"/>
      <c r="WUK22"/>
      <c r="WUL22"/>
      <c r="WUM22"/>
      <c r="WUN22"/>
      <c r="WUO22"/>
      <c r="WUP22"/>
      <c r="WUQ22"/>
      <c r="WUR22"/>
      <c r="WUS22"/>
      <c r="WUT22"/>
      <c r="WUU22"/>
      <c r="WUV22"/>
      <c r="WUW22"/>
      <c r="WUX22"/>
      <c r="WUY22"/>
      <c r="WUZ22"/>
      <c r="WVA22"/>
      <c r="WVB22"/>
      <c r="WVC22"/>
      <c r="WVD22"/>
      <c r="WVE22"/>
      <c r="WVF22"/>
      <c r="WVG22"/>
      <c r="WVH22"/>
      <c r="WVI22"/>
      <c r="WVJ22"/>
      <c r="WVK22"/>
      <c r="WVL22"/>
      <c r="WVM22"/>
      <c r="WVN22"/>
      <c r="WVO22"/>
      <c r="WVP22"/>
      <c r="WVQ22"/>
      <c r="WVR22"/>
      <c r="WVS22"/>
      <c r="WVT22"/>
      <c r="WVU22"/>
      <c r="WVV22"/>
      <c r="WVW22"/>
      <c r="WVX22"/>
      <c r="WVY22"/>
      <c r="WVZ22"/>
      <c r="WWA22"/>
      <c r="WWB22"/>
      <c r="WWC22"/>
      <c r="WWD22"/>
      <c r="WWE22"/>
      <c r="WWF22"/>
      <c r="WWG22"/>
      <c r="WWH22"/>
      <c r="WWI22"/>
      <c r="WWJ22"/>
      <c r="WWK22"/>
      <c r="WWL22"/>
      <c r="WWM22"/>
      <c r="WWN22"/>
      <c r="WWO22"/>
      <c r="WWP22"/>
      <c r="WWQ22"/>
      <c r="WWR22"/>
      <c r="WWS22"/>
      <c r="WWT22"/>
      <c r="WWU22"/>
      <c r="WWV22"/>
      <c r="WWW22"/>
      <c r="WWX22"/>
      <c r="WWY22"/>
      <c r="WWZ22"/>
      <c r="WXA22"/>
      <c r="WXB22"/>
      <c r="WXC22"/>
      <c r="WXD22"/>
      <c r="WXE22"/>
      <c r="WXF22"/>
      <c r="WXG22"/>
      <c r="WXH22"/>
      <c r="WXI22"/>
      <c r="WXJ22"/>
      <c r="WXK22"/>
      <c r="WXL22"/>
      <c r="WXM22"/>
      <c r="WXN22"/>
      <c r="WXO22"/>
      <c r="WXP22"/>
      <c r="WXQ22"/>
      <c r="WXR22"/>
      <c r="WXS22"/>
      <c r="WXT22"/>
      <c r="WXU22"/>
      <c r="WXV22"/>
      <c r="WXW22"/>
      <c r="WXX22"/>
      <c r="WXY22"/>
      <c r="WXZ22"/>
      <c r="WYA22"/>
      <c r="WYB22"/>
      <c r="WYC22"/>
      <c r="WYD22"/>
      <c r="WYE22"/>
      <c r="WYF22"/>
      <c r="WYG22"/>
      <c r="WYH22"/>
      <c r="WYI22"/>
      <c r="WYJ22"/>
      <c r="WYK22"/>
      <c r="WYL22"/>
      <c r="WYM22"/>
      <c r="WYN22"/>
      <c r="WYO22"/>
      <c r="WYP22"/>
      <c r="WYQ22"/>
      <c r="WYR22"/>
      <c r="WYS22"/>
      <c r="WYT22"/>
      <c r="WYU22"/>
      <c r="WYV22"/>
      <c r="WYW22"/>
      <c r="WYX22"/>
      <c r="WYY22"/>
      <c r="WYZ22"/>
      <c r="WZA22"/>
      <c r="WZB22"/>
      <c r="WZC22"/>
      <c r="WZD22"/>
      <c r="WZE22"/>
      <c r="WZF22"/>
      <c r="WZG22"/>
      <c r="WZH22"/>
      <c r="WZI22"/>
      <c r="WZJ22"/>
      <c r="WZK22"/>
      <c r="WZL22"/>
      <c r="WZM22"/>
      <c r="WZN22"/>
      <c r="WZO22"/>
      <c r="WZP22"/>
      <c r="WZQ22"/>
      <c r="WZR22"/>
      <c r="WZS22"/>
      <c r="WZT22"/>
      <c r="WZU22"/>
      <c r="WZV22"/>
      <c r="WZW22"/>
      <c r="WZX22"/>
      <c r="WZY22"/>
      <c r="WZZ22"/>
      <c r="XAA22"/>
      <c r="XAB22"/>
      <c r="XAC22"/>
      <c r="XAD22"/>
      <c r="XAE22"/>
      <c r="XAF22"/>
      <c r="XAG22"/>
      <c r="XAH22"/>
      <c r="XAI22"/>
      <c r="XAJ22"/>
      <c r="XAK22"/>
      <c r="XAL22"/>
      <c r="XAM22"/>
      <c r="XAN22"/>
      <c r="XAO22"/>
      <c r="XAP22"/>
      <c r="XAQ22"/>
      <c r="XAR22"/>
      <c r="XAS22"/>
      <c r="XAT22"/>
      <c r="XAU22"/>
      <c r="XAV22"/>
      <c r="XAW22"/>
      <c r="XAX22"/>
      <c r="XAY22"/>
      <c r="XAZ22"/>
      <c r="XBA22"/>
      <c r="XBB22"/>
      <c r="XBC22"/>
      <c r="XBD22"/>
      <c r="XBE22"/>
      <c r="XBF22"/>
      <c r="XBG22"/>
      <c r="XBH22"/>
      <c r="XBI22"/>
      <c r="XBJ22"/>
      <c r="XBK22"/>
      <c r="XBL22"/>
      <c r="XBM22"/>
      <c r="XBN22"/>
      <c r="XBO22"/>
      <c r="XBP22"/>
      <c r="XBQ22"/>
      <c r="XBR22"/>
      <c r="XBS22"/>
      <c r="XBT22"/>
      <c r="XBU22"/>
      <c r="XBV22"/>
      <c r="XBW22"/>
      <c r="XBX22"/>
      <c r="XBY22"/>
      <c r="XBZ22"/>
      <c r="XCA22"/>
      <c r="XCB22"/>
      <c r="XCC22"/>
      <c r="XCD22"/>
      <c r="XCE22"/>
      <c r="XCF22"/>
      <c r="XCG22"/>
      <c r="XCH22"/>
      <c r="XCI22"/>
      <c r="XCJ22"/>
      <c r="XCK22"/>
      <c r="XCL22"/>
      <c r="XCM22"/>
      <c r="XCN22"/>
      <c r="XCO22"/>
      <c r="XCP22"/>
      <c r="XCQ22"/>
      <c r="XCR22"/>
      <c r="XCS22"/>
      <c r="XCT22"/>
      <c r="XCU22"/>
      <c r="XCV22"/>
      <c r="XCW22"/>
      <c r="XCX22"/>
      <c r="XCY22"/>
      <c r="XCZ22"/>
      <c r="XDA22"/>
      <c r="XDB22"/>
      <c r="XDC22"/>
      <c r="XDD22"/>
      <c r="XDE22"/>
      <c r="XDF22"/>
      <c r="XDG22"/>
      <c r="XDH22"/>
      <c r="XDI22"/>
      <c r="XDJ22"/>
      <c r="XDK22"/>
      <c r="XDL22"/>
      <c r="XDM22"/>
      <c r="XDN22"/>
      <c r="XDO22"/>
      <c r="XDP22"/>
      <c r="XDQ22"/>
      <c r="XDR22"/>
      <c r="XDS22"/>
      <c r="XDT22"/>
      <c r="XDU22"/>
      <c r="XDV22"/>
      <c r="XDW22"/>
      <c r="XDX22"/>
      <c r="XDY22"/>
      <c r="XDZ22"/>
      <c r="XEA22"/>
      <c r="XEB22"/>
      <c r="XEC22"/>
      <c r="XED22"/>
      <c r="XEE22"/>
      <c r="XEF22"/>
      <c r="XEG22"/>
      <c r="XEH22"/>
      <c r="XEI22"/>
      <c r="XEJ22"/>
      <c r="XEK22"/>
      <c r="XEL22"/>
      <c r="XEM22"/>
      <c r="XEN22"/>
      <c r="XEO22"/>
      <c r="XEP22"/>
      <c r="XEQ22"/>
      <c r="XER22"/>
      <c r="XES22"/>
      <c r="XET22"/>
      <c r="XEU22"/>
      <c r="XEV22"/>
      <c r="XEW22"/>
      <c r="XEX22"/>
      <c r="XEY22"/>
      <c r="XEZ22"/>
      <c r="XFA22"/>
      <c r="XFB22"/>
    </row>
    <row r="23" spans="1:16382" s="44" customFormat="1" x14ac:dyDescent="0.35">
      <c r="A23"/>
      <c r="B23" t="s">
        <v>914</v>
      </c>
      <c r="C23" s="25" t="s">
        <v>584</v>
      </c>
      <c r="D23" s="26" t="s">
        <v>585</v>
      </c>
      <c r="E23" s="26" t="s">
        <v>586</v>
      </c>
      <c r="F23" s="26" t="s">
        <v>587</v>
      </c>
      <c r="G23" s="26" t="s">
        <v>264</v>
      </c>
      <c r="H23" s="26" t="s">
        <v>588</v>
      </c>
      <c r="I23" s="26" t="s">
        <v>589</v>
      </c>
      <c r="J23" s="27" t="s">
        <v>590</v>
      </c>
      <c r="K23" s="26" t="s">
        <v>82</v>
      </c>
      <c r="L23" s="34">
        <v>500</v>
      </c>
      <c r="M23" s="34">
        <v>500</v>
      </c>
      <c r="N23" s="16">
        <f t="shared" si="0"/>
        <v>1964.3076923076924</v>
      </c>
      <c r="O23" s="34">
        <v>500</v>
      </c>
      <c r="P23" s="34">
        <v>500</v>
      </c>
      <c r="Q23" s="16">
        <f t="shared" si="1"/>
        <v>652.17391304347825</v>
      </c>
      <c r="R23" s="34">
        <v>500</v>
      </c>
      <c r="S23" s="34">
        <v>500</v>
      </c>
      <c r="T23" s="16">
        <f t="shared" si="2"/>
        <v>472.13114754098365</v>
      </c>
      <c r="U23" s="34">
        <v>0</v>
      </c>
      <c r="V23" s="34">
        <v>0</v>
      </c>
      <c r="W23" s="16">
        <f t="shared" si="3"/>
        <v>0</v>
      </c>
      <c r="X23" s="34">
        <v>0</v>
      </c>
      <c r="Y23" s="34">
        <v>0</v>
      </c>
      <c r="Z23" s="16">
        <f t="shared" si="4"/>
        <v>0</v>
      </c>
      <c r="AA23" s="34">
        <v>0</v>
      </c>
      <c r="AB23" s="34">
        <v>0</v>
      </c>
      <c r="AC23" s="16">
        <f t="shared" si="5"/>
        <v>0</v>
      </c>
      <c r="AD23" s="31" t="s">
        <v>82</v>
      </c>
      <c r="AE23" s="5">
        <v>1</v>
      </c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  <c r="AJY23"/>
      <c r="AJZ23"/>
      <c r="AKA23"/>
      <c r="AKB23"/>
      <c r="AKC23"/>
      <c r="AKD23"/>
      <c r="AKE23"/>
      <c r="AKF23"/>
      <c r="AKG23"/>
      <c r="AKH23"/>
      <c r="AKI23"/>
      <c r="AKJ23"/>
      <c r="AKK23"/>
      <c r="AKL23"/>
      <c r="AKM23"/>
      <c r="AKN23"/>
      <c r="AKO23"/>
      <c r="AKP23"/>
      <c r="AKQ23"/>
      <c r="AKR23"/>
      <c r="AKS23"/>
      <c r="AKT23"/>
      <c r="AKU23"/>
      <c r="AKV23"/>
      <c r="AKW23"/>
      <c r="AKX23"/>
      <c r="AKY23"/>
      <c r="AKZ23"/>
      <c r="ALA23"/>
      <c r="ALB23"/>
      <c r="ALC23"/>
      <c r="ALD23"/>
      <c r="ALE23"/>
      <c r="ALF23"/>
      <c r="ALG23"/>
      <c r="ALH23"/>
      <c r="ALI23"/>
      <c r="ALJ23"/>
      <c r="ALK23"/>
      <c r="ALL23"/>
      <c r="ALM23"/>
      <c r="ALN23"/>
      <c r="ALO23"/>
      <c r="ALP23"/>
      <c r="ALQ23"/>
      <c r="ALR23"/>
      <c r="ALS23"/>
      <c r="ALT23"/>
      <c r="ALU23"/>
      <c r="ALV23"/>
      <c r="ALW23"/>
      <c r="ALX23"/>
      <c r="ALY23"/>
      <c r="ALZ23"/>
      <c r="AMA23"/>
      <c r="AMB23"/>
      <c r="AMC23"/>
      <c r="AMD23"/>
      <c r="AME23"/>
      <c r="AMF23"/>
      <c r="AMG23"/>
      <c r="AMH23"/>
      <c r="AMI23"/>
      <c r="AMJ23"/>
      <c r="AMK23"/>
      <c r="AML23"/>
      <c r="AMM23"/>
      <c r="AMN23"/>
      <c r="AMO23"/>
      <c r="AMP23"/>
      <c r="AMQ23"/>
      <c r="AMR23"/>
      <c r="AMS23"/>
      <c r="AMT23"/>
      <c r="AMU23"/>
      <c r="AMV23"/>
      <c r="AMW23"/>
      <c r="AMX23"/>
      <c r="AMY23"/>
      <c r="AMZ23"/>
      <c r="ANA23"/>
      <c r="ANB23"/>
      <c r="ANC23"/>
      <c r="AND23"/>
      <c r="ANE23"/>
      <c r="ANF23"/>
      <c r="ANG23"/>
      <c r="ANH23"/>
      <c r="ANI23"/>
      <c r="ANJ23"/>
      <c r="ANK23"/>
      <c r="ANL23"/>
      <c r="ANM23"/>
      <c r="ANN23"/>
      <c r="ANO23"/>
      <c r="ANP23"/>
      <c r="ANQ23"/>
      <c r="ANR23"/>
      <c r="ANS23"/>
      <c r="ANT23"/>
      <c r="ANU23"/>
      <c r="ANV23"/>
      <c r="ANW23"/>
      <c r="ANX23"/>
      <c r="ANY23"/>
      <c r="ANZ23"/>
      <c r="AOA23"/>
      <c r="AOB23"/>
      <c r="AOC23"/>
      <c r="AOD23"/>
      <c r="AOE23"/>
      <c r="AOF23"/>
      <c r="AOG23"/>
      <c r="AOH23"/>
      <c r="AOI23"/>
      <c r="AOJ23"/>
      <c r="AOK23"/>
      <c r="AOL23"/>
      <c r="AOM23"/>
      <c r="AON23"/>
      <c r="AOO23"/>
      <c r="AOP23"/>
      <c r="AOQ23"/>
      <c r="AOR23"/>
      <c r="AOS23"/>
      <c r="AOT23"/>
      <c r="AOU23"/>
      <c r="AOV23"/>
      <c r="AOW23"/>
      <c r="AOX23"/>
      <c r="AOY23"/>
      <c r="AOZ23"/>
      <c r="APA23"/>
      <c r="APB23"/>
      <c r="APC23"/>
      <c r="APD23"/>
      <c r="APE23"/>
      <c r="APF23"/>
      <c r="APG23"/>
      <c r="APH23"/>
      <c r="API23"/>
      <c r="APJ23"/>
      <c r="APK23"/>
      <c r="APL23"/>
      <c r="APM23"/>
      <c r="APN23"/>
      <c r="APO23"/>
      <c r="APP23"/>
      <c r="APQ23"/>
      <c r="APR23"/>
      <c r="APS23"/>
      <c r="APT23"/>
      <c r="APU23"/>
      <c r="APV23"/>
      <c r="APW23"/>
      <c r="APX23"/>
      <c r="APY23"/>
      <c r="APZ23"/>
      <c r="AQA23"/>
      <c r="AQB23"/>
      <c r="AQC23"/>
      <c r="AQD23"/>
      <c r="AQE23"/>
      <c r="AQF23"/>
      <c r="AQG23"/>
      <c r="AQH23"/>
      <c r="AQI23"/>
      <c r="AQJ23"/>
      <c r="AQK23"/>
      <c r="AQL23"/>
      <c r="AQM23"/>
      <c r="AQN23"/>
      <c r="AQO23"/>
      <c r="AQP23"/>
      <c r="AQQ23"/>
      <c r="AQR23"/>
      <c r="AQS23"/>
      <c r="AQT23"/>
      <c r="AQU23"/>
      <c r="AQV23"/>
      <c r="AQW23"/>
      <c r="AQX23"/>
      <c r="AQY23"/>
      <c r="AQZ23"/>
      <c r="ARA23"/>
      <c r="ARB23"/>
      <c r="ARC23"/>
      <c r="ARD23"/>
      <c r="ARE23"/>
      <c r="ARF23"/>
      <c r="ARG23"/>
      <c r="ARH23"/>
      <c r="ARI23"/>
      <c r="ARJ23"/>
      <c r="ARK23"/>
      <c r="ARL23"/>
      <c r="ARM23"/>
      <c r="ARN23"/>
      <c r="ARO23"/>
      <c r="ARP23"/>
      <c r="ARQ23"/>
      <c r="ARR23"/>
      <c r="ARS23"/>
      <c r="ART23"/>
      <c r="ARU23"/>
      <c r="ARV23"/>
      <c r="ARW23"/>
      <c r="ARX23"/>
      <c r="ARY23"/>
      <c r="ARZ23"/>
      <c r="ASA23"/>
      <c r="ASB23"/>
      <c r="ASC23"/>
      <c r="ASD23"/>
      <c r="ASE23"/>
      <c r="ASF23"/>
      <c r="ASG23"/>
      <c r="ASH23"/>
      <c r="ASI23"/>
      <c r="ASJ23"/>
      <c r="ASK23"/>
      <c r="ASL23"/>
      <c r="ASM23"/>
      <c r="ASN23"/>
      <c r="ASO23"/>
      <c r="ASP23"/>
      <c r="ASQ23"/>
      <c r="ASR23"/>
      <c r="ASS23"/>
      <c r="AST23"/>
      <c r="ASU23"/>
      <c r="ASV23"/>
      <c r="ASW23"/>
      <c r="ASX23"/>
      <c r="ASY23"/>
      <c r="ASZ23"/>
      <c r="ATA23"/>
      <c r="ATB23"/>
      <c r="ATC23"/>
      <c r="ATD23"/>
      <c r="ATE23"/>
      <c r="ATF23"/>
      <c r="ATG23"/>
      <c r="ATH23"/>
      <c r="ATI23"/>
      <c r="ATJ23"/>
      <c r="ATK23"/>
      <c r="ATL23"/>
      <c r="ATM23"/>
      <c r="ATN23"/>
      <c r="ATO23"/>
      <c r="ATP23"/>
      <c r="ATQ23"/>
      <c r="ATR23"/>
      <c r="ATS23"/>
      <c r="ATT23"/>
      <c r="ATU23"/>
      <c r="ATV23"/>
      <c r="ATW23"/>
      <c r="ATX23"/>
      <c r="ATY23"/>
      <c r="ATZ23"/>
      <c r="AUA23"/>
      <c r="AUB23"/>
      <c r="AUC23"/>
      <c r="AUD23"/>
      <c r="AUE23"/>
      <c r="AUF23"/>
      <c r="AUG23"/>
      <c r="AUH23"/>
      <c r="AUI23"/>
      <c r="AUJ23"/>
      <c r="AUK23"/>
      <c r="AUL23"/>
      <c r="AUM23"/>
      <c r="AUN23"/>
      <c r="AUO23"/>
      <c r="AUP23"/>
      <c r="AUQ23"/>
      <c r="AUR23"/>
      <c r="AUS23"/>
      <c r="AUT23"/>
      <c r="AUU23"/>
      <c r="AUV23"/>
      <c r="AUW23"/>
      <c r="AUX23"/>
      <c r="AUY23"/>
      <c r="AUZ23"/>
      <c r="AVA23"/>
      <c r="AVB23"/>
      <c r="AVC23"/>
      <c r="AVD23"/>
      <c r="AVE23"/>
      <c r="AVF23"/>
      <c r="AVG23"/>
      <c r="AVH23"/>
      <c r="AVI23"/>
      <c r="AVJ23"/>
      <c r="AVK23"/>
      <c r="AVL23"/>
      <c r="AVM23"/>
      <c r="AVN23"/>
      <c r="AVO23"/>
      <c r="AVP23"/>
      <c r="AVQ23"/>
      <c r="AVR23"/>
      <c r="AVS23"/>
      <c r="AVT23"/>
      <c r="AVU23"/>
      <c r="AVV23"/>
      <c r="AVW23"/>
      <c r="AVX23"/>
      <c r="AVY23"/>
      <c r="AVZ23"/>
      <c r="AWA23"/>
      <c r="AWB23"/>
      <c r="AWC23"/>
      <c r="AWD23"/>
      <c r="AWE23"/>
      <c r="AWF23"/>
      <c r="AWG23"/>
      <c r="AWH23"/>
      <c r="AWI23"/>
      <c r="AWJ23"/>
      <c r="AWK23"/>
      <c r="AWL23"/>
      <c r="AWM23"/>
      <c r="AWN23"/>
      <c r="AWO23"/>
      <c r="AWP23"/>
      <c r="AWQ23"/>
      <c r="AWR23"/>
      <c r="AWS23"/>
      <c r="AWT23"/>
      <c r="AWU23"/>
      <c r="AWV23"/>
      <c r="AWW23"/>
      <c r="AWX23"/>
      <c r="AWY23"/>
      <c r="AWZ23"/>
      <c r="AXA23"/>
      <c r="AXB23"/>
      <c r="AXC23"/>
      <c r="AXD23"/>
      <c r="AXE23"/>
      <c r="AXF23"/>
      <c r="AXG23"/>
      <c r="AXH23"/>
      <c r="AXI23"/>
      <c r="AXJ23"/>
      <c r="AXK23"/>
      <c r="AXL23"/>
      <c r="AXM23"/>
      <c r="AXN23"/>
      <c r="AXO23"/>
      <c r="AXP23"/>
      <c r="AXQ23"/>
      <c r="AXR23"/>
      <c r="AXS23"/>
      <c r="AXT23"/>
      <c r="AXU23"/>
      <c r="AXV23"/>
      <c r="AXW23"/>
      <c r="AXX23"/>
      <c r="AXY23"/>
      <c r="AXZ23"/>
      <c r="AYA23"/>
      <c r="AYB23"/>
      <c r="AYC23"/>
      <c r="AYD23"/>
      <c r="AYE23"/>
      <c r="AYF23"/>
      <c r="AYG23"/>
      <c r="AYH23"/>
      <c r="AYI23"/>
      <c r="AYJ23"/>
      <c r="AYK23"/>
      <c r="AYL23"/>
      <c r="AYM23"/>
      <c r="AYN23"/>
      <c r="AYO23"/>
      <c r="AYP23"/>
      <c r="AYQ23"/>
      <c r="AYR23"/>
      <c r="AYS23"/>
      <c r="AYT23"/>
      <c r="AYU23"/>
      <c r="AYV23"/>
      <c r="AYW23"/>
      <c r="AYX23"/>
      <c r="AYY23"/>
      <c r="AYZ23"/>
      <c r="AZA23"/>
      <c r="AZB23"/>
      <c r="AZC23"/>
      <c r="AZD23"/>
      <c r="AZE23"/>
      <c r="AZF23"/>
      <c r="AZG23"/>
      <c r="AZH23"/>
      <c r="AZI23"/>
      <c r="AZJ23"/>
      <c r="AZK23"/>
      <c r="AZL23"/>
      <c r="AZM23"/>
      <c r="AZN23"/>
      <c r="AZO23"/>
      <c r="AZP23"/>
      <c r="AZQ23"/>
      <c r="AZR23"/>
      <c r="AZS23"/>
      <c r="AZT23"/>
      <c r="AZU23"/>
      <c r="AZV23"/>
      <c r="AZW23"/>
      <c r="AZX23"/>
      <c r="AZY23"/>
      <c r="AZZ23"/>
      <c r="BAA23"/>
      <c r="BAB23"/>
      <c r="BAC23"/>
      <c r="BAD23"/>
      <c r="BAE23"/>
      <c r="BAF23"/>
      <c r="BAG23"/>
      <c r="BAH23"/>
      <c r="BAI23"/>
      <c r="BAJ23"/>
      <c r="BAK23"/>
      <c r="BAL23"/>
      <c r="BAM23"/>
      <c r="BAN23"/>
      <c r="BAO23"/>
      <c r="BAP23"/>
      <c r="BAQ23"/>
      <c r="BAR23"/>
      <c r="BAS23"/>
      <c r="BAT23"/>
      <c r="BAU23"/>
      <c r="BAV23"/>
      <c r="BAW23"/>
      <c r="BAX23"/>
      <c r="BAY23"/>
      <c r="BAZ23"/>
      <c r="BBA23"/>
      <c r="BBB23"/>
      <c r="BBC23"/>
      <c r="BBD23"/>
      <c r="BBE23"/>
      <c r="BBF23"/>
      <c r="BBG23"/>
      <c r="BBH23"/>
      <c r="BBI23"/>
      <c r="BBJ23"/>
      <c r="BBK23"/>
      <c r="BBL23"/>
      <c r="BBM23"/>
      <c r="BBN23"/>
      <c r="BBO23"/>
      <c r="BBP23"/>
      <c r="BBQ23"/>
      <c r="BBR23"/>
      <c r="BBS23"/>
      <c r="BBT23"/>
      <c r="BBU23"/>
      <c r="BBV23"/>
      <c r="BBW23"/>
      <c r="BBX23"/>
      <c r="BBY23"/>
      <c r="BBZ23"/>
      <c r="BCA23"/>
      <c r="BCB23"/>
      <c r="BCC23"/>
      <c r="BCD23"/>
      <c r="BCE23"/>
      <c r="BCF23"/>
      <c r="BCG23"/>
      <c r="BCH23"/>
      <c r="BCI23"/>
      <c r="BCJ23"/>
      <c r="BCK23"/>
      <c r="BCL23"/>
      <c r="BCM23"/>
      <c r="BCN23"/>
      <c r="BCO23"/>
      <c r="BCP23"/>
      <c r="BCQ23"/>
      <c r="BCR23"/>
      <c r="BCS23"/>
      <c r="BCT23"/>
      <c r="BCU23"/>
      <c r="BCV23"/>
      <c r="BCW23"/>
      <c r="BCX23"/>
      <c r="BCY23"/>
      <c r="BCZ23"/>
      <c r="BDA23"/>
      <c r="BDB23"/>
      <c r="BDC23"/>
      <c r="BDD23"/>
      <c r="BDE23"/>
      <c r="BDF23"/>
      <c r="BDG23"/>
      <c r="BDH23"/>
      <c r="BDI23"/>
      <c r="BDJ23"/>
      <c r="BDK23"/>
      <c r="BDL23"/>
      <c r="BDM23"/>
      <c r="BDN23"/>
      <c r="BDO23"/>
      <c r="BDP23"/>
      <c r="BDQ23"/>
      <c r="BDR23"/>
      <c r="BDS23"/>
      <c r="BDT23"/>
      <c r="BDU23"/>
      <c r="BDV23"/>
      <c r="BDW23"/>
      <c r="BDX23"/>
      <c r="BDY23"/>
      <c r="BDZ23"/>
      <c r="BEA23"/>
      <c r="BEB23"/>
      <c r="BEC23"/>
      <c r="BED23"/>
      <c r="BEE23"/>
      <c r="BEF23"/>
      <c r="BEG23"/>
      <c r="BEH23"/>
      <c r="BEI23"/>
      <c r="BEJ23"/>
      <c r="BEK23"/>
      <c r="BEL23"/>
      <c r="BEM23"/>
      <c r="BEN23"/>
      <c r="BEO23"/>
      <c r="BEP23"/>
      <c r="BEQ23"/>
      <c r="BER23"/>
      <c r="BES23"/>
      <c r="BET23"/>
      <c r="BEU23"/>
      <c r="BEV23"/>
      <c r="BEW23"/>
      <c r="BEX23"/>
      <c r="BEY23"/>
      <c r="BEZ23"/>
      <c r="BFA23"/>
      <c r="BFB23"/>
      <c r="BFC23"/>
      <c r="BFD23"/>
      <c r="BFE23"/>
      <c r="BFF23"/>
      <c r="BFG23"/>
      <c r="BFH23"/>
      <c r="BFI23"/>
      <c r="BFJ23"/>
      <c r="BFK23"/>
      <c r="BFL23"/>
      <c r="BFM23"/>
      <c r="BFN23"/>
      <c r="BFO23"/>
      <c r="BFP23"/>
      <c r="BFQ23"/>
      <c r="BFR23"/>
      <c r="BFS23"/>
      <c r="BFT23"/>
      <c r="BFU23"/>
      <c r="BFV23"/>
      <c r="BFW23"/>
      <c r="BFX23"/>
      <c r="BFY23"/>
      <c r="BFZ23"/>
      <c r="BGA23"/>
      <c r="BGB23"/>
      <c r="BGC23"/>
      <c r="BGD23"/>
      <c r="BGE23"/>
      <c r="BGF23"/>
      <c r="BGG23"/>
      <c r="BGH23"/>
      <c r="BGI23"/>
      <c r="BGJ23"/>
      <c r="BGK23"/>
      <c r="BGL23"/>
      <c r="BGM23"/>
      <c r="BGN23"/>
      <c r="BGO23"/>
      <c r="BGP23"/>
      <c r="BGQ23"/>
      <c r="BGR23"/>
      <c r="BGS23"/>
      <c r="BGT23"/>
      <c r="BGU23"/>
      <c r="BGV23"/>
      <c r="BGW23"/>
      <c r="BGX23"/>
      <c r="BGY23"/>
      <c r="BGZ23"/>
      <c r="BHA23"/>
      <c r="BHB23"/>
      <c r="BHC23"/>
      <c r="BHD23"/>
      <c r="BHE23"/>
      <c r="BHF23"/>
      <c r="BHG23"/>
      <c r="BHH23"/>
      <c r="BHI23"/>
      <c r="BHJ23"/>
      <c r="BHK23"/>
      <c r="BHL23"/>
      <c r="BHM23"/>
      <c r="BHN23"/>
      <c r="BHO23"/>
      <c r="BHP23"/>
      <c r="BHQ23"/>
      <c r="BHR23"/>
      <c r="BHS23"/>
      <c r="BHT23"/>
      <c r="BHU23"/>
      <c r="BHV23"/>
      <c r="BHW23"/>
      <c r="BHX23"/>
      <c r="BHY23"/>
      <c r="BHZ23"/>
      <c r="BIA23"/>
      <c r="BIB23"/>
      <c r="BIC23"/>
      <c r="BID23"/>
      <c r="BIE23"/>
      <c r="BIF23"/>
      <c r="BIG23"/>
      <c r="BIH23"/>
      <c r="BII23"/>
      <c r="BIJ23"/>
      <c r="BIK23"/>
      <c r="BIL23"/>
      <c r="BIM23"/>
      <c r="BIN23"/>
      <c r="BIO23"/>
      <c r="BIP23"/>
      <c r="BIQ23"/>
      <c r="BIR23"/>
      <c r="BIS23"/>
      <c r="BIT23"/>
      <c r="BIU23"/>
      <c r="BIV23"/>
      <c r="BIW23"/>
      <c r="BIX23"/>
      <c r="BIY23"/>
      <c r="BIZ23"/>
      <c r="BJA23"/>
      <c r="BJB23"/>
      <c r="BJC23"/>
      <c r="BJD23"/>
      <c r="BJE23"/>
      <c r="BJF23"/>
      <c r="BJG23"/>
      <c r="BJH23"/>
      <c r="BJI23"/>
      <c r="BJJ23"/>
      <c r="BJK23"/>
      <c r="BJL23"/>
      <c r="BJM23"/>
      <c r="BJN23"/>
      <c r="BJO23"/>
      <c r="BJP23"/>
      <c r="BJQ23"/>
      <c r="BJR23"/>
      <c r="BJS23"/>
      <c r="BJT23"/>
      <c r="BJU23"/>
      <c r="BJV23"/>
      <c r="BJW23"/>
      <c r="BJX23"/>
      <c r="BJY23"/>
      <c r="BJZ23"/>
      <c r="BKA23"/>
      <c r="BKB23"/>
      <c r="BKC23"/>
      <c r="BKD23"/>
      <c r="BKE23"/>
      <c r="BKF23"/>
      <c r="BKG23"/>
      <c r="BKH23"/>
      <c r="BKI23"/>
      <c r="BKJ23"/>
      <c r="BKK23"/>
      <c r="BKL23"/>
      <c r="BKM23"/>
      <c r="BKN23"/>
      <c r="BKO23"/>
      <c r="BKP23"/>
      <c r="BKQ23"/>
      <c r="BKR23"/>
      <c r="BKS23"/>
      <c r="BKT23"/>
      <c r="BKU23"/>
      <c r="BKV23"/>
      <c r="BKW23"/>
      <c r="BKX23"/>
      <c r="BKY23"/>
      <c r="BKZ23"/>
      <c r="BLA23"/>
      <c r="BLB23"/>
      <c r="BLC23"/>
      <c r="BLD23"/>
      <c r="BLE23"/>
      <c r="BLF23"/>
      <c r="BLG23"/>
      <c r="BLH23"/>
      <c r="BLI23"/>
      <c r="BLJ23"/>
      <c r="BLK23"/>
      <c r="BLL23"/>
      <c r="BLM23"/>
      <c r="BLN23"/>
      <c r="BLO23"/>
      <c r="BLP23"/>
      <c r="BLQ23"/>
      <c r="BLR23"/>
      <c r="BLS23"/>
      <c r="BLT23"/>
      <c r="BLU23"/>
      <c r="BLV23"/>
      <c r="BLW23"/>
      <c r="BLX23"/>
      <c r="BLY23"/>
      <c r="BLZ23"/>
      <c r="BMA23"/>
      <c r="BMB23"/>
      <c r="BMC23"/>
      <c r="BMD23"/>
      <c r="BME23"/>
      <c r="BMF23"/>
      <c r="BMG23"/>
      <c r="BMH23"/>
      <c r="BMI23"/>
      <c r="BMJ23"/>
      <c r="BMK23"/>
      <c r="BML23"/>
      <c r="BMM23"/>
      <c r="BMN23"/>
      <c r="BMO23"/>
      <c r="BMP23"/>
      <c r="BMQ23"/>
      <c r="BMR23"/>
      <c r="BMS23"/>
      <c r="BMT23"/>
      <c r="BMU23"/>
      <c r="BMV23"/>
      <c r="BMW23"/>
      <c r="BMX23"/>
      <c r="BMY23"/>
      <c r="BMZ23"/>
      <c r="BNA23"/>
      <c r="BNB23"/>
      <c r="BNC23"/>
      <c r="BND23"/>
      <c r="BNE23"/>
      <c r="BNF23"/>
      <c r="BNG23"/>
      <c r="BNH23"/>
      <c r="BNI23"/>
      <c r="BNJ23"/>
      <c r="BNK23"/>
      <c r="BNL23"/>
      <c r="BNM23"/>
      <c r="BNN23"/>
      <c r="BNO23"/>
      <c r="BNP23"/>
      <c r="BNQ23"/>
      <c r="BNR23"/>
      <c r="BNS23"/>
      <c r="BNT23"/>
      <c r="BNU23"/>
      <c r="BNV23"/>
      <c r="BNW23"/>
      <c r="BNX23"/>
      <c r="BNY23"/>
      <c r="BNZ23"/>
      <c r="BOA23"/>
      <c r="BOB23"/>
      <c r="BOC23"/>
      <c r="BOD23"/>
      <c r="BOE23"/>
      <c r="BOF23"/>
      <c r="BOG23"/>
      <c r="BOH23"/>
      <c r="BOI23"/>
      <c r="BOJ23"/>
      <c r="BOK23"/>
      <c r="BOL23"/>
      <c r="BOM23"/>
      <c r="BON23"/>
      <c r="BOO23"/>
      <c r="BOP23"/>
      <c r="BOQ23"/>
      <c r="BOR23"/>
      <c r="BOS23"/>
      <c r="BOT23"/>
      <c r="BOU23"/>
      <c r="BOV23"/>
      <c r="BOW23"/>
      <c r="BOX23"/>
      <c r="BOY23"/>
      <c r="BOZ23"/>
      <c r="BPA23"/>
      <c r="BPB23"/>
      <c r="BPC23"/>
      <c r="BPD23"/>
      <c r="BPE23"/>
      <c r="BPF23"/>
      <c r="BPG23"/>
      <c r="BPH23"/>
      <c r="BPI23"/>
      <c r="BPJ23"/>
      <c r="BPK23"/>
      <c r="BPL23"/>
      <c r="BPM23"/>
      <c r="BPN23"/>
      <c r="BPO23"/>
      <c r="BPP23"/>
      <c r="BPQ23"/>
      <c r="BPR23"/>
      <c r="BPS23"/>
      <c r="BPT23"/>
      <c r="BPU23"/>
      <c r="BPV23"/>
      <c r="BPW23"/>
      <c r="BPX23"/>
      <c r="BPY23"/>
      <c r="BPZ23"/>
      <c r="BQA23"/>
      <c r="BQB23"/>
      <c r="BQC23"/>
      <c r="BQD23"/>
      <c r="BQE23"/>
      <c r="BQF23"/>
      <c r="BQG23"/>
      <c r="BQH23"/>
      <c r="BQI23"/>
      <c r="BQJ23"/>
      <c r="BQK23"/>
      <c r="BQL23"/>
      <c r="BQM23"/>
      <c r="BQN23"/>
      <c r="BQO23"/>
      <c r="BQP23"/>
      <c r="BQQ23"/>
      <c r="BQR23"/>
      <c r="BQS23"/>
      <c r="BQT23"/>
      <c r="BQU23"/>
      <c r="BQV23"/>
      <c r="BQW23"/>
      <c r="BQX23"/>
      <c r="BQY23"/>
      <c r="BQZ23"/>
      <c r="BRA23"/>
      <c r="BRB23"/>
      <c r="BRC23"/>
      <c r="BRD23"/>
      <c r="BRE23"/>
      <c r="BRF23"/>
      <c r="BRG23"/>
      <c r="BRH23"/>
      <c r="BRI23"/>
      <c r="BRJ23"/>
      <c r="BRK23"/>
      <c r="BRL23"/>
      <c r="BRM23"/>
      <c r="BRN23"/>
      <c r="BRO23"/>
      <c r="BRP23"/>
      <c r="BRQ23"/>
      <c r="BRR23"/>
      <c r="BRS23"/>
      <c r="BRT23"/>
      <c r="BRU23"/>
      <c r="BRV23"/>
      <c r="BRW23"/>
      <c r="BRX23"/>
      <c r="BRY23"/>
      <c r="BRZ23"/>
      <c r="BSA23"/>
      <c r="BSB23"/>
      <c r="BSC23"/>
      <c r="BSD23"/>
      <c r="BSE23"/>
      <c r="BSF23"/>
      <c r="BSG23"/>
      <c r="BSH23"/>
      <c r="BSI23"/>
      <c r="BSJ23"/>
      <c r="BSK23"/>
      <c r="BSL23"/>
      <c r="BSM23"/>
      <c r="BSN23"/>
      <c r="BSO23"/>
      <c r="BSP23"/>
      <c r="BSQ23"/>
      <c r="BSR23"/>
      <c r="BSS23"/>
      <c r="BST23"/>
      <c r="BSU23"/>
      <c r="BSV23"/>
      <c r="BSW23"/>
      <c r="BSX23"/>
      <c r="BSY23"/>
      <c r="BSZ23"/>
      <c r="BTA23"/>
      <c r="BTB23"/>
      <c r="BTC23"/>
      <c r="BTD23"/>
      <c r="BTE23"/>
      <c r="BTF23"/>
      <c r="BTG23"/>
      <c r="BTH23"/>
      <c r="BTI23"/>
      <c r="BTJ23"/>
      <c r="BTK23"/>
      <c r="BTL23"/>
      <c r="BTM23"/>
      <c r="BTN23"/>
      <c r="BTO23"/>
      <c r="BTP23"/>
      <c r="BTQ23"/>
      <c r="BTR23"/>
      <c r="BTS23"/>
      <c r="BTT23"/>
      <c r="BTU23"/>
      <c r="BTV23"/>
      <c r="BTW23"/>
      <c r="BTX23"/>
      <c r="BTY23"/>
      <c r="BTZ23"/>
      <c r="BUA23"/>
      <c r="BUB23"/>
      <c r="BUC23"/>
      <c r="BUD23"/>
      <c r="BUE23"/>
      <c r="BUF23"/>
      <c r="BUG23"/>
      <c r="BUH23"/>
      <c r="BUI23"/>
      <c r="BUJ23"/>
      <c r="BUK23"/>
      <c r="BUL23"/>
      <c r="BUM23"/>
      <c r="BUN23"/>
      <c r="BUO23"/>
      <c r="BUP23"/>
      <c r="BUQ23"/>
      <c r="BUR23"/>
      <c r="BUS23"/>
      <c r="BUT23"/>
      <c r="BUU23"/>
      <c r="BUV23"/>
      <c r="BUW23"/>
      <c r="BUX23"/>
      <c r="BUY23"/>
      <c r="BUZ23"/>
      <c r="BVA23"/>
      <c r="BVB23"/>
      <c r="BVC23"/>
      <c r="BVD23"/>
      <c r="BVE23"/>
      <c r="BVF23"/>
      <c r="BVG23"/>
      <c r="BVH23"/>
      <c r="BVI23"/>
      <c r="BVJ23"/>
      <c r="BVK23"/>
      <c r="BVL23"/>
      <c r="BVM23"/>
      <c r="BVN23"/>
      <c r="BVO23"/>
      <c r="BVP23"/>
      <c r="BVQ23"/>
      <c r="BVR23"/>
      <c r="BVS23"/>
      <c r="BVT23"/>
      <c r="BVU23"/>
      <c r="BVV23"/>
      <c r="BVW23"/>
      <c r="BVX23"/>
      <c r="BVY23"/>
      <c r="BVZ23"/>
      <c r="BWA23"/>
      <c r="BWB23"/>
      <c r="BWC23"/>
      <c r="BWD23"/>
      <c r="BWE23"/>
      <c r="BWF23"/>
      <c r="BWG23"/>
      <c r="BWH23"/>
      <c r="BWI23"/>
      <c r="BWJ23"/>
      <c r="BWK23"/>
      <c r="BWL23"/>
      <c r="BWM23"/>
      <c r="BWN23"/>
      <c r="BWO23"/>
      <c r="BWP23"/>
      <c r="BWQ23"/>
      <c r="BWR23"/>
      <c r="BWS23"/>
      <c r="BWT23"/>
      <c r="BWU23"/>
      <c r="BWV23"/>
      <c r="BWW23"/>
      <c r="BWX23"/>
      <c r="BWY23"/>
      <c r="BWZ23"/>
      <c r="BXA23"/>
      <c r="BXB23"/>
      <c r="BXC23"/>
      <c r="BXD23"/>
      <c r="BXE23"/>
      <c r="BXF23"/>
      <c r="BXG23"/>
      <c r="BXH23"/>
      <c r="BXI23"/>
      <c r="BXJ23"/>
      <c r="BXK23"/>
      <c r="BXL23"/>
      <c r="BXM23"/>
      <c r="BXN23"/>
      <c r="BXO23"/>
      <c r="BXP23"/>
      <c r="BXQ23"/>
      <c r="BXR23"/>
      <c r="BXS23"/>
      <c r="BXT23"/>
      <c r="BXU23"/>
      <c r="BXV23"/>
      <c r="BXW23"/>
      <c r="BXX23"/>
      <c r="BXY23"/>
      <c r="BXZ23"/>
      <c r="BYA23"/>
      <c r="BYB23"/>
      <c r="BYC23"/>
      <c r="BYD23"/>
      <c r="BYE23"/>
      <c r="BYF23"/>
      <c r="BYG23"/>
      <c r="BYH23"/>
      <c r="BYI23"/>
      <c r="BYJ23"/>
      <c r="BYK23"/>
      <c r="BYL23"/>
      <c r="BYM23"/>
      <c r="BYN23"/>
      <c r="BYO23"/>
      <c r="BYP23"/>
      <c r="BYQ23"/>
      <c r="BYR23"/>
      <c r="BYS23"/>
      <c r="BYT23"/>
      <c r="BYU23"/>
      <c r="BYV23"/>
      <c r="BYW23"/>
      <c r="BYX23"/>
      <c r="BYY23"/>
      <c r="BYZ23"/>
      <c r="BZA23"/>
      <c r="BZB23"/>
      <c r="BZC23"/>
      <c r="BZD23"/>
      <c r="BZE23"/>
      <c r="BZF23"/>
      <c r="BZG23"/>
      <c r="BZH23"/>
      <c r="BZI23"/>
      <c r="BZJ23"/>
      <c r="BZK23"/>
      <c r="BZL23"/>
      <c r="BZM23"/>
      <c r="BZN23"/>
      <c r="BZO23"/>
      <c r="BZP23"/>
      <c r="BZQ23"/>
      <c r="BZR23"/>
      <c r="BZS23"/>
      <c r="BZT23"/>
      <c r="BZU23"/>
      <c r="BZV23"/>
      <c r="BZW23"/>
      <c r="BZX23"/>
      <c r="BZY23"/>
      <c r="BZZ23"/>
      <c r="CAA23"/>
      <c r="CAB23"/>
      <c r="CAC23"/>
      <c r="CAD23"/>
      <c r="CAE23"/>
      <c r="CAF23"/>
      <c r="CAG23"/>
      <c r="CAH23"/>
      <c r="CAI23"/>
      <c r="CAJ23"/>
      <c r="CAK23"/>
      <c r="CAL23"/>
      <c r="CAM23"/>
      <c r="CAN23"/>
      <c r="CAO23"/>
      <c r="CAP23"/>
      <c r="CAQ23"/>
      <c r="CAR23"/>
      <c r="CAS23"/>
      <c r="CAT23"/>
      <c r="CAU23"/>
      <c r="CAV23"/>
      <c r="CAW23"/>
      <c r="CAX23"/>
      <c r="CAY23"/>
      <c r="CAZ23"/>
      <c r="CBA23"/>
      <c r="CBB23"/>
      <c r="CBC23"/>
      <c r="CBD23"/>
      <c r="CBE23"/>
      <c r="CBF23"/>
      <c r="CBG23"/>
      <c r="CBH23"/>
      <c r="CBI23"/>
      <c r="CBJ23"/>
      <c r="CBK23"/>
      <c r="CBL23"/>
      <c r="CBM23"/>
      <c r="CBN23"/>
      <c r="CBO23"/>
      <c r="CBP23"/>
      <c r="CBQ23"/>
      <c r="CBR23"/>
      <c r="CBS23"/>
      <c r="CBT23"/>
      <c r="CBU23"/>
      <c r="CBV23"/>
      <c r="CBW23"/>
      <c r="CBX23"/>
      <c r="CBY23"/>
      <c r="CBZ23"/>
      <c r="CCA23"/>
      <c r="CCB23"/>
      <c r="CCC23"/>
      <c r="CCD23"/>
      <c r="CCE23"/>
      <c r="CCF23"/>
      <c r="CCG23"/>
      <c r="CCH23"/>
      <c r="CCI23"/>
      <c r="CCJ23"/>
      <c r="CCK23"/>
      <c r="CCL23"/>
      <c r="CCM23"/>
      <c r="CCN23"/>
      <c r="CCO23"/>
      <c r="CCP23"/>
      <c r="CCQ23"/>
      <c r="CCR23"/>
      <c r="CCS23"/>
      <c r="CCT23"/>
      <c r="CCU23"/>
      <c r="CCV23"/>
      <c r="CCW23"/>
      <c r="CCX23"/>
      <c r="CCY23"/>
      <c r="CCZ23"/>
      <c r="CDA23"/>
      <c r="CDB23"/>
      <c r="CDC23"/>
      <c r="CDD23"/>
      <c r="CDE23"/>
      <c r="CDF23"/>
      <c r="CDG23"/>
      <c r="CDH23"/>
      <c r="CDI23"/>
      <c r="CDJ23"/>
      <c r="CDK23"/>
      <c r="CDL23"/>
      <c r="CDM23"/>
      <c r="CDN23"/>
      <c r="CDO23"/>
      <c r="CDP23"/>
      <c r="CDQ23"/>
      <c r="CDR23"/>
      <c r="CDS23"/>
      <c r="CDT23"/>
      <c r="CDU23"/>
      <c r="CDV23"/>
      <c r="CDW23"/>
      <c r="CDX23"/>
      <c r="CDY23"/>
      <c r="CDZ23"/>
      <c r="CEA23"/>
      <c r="CEB23"/>
      <c r="CEC23"/>
      <c r="CED23"/>
      <c r="CEE23"/>
      <c r="CEF23"/>
      <c r="CEG23"/>
      <c r="CEH23"/>
      <c r="CEI23"/>
      <c r="CEJ23"/>
      <c r="CEK23"/>
      <c r="CEL23"/>
      <c r="CEM23"/>
      <c r="CEN23"/>
      <c r="CEO23"/>
      <c r="CEP23"/>
      <c r="CEQ23"/>
      <c r="CER23"/>
      <c r="CES23"/>
      <c r="CET23"/>
      <c r="CEU23"/>
      <c r="CEV23"/>
      <c r="CEW23"/>
      <c r="CEX23"/>
      <c r="CEY23"/>
      <c r="CEZ23"/>
      <c r="CFA23"/>
      <c r="CFB23"/>
      <c r="CFC23"/>
      <c r="CFD23"/>
      <c r="CFE23"/>
      <c r="CFF23"/>
      <c r="CFG23"/>
      <c r="CFH23"/>
      <c r="CFI23"/>
      <c r="CFJ23"/>
      <c r="CFK23"/>
      <c r="CFL23"/>
      <c r="CFM23"/>
      <c r="CFN23"/>
      <c r="CFO23"/>
      <c r="CFP23"/>
      <c r="CFQ23"/>
      <c r="CFR23"/>
      <c r="CFS23"/>
      <c r="CFT23"/>
      <c r="CFU23"/>
      <c r="CFV23"/>
      <c r="CFW23"/>
      <c r="CFX23"/>
      <c r="CFY23"/>
      <c r="CFZ23"/>
      <c r="CGA23"/>
      <c r="CGB23"/>
      <c r="CGC23"/>
      <c r="CGD23"/>
      <c r="CGE23"/>
      <c r="CGF23"/>
      <c r="CGG23"/>
      <c r="CGH23"/>
      <c r="CGI23"/>
      <c r="CGJ23"/>
      <c r="CGK23"/>
      <c r="CGL23"/>
      <c r="CGM23"/>
      <c r="CGN23"/>
      <c r="CGO23"/>
      <c r="CGP23"/>
      <c r="CGQ23"/>
      <c r="CGR23"/>
      <c r="CGS23"/>
      <c r="CGT23"/>
      <c r="CGU23"/>
      <c r="CGV23"/>
      <c r="CGW23"/>
      <c r="CGX23"/>
      <c r="CGY23"/>
      <c r="CGZ23"/>
      <c r="CHA23"/>
      <c r="CHB23"/>
      <c r="CHC23"/>
      <c r="CHD23"/>
      <c r="CHE23"/>
      <c r="CHF23"/>
      <c r="CHG23"/>
      <c r="CHH23"/>
      <c r="CHI23"/>
      <c r="CHJ23"/>
      <c r="CHK23"/>
      <c r="CHL23"/>
      <c r="CHM23"/>
      <c r="CHN23"/>
      <c r="CHO23"/>
      <c r="CHP23"/>
      <c r="CHQ23"/>
      <c r="CHR23"/>
      <c r="CHS23"/>
      <c r="CHT23"/>
      <c r="CHU23"/>
      <c r="CHV23"/>
      <c r="CHW23"/>
      <c r="CHX23"/>
      <c r="CHY23"/>
      <c r="CHZ23"/>
      <c r="CIA23"/>
      <c r="CIB23"/>
      <c r="CIC23"/>
      <c r="CID23"/>
      <c r="CIE23"/>
      <c r="CIF23"/>
      <c r="CIG23"/>
      <c r="CIH23"/>
      <c r="CII23"/>
      <c r="CIJ23"/>
      <c r="CIK23"/>
      <c r="CIL23"/>
      <c r="CIM23"/>
      <c r="CIN23"/>
      <c r="CIO23"/>
      <c r="CIP23"/>
      <c r="CIQ23"/>
      <c r="CIR23"/>
      <c r="CIS23"/>
      <c r="CIT23"/>
      <c r="CIU23"/>
      <c r="CIV23"/>
      <c r="CIW23"/>
      <c r="CIX23"/>
      <c r="CIY23"/>
      <c r="CIZ23"/>
      <c r="CJA23"/>
      <c r="CJB23"/>
      <c r="CJC23"/>
      <c r="CJD23"/>
      <c r="CJE23"/>
      <c r="CJF23"/>
      <c r="CJG23"/>
      <c r="CJH23"/>
      <c r="CJI23"/>
      <c r="CJJ23"/>
      <c r="CJK23"/>
      <c r="CJL23"/>
      <c r="CJM23"/>
      <c r="CJN23"/>
      <c r="CJO23"/>
      <c r="CJP23"/>
      <c r="CJQ23"/>
      <c r="CJR23"/>
      <c r="CJS23"/>
      <c r="CJT23"/>
      <c r="CJU23"/>
      <c r="CJV23"/>
      <c r="CJW23"/>
      <c r="CJX23"/>
      <c r="CJY23"/>
      <c r="CJZ23"/>
      <c r="CKA23"/>
      <c r="CKB23"/>
      <c r="CKC23"/>
      <c r="CKD23"/>
      <c r="CKE23"/>
      <c r="CKF23"/>
      <c r="CKG23"/>
      <c r="CKH23"/>
      <c r="CKI23"/>
      <c r="CKJ23"/>
      <c r="CKK23"/>
      <c r="CKL23"/>
      <c r="CKM23"/>
      <c r="CKN23"/>
      <c r="CKO23"/>
      <c r="CKP23"/>
      <c r="CKQ23"/>
      <c r="CKR23"/>
      <c r="CKS23"/>
      <c r="CKT23"/>
      <c r="CKU23"/>
      <c r="CKV23"/>
      <c r="CKW23"/>
      <c r="CKX23"/>
      <c r="CKY23"/>
      <c r="CKZ23"/>
      <c r="CLA23"/>
      <c r="CLB23"/>
      <c r="CLC23"/>
      <c r="CLD23"/>
      <c r="CLE23"/>
      <c r="CLF23"/>
      <c r="CLG23"/>
      <c r="CLH23"/>
      <c r="CLI23"/>
      <c r="CLJ23"/>
      <c r="CLK23"/>
      <c r="CLL23"/>
      <c r="CLM23"/>
      <c r="CLN23"/>
      <c r="CLO23"/>
      <c r="CLP23"/>
      <c r="CLQ23"/>
      <c r="CLR23"/>
      <c r="CLS23"/>
      <c r="CLT23"/>
      <c r="CLU23"/>
      <c r="CLV23"/>
      <c r="CLW23"/>
      <c r="CLX23"/>
      <c r="CLY23"/>
      <c r="CLZ23"/>
      <c r="CMA23"/>
      <c r="CMB23"/>
      <c r="CMC23"/>
      <c r="CMD23"/>
      <c r="CME23"/>
      <c r="CMF23"/>
      <c r="CMG23"/>
      <c r="CMH23"/>
      <c r="CMI23"/>
      <c r="CMJ23"/>
      <c r="CMK23"/>
      <c r="CML23"/>
      <c r="CMM23"/>
      <c r="CMN23"/>
      <c r="CMO23"/>
      <c r="CMP23"/>
      <c r="CMQ23"/>
      <c r="CMR23"/>
      <c r="CMS23"/>
      <c r="CMT23"/>
      <c r="CMU23"/>
      <c r="CMV23"/>
      <c r="CMW23"/>
      <c r="CMX23"/>
      <c r="CMY23"/>
      <c r="CMZ23"/>
      <c r="CNA23"/>
      <c r="CNB23"/>
      <c r="CNC23"/>
      <c r="CND23"/>
      <c r="CNE23"/>
      <c r="CNF23"/>
      <c r="CNG23"/>
      <c r="CNH23"/>
      <c r="CNI23"/>
      <c r="CNJ23"/>
      <c r="CNK23"/>
      <c r="CNL23"/>
      <c r="CNM23"/>
      <c r="CNN23"/>
      <c r="CNO23"/>
      <c r="CNP23"/>
      <c r="CNQ23"/>
      <c r="CNR23"/>
      <c r="CNS23"/>
      <c r="CNT23"/>
      <c r="CNU23"/>
      <c r="CNV23"/>
      <c r="CNW23"/>
      <c r="CNX23"/>
      <c r="CNY23"/>
      <c r="CNZ23"/>
      <c r="COA23"/>
      <c r="COB23"/>
      <c r="COC23"/>
      <c r="COD23"/>
      <c r="COE23"/>
      <c r="COF23"/>
      <c r="COG23"/>
      <c r="COH23"/>
      <c r="COI23"/>
      <c r="COJ23"/>
      <c r="COK23"/>
      <c r="COL23"/>
      <c r="COM23"/>
      <c r="CON23"/>
      <c r="COO23"/>
      <c r="COP23"/>
      <c r="COQ23"/>
      <c r="COR23"/>
      <c r="COS23"/>
      <c r="COT23"/>
      <c r="COU23"/>
      <c r="COV23"/>
      <c r="COW23"/>
      <c r="COX23"/>
      <c r="COY23"/>
      <c r="COZ23"/>
      <c r="CPA23"/>
      <c r="CPB23"/>
      <c r="CPC23"/>
      <c r="CPD23"/>
      <c r="CPE23"/>
      <c r="CPF23"/>
      <c r="CPG23"/>
      <c r="CPH23"/>
      <c r="CPI23"/>
      <c r="CPJ23"/>
      <c r="CPK23"/>
      <c r="CPL23"/>
      <c r="CPM23"/>
      <c r="CPN23"/>
      <c r="CPO23"/>
      <c r="CPP23"/>
      <c r="CPQ23"/>
      <c r="CPR23"/>
      <c r="CPS23"/>
      <c r="CPT23"/>
      <c r="CPU23"/>
      <c r="CPV23"/>
      <c r="CPW23"/>
      <c r="CPX23"/>
      <c r="CPY23"/>
      <c r="CPZ23"/>
      <c r="CQA23"/>
      <c r="CQB23"/>
      <c r="CQC23"/>
      <c r="CQD23"/>
      <c r="CQE23"/>
      <c r="CQF23"/>
      <c r="CQG23"/>
      <c r="CQH23"/>
      <c r="CQI23"/>
      <c r="CQJ23"/>
      <c r="CQK23"/>
      <c r="CQL23"/>
      <c r="CQM23"/>
      <c r="CQN23"/>
      <c r="CQO23"/>
      <c r="CQP23"/>
      <c r="CQQ23"/>
      <c r="CQR23"/>
      <c r="CQS23"/>
      <c r="CQT23"/>
      <c r="CQU23"/>
      <c r="CQV23"/>
      <c r="CQW23"/>
      <c r="CQX23"/>
      <c r="CQY23"/>
      <c r="CQZ23"/>
      <c r="CRA23"/>
      <c r="CRB23"/>
      <c r="CRC23"/>
      <c r="CRD23"/>
      <c r="CRE23"/>
      <c r="CRF23"/>
      <c r="CRG23"/>
      <c r="CRH23"/>
      <c r="CRI23"/>
      <c r="CRJ23"/>
      <c r="CRK23"/>
      <c r="CRL23"/>
      <c r="CRM23"/>
      <c r="CRN23"/>
      <c r="CRO23"/>
      <c r="CRP23"/>
      <c r="CRQ23"/>
      <c r="CRR23"/>
      <c r="CRS23"/>
      <c r="CRT23"/>
      <c r="CRU23"/>
      <c r="CRV23"/>
      <c r="CRW23"/>
      <c r="CRX23"/>
      <c r="CRY23"/>
      <c r="CRZ23"/>
      <c r="CSA23"/>
      <c r="CSB23"/>
      <c r="CSC23"/>
      <c r="CSD23"/>
      <c r="CSE23"/>
      <c r="CSF23"/>
      <c r="CSG23"/>
      <c r="CSH23"/>
      <c r="CSI23"/>
      <c r="CSJ23"/>
      <c r="CSK23"/>
      <c r="CSL23"/>
      <c r="CSM23"/>
      <c r="CSN23"/>
      <c r="CSO23"/>
      <c r="CSP23"/>
      <c r="CSQ23"/>
      <c r="CSR23"/>
      <c r="CSS23"/>
      <c r="CST23"/>
      <c r="CSU23"/>
      <c r="CSV23"/>
      <c r="CSW23"/>
      <c r="CSX23"/>
      <c r="CSY23"/>
      <c r="CSZ23"/>
      <c r="CTA23"/>
      <c r="CTB23"/>
      <c r="CTC23"/>
      <c r="CTD23"/>
      <c r="CTE23"/>
      <c r="CTF23"/>
      <c r="CTG23"/>
      <c r="CTH23"/>
      <c r="CTI23"/>
      <c r="CTJ23"/>
      <c r="CTK23"/>
      <c r="CTL23"/>
      <c r="CTM23"/>
      <c r="CTN23"/>
      <c r="CTO23"/>
      <c r="CTP23"/>
      <c r="CTQ23"/>
      <c r="CTR23"/>
      <c r="CTS23"/>
      <c r="CTT23"/>
      <c r="CTU23"/>
      <c r="CTV23"/>
      <c r="CTW23"/>
      <c r="CTX23"/>
      <c r="CTY23"/>
      <c r="CTZ23"/>
      <c r="CUA23"/>
      <c r="CUB23"/>
      <c r="CUC23"/>
      <c r="CUD23"/>
      <c r="CUE23"/>
      <c r="CUF23"/>
      <c r="CUG23"/>
      <c r="CUH23"/>
      <c r="CUI23"/>
      <c r="CUJ23"/>
      <c r="CUK23"/>
      <c r="CUL23"/>
      <c r="CUM23"/>
      <c r="CUN23"/>
      <c r="CUO23"/>
      <c r="CUP23"/>
      <c r="CUQ23"/>
      <c r="CUR23"/>
      <c r="CUS23"/>
      <c r="CUT23"/>
      <c r="CUU23"/>
      <c r="CUV23"/>
      <c r="CUW23"/>
      <c r="CUX23"/>
      <c r="CUY23"/>
      <c r="CUZ23"/>
      <c r="CVA23"/>
      <c r="CVB23"/>
      <c r="CVC23"/>
      <c r="CVD23"/>
      <c r="CVE23"/>
      <c r="CVF23"/>
      <c r="CVG23"/>
      <c r="CVH23"/>
      <c r="CVI23"/>
      <c r="CVJ23"/>
      <c r="CVK23"/>
      <c r="CVL23"/>
      <c r="CVM23"/>
      <c r="CVN23"/>
      <c r="CVO23"/>
      <c r="CVP23"/>
      <c r="CVQ23"/>
      <c r="CVR23"/>
      <c r="CVS23"/>
      <c r="CVT23"/>
      <c r="CVU23"/>
      <c r="CVV23"/>
      <c r="CVW23"/>
      <c r="CVX23"/>
      <c r="CVY23"/>
      <c r="CVZ23"/>
      <c r="CWA23"/>
      <c r="CWB23"/>
      <c r="CWC23"/>
      <c r="CWD23"/>
      <c r="CWE23"/>
      <c r="CWF23"/>
      <c r="CWG23"/>
      <c r="CWH23"/>
      <c r="CWI23"/>
      <c r="CWJ23"/>
      <c r="CWK23"/>
      <c r="CWL23"/>
      <c r="CWM23"/>
      <c r="CWN23"/>
      <c r="CWO23"/>
      <c r="CWP23"/>
      <c r="CWQ23"/>
      <c r="CWR23"/>
      <c r="CWS23"/>
      <c r="CWT23"/>
      <c r="CWU23"/>
      <c r="CWV23"/>
      <c r="CWW23"/>
      <c r="CWX23"/>
      <c r="CWY23"/>
      <c r="CWZ23"/>
      <c r="CXA23"/>
      <c r="CXB23"/>
      <c r="CXC23"/>
      <c r="CXD23"/>
      <c r="CXE23"/>
      <c r="CXF23"/>
      <c r="CXG23"/>
      <c r="CXH23"/>
      <c r="CXI23"/>
      <c r="CXJ23"/>
      <c r="CXK23"/>
      <c r="CXL23"/>
      <c r="CXM23"/>
      <c r="CXN23"/>
      <c r="CXO23"/>
      <c r="CXP23"/>
      <c r="CXQ23"/>
      <c r="CXR23"/>
      <c r="CXS23"/>
      <c r="CXT23"/>
      <c r="CXU23"/>
      <c r="CXV23"/>
      <c r="CXW23"/>
      <c r="CXX23"/>
      <c r="CXY23"/>
      <c r="CXZ23"/>
      <c r="CYA23"/>
      <c r="CYB23"/>
      <c r="CYC23"/>
      <c r="CYD23"/>
      <c r="CYE23"/>
      <c r="CYF23"/>
      <c r="CYG23"/>
      <c r="CYH23"/>
      <c r="CYI23"/>
      <c r="CYJ23"/>
      <c r="CYK23"/>
      <c r="CYL23"/>
      <c r="CYM23"/>
      <c r="CYN23"/>
      <c r="CYO23"/>
      <c r="CYP23"/>
      <c r="CYQ23"/>
      <c r="CYR23"/>
      <c r="CYS23"/>
      <c r="CYT23"/>
      <c r="CYU23"/>
      <c r="CYV23"/>
      <c r="CYW23"/>
      <c r="CYX23"/>
      <c r="CYY23"/>
      <c r="CYZ23"/>
      <c r="CZA23"/>
      <c r="CZB23"/>
      <c r="CZC23"/>
      <c r="CZD23"/>
      <c r="CZE23"/>
      <c r="CZF23"/>
      <c r="CZG23"/>
      <c r="CZH23"/>
      <c r="CZI23"/>
      <c r="CZJ23"/>
      <c r="CZK23"/>
      <c r="CZL23"/>
      <c r="CZM23"/>
      <c r="CZN23"/>
      <c r="CZO23"/>
      <c r="CZP23"/>
      <c r="CZQ23"/>
      <c r="CZR23"/>
      <c r="CZS23"/>
      <c r="CZT23"/>
      <c r="CZU23"/>
      <c r="CZV23"/>
      <c r="CZW23"/>
      <c r="CZX23"/>
      <c r="CZY23"/>
      <c r="CZZ23"/>
      <c r="DAA23"/>
      <c r="DAB23"/>
      <c r="DAC23"/>
      <c r="DAD23"/>
      <c r="DAE23"/>
      <c r="DAF23"/>
      <c r="DAG23"/>
      <c r="DAH23"/>
      <c r="DAI23"/>
      <c r="DAJ23"/>
      <c r="DAK23"/>
      <c r="DAL23"/>
      <c r="DAM23"/>
      <c r="DAN23"/>
      <c r="DAO23"/>
      <c r="DAP23"/>
      <c r="DAQ23"/>
      <c r="DAR23"/>
      <c r="DAS23"/>
      <c r="DAT23"/>
      <c r="DAU23"/>
      <c r="DAV23"/>
      <c r="DAW23"/>
      <c r="DAX23"/>
      <c r="DAY23"/>
      <c r="DAZ23"/>
      <c r="DBA23"/>
      <c r="DBB23"/>
      <c r="DBC23"/>
      <c r="DBD23"/>
      <c r="DBE23"/>
      <c r="DBF23"/>
      <c r="DBG23"/>
      <c r="DBH23"/>
      <c r="DBI23"/>
      <c r="DBJ23"/>
      <c r="DBK23"/>
      <c r="DBL23"/>
      <c r="DBM23"/>
      <c r="DBN23"/>
      <c r="DBO23"/>
      <c r="DBP23"/>
      <c r="DBQ23"/>
      <c r="DBR23"/>
      <c r="DBS23"/>
      <c r="DBT23"/>
      <c r="DBU23"/>
      <c r="DBV23"/>
      <c r="DBW23"/>
      <c r="DBX23"/>
      <c r="DBY23"/>
      <c r="DBZ23"/>
      <c r="DCA23"/>
      <c r="DCB23"/>
      <c r="DCC23"/>
      <c r="DCD23"/>
      <c r="DCE23"/>
      <c r="DCF23"/>
      <c r="DCG23"/>
      <c r="DCH23"/>
      <c r="DCI23"/>
      <c r="DCJ23"/>
      <c r="DCK23"/>
      <c r="DCL23"/>
      <c r="DCM23"/>
      <c r="DCN23"/>
      <c r="DCO23"/>
      <c r="DCP23"/>
      <c r="DCQ23"/>
      <c r="DCR23"/>
      <c r="DCS23"/>
      <c r="DCT23"/>
      <c r="DCU23"/>
      <c r="DCV23"/>
      <c r="DCW23"/>
      <c r="DCX23"/>
      <c r="DCY23"/>
      <c r="DCZ23"/>
      <c r="DDA23"/>
      <c r="DDB23"/>
      <c r="DDC23"/>
      <c r="DDD23"/>
      <c r="DDE23"/>
      <c r="DDF23"/>
      <c r="DDG23"/>
      <c r="DDH23"/>
      <c r="DDI23"/>
      <c r="DDJ23"/>
      <c r="DDK23"/>
      <c r="DDL23"/>
      <c r="DDM23"/>
      <c r="DDN23"/>
      <c r="DDO23"/>
      <c r="DDP23"/>
      <c r="DDQ23"/>
      <c r="DDR23"/>
      <c r="DDS23"/>
      <c r="DDT23"/>
      <c r="DDU23"/>
      <c r="DDV23"/>
      <c r="DDW23"/>
      <c r="DDX23"/>
      <c r="DDY23"/>
      <c r="DDZ23"/>
      <c r="DEA23"/>
      <c r="DEB23"/>
      <c r="DEC23"/>
      <c r="DED23"/>
      <c r="DEE23"/>
      <c r="DEF23"/>
      <c r="DEG23"/>
      <c r="DEH23"/>
      <c r="DEI23"/>
      <c r="DEJ23"/>
      <c r="DEK23"/>
      <c r="DEL23"/>
      <c r="DEM23"/>
      <c r="DEN23"/>
      <c r="DEO23"/>
      <c r="DEP23"/>
      <c r="DEQ23"/>
      <c r="DER23"/>
      <c r="DES23"/>
      <c r="DET23"/>
      <c r="DEU23"/>
      <c r="DEV23"/>
      <c r="DEW23"/>
      <c r="DEX23"/>
      <c r="DEY23"/>
      <c r="DEZ23"/>
      <c r="DFA23"/>
      <c r="DFB23"/>
      <c r="DFC23"/>
      <c r="DFD23"/>
      <c r="DFE23"/>
      <c r="DFF23"/>
      <c r="DFG23"/>
      <c r="DFH23"/>
      <c r="DFI23"/>
      <c r="DFJ23"/>
      <c r="DFK23"/>
      <c r="DFL23"/>
      <c r="DFM23"/>
      <c r="DFN23"/>
      <c r="DFO23"/>
      <c r="DFP23"/>
      <c r="DFQ23"/>
      <c r="DFR23"/>
      <c r="DFS23"/>
      <c r="DFT23"/>
      <c r="DFU23"/>
      <c r="DFV23"/>
      <c r="DFW23"/>
      <c r="DFX23"/>
      <c r="DFY23"/>
      <c r="DFZ23"/>
      <c r="DGA23"/>
      <c r="DGB23"/>
      <c r="DGC23"/>
      <c r="DGD23"/>
      <c r="DGE23"/>
      <c r="DGF23"/>
      <c r="DGG23"/>
      <c r="DGH23"/>
      <c r="DGI23"/>
      <c r="DGJ23"/>
      <c r="DGK23"/>
      <c r="DGL23"/>
      <c r="DGM23"/>
      <c r="DGN23"/>
      <c r="DGO23"/>
      <c r="DGP23"/>
      <c r="DGQ23"/>
      <c r="DGR23"/>
      <c r="DGS23"/>
      <c r="DGT23"/>
      <c r="DGU23"/>
      <c r="DGV23"/>
      <c r="DGW23"/>
      <c r="DGX23"/>
      <c r="DGY23"/>
      <c r="DGZ23"/>
      <c r="DHA23"/>
      <c r="DHB23"/>
      <c r="DHC23"/>
      <c r="DHD23"/>
      <c r="DHE23"/>
      <c r="DHF23"/>
      <c r="DHG23"/>
      <c r="DHH23"/>
      <c r="DHI23"/>
      <c r="DHJ23"/>
      <c r="DHK23"/>
      <c r="DHL23"/>
      <c r="DHM23"/>
      <c r="DHN23"/>
      <c r="DHO23"/>
      <c r="DHP23"/>
      <c r="DHQ23"/>
      <c r="DHR23"/>
      <c r="DHS23"/>
      <c r="DHT23"/>
      <c r="DHU23"/>
      <c r="DHV23"/>
      <c r="DHW23"/>
      <c r="DHX23"/>
      <c r="DHY23"/>
      <c r="DHZ23"/>
      <c r="DIA23"/>
      <c r="DIB23"/>
      <c r="DIC23"/>
      <c r="DID23"/>
      <c r="DIE23"/>
      <c r="DIF23"/>
      <c r="DIG23"/>
      <c r="DIH23"/>
      <c r="DII23"/>
      <c r="DIJ23"/>
      <c r="DIK23"/>
      <c r="DIL23"/>
      <c r="DIM23"/>
      <c r="DIN23"/>
      <c r="DIO23"/>
      <c r="DIP23"/>
      <c r="DIQ23"/>
      <c r="DIR23"/>
      <c r="DIS23"/>
      <c r="DIT23"/>
      <c r="DIU23"/>
      <c r="DIV23"/>
      <c r="DIW23"/>
      <c r="DIX23"/>
      <c r="DIY23"/>
      <c r="DIZ23"/>
      <c r="DJA23"/>
      <c r="DJB23"/>
      <c r="DJC23"/>
      <c r="DJD23"/>
      <c r="DJE23"/>
      <c r="DJF23"/>
      <c r="DJG23"/>
      <c r="DJH23"/>
      <c r="DJI23"/>
      <c r="DJJ23"/>
      <c r="DJK23"/>
      <c r="DJL23"/>
      <c r="DJM23"/>
      <c r="DJN23"/>
      <c r="DJO23"/>
      <c r="DJP23"/>
      <c r="DJQ23"/>
      <c r="DJR23"/>
      <c r="DJS23"/>
      <c r="DJT23"/>
      <c r="DJU23"/>
      <c r="DJV23"/>
      <c r="DJW23"/>
      <c r="DJX23"/>
      <c r="DJY23"/>
      <c r="DJZ23"/>
      <c r="DKA23"/>
      <c r="DKB23"/>
      <c r="DKC23"/>
      <c r="DKD23"/>
      <c r="DKE23"/>
      <c r="DKF23"/>
      <c r="DKG23"/>
      <c r="DKH23"/>
      <c r="DKI23"/>
      <c r="DKJ23"/>
      <c r="DKK23"/>
      <c r="DKL23"/>
      <c r="DKM23"/>
      <c r="DKN23"/>
      <c r="DKO23"/>
      <c r="DKP23"/>
      <c r="DKQ23"/>
      <c r="DKR23"/>
      <c r="DKS23"/>
      <c r="DKT23"/>
      <c r="DKU23"/>
      <c r="DKV23"/>
      <c r="DKW23"/>
      <c r="DKX23"/>
      <c r="DKY23"/>
      <c r="DKZ23"/>
      <c r="DLA23"/>
      <c r="DLB23"/>
      <c r="DLC23"/>
      <c r="DLD23"/>
      <c r="DLE23"/>
      <c r="DLF23"/>
      <c r="DLG23"/>
      <c r="DLH23"/>
      <c r="DLI23"/>
      <c r="DLJ23"/>
      <c r="DLK23"/>
      <c r="DLL23"/>
      <c r="DLM23"/>
      <c r="DLN23"/>
      <c r="DLO23"/>
      <c r="DLP23"/>
      <c r="DLQ23"/>
      <c r="DLR23"/>
      <c r="DLS23"/>
      <c r="DLT23"/>
      <c r="DLU23"/>
      <c r="DLV23"/>
      <c r="DLW23"/>
      <c r="DLX23"/>
      <c r="DLY23"/>
      <c r="DLZ23"/>
      <c r="DMA23"/>
      <c r="DMB23"/>
      <c r="DMC23"/>
      <c r="DMD23"/>
      <c r="DME23"/>
      <c r="DMF23"/>
      <c r="DMG23"/>
      <c r="DMH23"/>
      <c r="DMI23"/>
      <c r="DMJ23"/>
      <c r="DMK23"/>
      <c r="DML23"/>
      <c r="DMM23"/>
      <c r="DMN23"/>
      <c r="DMO23"/>
      <c r="DMP23"/>
      <c r="DMQ23"/>
      <c r="DMR23"/>
      <c r="DMS23"/>
      <c r="DMT23"/>
      <c r="DMU23"/>
      <c r="DMV23"/>
      <c r="DMW23"/>
      <c r="DMX23"/>
      <c r="DMY23"/>
      <c r="DMZ23"/>
      <c r="DNA23"/>
      <c r="DNB23"/>
      <c r="DNC23"/>
      <c r="DND23"/>
      <c r="DNE23"/>
      <c r="DNF23"/>
      <c r="DNG23"/>
      <c r="DNH23"/>
      <c r="DNI23"/>
      <c r="DNJ23"/>
      <c r="DNK23"/>
      <c r="DNL23"/>
      <c r="DNM23"/>
      <c r="DNN23"/>
      <c r="DNO23"/>
      <c r="DNP23"/>
      <c r="DNQ23"/>
      <c r="DNR23"/>
      <c r="DNS23"/>
      <c r="DNT23"/>
      <c r="DNU23"/>
      <c r="DNV23"/>
      <c r="DNW23"/>
      <c r="DNX23"/>
      <c r="DNY23"/>
      <c r="DNZ23"/>
      <c r="DOA23"/>
      <c r="DOB23"/>
      <c r="DOC23"/>
      <c r="DOD23"/>
      <c r="DOE23"/>
      <c r="DOF23"/>
      <c r="DOG23"/>
      <c r="DOH23"/>
      <c r="DOI23"/>
      <c r="DOJ23"/>
      <c r="DOK23"/>
      <c r="DOL23"/>
      <c r="DOM23"/>
      <c r="DON23"/>
      <c r="DOO23"/>
      <c r="DOP23"/>
      <c r="DOQ23"/>
      <c r="DOR23"/>
      <c r="DOS23"/>
      <c r="DOT23"/>
      <c r="DOU23"/>
      <c r="DOV23"/>
      <c r="DOW23"/>
      <c r="DOX23"/>
      <c r="DOY23"/>
      <c r="DOZ23"/>
      <c r="DPA23"/>
      <c r="DPB23"/>
      <c r="DPC23"/>
      <c r="DPD23"/>
      <c r="DPE23"/>
      <c r="DPF23"/>
      <c r="DPG23"/>
      <c r="DPH23"/>
      <c r="DPI23"/>
      <c r="DPJ23"/>
      <c r="DPK23"/>
      <c r="DPL23"/>
      <c r="DPM23"/>
      <c r="DPN23"/>
      <c r="DPO23"/>
      <c r="DPP23"/>
      <c r="DPQ23"/>
      <c r="DPR23"/>
      <c r="DPS23"/>
      <c r="DPT23"/>
      <c r="DPU23"/>
      <c r="DPV23"/>
      <c r="DPW23"/>
      <c r="DPX23"/>
      <c r="DPY23"/>
      <c r="DPZ23"/>
      <c r="DQA23"/>
      <c r="DQB23"/>
      <c r="DQC23"/>
      <c r="DQD23"/>
      <c r="DQE23"/>
      <c r="DQF23"/>
      <c r="DQG23"/>
      <c r="DQH23"/>
      <c r="DQI23"/>
      <c r="DQJ23"/>
      <c r="DQK23"/>
      <c r="DQL23"/>
      <c r="DQM23"/>
      <c r="DQN23"/>
      <c r="DQO23"/>
      <c r="DQP23"/>
      <c r="DQQ23"/>
      <c r="DQR23"/>
      <c r="DQS23"/>
      <c r="DQT23"/>
      <c r="DQU23"/>
      <c r="DQV23"/>
      <c r="DQW23"/>
      <c r="DQX23"/>
      <c r="DQY23"/>
      <c r="DQZ23"/>
      <c r="DRA23"/>
      <c r="DRB23"/>
      <c r="DRC23"/>
      <c r="DRD23"/>
      <c r="DRE23"/>
      <c r="DRF23"/>
      <c r="DRG23"/>
      <c r="DRH23"/>
      <c r="DRI23"/>
      <c r="DRJ23"/>
      <c r="DRK23"/>
      <c r="DRL23"/>
      <c r="DRM23"/>
      <c r="DRN23"/>
      <c r="DRO23"/>
      <c r="DRP23"/>
      <c r="DRQ23"/>
      <c r="DRR23"/>
      <c r="DRS23"/>
      <c r="DRT23"/>
      <c r="DRU23"/>
      <c r="DRV23"/>
      <c r="DRW23"/>
      <c r="DRX23"/>
      <c r="DRY23"/>
      <c r="DRZ23"/>
      <c r="DSA23"/>
      <c r="DSB23"/>
      <c r="DSC23"/>
      <c r="DSD23"/>
      <c r="DSE23"/>
      <c r="DSF23"/>
      <c r="DSG23"/>
      <c r="DSH23"/>
      <c r="DSI23"/>
      <c r="DSJ23"/>
      <c r="DSK23"/>
      <c r="DSL23"/>
      <c r="DSM23"/>
      <c r="DSN23"/>
      <c r="DSO23"/>
      <c r="DSP23"/>
      <c r="DSQ23"/>
      <c r="DSR23"/>
      <c r="DSS23"/>
      <c r="DST23"/>
      <c r="DSU23"/>
      <c r="DSV23"/>
      <c r="DSW23"/>
      <c r="DSX23"/>
      <c r="DSY23"/>
      <c r="DSZ23"/>
      <c r="DTA23"/>
      <c r="DTB23"/>
      <c r="DTC23"/>
      <c r="DTD23"/>
      <c r="DTE23"/>
      <c r="DTF23"/>
      <c r="DTG23"/>
      <c r="DTH23"/>
      <c r="DTI23"/>
      <c r="DTJ23"/>
      <c r="DTK23"/>
      <c r="DTL23"/>
      <c r="DTM23"/>
      <c r="DTN23"/>
      <c r="DTO23"/>
      <c r="DTP23"/>
      <c r="DTQ23"/>
      <c r="DTR23"/>
      <c r="DTS23"/>
      <c r="DTT23"/>
      <c r="DTU23"/>
      <c r="DTV23"/>
      <c r="DTW23"/>
      <c r="DTX23"/>
      <c r="DTY23"/>
      <c r="DTZ23"/>
      <c r="DUA23"/>
      <c r="DUB23"/>
      <c r="DUC23"/>
      <c r="DUD23"/>
      <c r="DUE23"/>
      <c r="DUF23"/>
      <c r="DUG23"/>
      <c r="DUH23"/>
      <c r="DUI23"/>
      <c r="DUJ23"/>
      <c r="DUK23"/>
      <c r="DUL23"/>
      <c r="DUM23"/>
      <c r="DUN23"/>
      <c r="DUO23"/>
      <c r="DUP23"/>
      <c r="DUQ23"/>
      <c r="DUR23"/>
      <c r="DUS23"/>
      <c r="DUT23"/>
      <c r="DUU23"/>
      <c r="DUV23"/>
      <c r="DUW23"/>
      <c r="DUX23"/>
      <c r="DUY23"/>
      <c r="DUZ23"/>
      <c r="DVA23"/>
      <c r="DVB23"/>
      <c r="DVC23"/>
      <c r="DVD23"/>
      <c r="DVE23"/>
      <c r="DVF23"/>
      <c r="DVG23"/>
      <c r="DVH23"/>
      <c r="DVI23"/>
      <c r="DVJ23"/>
      <c r="DVK23"/>
      <c r="DVL23"/>
      <c r="DVM23"/>
      <c r="DVN23"/>
      <c r="DVO23"/>
      <c r="DVP23"/>
      <c r="DVQ23"/>
      <c r="DVR23"/>
      <c r="DVS23"/>
      <c r="DVT23"/>
      <c r="DVU23"/>
      <c r="DVV23"/>
      <c r="DVW23"/>
      <c r="DVX23"/>
      <c r="DVY23"/>
      <c r="DVZ23"/>
      <c r="DWA23"/>
      <c r="DWB23"/>
      <c r="DWC23"/>
      <c r="DWD23"/>
      <c r="DWE23"/>
      <c r="DWF23"/>
      <c r="DWG23"/>
      <c r="DWH23"/>
      <c r="DWI23"/>
      <c r="DWJ23"/>
      <c r="DWK23"/>
      <c r="DWL23"/>
      <c r="DWM23"/>
      <c r="DWN23"/>
      <c r="DWO23"/>
      <c r="DWP23"/>
      <c r="DWQ23"/>
      <c r="DWR23"/>
      <c r="DWS23"/>
      <c r="DWT23"/>
      <c r="DWU23"/>
      <c r="DWV23"/>
      <c r="DWW23"/>
      <c r="DWX23"/>
      <c r="DWY23"/>
      <c r="DWZ23"/>
      <c r="DXA23"/>
      <c r="DXB23"/>
      <c r="DXC23"/>
      <c r="DXD23"/>
      <c r="DXE23"/>
      <c r="DXF23"/>
      <c r="DXG23"/>
      <c r="DXH23"/>
      <c r="DXI23"/>
      <c r="DXJ23"/>
      <c r="DXK23"/>
      <c r="DXL23"/>
      <c r="DXM23"/>
      <c r="DXN23"/>
      <c r="DXO23"/>
      <c r="DXP23"/>
      <c r="DXQ23"/>
      <c r="DXR23"/>
      <c r="DXS23"/>
      <c r="DXT23"/>
      <c r="DXU23"/>
      <c r="DXV23"/>
      <c r="DXW23"/>
      <c r="DXX23"/>
      <c r="DXY23"/>
      <c r="DXZ23"/>
      <c r="DYA23"/>
      <c r="DYB23"/>
      <c r="DYC23"/>
      <c r="DYD23"/>
      <c r="DYE23"/>
      <c r="DYF23"/>
      <c r="DYG23"/>
      <c r="DYH23"/>
      <c r="DYI23"/>
      <c r="DYJ23"/>
      <c r="DYK23"/>
      <c r="DYL23"/>
      <c r="DYM23"/>
      <c r="DYN23"/>
      <c r="DYO23"/>
      <c r="DYP23"/>
      <c r="DYQ23"/>
      <c r="DYR23"/>
      <c r="DYS23"/>
      <c r="DYT23"/>
      <c r="DYU23"/>
      <c r="DYV23"/>
      <c r="DYW23"/>
      <c r="DYX23"/>
      <c r="DYY23"/>
      <c r="DYZ23"/>
      <c r="DZA23"/>
      <c r="DZB23"/>
      <c r="DZC23"/>
      <c r="DZD23"/>
      <c r="DZE23"/>
      <c r="DZF23"/>
      <c r="DZG23"/>
      <c r="DZH23"/>
      <c r="DZI23"/>
      <c r="DZJ23"/>
      <c r="DZK23"/>
      <c r="DZL23"/>
      <c r="DZM23"/>
      <c r="DZN23"/>
      <c r="DZO23"/>
      <c r="DZP23"/>
      <c r="DZQ23"/>
      <c r="DZR23"/>
      <c r="DZS23"/>
      <c r="DZT23"/>
      <c r="DZU23"/>
      <c r="DZV23"/>
      <c r="DZW23"/>
      <c r="DZX23"/>
      <c r="DZY23"/>
      <c r="DZZ23"/>
      <c r="EAA23"/>
      <c r="EAB23"/>
      <c r="EAC23"/>
      <c r="EAD23"/>
      <c r="EAE23"/>
      <c r="EAF23"/>
      <c r="EAG23"/>
      <c r="EAH23"/>
      <c r="EAI23"/>
      <c r="EAJ23"/>
      <c r="EAK23"/>
      <c r="EAL23"/>
      <c r="EAM23"/>
      <c r="EAN23"/>
      <c r="EAO23"/>
      <c r="EAP23"/>
      <c r="EAQ23"/>
      <c r="EAR23"/>
      <c r="EAS23"/>
      <c r="EAT23"/>
      <c r="EAU23"/>
      <c r="EAV23"/>
      <c r="EAW23"/>
      <c r="EAX23"/>
      <c r="EAY23"/>
      <c r="EAZ23"/>
      <c r="EBA23"/>
      <c r="EBB23"/>
      <c r="EBC23"/>
      <c r="EBD23"/>
      <c r="EBE23"/>
      <c r="EBF23"/>
      <c r="EBG23"/>
      <c r="EBH23"/>
      <c r="EBI23"/>
      <c r="EBJ23"/>
      <c r="EBK23"/>
      <c r="EBL23"/>
      <c r="EBM23"/>
      <c r="EBN23"/>
      <c r="EBO23"/>
      <c r="EBP23"/>
      <c r="EBQ23"/>
      <c r="EBR23"/>
      <c r="EBS23"/>
      <c r="EBT23"/>
      <c r="EBU23"/>
      <c r="EBV23"/>
      <c r="EBW23"/>
      <c r="EBX23"/>
      <c r="EBY23"/>
      <c r="EBZ23"/>
      <c r="ECA23"/>
      <c r="ECB23"/>
      <c r="ECC23"/>
      <c r="ECD23"/>
      <c r="ECE23"/>
      <c r="ECF23"/>
      <c r="ECG23"/>
      <c r="ECH23"/>
      <c r="ECI23"/>
      <c r="ECJ23"/>
      <c r="ECK23"/>
      <c r="ECL23"/>
      <c r="ECM23"/>
      <c r="ECN23"/>
      <c r="ECO23"/>
      <c r="ECP23"/>
      <c r="ECQ23"/>
      <c r="ECR23"/>
      <c r="ECS23"/>
      <c r="ECT23"/>
      <c r="ECU23"/>
      <c r="ECV23"/>
      <c r="ECW23"/>
      <c r="ECX23"/>
      <c r="ECY23"/>
      <c r="ECZ23"/>
      <c r="EDA23"/>
      <c r="EDB23"/>
      <c r="EDC23"/>
      <c r="EDD23"/>
      <c r="EDE23"/>
      <c r="EDF23"/>
      <c r="EDG23"/>
      <c r="EDH23"/>
      <c r="EDI23"/>
      <c r="EDJ23"/>
      <c r="EDK23"/>
      <c r="EDL23"/>
      <c r="EDM23"/>
      <c r="EDN23"/>
      <c r="EDO23"/>
      <c r="EDP23"/>
      <c r="EDQ23"/>
      <c r="EDR23"/>
      <c r="EDS23"/>
      <c r="EDT23"/>
      <c r="EDU23"/>
      <c r="EDV23"/>
      <c r="EDW23"/>
      <c r="EDX23"/>
      <c r="EDY23"/>
      <c r="EDZ23"/>
      <c r="EEA23"/>
      <c r="EEB23"/>
      <c r="EEC23"/>
      <c r="EED23"/>
      <c r="EEE23"/>
      <c r="EEF23"/>
      <c r="EEG23"/>
      <c r="EEH23"/>
      <c r="EEI23"/>
      <c r="EEJ23"/>
      <c r="EEK23"/>
      <c r="EEL23"/>
      <c r="EEM23"/>
      <c r="EEN23"/>
      <c r="EEO23"/>
      <c r="EEP23"/>
      <c r="EEQ23"/>
      <c r="EER23"/>
      <c r="EES23"/>
      <c r="EET23"/>
      <c r="EEU23"/>
      <c r="EEV23"/>
      <c r="EEW23"/>
      <c r="EEX23"/>
      <c r="EEY23"/>
      <c r="EEZ23"/>
      <c r="EFA23"/>
      <c r="EFB23"/>
      <c r="EFC23"/>
      <c r="EFD23"/>
      <c r="EFE23"/>
      <c r="EFF23"/>
      <c r="EFG23"/>
      <c r="EFH23"/>
      <c r="EFI23"/>
      <c r="EFJ23"/>
      <c r="EFK23"/>
      <c r="EFL23"/>
      <c r="EFM23"/>
      <c r="EFN23"/>
      <c r="EFO23"/>
      <c r="EFP23"/>
      <c r="EFQ23"/>
      <c r="EFR23"/>
      <c r="EFS23"/>
      <c r="EFT23"/>
      <c r="EFU23"/>
      <c r="EFV23"/>
      <c r="EFW23"/>
      <c r="EFX23"/>
      <c r="EFY23"/>
      <c r="EFZ23"/>
      <c r="EGA23"/>
      <c r="EGB23"/>
      <c r="EGC23"/>
      <c r="EGD23"/>
      <c r="EGE23"/>
      <c r="EGF23"/>
      <c r="EGG23"/>
      <c r="EGH23"/>
      <c r="EGI23"/>
      <c r="EGJ23"/>
      <c r="EGK23"/>
      <c r="EGL23"/>
      <c r="EGM23"/>
      <c r="EGN23"/>
      <c r="EGO23"/>
      <c r="EGP23"/>
      <c r="EGQ23"/>
      <c r="EGR23"/>
      <c r="EGS23"/>
      <c r="EGT23"/>
      <c r="EGU23"/>
      <c r="EGV23"/>
      <c r="EGW23"/>
      <c r="EGX23"/>
      <c r="EGY23"/>
      <c r="EGZ23"/>
      <c r="EHA23"/>
      <c r="EHB23"/>
      <c r="EHC23"/>
      <c r="EHD23"/>
      <c r="EHE23"/>
      <c r="EHF23"/>
      <c r="EHG23"/>
      <c r="EHH23"/>
      <c r="EHI23"/>
      <c r="EHJ23"/>
      <c r="EHK23"/>
      <c r="EHL23"/>
      <c r="EHM23"/>
      <c r="EHN23"/>
      <c r="EHO23"/>
      <c r="EHP23"/>
      <c r="EHQ23"/>
      <c r="EHR23"/>
      <c r="EHS23"/>
      <c r="EHT23"/>
      <c r="EHU23"/>
      <c r="EHV23"/>
      <c r="EHW23"/>
      <c r="EHX23"/>
      <c r="EHY23"/>
      <c r="EHZ23"/>
      <c r="EIA23"/>
      <c r="EIB23"/>
      <c r="EIC23"/>
      <c r="EID23"/>
      <c r="EIE23"/>
      <c r="EIF23"/>
      <c r="EIG23"/>
      <c r="EIH23"/>
      <c r="EII23"/>
      <c r="EIJ23"/>
      <c r="EIK23"/>
      <c r="EIL23"/>
      <c r="EIM23"/>
      <c r="EIN23"/>
      <c r="EIO23"/>
      <c r="EIP23"/>
      <c r="EIQ23"/>
      <c r="EIR23"/>
      <c r="EIS23"/>
      <c r="EIT23"/>
      <c r="EIU23"/>
      <c r="EIV23"/>
      <c r="EIW23"/>
      <c r="EIX23"/>
      <c r="EIY23"/>
      <c r="EIZ23"/>
      <c r="EJA23"/>
      <c r="EJB23"/>
      <c r="EJC23"/>
      <c r="EJD23"/>
      <c r="EJE23"/>
      <c r="EJF23"/>
      <c r="EJG23"/>
      <c r="EJH23"/>
      <c r="EJI23"/>
      <c r="EJJ23"/>
      <c r="EJK23"/>
      <c r="EJL23"/>
      <c r="EJM23"/>
      <c r="EJN23"/>
      <c r="EJO23"/>
      <c r="EJP23"/>
      <c r="EJQ23"/>
      <c r="EJR23"/>
      <c r="EJS23"/>
      <c r="EJT23"/>
      <c r="EJU23"/>
      <c r="EJV23"/>
      <c r="EJW23"/>
      <c r="EJX23"/>
      <c r="EJY23"/>
      <c r="EJZ23"/>
      <c r="EKA23"/>
      <c r="EKB23"/>
      <c r="EKC23"/>
      <c r="EKD23"/>
      <c r="EKE23"/>
      <c r="EKF23"/>
      <c r="EKG23"/>
      <c r="EKH23"/>
      <c r="EKI23"/>
      <c r="EKJ23"/>
      <c r="EKK23"/>
      <c r="EKL23"/>
      <c r="EKM23"/>
      <c r="EKN23"/>
      <c r="EKO23"/>
      <c r="EKP23"/>
      <c r="EKQ23"/>
      <c r="EKR23"/>
      <c r="EKS23"/>
      <c r="EKT23"/>
      <c r="EKU23"/>
      <c r="EKV23"/>
      <c r="EKW23"/>
      <c r="EKX23"/>
      <c r="EKY23"/>
      <c r="EKZ23"/>
      <c r="ELA23"/>
      <c r="ELB23"/>
      <c r="ELC23"/>
      <c r="ELD23"/>
      <c r="ELE23"/>
      <c r="ELF23"/>
      <c r="ELG23"/>
      <c r="ELH23"/>
      <c r="ELI23"/>
      <c r="ELJ23"/>
      <c r="ELK23"/>
      <c r="ELL23"/>
      <c r="ELM23"/>
      <c r="ELN23"/>
      <c r="ELO23"/>
      <c r="ELP23"/>
      <c r="ELQ23"/>
      <c r="ELR23"/>
      <c r="ELS23"/>
      <c r="ELT23"/>
      <c r="ELU23"/>
      <c r="ELV23"/>
      <c r="ELW23"/>
      <c r="ELX23"/>
      <c r="ELY23"/>
      <c r="ELZ23"/>
      <c r="EMA23"/>
      <c r="EMB23"/>
      <c r="EMC23"/>
      <c r="EMD23"/>
      <c r="EME23"/>
      <c r="EMF23"/>
      <c r="EMG23"/>
      <c r="EMH23"/>
      <c r="EMI23"/>
      <c r="EMJ23"/>
      <c r="EMK23"/>
      <c r="EML23"/>
      <c r="EMM23"/>
      <c r="EMN23"/>
      <c r="EMO23"/>
      <c r="EMP23"/>
      <c r="EMQ23"/>
      <c r="EMR23"/>
      <c r="EMS23"/>
      <c r="EMT23"/>
      <c r="EMU23"/>
      <c r="EMV23"/>
      <c r="EMW23"/>
      <c r="EMX23"/>
      <c r="EMY23"/>
      <c r="EMZ23"/>
      <c r="ENA23"/>
      <c r="ENB23"/>
      <c r="ENC23"/>
      <c r="END23"/>
      <c r="ENE23"/>
      <c r="ENF23"/>
      <c r="ENG23"/>
      <c r="ENH23"/>
      <c r="ENI23"/>
      <c r="ENJ23"/>
      <c r="ENK23"/>
      <c r="ENL23"/>
      <c r="ENM23"/>
      <c r="ENN23"/>
      <c r="ENO23"/>
      <c r="ENP23"/>
      <c r="ENQ23"/>
      <c r="ENR23"/>
      <c r="ENS23"/>
      <c r="ENT23"/>
      <c r="ENU23"/>
      <c r="ENV23"/>
      <c r="ENW23"/>
      <c r="ENX23"/>
      <c r="ENY23"/>
      <c r="ENZ23"/>
      <c r="EOA23"/>
      <c r="EOB23"/>
      <c r="EOC23"/>
      <c r="EOD23"/>
      <c r="EOE23"/>
      <c r="EOF23"/>
      <c r="EOG23"/>
      <c r="EOH23"/>
      <c r="EOI23"/>
      <c r="EOJ23"/>
      <c r="EOK23"/>
      <c r="EOL23"/>
      <c r="EOM23"/>
      <c r="EON23"/>
      <c r="EOO23"/>
      <c r="EOP23"/>
      <c r="EOQ23"/>
      <c r="EOR23"/>
      <c r="EOS23"/>
      <c r="EOT23"/>
      <c r="EOU23"/>
      <c r="EOV23"/>
      <c r="EOW23"/>
      <c r="EOX23"/>
      <c r="EOY23"/>
      <c r="EOZ23"/>
      <c r="EPA23"/>
      <c r="EPB23"/>
      <c r="EPC23"/>
      <c r="EPD23"/>
      <c r="EPE23"/>
      <c r="EPF23"/>
      <c r="EPG23"/>
      <c r="EPH23"/>
      <c r="EPI23"/>
      <c r="EPJ23"/>
      <c r="EPK23"/>
      <c r="EPL23"/>
      <c r="EPM23"/>
      <c r="EPN23"/>
      <c r="EPO23"/>
      <c r="EPP23"/>
      <c r="EPQ23"/>
      <c r="EPR23"/>
      <c r="EPS23"/>
      <c r="EPT23"/>
      <c r="EPU23"/>
      <c r="EPV23"/>
      <c r="EPW23"/>
      <c r="EPX23"/>
      <c r="EPY23"/>
      <c r="EPZ23"/>
      <c r="EQA23"/>
      <c r="EQB23"/>
      <c r="EQC23"/>
      <c r="EQD23"/>
      <c r="EQE23"/>
      <c r="EQF23"/>
      <c r="EQG23"/>
      <c r="EQH23"/>
      <c r="EQI23"/>
      <c r="EQJ23"/>
      <c r="EQK23"/>
      <c r="EQL23"/>
      <c r="EQM23"/>
      <c r="EQN23"/>
      <c r="EQO23"/>
      <c r="EQP23"/>
      <c r="EQQ23"/>
      <c r="EQR23"/>
      <c r="EQS23"/>
      <c r="EQT23"/>
      <c r="EQU23"/>
      <c r="EQV23"/>
      <c r="EQW23"/>
      <c r="EQX23"/>
      <c r="EQY23"/>
      <c r="EQZ23"/>
      <c r="ERA23"/>
      <c r="ERB23"/>
      <c r="ERC23"/>
      <c r="ERD23"/>
      <c r="ERE23"/>
      <c r="ERF23"/>
      <c r="ERG23"/>
      <c r="ERH23"/>
      <c r="ERI23"/>
      <c r="ERJ23"/>
      <c r="ERK23"/>
      <c r="ERL23"/>
      <c r="ERM23"/>
      <c r="ERN23"/>
      <c r="ERO23"/>
      <c r="ERP23"/>
      <c r="ERQ23"/>
      <c r="ERR23"/>
      <c r="ERS23"/>
      <c r="ERT23"/>
      <c r="ERU23"/>
      <c r="ERV23"/>
      <c r="ERW23"/>
      <c r="ERX23"/>
      <c r="ERY23"/>
      <c r="ERZ23"/>
      <c r="ESA23"/>
      <c r="ESB23"/>
      <c r="ESC23"/>
      <c r="ESD23"/>
      <c r="ESE23"/>
      <c r="ESF23"/>
      <c r="ESG23"/>
      <c r="ESH23"/>
      <c r="ESI23"/>
      <c r="ESJ23"/>
      <c r="ESK23"/>
      <c r="ESL23"/>
      <c r="ESM23"/>
      <c r="ESN23"/>
      <c r="ESO23"/>
      <c r="ESP23"/>
      <c r="ESQ23"/>
      <c r="ESR23"/>
      <c r="ESS23"/>
      <c r="EST23"/>
      <c r="ESU23"/>
      <c r="ESV23"/>
      <c r="ESW23"/>
      <c r="ESX23"/>
      <c r="ESY23"/>
      <c r="ESZ23"/>
      <c r="ETA23"/>
      <c r="ETB23"/>
      <c r="ETC23"/>
      <c r="ETD23"/>
      <c r="ETE23"/>
      <c r="ETF23"/>
      <c r="ETG23"/>
      <c r="ETH23"/>
      <c r="ETI23"/>
      <c r="ETJ23"/>
      <c r="ETK23"/>
      <c r="ETL23"/>
      <c r="ETM23"/>
      <c r="ETN23"/>
      <c r="ETO23"/>
      <c r="ETP23"/>
      <c r="ETQ23"/>
      <c r="ETR23"/>
      <c r="ETS23"/>
      <c r="ETT23"/>
      <c r="ETU23"/>
      <c r="ETV23"/>
      <c r="ETW23"/>
      <c r="ETX23"/>
      <c r="ETY23"/>
      <c r="ETZ23"/>
      <c r="EUA23"/>
      <c r="EUB23"/>
      <c r="EUC23"/>
      <c r="EUD23"/>
      <c r="EUE23"/>
      <c r="EUF23"/>
      <c r="EUG23"/>
      <c r="EUH23"/>
      <c r="EUI23"/>
      <c r="EUJ23"/>
      <c r="EUK23"/>
      <c r="EUL23"/>
      <c r="EUM23"/>
      <c r="EUN23"/>
      <c r="EUO23"/>
      <c r="EUP23"/>
      <c r="EUQ23"/>
      <c r="EUR23"/>
      <c r="EUS23"/>
      <c r="EUT23"/>
      <c r="EUU23"/>
      <c r="EUV23"/>
      <c r="EUW23"/>
      <c r="EUX23"/>
      <c r="EUY23"/>
      <c r="EUZ23"/>
      <c r="EVA23"/>
      <c r="EVB23"/>
      <c r="EVC23"/>
      <c r="EVD23"/>
      <c r="EVE23"/>
      <c r="EVF23"/>
      <c r="EVG23"/>
      <c r="EVH23"/>
      <c r="EVI23"/>
      <c r="EVJ23"/>
      <c r="EVK23"/>
      <c r="EVL23"/>
      <c r="EVM23"/>
      <c r="EVN23"/>
      <c r="EVO23"/>
      <c r="EVP23"/>
      <c r="EVQ23"/>
      <c r="EVR23"/>
      <c r="EVS23"/>
      <c r="EVT23"/>
      <c r="EVU23"/>
      <c r="EVV23"/>
      <c r="EVW23"/>
      <c r="EVX23"/>
      <c r="EVY23"/>
      <c r="EVZ23"/>
      <c r="EWA23"/>
      <c r="EWB23"/>
      <c r="EWC23"/>
      <c r="EWD23"/>
      <c r="EWE23"/>
      <c r="EWF23"/>
      <c r="EWG23"/>
      <c r="EWH23"/>
      <c r="EWI23"/>
      <c r="EWJ23"/>
      <c r="EWK23"/>
      <c r="EWL23"/>
      <c r="EWM23"/>
      <c r="EWN23"/>
      <c r="EWO23"/>
      <c r="EWP23"/>
      <c r="EWQ23"/>
      <c r="EWR23"/>
      <c r="EWS23"/>
      <c r="EWT23"/>
      <c r="EWU23"/>
      <c r="EWV23"/>
      <c r="EWW23"/>
      <c r="EWX23"/>
      <c r="EWY23"/>
      <c r="EWZ23"/>
      <c r="EXA23"/>
      <c r="EXB23"/>
      <c r="EXC23"/>
      <c r="EXD23"/>
      <c r="EXE23"/>
      <c r="EXF23"/>
      <c r="EXG23"/>
      <c r="EXH23"/>
      <c r="EXI23"/>
      <c r="EXJ23"/>
      <c r="EXK23"/>
      <c r="EXL23"/>
      <c r="EXM23"/>
      <c r="EXN23"/>
      <c r="EXO23"/>
      <c r="EXP23"/>
      <c r="EXQ23"/>
      <c r="EXR23"/>
      <c r="EXS23"/>
      <c r="EXT23"/>
      <c r="EXU23"/>
      <c r="EXV23"/>
      <c r="EXW23"/>
      <c r="EXX23"/>
      <c r="EXY23"/>
      <c r="EXZ23"/>
      <c r="EYA23"/>
      <c r="EYB23"/>
      <c r="EYC23"/>
      <c r="EYD23"/>
      <c r="EYE23"/>
      <c r="EYF23"/>
      <c r="EYG23"/>
      <c r="EYH23"/>
      <c r="EYI23"/>
      <c r="EYJ23"/>
      <c r="EYK23"/>
      <c r="EYL23"/>
      <c r="EYM23"/>
      <c r="EYN23"/>
      <c r="EYO23"/>
      <c r="EYP23"/>
      <c r="EYQ23"/>
      <c r="EYR23"/>
      <c r="EYS23"/>
      <c r="EYT23"/>
      <c r="EYU23"/>
      <c r="EYV23"/>
      <c r="EYW23"/>
      <c r="EYX23"/>
      <c r="EYY23"/>
      <c r="EYZ23"/>
      <c r="EZA23"/>
      <c r="EZB23"/>
      <c r="EZC23"/>
      <c r="EZD23"/>
      <c r="EZE23"/>
      <c r="EZF23"/>
      <c r="EZG23"/>
      <c r="EZH23"/>
      <c r="EZI23"/>
      <c r="EZJ23"/>
      <c r="EZK23"/>
      <c r="EZL23"/>
      <c r="EZM23"/>
      <c r="EZN23"/>
      <c r="EZO23"/>
      <c r="EZP23"/>
      <c r="EZQ23"/>
      <c r="EZR23"/>
      <c r="EZS23"/>
      <c r="EZT23"/>
      <c r="EZU23"/>
      <c r="EZV23"/>
      <c r="EZW23"/>
      <c r="EZX23"/>
      <c r="EZY23"/>
      <c r="EZZ23"/>
      <c r="FAA23"/>
      <c r="FAB23"/>
      <c r="FAC23"/>
      <c r="FAD23"/>
      <c r="FAE23"/>
      <c r="FAF23"/>
      <c r="FAG23"/>
      <c r="FAH23"/>
      <c r="FAI23"/>
      <c r="FAJ23"/>
      <c r="FAK23"/>
      <c r="FAL23"/>
      <c r="FAM23"/>
      <c r="FAN23"/>
      <c r="FAO23"/>
      <c r="FAP23"/>
      <c r="FAQ23"/>
      <c r="FAR23"/>
      <c r="FAS23"/>
      <c r="FAT23"/>
      <c r="FAU23"/>
      <c r="FAV23"/>
      <c r="FAW23"/>
      <c r="FAX23"/>
      <c r="FAY23"/>
      <c r="FAZ23"/>
      <c r="FBA23"/>
      <c r="FBB23"/>
      <c r="FBC23"/>
      <c r="FBD23"/>
      <c r="FBE23"/>
      <c r="FBF23"/>
      <c r="FBG23"/>
      <c r="FBH23"/>
      <c r="FBI23"/>
      <c r="FBJ23"/>
      <c r="FBK23"/>
      <c r="FBL23"/>
      <c r="FBM23"/>
      <c r="FBN23"/>
      <c r="FBO23"/>
      <c r="FBP23"/>
      <c r="FBQ23"/>
      <c r="FBR23"/>
      <c r="FBS23"/>
      <c r="FBT23"/>
      <c r="FBU23"/>
      <c r="FBV23"/>
      <c r="FBW23"/>
      <c r="FBX23"/>
      <c r="FBY23"/>
      <c r="FBZ23"/>
      <c r="FCA23"/>
      <c r="FCB23"/>
      <c r="FCC23"/>
      <c r="FCD23"/>
      <c r="FCE23"/>
      <c r="FCF23"/>
      <c r="FCG23"/>
      <c r="FCH23"/>
      <c r="FCI23"/>
      <c r="FCJ23"/>
      <c r="FCK23"/>
      <c r="FCL23"/>
      <c r="FCM23"/>
      <c r="FCN23"/>
      <c r="FCO23"/>
      <c r="FCP23"/>
      <c r="FCQ23"/>
      <c r="FCR23"/>
      <c r="FCS23"/>
      <c r="FCT23"/>
      <c r="FCU23"/>
      <c r="FCV23"/>
      <c r="FCW23"/>
      <c r="FCX23"/>
      <c r="FCY23"/>
      <c r="FCZ23"/>
      <c r="FDA23"/>
      <c r="FDB23"/>
      <c r="FDC23"/>
      <c r="FDD23"/>
      <c r="FDE23"/>
      <c r="FDF23"/>
      <c r="FDG23"/>
      <c r="FDH23"/>
      <c r="FDI23"/>
      <c r="FDJ23"/>
      <c r="FDK23"/>
      <c r="FDL23"/>
      <c r="FDM23"/>
      <c r="FDN23"/>
      <c r="FDO23"/>
      <c r="FDP23"/>
      <c r="FDQ23"/>
      <c r="FDR23"/>
      <c r="FDS23"/>
      <c r="FDT23"/>
      <c r="FDU23"/>
      <c r="FDV23"/>
      <c r="FDW23"/>
      <c r="FDX23"/>
      <c r="FDY23"/>
      <c r="FDZ23"/>
      <c r="FEA23"/>
      <c r="FEB23"/>
      <c r="FEC23"/>
      <c r="FED23"/>
      <c r="FEE23"/>
      <c r="FEF23"/>
      <c r="FEG23"/>
      <c r="FEH23"/>
      <c r="FEI23"/>
      <c r="FEJ23"/>
      <c r="FEK23"/>
      <c r="FEL23"/>
      <c r="FEM23"/>
      <c r="FEN23"/>
      <c r="FEO23"/>
      <c r="FEP23"/>
      <c r="FEQ23"/>
      <c r="FER23"/>
      <c r="FES23"/>
      <c r="FET23"/>
      <c r="FEU23"/>
      <c r="FEV23"/>
      <c r="FEW23"/>
      <c r="FEX23"/>
      <c r="FEY23"/>
      <c r="FEZ23"/>
      <c r="FFA23"/>
      <c r="FFB23"/>
      <c r="FFC23"/>
      <c r="FFD23"/>
      <c r="FFE23"/>
      <c r="FFF23"/>
      <c r="FFG23"/>
      <c r="FFH23"/>
      <c r="FFI23"/>
      <c r="FFJ23"/>
      <c r="FFK23"/>
      <c r="FFL23"/>
      <c r="FFM23"/>
      <c r="FFN23"/>
      <c r="FFO23"/>
      <c r="FFP23"/>
      <c r="FFQ23"/>
      <c r="FFR23"/>
      <c r="FFS23"/>
      <c r="FFT23"/>
      <c r="FFU23"/>
      <c r="FFV23"/>
      <c r="FFW23"/>
      <c r="FFX23"/>
      <c r="FFY23"/>
      <c r="FFZ23"/>
      <c r="FGA23"/>
      <c r="FGB23"/>
      <c r="FGC23"/>
      <c r="FGD23"/>
      <c r="FGE23"/>
      <c r="FGF23"/>
      <c r="FGG23"/>
      <c r="FGH23"/>
      <c r="FGI23"/>
      <c r="FGJ23"/>
      <c r="FGK23"/>
      <c r="FGL23"/>
      <c r="FGM23"/>
      <c r="FGN23"/>
      <c r="FGO23"/>
      <c r="FGP23"/>
      <c r="FGQ23"/>
      <c r="FGR23"/>
      <c r="FGS23"/>
      <c r="FGT23"/>
      <c r="FGU23"/>
      <c r="FGV23"/>
      <c r="FGW23"/>
      <c r="FGX23"/>
      <c r="FGY23"/>
      <c r="FGZ23"/>
      <c r="FHA23"/>
      <c r="FHB23"/>
      <c r="FHC23"/>
      <c r="FHD23"/>
      <c r="FHE23"/>
      <c r="FHF23"/>
      <c r="FHG23"/>
      <c r="FHH23"/>
      <c r="FHI23"/>
      <c r="FHJ23"/>
      <c r="FHK23"/>
      <c r="FHL23"/>
      <c r="FHM23"/>
      <c r="FHN23"/>
      <c r="FHO23"/>
      <c r="FHP23"/>
      <c r="FHQ23"/>
      <c r="FHR23"/>
      <c r="FHS23"/>
      <c r="FHT23"/>
      <c r="FHU23"/>
      <c r="FHV23"/>
      <c r="FHW23"/>
      <c r="FHX23"/>
      <c r="FHY23"/>
      <c r="FHZ23"/>
      <c r="FIA23"/>
      <c r="FIB23"/>
      <c r="FIC23"/>
      <c r="FID23"/>
      <c r="FIE23"/>
      <c r="FIF23"/>
      <c r="FIG23"/>
      <c r="FIH23"/>
      <c r="FII23"/>
      <c r="FIJ23"/>
      <c r="FIK23"/>
      <c r="FIL23"/>
      <c r="FIM23"/>
      <c r="FIN23"/>
      <c r="FIO23"/>
      <c r="FIP23"/>
      <c r="FIQ23"/>
      <c r="FIR23"/>
      <c r="FIS23"/>
      <c r="FIT23"/>
      <c r="FIU23"/>
      <c r="FIV23"/>
      <c r="FIW23"/>
      <c r="FIX23"/>
      <c r="FIY23"/>
      <c r="FIZ23"/>
      <c r="FJA23"/>
      <c r="FJB23"/>
      <c r="FJC23"/>
      <c r="FJD23"/>
      <c r="FJE23"/>
      <c r="FJF23"/>
      <c r="FJG23"/>
      <c r="FJH23"/>
      <c r="FJI23"/>
      <c r="FJJ23"/>
      <c r="FJK23"/>
      <c r="FJL23"/>
      <c r="FJM23"/>
      <c r="FJN23"/>
      <c r="FJO23"/>
      <c r="FJP23"/>
      <c r="FJQ23"/>
      <c r="FJR23"/>
      <c r="FJS23"/>
      <c r="FJT23"/>
      <c r="FJU23"/>
      <c r="FJV23"/>
      <c r="FJW23"/>
      <c r="FJX23"/>
      <c r="FJY23"/>
      <c r="FJZ23"/>
      <c r="FKA23"/>
      <c r="FKB23"/>
      <c r="FKC23"/>
      <c r="FKD23"/>
      <c r="FKE23"/>
      <c r="FKF23"/>
      <c r="FKG23"/>
      <c r="FKH23"/>
      <c r="FKI23"/>
      <c r="FKJ23"/>
      <c r="FKK23"/>
      <c r="FKL23"/>
      <c r="FKM23"/>
      <c r="FKN23"/>
      <c r="FKO23"/>
      <c r="FKP23"/>
      <c r="FKQ23"/>
      <c r="FKR23"/>
      <c r="FKS23"/>
      <c r="FKT23"/>
      <c r="FKU23"/>
      <c r="FKV23"/>
      <c r="FKW23"/>
      <c r="FKX23"/>
      <c r="FKY23"/>
      <c r="FKZ23"/>
      <c r="FLA23"/>
      <c r="FLB23"/>
      <c r="FLC23"/>
      <c r="FLD23"/>
      <c r="FLE23"/>
      <c r="FLF23"/>
      <c r="FLG23"/>
      <c r="FLH23"/>
      <c r="FLI23"/>
      <c r="FLJ23"/>
      <c r="FLK23"/>
      <c r="FLL23"/>
      <c r="FLM23"/>
      <c r="FLN23"/>
      <c r="FLO23"/>
      <c r="FLP23"/>
      <c r="FLQ23"/>
      <c r="FLR23"/>
      <c r="FLS23"/>
      <c r="FLT23"/>
      <c r="FLU23"/>
      <c r="FLV23"/>
      <c r="FLW23"/>
      <c r="FLX23"/>
      <c r="FLY23"/>
      <c r="FLZ23"/>
      <c r="FMA23"/>
      <c r="FMB23"/>
      <c r="FMC23"/>
      <c r="FMD23"/>
      <c r="FME23"/>
      <c r="FMF23"/>
      <c r="FMG23"/>
      <c r="FMH23"/>
      <c r="FMI23"/>
      <c r="FMJ23"/>
      <c r="FMK23"/>
      <c r="FML23"/>
      <c r="FMM23"/>
      <c r="FMN23"/>
      <c r="FMO23"/>
      <c r="FMP23"/>
      <c r="FMQ23"/>
      <c r="FMR23"/>
      <c r="FMS23"/>
      <c r="FMT23"/>
      <c r="FMU23"/>
      <c r="FMV23"/>
      <c r="FMW23"/>
      <c r="FMX23"/>
      <c r="FMY23"/>
      <c r="FMZ23"/>
      <c r="FNA23"/>
      <c r="FNB23"/>
      <c r="FNC23"/>
      <c r="FND23"/>
      <c r="FNE23"/>
      <c r="FNF23"/>
      <c r="FNG23"/>
      <c r="FNH23"/>
      <c r="FNI23"/>
      <c r="FNJ23"/>
      <c r="FNK23"/>
      <c r="FNL23"/>
      <c r="FNM23"/>
      <c r="FNN23"/>
      <c r="FNO23"/>
      <c r="FNP23"/>
      <c r="FNQ23"/>
      <c r="FNR23"/>
      <c r="FNS23"/>
      <c r="FNT23"/>
      <c r="FNU23"/>
      <c r="FNV23"/>
      <c r="FNW23"/>
      <c r="FNX23"/>
      <c r="FNY23"/>
      <c r="FNZ23"/>
      <c r="FOA23"/>
      <c r="FOB23"/>
      <c r="FOC23"/>
      <c r="FOD23"/>
      <c r="FOE23"/>
      <c r="FOF23"/>
      <c r="FOG23"/>
      <c r="FOH23"/>
      <c r="FOI23"/>
      <c r="FOJ23"/>
      <c r="FOK23"/>
      <c r="FOL23"/>
      <c r="FOM23"/>
      <c r="FON23"/>
      <c r="FOO23"/>
      <c r="FOP23"/>
      <c r="FOQ23"/>
      <c r="FOR23"/>
      <c r="FOS23"/>
      <c r="FOT23"/>
      <c r="FOU23"/>
      <c r="FOV23"/>
      <c r="FOW23"/>
      <c r="FOX23"/>
      <c r="FOY23"/>
      <c r="FOZ23"/>
      <c r="FPA23"/>
      <c r="FPB23"/>
      <c r="FPC23"/>
      <c r="FPD23"/>
      <c r="FPE23"/>
      <c r="FPF23"/>
      <c r="FPG23"/>
      <c r="FPH23"/>
      <c r="FPI23"/>
      <c r="FPJ23"/>
      <c r="FPK23"/>
      <c r="FPL23"/>
      <c r="FPM23"/>
      <c r="FPN23"/>
      <c r="FPO23"/>
      <c r="FPP23"/>
      <c r="FPQ23"/>
      <c r="FPR23"/>
      <c r="FPS23"/>
      <c r="FPT23"/>
      <c r="FPU23"/>
      <c r="FPV23"/>
      <c r="FPW23"/>
      <c r="FPX23"/>
      <c r="FPY23"/>
      <c r="FPZ23"/>
      <c r="FQA23"/>
      <c r="FQB23"/>
      <c r="FQC23"/>
      <c r="FQD23"/>
      <c r="FQE23"/>
      <c r="FQF23"/>
      <c r="FQG23"/>
      <c r="FQH23"/>
      <c r="FQI23"/>
      <c r="FQJ23"/>
      <c r="FQK23"/>
      <c r="FQL23"/>
      <c r="FQM23"/>
      <c r="FQN23"/>
      <c r="FQO23"/>
      <c r="FQP23"/>
      <c r="FQQ23"/>
      <c r="FQR23"/>
      <c r="FQS23"/>
      <c r="FQT23"/>
      <c r="FQU23"/>
      <c r="FQV23"/>
      <c r="FQW23"/>
      <c r="FQX23"/>
      <c r="FQY23"/>
      <c r="FQZ23"/>
      <c r="FRA23"/>
      <c r="FRB23"/>
      <c r="FRC23"/>
      <c r="FRD23"/>
      <c r="FRE23"/>
      <c r="FRF23"/>
      <c r="FRG23"/>
      <c r="FRH23"/>
      <c r="FRI23"/>
      <c r="FRJ23"/>
      <c r="FRK23"/>
      <c r="FRL23"/>
      <c r="FRM23"/>
      <c r="FRN23"/>
      <c r="FRO23"/>
      <c r="FRP23"/>
      <c r="FRQ23"/>
      <c r="FRR23"/>
      <c r="FRS23"/>
      <c r="FRT23"/>
      <c r="FRU23"/>
      <c r="FRV23"/>
      <c r="FRW23"/>
      <c r="FRX23"/>
      <c r="FRY23"/>
      <c r="FRZ23"/>
      <c r="FSA23"/>
      <c r="FSB23"/>
      <c r="FSC23"/>
      <c r="FSD23"/>
      <c r="FSE23"/>
      <c r="FSF23"/>
      <c r="FSG23"/>
      <c r="FSH23"/>
      <c r="FSI23"/>
      <c r="FSJ23"/>
      <c r="FSK23"/>
      <c r="FSL23"/>
      <c r="FSM23"/>
      <c r="FSN23"/>
      <c r="FSO23"/>
      <c r="FSP23"/>
      <c r="FSQ23"/>
      <c r="FSR23"/>
      <c r="FSS23"/>
      <c r="FST23"/>
      <c r="FSU23"/>
      <c r="FSV23"/>
      <c r="FSW23"/>
      <c r="FSX23"/>
      <c r="FSY23"/>
      <c r="FSZ23"/>
      <c r="FTA23"/>
      <c r="FTB23"/>
      <c r="FTC23"/>
      <c r="FTD23"/>
      <c r="FTE23"/>
      <c r="FTF23"/>
      <c r="FTG23"/>
      <c r="FTH23"/>
      <c r="FTI23"/>
      <c r="FTJ23"/>
      <c r="FTK23"/>
      <c r="FTL23"/>
      <c r="FTM23"/>
      <c r="FTN23"/>
      <c r="FTO23"/>
      <c r="FTP23"/>
      <c r="FTQ23"/>
      <c r="FTR23"/>
      <c r="FTS23"/>
      <c r="FTT23"/>
      <c r="FTU23"/>
      <c r="FTV23"/>
      <c r="FTW23"/>
      <c r="FTX23"/>
      <c r="FTY23"/>
      <c r="FTZ23"/>
      <c r="FUA23"/>
      <c r="FUB23"/>
      <c r="FUC23"/>
      <c r="FUD23"/>
      <c r="FUE23"/>
      <c r="FUF23"/>
      <c r="FUG23"/>
      <c r="FUH23"/>
      <c r="FUI23"/>
      <c r="FUJ23"/>
      <c r="FUK23"/>
      <c r="FUL23"/>
      <c r="FUM23"/>
      <c r="FUN23"/>
      <c r="FUO23"/>
      <c r="FUP23"/>
      <c r="FUQ23"/>
      <c r="FUR23"/>
      <c r="FUS23"/>
      <c r="FUT23"/>
      <c r="FUU23"/>
      <c r="FUV23"/>
      <c r="FUW23"/>
      <c r="FUX23"/>
      <c r="FUY23"/>
      <c r="FUZ23"/>
      <c r="FVA23"/>
      <c r="FVB23"/>
      <c r="FVC23"/>
      <c r="FVD23"/>
      <c r="FVE23"/>
      <c r="FVF23"/>
      <c r="FVG23"/>
      <c r="FVH23"/>
      <c r="FVI23"/>
      <c r="FVJ23"/>
      <c r="FVK23"/>
      <c r="FVL23"/>
      <c r="FVM23"/>
      <c r="FVN23"/>
      <c r="FVO23"/>
      <c r="FVP23"/>
      <c r="FVQ23"/>
      <c r="FVR23"/>
      <c r="FVS23"/>
      <c r="FVT23"/>
      <c r="FVU23"/>
      <c r="FVV23"/>
      <c r="FVW23"/>
      <c r="FVX23"/>
      <c r="FVY23"/>
      <c r="FVZ23"/>
      <c r="FWA23"/>
      <c r="FWB23"/>
      <c r="FWC23"/>
      <c r="FWD23"/>
      <c r="FWE23"/>
      <c r="FWF23"/>
      <c r="FWG23"/>
      <c r="FWH23"/>
      <c r="FWI23"/>
      <c r="FWJ23"/>
      <c r="FWK23"/>
      <c r="FWL23"/>
      <c r="FWM23"/>
      <c r="FWN23"/>
      <c r="FWO23"/>
      <c r="FWP23"/>
      <c r="FWQ23"/>
      <c r="FWR23"/>
      <c r="FWS23"/>
      <c r="FWT23"/>
      <c r="FWU23"/>
      <c r="FWV23"/>
      <c r="FWW23"/>
      <c r="FWX23"/>
      <c r="FWY23"/>
      <c r="FWZ23"/>
      <c r="FXA23"/>
      <c r="FXB23"/>
      <c r="FXC23"/>
      <c r="FXD23"/>
      <c r="FXE23"/>
      <c r="FXF23"/>
      <c r="FXG23"/>
      <c r="FXH23"/>
      <c r="FXI23"/>
      <c r="FXJ23"/>
      <c r="FXK23"/>
      <c r="FXL23"/>
      <c r="FXM23"/>
      <c r="FXN23"/>
      <c r="FXO23"/>
      <c r="FXP23"/>
      <c r="FXQ23"/>
      <c r="FXR23"/>
      <c r="FXS23"/>
      <c r="FXT23"/>
      <c r="FXU23"/>
      <c r="FXV23"/>
      <c r="FXW23"/>
      <c r="FXX23"/>
      <c r="FXY23"/>
      <c r="FXZ23"/>
      <c r="FYA23"/>
      <c r="FYB23"/>
      <c r="FYC23"/>
      <c r="FYD23"/>
      <c r="FYE23"/>
      <c r="FYF23"/>
      <c r="FYG23"/>
      <c r="FYH23"/>
      <c r="FYI23"/>
      <c r="FYJ23"/>
      <c r="FYK23"/>
      <c r="FYL23"/>
      <c r="FYM23"/>
      <c r="FYN23"/>
      <c r="FYO23"/>
      <c r="FYP23"/>
      <c r="FYQ23"/>
      <c r="FYR23"/>
      <c r="FYS23"/>
      <c r="FYT23"/>
      <c r="FYU23"/>
      <c r="FYV23"/>
      <c r="FYW23"/>
      <c r="FYX23"/>
      <c r="FYY23"/>
      <c r="FYZ23"/>
      <c r="FZA23"/>
      <c r="FZB23"/>
      <c r="FZC23"/>
      <c r="FZD23"/>
      <c r="FZE23"/>
      <c r="FZF23"/>
      <c r="FZG23"/>
      <c r="FZH23"/>
      <c r="FZI23"/>
      <c r="FZJ23"/>
      <c r="FZK23"/>
      <c r="FZL23"/>
      <c r="FZM23"/>
      <c r="FZN23"/>
      <c r="FZO23"/>
      <c r="FZP23"/>
      <c r="FZQ23"/>
      <c r="FZR23"/>
      <c r="FZS23"/>
      <c r="FZT23"/>
      <c r="FZU23"/>
      <c r="FZV23"/>
      <c r="FZW23"/>
      <c r="FZX23"/>
      <c r="FZY23"/>
      <c r="FZZ23"/>
      <c r="GAA23"/>
      <c r="GAB23"/>
      <c r="GAC23"/>
      <c r="GAD23"/>
      <c r="GAE23"/>
      <c r="GAF23"/>
      <c r="GAG23"/>
      <c r="GAH23"/>
      <c r="GAI23"/>
      <c r="GAJ23"/>
      <c r="GAK23"/>
      <c r="GAL23"/>
      <c r="GAM23"/>
      <c r="GAN23"/>
      <c r="GAO23"/>
      <c r="GAP23"/>
      <c r="GAQ23"/>
      <c r="GAR23"/>
      <c r="GAS23"/>
      <c r="GAT23"/>
      <c r="GAU23"/>
      <c r="GAV23"/>
      <c r="GAW23"/>
      <c r="GAX23"/>
      <c r="GAY23"/>
      <c r="GAZ23"/>
      <c r="GBA23"/>
      <c r="GBB23"/>
      <c r="GBC23"/>
      <c r="GBD23"/>
      <c r="GBE23"/>
      <c r="GBF23"/>
      <c r="GBG23"/>
      <c r="GBH23"/>
      <c r="GBI23"/>
      <c r="GBJ23"/>
      <c r="GBK23"/>
      <c r="GBL23"/>
      <c r="GBM23"/>
      <c r="GBN23"/>
      <c r="GBO23"/>
      <c r="GBP23"/>
      <c r="GBQ23"/>
      <c r="GBR23"/>
      <c r="GBS23"/>
      <c r="GBT23"/>
      <c r="GBU23"/>
      <c r="GBV23"/>
      <c r="GBW23"/>
      <c r="GBX23"/>
      <c r="GBY23"/>
      <c r="GBZ23"/>
      <c r="GCA23"/>
      <c r="GCB23"/>
      <c r="GCC23"/>
      <c r="GCD23"/>
      <c r="GCE23"/>
      <c r="GCF23"/>
      <c r="GCG23"/>
      <c r="GCH23"/>
      <c r="GCI23"/>
      <c r="GCJ23"/>
      <c r="GCK23"/>
      <c r="GCL23"/>
      <c r="GCM23"/>
      <c r="GCN23"/>
      <c r="GCO23"/>
      <c r="GCP23"/>
      <c r="GCQ23"/>
      <c r="GCR23"/>
      <c r="GCS23"/>
      <c r="GCT23"/>
      <c r="GCU23"/>
      <c r="GCV23"/>
      <c r="GCW23"/>
      <c r="GCX23"/>
      <c r="GCY23"/>
      <c r="GCZ23"/>
      <c r="GDA23"/>
      <c r="GDB23"/>
      <c r="GDC23"/>
      <c r="GDD23"/>
      <c r="GDE23"/>
      <c r="GDF23"/>
      <c r="GDG23"/>
      <c r="GDH23"/>
      <c r="GDI23"/>
      <c r="GDJ23"/>
      <c r="GDK23"/>
      <c r="GDL23"/>
      <c r="GDM23"/>
      <c r="GDN23"/>
      <c r="GDO23"/>
      <c r="GDP23"/>
      <c r="GDQ23"/>
      <c r="GDR23"/>
      <c r="GDS23"/>
      <c r="GDT23"/>
      <c r="GDU23"/>
      <c r="GDV23"/>
      <c r="GDW23"/>
      <c r="GDX23"/>
      <c r="GDY23"/>
      <c r="GDZ23"/>
      <c r="GEA23"/>
      <c r="GEB23"/>
      <c r="GEC23"/>
      <c r="GED23"/>
      <c r="GEE23"/>
      <c r="GEF23"/>
      <c r="GEG23"/>
      <c r="GEH23"/>
      <c r="GEI23"/>
      <c r="GEJ23"/>
      <c r="GEK23"/>
      <c r="GEL23"/>
      <c r="GEM23"/>
      <c r="GEN23"/>
      <c r="GEO23"/>
      <c r="GEP23"/>
      <c r="GEQ23"/>
      <c r="GER23"/>
      <c r="GES23"/>
      <c r="GET23"/>
      <c r="GEU23"/>
      <c r="GEV23"/>
      <c r="GEW23"/>
      <c r="GEX23"/>
      <c r="GEY23"/>
      <c r="GEZ23"/>
      <c r="GFA23"/>
      <c r="GFB23"/>
      <c r="GFC23"/>
      <c r="GFD23"/>
      <c r="GFE23"/>
      <c r="GFF23"/>
      <c r="GFG23"/>
      <c r="GFH23"/>
      <c r="GFI23"/>
      <c r="GFJ23"/>
      <c r="GFK23"/>
      <c r="GFL23"/>
      <c r="GFM23"/>
      <c r="GFN23"/>
      <c r="GFO23"/>
      <c r="GFP23"/>
      <c r="GFQ23"/>
      <c r="GFR23"/>
      <c r="GFS23"/>
      <c r="GFT23"/>
      <c r="GFU23"/>
      <c r="GFV23"/>
      <c r="GFW23"/>
      <c r="GFX23"/>
      <c r="GFY23"/>
      <c r="GFZ23"/>
      <c r="GGA23"/>
      <c r="GGB23"/>
      <c r="GGC23"/>
      <c r="GGD23"/>
      <c r="GGE23"/>
      <c r="GGF23"/>
      <c r="GGG23"/>
      <c r="GGH23"/>
      <c r="GGI23"/>
      <c r="GGJ23"/>
      <c r="GGK23"/>
      <c r="GGL23"/>
      <c r="GGM23"/>
      <c r="GGN23"/>
      <c r="GGO23"/>
      <c r="GGP23"/>
      <c r="GGQ23"/>
      <c r="GGR23"/>
      <c r="GGS23"/>
      <c r="GGT23"/>
      <c r="GGU23"/>
      <c r="GGV23"/>
      <c r="GGW23"/>
      <c r="GGX23"/>
      <c r="GGY23"/>
      <c r="GGZ23"/>
      <c r="GHA23"/>
      <c r="GHB23"/>
      <c r="GHC23"/>
      <c r="GHD23"/>
      <c r="GHE23"/>
      <c r="GHF23"/>
      <c r="GHG23"/>
      <c r="GHH23"/>
      <c r="GHI23"/>
      <c r="GHJ23"/>
      <c r="GHK23"/>
      <c r="GHL23"/>
      <c r="GHM23"/>
      <c r="GHN23"/>
      <c r="GHO23"/>
      <c r="GHP23"/>
      <c r="GHQ23"/>
      <c r="GHR23"/>
      <c r="GHS23"/>
      <c r="GHT23"/>
      <c r="GHU23"/>
      <c r="GHV23"/>
      <c r="GHW23"/>
      <c r="GHX23"/>
      <c r="GHY23"/>
      <c r="GHZ23"/>
      <c r="GIA23"/>
      <c r="GIB23"/>
      <c r="GIC23"/>
      <c r="GID23"/>
      <c r="GIE23"/>
      <c r="GIF23"/>
      <c r="GIG23"/>
      <c r="GIH23"/>
      <c r="GII23"/>
      <c r="GIJ23"/>
      <c r="GIK23"/>
      <c r="GIL23"/>
      <c r="GIM23"/>
      <c r="GIN23"/>
      <c r="GIO23"/>
      <c r="GIP23"/>
      <c r="GIQ23"/>
      <c r="GIR23"/>
      <c r="GIS23"/>
      <c r="GIT23"/>
      <c r="GIU23"/>
      <c r="GIV23"/>
      <c r="GIW23"/>
      <c r="GIX23"/>
      <c r="GIY23"/>
      <c r="GIZ23"/>
      <c r="GJA23"/>
      <c r="GJB23"/>
      <c r="GJC23"/>
      <c r="GJD23"/>
      <c r="GJE23"/>
      <c r="GJF23"/>
      <c r="GJG23"/>
      <c r="GJH23"/>
      <c r="GJI23"/>
      <c r="GJJ23"/>
      <c r="GJK23"/>
      <c r="GJL23"/>
      <c r="GJM23"/>
      <c r="GJN23"/>
      <c r="GJO23"/>
      <c r="GJP23"/>
      <c r="GJQ23"/>
      <c r="GJR23"/>
      <c r="GJS23"/>
      <c r="GJT23"/>
      <c r="GJU23"/>
      <c r="GJV23"/>
      <c r="GJW23"/>
      <c r="GJX23"/>
      <c r="GJY23"/>
      <c r="GJZ23"/>
      <c r="GKA23"/>
      <c r="GKB23"/>
      <c r="GKC23"/>
      <c r="GKD23"/>
      <c r="GKE23"/>
      <c r="GKF23"/>
      <c r="GKG23"/>
      <c r="GKH23"/>
      <c r="GKI23"/>
      <c r="GKJ23"/>
      <c r="GKK23"/>
      <c r="GKL23"/>
      <c r="GKM23"/>
      <c r="GKN23"/>
      <c r="GKO23"/>
      <c r="GKP23"/>
      <c r="GKQ23"/>
      <c r="GKR23"/>
      <c r="GKS23"/>
      <c r="GKT23"/>
      <c r="GKU23"/>
      <c r="GKV23"/>
      <c r="GKW23"/>
      <c r="GKX23"/>
      <c r="GKY23"/>
      <c r="GKZ23"/>
      <c r="GLA23"/>
      <c r="GLB23"/>
      <c r="GLC23"/>
      <c r="GLD23"/>
      <c r="GLE23"/>
      <c r="GLF23"/>
      <c r="GLG23"/>
      <c r="GLH23"/>
      <c r="GLI23"/>
      <c r="GLJ23"/>
      <c r="GLK23"/>
      <c r="GLL23"/>
      <c r="GLM23"/>
      <c r="GLN23"/>
      <c r="GLO23"/>
      <c r="GLP23"/>
      <c r="GLQ23"/>
      <c r="GLR23"/>
      <c r="GLS23"/>
      <c r="GLT23"/>
      <c r="GLU23"/>
      <c r="GLV23"/>
      <c r="GLW23"/>
      <c r="GLX23"/>
      <c r="GLY23"/>
      <c r="GLZ23"/>
      <c r="GMA23"/>
      <c r="GMB23"/>
      <c r="GMC23"/>
      <c r="GMD23"/>
      <c r="GME23"/>
      <c r="GMF23"/>
      <c r="GMG23"/>
      <c r="GMH23"/>
      <c r="GMI23"/>
      <c r="GMJ23"/>
      <c r="GMK23"/>
      <c r="GML23"/>
      <c r="GMM23"/>
      <c r="GMN23"/>
      <c r="GMO23"/>
      <c r="GMP23"/>
      <c r="GMQ23"/>
      <c r="GMR23"/>
      <c r="GMS23"/>
      <c r="GMT23"/>
      <c r="GMU23"/>
      <c r="GMV23"/>
      <c r="GMW23"/>
      <c r="GMX23"/>
      <c r="GMY23"/>
      <c r="GMZ23"/>
      <c r="GNA23"/>
      <c r="GNB23"/>
      <c r="GNC23"/>
      <c r="GND23"/>
      <c r="GNE23"/>
      <c r="GNF23"/>
      <c r="GNG23"/>
      <c r="GNH23"/>
      <c r="GNI23"/>
      <c r="GNJ23"/>
      <c r="GNK23"/>
      <c r="GNL23"/>
      <c r="GNM23"/>
      <c r="GNN23"/>
      <c r="GNO23"/>
      <c r="GNP23"/>
      <c r="GNQ23"/>
      <c r="GNR23"/>
      <c r="GNS23"/>
      <c r="GNT23"/>
      <c r="GNU23"/>
      <c r="GNV23"/>
      <c r="GNW23"/>
      <c r="GNX23"/>
      <c r="GNY23"/>
      <c r="GNZ23"/>
      <c r="GOA23"/>
      <c r="GOB23"/>
      <c r="GOC23"/>
      <c r="GOD23"/>
      <c r="GOE23"/>
      <c r="GOF23"/>
      <c r="GOG23"/>
      <c r="GOH23"/>
      <c r="GOI23"/>
      <c r="GOJ23"/>
      <c r="GOK23"/>
      <c r="GOL23"/>
      <c r="GOM23"/>
      <c r="GON23"/>
      <c r="GOO23"/>
      <c r="GOP23"/>
      <c r="GOQ23"/>
      <c r="GOR23"/>
      <c r="GOS23"/>
      <c r="GOT23"/>
      <c r="GOU23"/>
      <c r="GOV23"/>
      <c r="GOW23"/>
      <c r="GOX23"/>
      <c r="GOY23"/>
      <c r="GOZ23"/>
      <c r="GPA23"/>
      <c r="GPB23"/>
      <c r="GPC23"/>
      <c r="GPD23"/>
      <c r="GPE23"/>
      <c r="GPF23"/>
      <c r="GPG23"/>
      <c r="GPH23"/>
      <c r="GPI23"/>
      <c r="GPJ23"/>
      <c r="GPK23"/>
      <c r="GPL23"/>
      <c r="GPM23"/>
      <c r="GPN23"/>
      <c r="GPO23"/>
      <c r="GPP23"/>
      <c r="GPQ23"/>
      <c r="GPR23"/>
      <c r="GPS23"/>
      <c r="GPT23"/>
      <c r="GPU23"/>
      <c r="GPV23"/>
      <c r="GPW23"/>
      <c r="GPX23"/>
      <c r="GPY23"/>
      <c r="GPZ23"/>
      <c r="GQA23"/>
      <c r="GQB23"/>
      <c r="GQC23"/>
      <c r="GQD23"/>
      <c r="GQE23"/>
      <c r="GQF23"/>
      <c r="GQG23"/>
      <c r="GQH23"/>
      <c r="GQI23"/>
      <c r="GQJ23"/>
      <c r="GQK23"/>
      <c r="GQL23"/>
      <c r="GQM23"/>
      <c r="GQN23"/>
      <c r="GQO23"/>
      <c r="GQP23"/>
      <c r="GQQ23"/>
      <c r="GQR23"/>
      <c r="GQS23"/>
      <c r="GQT23"/>
      <c r="GQU23"/>
      <c r="GQV23"/>
      <c r="GQW23"/>
      <c r="GQX23"/>
      <c r="GQY23"/>
      <c r="GQZ23"/>
      <c r="GRA23"/>
      <c r="GRB23"/>
      <c r="GRC23"/>
      <c r="GRD23"/>
      <c r="GRE23"/>
      <c r="GRF23"/>
      <c r="GRG23"/>
      <c r="GRH23"/>
      <c r="GRI23"/>
      <c r="GRJ23"/>
      <c r="GRK23"/>
      <c r="GRL23"/>
      <c r="GRM23"/>
      <c r="GRN23"/>
      <c r="GRO23"/>
      <c r="GRP23"/>
      <c r="GRQ23"/>
      <c r="GRR23"/>
      <c r="GRS23"/>
      <c r="GRT23"/>
      <c r="GRU23"/>
      <c r="GRV23"/>
      <c r="GRW23"/>
      <c r="GRX23"/>
      <c r="GRY23"/>
      <c r="GRZ23"/>
      <c r="GSA23"/>
      <c r="GSB23"/>
      <c r="GSC23"/>
      <c r="GSD23"/>
      <c r="GSE23"/>
      <c r="GSF23"/>
      <c r="GSG23"/>
      <c r="GSH23"/>
      <c r="GSI23"/>
      <c r="GSJ23"/>
      <c r="GSK23"/>
      <c r="GSL23"/>
      <c r="GSM23"/>
      <c r="GSN23"/>
      <c r="GSO23"/>
      <c r="GSP23"/>
      <c r="GSQ23"/>
      <c r="GSR23"/>
      <c r="GSS23"/>
      <c r="GST23"/>
      <c r="GSU23"/>
      <c r="GSV23"/>
      <c r="GSW23"/>
      <c r="GSX23"/>
      <c r="GSY23"/>
      <c r="GSZ23"/>
      <c r="GTA23"/>
      <c r="GTB23"/>
      <c r="GTC23"/>
      <c r="GTD23"/>
      <c r="GTE23"/>
      <c r="GTF23"/>
      <c r="GTG23"/>
      <c r="GTH23"/>
      <c r="GTI23"/>
      <c r="GTJ23"/>
      <c r="GTK23"/>
      <c r="GTL23"/>
      <c r="GTM23"/>
      <c r="GTN23"/>
      <c r="GTO23"/>
      <c r="GTP23"/>
      <c r="GTQ23"/>
      <c r="GTR23"/>
      <c r="GTS23"/>
      <c r="GTT23"/>
      <c r="GTU23"/>
      <c r="GTV23"/>
      <c r="GTW23"/>
      <c r="GTX23"/>
      <c r="GTY23"/>
      <c r="GTZ23"/>
      <c r="GUA23"/>
      <c r="GUB23"/>
      <c r="GUC23"/>
      <c r="GUD23"/>
      <c r="GUE23"/>
      <c r="GUF23"/>
      <c r="GUG23"/>
      <c r="GUH23"/>
      <c r="GUI23"/>
      <c r="GUJ23"/>
      <c r="GUK23"/>
      <c r="GUL23"/>
      <c r="GUM23"/>
      <c r="GUN23"/>
      <c r="GUO23"/>
      <c r="GUP23"/>
      <c r="GUQ23"/>
      <c r="GUR23"/>
      <c r="GUS23"/>
      <c r="GUT23"/>
      <c r="GUU23"/>
      <c r="GUV23"/>
      <c r="GUW23"/>
      <c r="GUX23"/>
      <c r="GUY23"/>
      <c r="GUZ23"/>
      <c r="GVA23"/>
      <c r="GVB23"/>
      <c r="GVC23"/>
      <c r="GVD23"/>
      <c r="GVE23"/>
      <c r="GVF23"/>
      <c r="GVG23"/>
      <c r="GVH23"/>
      <c r="GVI23"/>
      <c r="GVJ23"/>
      <c r="GVK23"/>
      <c r="GVL23"/>
      <c r="GVM23"/>
      <c r="GVN23"/>
      <c r="GVO23"/>
      <c r="GVP23"/>
      <c r="GVQ23"/>
      <c r="GVR23"/>
      <c r="GVS23"/>
      <c r="GVT23"/>
      <c r="GVU23"/>
      <c r="GVV23"/>
      <c r="GVW23"/>
      <c r="GVX23"/>
      <c r="GVY23"/>
      <c r="GVZ23"/>
      <c r="GWA23"/>
      <c r="GWB23"/>
      <c r="GWC23"/>
      <c r="GWD23"/>
      <c r="GWE23"/>
      <c r="GWF23"/>
      <c r="GWG23"/>
      <c r="GWH23"/>
      <c r="GWI23"/>
      <c r="GWJ23"/>
      <c r="GWK23"/>
      <c r="GWL23"/>
      <c r="GWM23"/>
      <c r="GWN23"/>
      <c r="GWO23"/>
      <c r="GWP23"/>
      <c r="GWQ23"/>
      <c r="GWR23"/>
      <c r="GWS23"/>
      <c r="GWT23"/>
      <c r="GWU23"/>
      <c r="GWV23"/>
      <c r="GWW23"/>
      <c r="GWX23"/>
      <c r="GWY23"/>
      <c r="GWZ23"/>
      <c r="GXA23"/>
      <c r="GXB23"/>
      <c r="GXC23"/>
      <c r="GXD23"/>
      <c r="GXE23"/>
      <c r="GXF23"/>
      <c r="GXG23"/>
      <c r="GXH23"/>
      <c r="GXI23"/>
      <c r="GXJ23"/>
      <c r="GXK23"/>
      <c r="GXL23"/>
      <c r="GXM23"/>
      <c r="GXN23"/>
      <c r="GXO23"/>
      <c r="GXP23"/>
      <c r="GXQ23"/>
      <c r="GXR23"/>
      <c r="GXS23"/>
      <c r="GXT23"/>
      <c r="GXU23"/>
      <c r="GXV23"/>
      <c r="GXW23"/>
      <c r="GXX23"/>
      <c r="GXY23"/>
      <c r="GXZ23"/>
      <c r="GYA23"/>
      <c r="GYB23"/>
      <c r="GYC23"/>
      <c r="GYD23"/>
      <c r="GYE23"/>
      <c r="GYF23"/>
      <c r="GYG23"/>
      <c r="GYH23"/>
      <c r="GYI23"/>
      <c r="GYJ23"/>
      <c r="GYK23"/>
      <c r="GYL23"/>
      <c r="GYM23"/>
      <c r="GYN23"/>
      <c r="GYO23"/>
      <c r="GYP23"/>
      <c r="GYQ23"/>
      <c r="GYR23"/>
      <c r="GYS23"/>
      <c r="GYT23"/>
      <c r="GYU23"/>
      <c r="GYV23"/>
      <c r="GYW23"/>
      <c r="GYX23"/>
      <c r="GYY23"/>
      <c r="GYZ23"/>
      <c r="GZA23"/>
      <c r="GZB23"/>
      <c r="GZC23"/>
      <c r="GZD23"/>
      <c r="GZE23"/>
      <c r="GZF23"/>
      <c r="GZG23"/>
      <c r="GZH23"/>
      <c r="GZI23"/>
      <c r="GZJ23"/>
      <c r="GZK23"/>
      <c r="GZL23"/>
      <c r="GZM23"/>
      <c r="GZN23"/>
      <c r="GZO23"/>
      <c r="GZP23"/>
      <c r="GZQ23"/>
      <c r="GZR23"/>
      <c r="GZS23"/>
      <c r="GZT23"/>
      <c r="GZU23"/>
      <c r="GZV23"/>
      <c r="GZW23"/>
      <c r="GZX23"/>
      <c r="GZY23"/>
      <c r="GZZ23"/>
      <c r="HAA23"/>
      <c r="HAB23"/>
      <c r="HAC23"/>
      <c r="HAD23"/>
      <c r="HAE23"/>
      <c r="HAF23"/>
      <c r="HAG23"/>
      <c r="HAH23"/>
      <c r="HAI23"/>
      <c r="HAJ23"/>
      <c r="HAK23"/>
      <c r="HAL23"/>
      <c r="HAM23"/>
      <c r="HAN23"/>
      <c r="HAO23"/>
      <c r="HAP23"/>
      <c r="HAQ23"/>
      <c r="HAR23"/>
      <c r="HAS23"/>
      <c r="HAT23"/>
      <c r="HAU23"/>
      <c r="HAV23"/>
      <c r="HAW23"/>
      <c r="HAX23"/>
      <c r="HAY23"/>
      <c r="HAZ23"/>
      <c r="HBA23"/>
      <c r="HBB23"/>
      <c r="HBC23"/>
      <c r="HBD23"/>
      <c r="HBE23"/>
      <c r="HBF23"/>
      <c r="HBG23"/>
      <c r="HBH23"/>
      <c r="HBI23"/>
      <c r="HBJ23"/>
      <c r="HBK23"/>
      <c r="HBL23"/>
      <c r="HBM23"/>
      <c r="HBN23"/>
      <c r="HBO23"/>
      <c r="HBP23"/>
      <c r="HBQ23"/>
      <c r="HBR23"/>
      <c r="HBS23"/>
      <c r="HBT23"/>
      <c r="HBU23"/>
      <c r="HBV23"/>
      <c r="HBW23"/>
      <c r="HBX23"/>
      <c r="HBY23"/>
      <c r="HBZ23"/>
      <c r="HCA23"/>
      <c r="HCB23"/>
      <c r="HCC23"/>
      <c r="HCD23"/>
      <c r="HCE23"/>
      <c r="HCF23"/>
      <c r="HCG23"/>
      <c r="HCH23"/>
      <c r="HCI23"/>
      <c r="HCJ23"/>
      <c r="HCK23"/>
      <c r="HCL23"/>
      <c r="HCM23"/>
      <c r="HCN23"/>
      <c r="HCO23"/>
      <c r="HCP23"/>
      <c r="HCQ23"/>
      <c r="HCR23"/>
      <c r="HCS23"/>
      <c r="HCT23"/>
      <c r="HCU23"/>
      <c r="HCV23"/>
      <c r="HCW23"/>
      <c r="HCX23"/>
      <c r="HCY23"/>
      <c r="HCZ23"/>
      <c r="HDA23"/>
      <c r="HDB23"/>
      <c r="HDC23"/>
      <c r="HDD23"/>
      <c r="HDE23"/>
      <c r="HDF23"/>
      <c r="HDG23"/>
      <c r="HDH23"/>
      <c r="HDI23"/>
      <c r="HDJ23"/>
      <c r="HDK23"/>
      <c r="HDL23"/>
      <c r="HDM23"/>
      <c r="HDN23"/>
      <c r="HDO23"/>
      <c r="HDP23"/>
      <c r="HDQ23"/>
      <c r="HDR23"/>
      <c r="HDS23"/>
      <c r="HDT23"/>
      <c r="HDU23"/>
      <c r="HDV23"/>
      <c r="HDW23"/>
      <c r="HDX23"/>
      <c r="HDY23"/>
      <c r="HDZ23"/>
      <c r="HEA23"/>
      <c r="HEB23"/>
      <c r="HEC23"/>
      <c r="HED23"/>
      <c r="HEE23"/>
      <c r="HEF23"/>
      <c r="HEG23"/>
      <c r="HEH23"/>
      <c r="HEI23"/>
      <c r="HEJ23"/>
      <c r="HEK23"/>
      <c r="HEL23"/>
      <c r="HEM23"/>
      <c r="HEN23"/>
      <c r="HEO23"/>
      <c r="HEP23"/>
      <c r="HEQ23"/>
      <c r="HER23"/>
      <c r="HES23"/>
      <c r="HET23"/>
      <c r="HEU23"/>
      <c r="HEV23"/>
      <c r="HEW23"/>
      <c r="HEX23"/>
      <c r="HEY23"/>
      <c r="HEZ23"/>
      <c r="HFA23"/>
      <c r="HFB23"/>
      <c r="HFC23"/>
      <c r="HFD23"/>
      <c r="HFE23"/>
      <c r="HFF23"/>
      <c r="HFG23"/>
      <c r="HFH23"/>
      <c r="HFI23"/>
      <c r="HFJ23"/>
      <c r="HFK23"/>
      <c r="HFL23"/>
      <c r="HFM23"/>
      <c r="HFN23"/>
      <c r="HFO23"/>
      <c r="HFP23"/>
      <c r="HFQ23"/>
      <c r="HFR23"/>
      <c r="HFS23"/>
      <c r="HFT23"/>
      <c r="HFU23"/>
      <c r="HFV23"/>
      <c r="HFW23"/>
      <c r="HFX23"/>
      <c r="HFY23"/>
      <c r="HFZ23"/>
      <c r="HGA23"/>
      <c r="HGB23"/>
      <c r="HGC23"/>
      <c r="HGD23"/>
      <c r="HGE23"/>
      <c r="HGF23"/>
      <c r="HGG23"/>
      <c r="HGH23"/>
      <c r="HGI23"/>
      <c r="HGJ23"/>
      <c r="HGK23"/>
      <c r="HGL23"/>
      <c r="HGM23"/>
      <c r="HGN23"/>
      <c r="HGO23"/>
      <c r="HGP23"/>
      <c r="HGQ23"/>
      <c r="HGR23"/>
      <c r="HGS23"/>
      <c r="HGT23"/>
      <c r="HGU23"/>
      <c r="HGV23"/>
      <c r="HGW23"/>
      <c r="HGX23"/>
      <c r="HGY23"/>
      <c r="HGZ23"/>
      <c r="HHA23"/>
      <c r="HHB23"/>
      <c r="HHC23"/>
      <c r="HHD23"/>
      <c r="HHE23"/>
      <c r="HHF23"/>
      <c r="HHG23"/>
      <c r="HHH23"/>
      <c r="HHI23"/>
      <c r="HHJ23"/>
      <c r="HHK23"/>
      <c r="HHL23"/>
      <c r="HHM23"/>
      <c r="HHN23"/>
      <c r="HHO23"/>
      <c r="HHP23"/>
      <c r="HHQ23"/>
      <c r="HHR23"/>
      <c r="HHS23"/>
      <c r="HHT23"/>
      <c r="HHU23"/>
      <c r="HHV23"/>
      <c r="HHW23"/>
      <c r="HHX23"/>
      <c r="HHY23"/>
      <c r="HHZ23"/>
      <c r="HIA23"/>
      <c r="HIB23"/>
      <c r="HIC23"/>
      <c r="HID23"/>
      <c r="HIE23"/>
      <c r="HIF23"/>
      <c r="HIG23"/>
      <c r="HIH23"/>
      <c r="HII23"/>
      <c r="HIJ23"/>
      <c r="HIK23"/>
      <c r="HIL23"/>
      <c r="HIM23"/>
      <c r="HIN23"/>
      <c r="HIO23"/>
      <c r="HIP23"/>
      <c r="HIQ23"/>
      <c r="HIR23"/>
      <c r="HIS23"/>
      <c r="HIT23"/>
      <c r="HIU23"/>
      <c r="HIV23"/>
      <c r="HIW23"/>
      <c r="HIX23"/>
      <c r="HIY23"/>
      <c r="HIZ23"/>
      <c r="HJA23"/>
      <c r="HJB23"/>
      <c r="HJC23"/>
      <c r="HJD23"/>
      <c r="HJE23"/>
      <c r="HJF23"/>
      <c r="HJG23"/>
      <c r="HJH23"/>
      <c r="HJI23"/>
      <c r="HJJ23"/>
      <c r="HJK23"/>
      <c r="HJL23"/>
      <c r="HJM23"/>
      <c r="HJN23"/>
      <c r="HJO23"/>
      <c r="HJP23"/>
      <c r="HJQ23"/>
      <c r="HJR23"/>
      <c r="HJS23"/>
      <c r="HJT23"/>
      <c r="HJU23"/>
      <c r="HJV23"/>
      <c r="HJW23"/>
      <c r="HJX23"/>
      <c r="HJY23"/>
      <c r="HJZ23"/>
      <c r="HKA23"/>
      <c r="HKB23"/>
      <c r="HKC23"/>
      <c r="HKD23"/>
      <c r="HKE23"/>
      <c r="HKF23"/>
      <c r="HKG23"/>
      <c r="HKH23"/>
      <c r="HKI23"/>
      <c r="HKJ23"/>
      <c r="HKK23"/>
      <c r="HKL23"/>
      <c r="HKM23"/>
      <c r="HKN23"/>
      <c r="HKO23"/>
      <c r="HKP23"/>
      <c r="HKQ23"/>
      <c r="HKR23"/>
      <c r="HKS23"/>
      <c r="HKT23"/>
      <c r="HKU23"/>
      <c r="HKV23"/>
      <c r="HKW23"/>
      <c r="HKX23"/>
      <c r="HKY23"/>
      <c r="HKZ23"/>
      <c r="HLA23"/>
      <c r="HLB23"/>
      <c r="HLC23"/>
      <c r="HLD23"/>
      <c r="HLE23"/>
      <c r="HLF23"/>
      <c r="HLG23"/>
      <c r="HLH23"/>
      <c r="HLI23"/>
      <c r="HLJ23"/>
      <c r="HLK23"/>
      <c r="HLL23"/>
      <c r="HLM23"/>
      <c r="HLN23"/>
      <c r="HLO23"/>
      <c r="HLP23"/>
      <c r="HLQ23"/>
      <c r="HLR23"/>
      <c r="HLS23"/>
      <c r="HLT23"/>
      <c r="HLU23"/>
      <c r="HLV23"/>
      <c r="HLW23"/>
      <c r="HLX23"/>
      <c r="HLY23"/>
      <c r="HLZ23"/>
      <c r="HMA23"/>
      <c r="HMB23"/>
      <c r="HMC23"/>
      <c r="HMD23"/>
      <c r="HME23"/>
      <c r="HMF23"/>
      <c r="HMG23"/>
      <c r="HMH23"/>
      <c r="HMI23"/>
      <c r="HMJ23"/>
      <c r="HMK23"/>
      <c r="HML23"/>
      <c r="HMM23"/>
      <c r="HMN23"/>
      <c r="HMO23"/>
      <c r="HMP23"/>
      <c r="HMQ23"/>
      <c r="HMR23"/>
      <c r="HMS23"/>
      <c r="HMT23"/>
      <c r="HMU23"/>
      <c r="HMV23"/>
      <c r="HMW23"/>
      <c r="HMX23"/>
      <c r="HMY23"/>
      <c r="HMZ23"/>
      <c r="HNA23"/>
      <c r="HNB23"/>
      <c r="HNC23"/>
      <c r="HND23"/>
      <c r="HNE23"/>
      <c r="HNF23"/>
      <c r="HNG23"/>
      <c r="HNH23"/>
      <c r="HNI23"/>
      <c r="HNJ23"/>
      <c r="HNK23"/>
      <c r="HNL23"/>
      <c r="HNM23"/>
      <c r="HNN23"/>
      <c r="HNO23"/>
      <c r="HNP23"/>
      <c r="HNQ23"/>
      <c r="HNR23"/>
      <c r="HNS23"/>
      <c r="HNT23"/>
      <c r="HNU23"/>
      <c r="HNV23"/>
      <c r="HNW23"/>
      <c r="HNX23"/>
      <c r="HNY23"/>
      <c r="HNZ23"/>
      <c r="HOA23"/>
      <c r="HOB23"/>
      <c r="HOC23"/>
      <c r="HOD23"/>
      <c r="HOE23"/>
      <c r="HOF23"/>
      <c r="HOG23"/>
      <c r="HOH23"/>
      <c r="HOI23"/>
      <c r="HOJ23"/>
      <c r="HOK23"/>
      <c r="HOL23"/>
      <c r="HOM23"/>
      <c r="HON23"/>
      <c r="HOO23"/>
      <c r="HOP23"/>
      <c r="HOQ23"/>
      <c r="HOR23"/>
      <c r="HOS23"/>
      <c r="HOT23"/>
      <c r="HOU23"/>
      <c r="HOV23"/>
      <c r="HOW23"/>
      <c r="HOX23"/>
      <c r="HOY23"/>
      <c r="HOZ23"/>
      <c r="HPA23"/>
      <c r="HPB23"/>
      <c r="HPC23"/>
      <c r="HPD23"/>
      <c r="HPE23"/>
      <c r="HPF23"/>
      <c r="HPG23"/>
      <c r="HPH23"/>
      <c r="HPI23"/>
      <c r="HPJ23"/>
      <c r="HPK23"/>
      <c r="HPL23"/>
      <c r="HPM23"/>
      <c r="HPN23"/>
      <c r="HPO23"/>
      <c r="HPP23"/>
      <c r="HPQ23"/>
      <c r="HPR23"/>
      <c r="HPS23"/>
      <c r="HPT23"/>
      <c r="HPU23"/>
      <c r="HPV23"/>
      <c r="HPW23"/>
      <c r="HPX23"/>
      <c r="HPY23"/>
      <c r="HPZ23"/>
      <c r="HQA23"/>
      <c r="HQB23"/>
      <c r="HQC23"/>
      <c r="HQD23"/>
      <c r="HQE23"/>
      <c r="HQF23"/>
      <c r="HQG23"/>
      <c r="HQH23"/>
      <c r="HQI23"/>
      <c r="HQJ23"/>
      <c r="HQK23"/>
      <c r="HQL23"/>
      <c r="HQM23"/>
      <c r="HQN23"/>
      <c r="HQO23"/>
      <c r="HQP23"/>
      <c r="HQQ23"/>
      <c r="HQR23"/>
      <c r="HQS23"/>
      <c r="HQT23"/>
      <c r="HQU23"/>
      <c r="HQV23"/>
      <c r="HQW23"/>
      <c r="HQX23"/>
      <c r="HQY23"/>
      <c r="HQZ23"/>
      <c r="HRA23"/>
      <c r="HRB23"/>
      <c r="HRC23"/>
      <c r="HRD23"/>
      <c r="HRE23"/>
      <c r="HRF23"/>
      <c r="HRG23"/>
      <c r="HRH23"/>
      <c r="HRI23"/>
      <c r="HRJ23"/>
      <c r="HRK23"/>
      <c r="HRL23"/>
      <c r="HRM23"/>
      <c r="HRN23"/>
      <c r="HRO23"/>
      <c r="HRP23"/>
      <c r="HRQ23"/>
      <c r="HRR23"/>
      <c r="HRS23"/>
      <c r="HRT23"/>
      <c r="HRU23"/>
      <c r="HRV23"/>
      <c r="HRW23"/>
      <c r="HRX23"/>
      <c r="HRY23"/>
      <c r="HRZ23"/>
      <c r="HSA23"/>
      <c r="HSB23"/>
      <c r="HSC23"/>
      <c r="HSD23"/>
      <c r="HSE23"/>
      <c r="HSF23"/>
      <c r="HSG23"/>
      <c r="HSH23"/>
      <c r="HSI23"/>
      <c r="HSJ23"/>
      <c r="HSK23"/>
      <c r="HSL23"/>
      <c r="HSM23"/>
      <c r="HSN23"/>
      <c r="HSO23"/>
      <c r="HSP23"/>
      <c r="HSQ23"/>
      <c r="HSR23"/>
      <c r="HSS23"/>
      <c r="HST23"/>
      <c r="HSU23"/>
      <c r="HSV23"/>
      <c r="HSW23"/>
      <c r="HSX23"/>
      <c r="HSY23"/>
      <c r="HSZ23"/>
      <c r="HTA23"/>
      <c r="HTB23"/>
      <c r="HTC23"/>
      <c r="HTD23"/>
      <c r="HTE23"/>
      <c r="HTF23"/>
      <c r="HTG23"/>
      <c r="HTH23"/>
      <c r="HTI23"/>
      <c r="HTJ23"/>
      <c r="HTK23"/>
      <c r="HTL23"/>
      <c r="HTM23"/>
      <c r="HTN23"/>
      <c r="HTO23"/>
      <c r="HTP23"/>
      <c r="HTQ23"/>
      <c r="HTR23"/>
      <c r="HTS23"/>
      <c r="HTT23"/>
      <c r="HTU23"/>
      <c r="HTV23"/>
      <c r="HTW23"/>
      <c r="HTX23"/>
      <c r="HTY23"/>
      <c r="HTZ23"/>
      <c r="HUA23"/>
      <c r="HUB23"/>
      <c r="HUC23"/>
      <c r="HUD23"/>
      <c r="HUE23"/>
      <c r="HUF23"/>
      <c r="HUG23"/>
      <c r="HUH23"/>
      <c r="HUI23"/>
      <c r="HUJ23"/>
      <c r="HUK23"/>
      <c r="HUL23"/>
      <c r="HUM23"/>
      <c r="HUN23"/>
      <c r="HUO23"/>
      <c r="HUP23"/>
      <c r="HUQ23"/>
      <c r="HUR23"/>
      <c r="HUS23"/>
      <c r="HUT23"/>
      <c r="HUU23"/>
      <c r="HUV23"/>
      <c r="HUW23"/>
      <c r="HUX23"/>
      <c r="HUY23"/>
      <c r="HUZ23"/>
      <c r="HVA23"/>
      <c r="HVB23"/>
      <c r="HVC23"/>
      <c r="HVD23"/>
      <c r="HVE23"/>
      <c r="HVF23"/>
      <c r="HVG23"/>
      <c r="HVH23"/>
      <c r="HVI23"/>
      <c r="HVJ23"/>
      <c r="HVK23"/>
      <c r="HVL23"/>
      <c r="HVM23"/>
      <c r="HVN23"/>
      <c r="HVO23"/>
      <c r="HVP23"/>
      <c r="HVQ23"/>
      <c r="HVR23"/>
      <c r="HVS23"/>
      <c r="HVT23"/>
      <c r="HVU23"/>
      <c r="HVV23"/>
      <c r="HVW23"/>
      <c r="HVX23"/>
      <c r="HVY23"/>
      <c r="HVZ23"/>
      <c r="HWA23"/>
      <c r="HWB23"/>
      <c r="HWC23"/>
      <c r="HWD23"/>
      <c r="HWE23"/>
      <c r="HWF23"/>
      <c r="HWG23"/>
      <c r="HWH23"/>
      <c r="HWI23"/>
      <c r="HWJ23"/>
      <c r="HWK23"/>
      <c r="HWL23"/>
      <c r="HWM23"/>
      <c r="HWN23"/>
      <c r="HWO23"/>
      <c r="HWP23"/>
      <c r="HWQ23"/>
      <c r="HWR23"/>
      <c r="HWS23"/>
      <c r="HWT23"/>
      <c r="HWU23"/>
      <c r="HWV23"/>
      <c r="HWW23"/>
      <c r="HWX23"/>
      <c r="HWY23"/>
      <c r="HWZ23"/>
      <c r="HXA23"/>
      <c r="HXB23"/>
      <c r="HXC23"/>
      <c r="HXD23"/>
      <c r="HXE23"/>
      <c r="HXF23"/>
      <c r="HXG23"/>
      <c r="HXH23"/>
      <c r="HXI23"/>
      <c r="HXJ23"/>
      <c r="HXK23"/>
      <c r="HXL23"/>
      <c r="HXM23"/>
      <c r="HXN23"/>
      <c r="HXO23"/>
      <c r="HXP23"/>
      <c r="HXQ23"/>
      <c r="HXR23"/>
      <c r="HXS23"/>
      <c r="HXT23"/>
      <c r="HXU23"/>
      <c r="HXV23"/>
      <c r="HXW23"/>
      <c r="HXX23"/>
      <c r="HXY23"/>
      <c r="HXZ23"/>
      <c r="HYA23"/>
      <c r="HYB23"/>
      <c r="HYC23"/>
      <c r="HYD23"/>
      <c r="HYE23"/>
      <c r="HYF23"/>
      <c r="HYG23"/>
      <c r="HYH23"/>
      <c r="HYI23"/>
      <c r="HYJ23"/>
      <c r="HYK23"/>
      <c r="HYL23"/>
      <c r="HYM23"/>
      <c r="HYN23"/>
      <c r="HYO23"/>
      <c r="HYP23"/>
      <c r="HYQ23"/>
      <c r="HYR23"/>
      <c r="HYS23"/>
      <c r="HYT23"/>
      <c r="HYU23"/>
      <c r="HYV23"/>
      <c r="HYW23"/>
      <c r="HYX23"/>
      <c r="HYY23"/>
      <c r="HYZ23"/>
      <c r="HZA23"/>
      <c r="HZB23"/>
      <c r="HZC23"/>
      <c r="HZD23"/>
      <c r="HZE23"/>
      <c r="HZF23"/>
      <c r="HZG23"/>
      <c r="HZH23"/>
      <c r="HZI23"/>
      <c r="HZJ23"/>
      <c r="HZK23"/>
      <c r="HZL23"/>
      <c r="HZM23"/>
      <c r="HZN23"/>
      <c r="HZO23"/>
      <c r="HZP23"/>
      <c r="HZQ23"/>
      <c r="HZR23"/>
      <c r="HZS23"/>
      <c r="HZT23"/>
      <c r="HZU23"/>
      <c r="HZV23"/>
      <c r="HZW23"/>
      <c r="HZX23"/>
      <c r="HZY23"/>
      <c r="HZZ23"/>
      <c r="IAA23"/>
      <c r="IAB23"/>
      <c r="IAC23"/>
      <c r="IAD23"/>
      <c r="IAE23"/>
      <c r="IAF23"/>
      <c r="IAG23"/>
      <c r="IAH23"/>
      <c r="IAI23"/>
      <c r="IAJ23"/>
      <c r="IAK23"/>
      <c r="IAL23"/>
      <c r="IAM23"/>
      <c r="IAN23"/>
      <c r="IAO23"/>
      <c r="IAP23"/>
      <c r="IAQ23"/>
      <c r="IAR23"/>
      <c r="IAS23"/>
      <c r="IAT23"/>
      <c r="IAU23"/>
      <c r="IAV23"/>
      <c r="IAW23"/>
      <c r="IAX23"/>
      <c r="IAY23"/>
      <c r="IAZ23"/>
      <c r="IBA23"/>
      <c r="IBB23"/>
      <c r="IBC23"/>
      <c r="IBD23"/>
      <c r="IBE23"/>
      <c r="IBF23"/>
      <c r="IBG23"/>
      <c r="IBH23"/>
      <c r="IBI23"/>
      <c r="IBJ23"/>
      <c r="IBK23"/>
      <c r="IBL23"/>
      <c r="IBM23"/>
      <c r="IBN23"/>
      <c r="IBO23"/>
      <c r="IBP23"/>
      <c r="IBQ23"/>
      <c r="IBR23"/>
      <c r="IBS23"/>
      <c r="IBT23"/>
      <c r="IBU23"/>
      <c r="IBV23"/>
      <c r="IBW23"/>
      <c r="IBX23"/>
      <c r="IBY23"/>
      <c r="IBZ23"/>
      <c r="ICA23"/>
      <c r="ICB23"/>
      <c r="ICC23"/>
      <c r="ICD23"/>
      <c r="ICE23"/>
      <c r="ICF23"/>
      <c r="ICG23"/>
      <c r="ICH23"/>
      <c r="ICI23"/>
      <c r="ICJ23"/>
      <c r="ICK23"/>
      <c r="ICL23"/>
      <c r="ICM23"/>
      <c r="ICN23"/>
      <c r="ICO23"/>
      <c r="ICP23"/>
      <c r="ICQ23"/>
      <c r="ICR23"/>
      <c r="ICS23"/>
      <c r="ICT23"/>
      <c r="ICU23"/>
      <c r="ICV23"/>
      <c r="ICW23"/>
      <c r="ICX23"/>
      <c r="ICY23"/>
      <c r="ICZ23"/>
      <c r="IDA23"/>
      <c r="IDB23"/>
      <c r="IDC23"/>
      <c r="IDD23"/>
      <c r="IDE23"/>
      <c r="IDF23"/>
      <c r="IDG23"/>
      <c r="IDH23"/>
      <c r="IDI23"/>
      <c r="IDJ23"/>
      <c r="IDK23"/>
      <c r="IDL23"/>
      <c r="IDM23"/>
      <c r="IDN23"/>
      <c r="IDO23"/>
      <c r="IDP23"/>
      <c r="IDQ23"/>
      <c r="IDR23"/>
      <c r="IDS23"/>
      <c r="IDT23"/>
      <c r="IDU23"/>
      <c r="IDV23"/>
      <c r="IDW23"/>
      <c r="IDX23"/>
      <c r="IDY23"/>
      <c r="IDZ23"/>
      <c r="IEA23"/>
      <c r="IEB23"/>
      <c r="IEC23"/>
      <c r="IED23"/>
      <c r="IEE23"/>
      <c r="IEF23"/>
      <c r="IEG23"/>
      <c r="IEH23"/>
      <c r="IEI23"/>
      <c r="IEJ23"/>
      <c r="IEK23"/>
      <c r="IEL23"/>
      <c r="IEM23"/>
      <c r="IEN23"/>
      <c r="IEO23"/>
      <c r="IEP23"/>
      <c r="IEQ23"/>
      <c r="IER23"/>
      <c r="IES23"/>
      <c r="IET23"/>
      <c r="IEU23"/>
      <c r="IEV23"/>
      <c r="IEW23"/>
      <c r="IEX23"/>
      <c r="IEY23"/>
      <c r="IEZ23"/>
      <c r="IFA23"/>
      <c r="IFB23"/>
      <c r="IFC23"/>
      <c r="IFD23"/>
      <c r="IFE23"/>
      <c r="IFF23"/>
      <c r="IFG23"/>
      <c r="IFH23"/>
      <c r="IFI23"/>
      <c r="IFJ23"/>
      <c r="IFK23"/>
      <c r="IFL23"/>
      <c r="IFM23"/>
      <c r="IFN23"/>
      <c r="IFO23"/>
      <c r="IFP23"/>
      <c r="IFQ23"/>
      <c r="IFR23"/>
      <c r="IFS23"/>
      <c r="IFT23"/>
      <c r="IFU23"/>
      <c r="IFV23"/>
      <c r="IFW23"/>
      <c r="IFX23"/>
      <c r="IFY23"/>
      <c r="IFZ23"/>
      <c r="IGA23"/>
      <c r="IGB23"/>
      <c r="IGC23"/>
      <c r="IGD23"/>
      <c r="IGE23"/>
      <c r="IGF23"/>
      <c r="IGG23"/>
      <c r="IGH23"/>
      <c r="IGI23"/>
      <c r="IGJ23"/>
      <c r="IGK23"/>
      <c r="IGL23"/>
      <c r="IGM23"/>
      <c r="IGN23"/>
      <c r="IGO23"/>
      <c r="IGP23"/>
      <c r="IGQ23"/>
      <c r="IGR23"/>
      <c r="IGS23"/>
      <c r="IGT23"/>
      <c r="IGU23"/>
      <c r="IGV23"/>
      <c r="IGW23"/>
      <c r="IGX23"/>
      <c r="IGY23"/>
      <c r="IGZ23"/>
      <c r="IHA23"/>
      <c r="IHB23"/>
      <c r="IHC23"/>
      <c r="IHD23"/>
      <c r="IHE23"/>
      <c r="IHF23"/>
      <c r="IHG23"/>
      <c r="IHH23"/>
      <c r="IHI23"/>
      <c r="IHJ23"/>
      <c r="IHK23"/>
      <c r="IHL23"/>
      <c r="IHM23"/>
      <c r="IHN23"/>
      <c r="IHO23"/>
      <c r="IHP23"/>
      <c r="IHQ23"/>
      <c r="IHR23"/>
      <c r="IHS23"/>
      <c r="IHT23"/>
      <c r="IHU23"/>
      <c r="IHV23"/>
      <c r="IHW23"/>
      <c r="IHX23"/>
      <c r="IHY23"/>
      <c r="IHZ23"/>
      <c r="IIA23"/>
      <c r="IIB23"/>
      <c r="IIC23"/>
      <c r="IID23"/>
      <c r="IIE23"/>
      <c r="IIF23"/>
      <c r="IIG23"/>
      <c r="IIH23"/>
      <c r="III23"/>
      <c r="IIJ23"/>
      <c r="IIK23"/>
      <c r="IIL23"/>
      <c r="IIM23"/>
      <c r="IIN23"/>
      <c r="IIO23"/>
      <c r="IIP23"/>
      <c r="IIQ23"/>
      <c r="IIR23"/>
      <c r="IIS23"/>
      <c r="IIT23"/>
      <c r="IIU23"/>
      <c r="IIV23"/>
      <c r="IIW23"/>
      <c r="IIX23"/>
      <c r="IIY23"/>
      <c r="IIZ23"/>
      <c r="IJA23"/>
      <c r="IJB23"/>
      <c r="IJC23"/>
      <c r="IJD23"/>
      <c r="IJE23"/>
      <c r="IJF23"/>
      <c r="IJG23"/>
      <c r="IJH23"/>
      <c r="IJI23"/>
      <c r="IJJ23"/>
      <c r="IJK23"/>
      <c r="IJL23"/>
      <c r="IJM23"/>
      <c r="IJN23"/>
      <c r="IJO23"/>
      <c r="IJP23"/>
      <c r="IJQ23"/>
      <c r="IJR23"/>
      <c r="IJS23"/>
      <c r="IJT23"/>
      <c r="IJU23"/>
      <c r="IJV23"/>
      <c r="IJW23"/>
      <c r="IJX23"/>
      <c r="IJY23"/>
      <c r="IJZ23"/>
      <c r="IKA23"/>
      <c r="IKB23"/>
      <c r="IKC23"/>
      <c r="IKD23"/>
      <c r="IKE23"/>
      <c r="IKF23"/>
      <c r="IKG23"/>
      <c r="IKH23"/>
      <c r="IKI23"/>
      <c r="IKJ23"/>
      <c r="IKK23"/>
      <c r="IKL23"/>
      <c r="IKM23"/>
      <c r="IKN23"/>
      <c r="IKO23"/>
      <c r="IKP23"/>
      <c r="IKQ23"/>
      <c r="IKR23"/>
      <c r="IKS23"/>
      <c r="IKT23"/>
      <c r="IKU23"/>
      <c r="IKV23"/>
      <c r="IKW23"/>
      <c r="IKX23"/>
      <c r="IKY23"/>
      <c r="IKZ23"/>
      <c r="ILA23"/>
      <c r="ILB23"/>
      <c r="ILC23"/>
      <c r="ILD23"/>
      <c r="ILE23"/>
      <c r="ILF23"/>
      <c r="ILG23"/>
      <c r="ILH23"/>
      <c r="ILI23"/>
      <c r="ILJ23"/>
      <c r="ILK23"/>
      <c r="ILL23"/>
      <c r="ILM23"/>
      <c r="ILN23"/>
      <c r="ILO23"/>
      <c r="ILP23"/>
      <c r="ILQ23"/>
      <c r="ILR23"/>
      <c r="ILS23"/>
      <c r="ILT23"/>
      <c r="ILU23"/>
      <c r="ILV23"/>
      <c r="ILW23"/>
      <c r="ILX23"/>
      <c r="ILY23"/>
      <c r="ILZ23"/>
      <c r="IMA23"/>
      <c r="IMB23"/>
      <c r="IMC23"/>
      <c r="IMD23"/>
      <c r="IME23"/>
      <c r="IMF23"/>
      <c r="IMG23"/>
      <c r="IMH23"/>
      <c r="IMI23"/>
      <c r="IMJ23"/>
      <c r="IMK23"/>
      <c r="IML23"/>
      <c r="IMM23"/>
      <c r="IMN23"/>
      <c r="IMO23"/>
      <c r="IMP23"/>
      <c r="IMQ23"/>
      <c r="IMR23"/>
      <c r="IMS23"/>
      <c r="IMT23"/>
      <c r="IMU23"/>
      <c r="IMV23"/>
      <c r="IMW23"/>
      <c r="IMX23"/>
      <c r="IMY23"/>
      <c r="IMZ23"/>
      <c r="INA23"/>
      <c r="INB23"/>
      <c r="INC23"/>
      <c r="IND23"/>
      <c r="INE23"/>
      <c r="INF23"/>
      <c r="ING23"/>
      <c r="INH23"/>
      <c r="INI23"/>
      <c r="INJ23"/>
      <c r="INK23"/>
      <c r="INL23"/>
      <c r="INM23"/>
      <c r="INN23"/>
      <c r="INO23"/>
      <c r="INP23"/>
      <c r="INQ23"/>
      <c r="INR23"/>
      <c r="INS23"/>
      <c r="INT23"/>
      <c r="INU23"/>
      <c r="INV23"/>
      <c r="INW23"/>
      <c r="INX23"/>
      <c r="INY23"/>
      <c r="INZ23"/>
      <c r="IOA23"/>
      <c r="IOB23"/>
      <c r="IOC23"/>
      <c r="IOD23"/>
      <c r="IOE23"/>
      <c r="IOF23"/>
      <c r="IOG23"/>
      <c r="IOH23"/>
      <c r="IOI23"/>
      <c r="IOJ23"/>
      <c r="IOK23"/>
      <c r="IOL23"/>
      <c r="IOM23"/>
      <c r="ION23"/>
      <c r="IOO23"/>
      <c r="IOP23"/>
      <c r="IOQ23"/>
      <c r="IOR23"/>
      <c r="IOS23"/>
      <c r="IOT23"/>
      <c r="IOU23"/>
      <c r="IOV23"/>
      <c r="IOW23"/>
      <c r="IOX23"/>
      <c r="IOY23"/>
      <c r="IOZ23"/>
      <c r="IPA23"/>
      <c r="IPB23"/>
      <c r="IPC23"/>
      <c r="IPD23"/>
      <c r="IPE23"/>
      <c r="IPF23"/>
      <c r="IPG23"/>
      <c r="IPH23"/>
      <c r="IPI23"/>
      <c r="IPJ23"/>
      <c r="IPK23"/>
      <c r="IPL23"/>
      <c r="IPM23"/>
      <c r="IPN23"/>
      <c r="IPO23"/>
      <c r="IPP23"/>
      <c r="IPQ23"/>
      <c r="IPR23"/>
      <c r="IPS23"/>
      <c r="IPT23"/>
      <c r="IPU23"/>
      <c r="IPV23"/>
      <c r="IPW23"/>
      <c r="IPX23"/>
      <c r="IPY23"/>
      <c r="IPZ23"/>
      <c r="IQA23"/>
      <c r="IQB23"/>
      <c r="IQC23"/>
      <c r="IQD23"/>
      <c r="IQE23"/>
      <c r="IQF23"/>
      <c r="IQG23"/>
      <c r="IQH23"/>
      <c r="IQI23"/>
      <c r="IQJ23"/>
      <c r="IQK23"/>
      <c r="IQL23"/>
      <c r="IQM23"/>
      <c r="IQN23"/>
      <c r="IQO23"/>
      <c r="IQP23"/>
      <c r="IQQ23"/>
      <c r="IQR23"/>
      <c r="IQS23"/>
      <c r="IQT23"/>
      <c r="IQU23"/>
      <c r="IQV23"/>
      <c r="IQW23"/>
      <c r="IQX23"/>
      <c r="IQY23"/>
      <c r="IQZ23"/>
      <c r="IRA23"/>
      <c r="IRB23"/>
      <c r="IRC23"/>
      <c r="IRD23"/>
      <c r="IRE23"/>
      <c r="IRF23"/>
      <c r="IRG23"/>
      <c r="IRH23"/>
      <c r="IRI23"/>
      <c r="IRJ23"/>
      <c r="IRK23"/>
      <c r="IRL23"/>
      <c r="IRM23"/>
      <c r="IRN23"/>
      <c r="IRO23"/>
      <c r="IRP23"/>
      <c r="IRQ23"/>
      <c r="IRR23"/>
      <c r="IRS23"/>
      <c r="IRT23"/>
      <c r="IRU23"/>
      <c r="IRV23"/>
      <c r="IRW23"/>
      <c r="IRX23"/>
      <c r="IRY23"/>
      <c r="IRZ23"/>
      <c r="ISA23"/>
      <c r="ISB23"/>
      <c r="ISC23"/>
      <c r="ISD23"/>
      <c r="ISE23"/>
      <c r="ISF23"/>
      <c r="ISG23"/>
      <c r="ISH23"/>
      <c r="ISI23"/>
      <c r="ISJ23"/>
      <c r="ISK23"/>
      <c r="ISL23"/>
      <c r="ISM23"/>
      <c r="ISN23"/>
      <c r="ISO23"/>
      <c r="ISP23"/>
      <c r="ISQ23"/>
      <c r="ISR23"/>
      <c r="ISS23"/>
      <c r="IST23"/>
      <c r="ISU23"/>
      <c r="ISV23"/>
      <c r="ISW23"/>
      <c r="ISX23"/>
      <c r="ISY23"/>
      <c r="ISZ23"/>
      <c r="ITA23"/>
      <c r="ITB23"/>
      <c r="ITC23"/>
      <c r="ITD23"/>
      <c r="ITE23"/>
      <c r="ITF23"/>
      <c r="ITG23"/>
      <c r="ITH23"/>
      <c r="ITI23"/>
      <c r="ITJ23"/>
      <c r="ITK23"/>
      <c r="ITL23"/>
      <c r="ITM23"/>
      <c r="ITN23"/>
      <c r="ITO23"/>
      <c r="ITP23"/>
      <c r="ITQ23"/>
      <c r="ITR23"/>
      <c r="ITS23"/>
      <c r="ITT23"/>
      <c r="ITU23"/>
      <c r="ITV23"/>
      <c r="ITW23"/>
      <c r="ITX23"/>
      <c r="ITY23"/>
      <c r="ITZ23"/>
      <c r="IUA23"/>
      <c r="IUB23"/>
      <c r="IUC23"/>
      <c r="IUD23"/>
      <c r="IUE23"/>
      <c r="IUF23"/>
      <c r="IUG23"/>
      <c r="IUH23"/>
      <c r="IUI23"/>
      <c r="IUJ23"/>
      <c r="IUK23"/>
      <c r="IUL23"/>
      <c r="IUM23"/>
      <c r="IUN23"/>
      <c r="IUO23"/>
      <c r="IUP23"/>
      <c r="IUQ23"/>
      <c r="IUR23"/>
      <c r="IUS23"/>
      <c r="IUT23"/>
      <c r="IUU23"/>
      <c r="IUV23"/>
      <c r="IUW23"/>
      <c r="IUX23"/>
      <c r="IUY23"/>
      <c r="IUZ23"/>
      <c r="IVA23"/>
      <c r="IVB23"/>
      <c r="IVC23"/>
      <c r="IVD23"/>
      <c r="IVE23"/>
      <c r="IVF23"/>
      <c r="IVG23"/>
      <c r="IVH23"/>
      <c r="IVI23"/>
      <c r="IVJ23"/>
      <c r="IVK23"/>
      <c r="IVL23"/>
      <c r="IVM23"/>
      <c r="IVN23"/>
      <c r="IVO23"/>
      <c r="IVP23"/>
      <c r="IVQ23"/>
      <c r="IVR23"/>
      <c r="IVS23"/>
      <c r="IVT23"/>
      <c r="IVU23"/>
      <c r="IVV23"/>
      <c r="IVW23"/>
      <c r="IVX23"/>
      <c r="IVY23"/>
      <c r="IVZ23"/>
      <c r="IWA23"/>
      <c r="IWB23"/>
      <c r="IWC23"/>
      <c r="IWD23"/>
      <c r="IWE23"/>
      <c r="IWF23"/>
      <c r="IWG23"/>
      <c r="IWH23"/>
      <c r="IWI23"/>
      <c r="IWJ23"/>
      <c r="IWK23"/>
      <c r="IWL23"/>
      <c r="IWM23"/>
      <c r="IWN23"/>
      <c r="IWO23"/>
      <c r="IWP23"/>
      <c r="IWQ23"/>
      <c r="IWR23"/>
      <c r="IWS23"/>
      <c r="IWT23"/>
      <c r="IWU23"/>
      <c r="IWV23"/>
      <c r="IWW23"/>
      <c r="IWX23"/>
      <c r="IWY23"/>
      <c r="IWZ23"/>
      <c r="IXA23"/>
      <c r="IXB23"/>
      <c r="IXC23"/>
      <c r="IXD23"/>
      <c r="IXE23"/>
      <c r="IXF23"/>
      <c r="IXG23"/>
      <c r="IXH23"/>
      <c r="IXI23"/>
      <c r="IXJ23"/>
      <c r="IXK23"/>
      <c r="IXL23"/>
      <c r="IXM23"/>
      <c r="IXN23"/>
      <c r="IXO23"/>
      <c r="IXP23"/>
      <c r="IXQ23"/>
      <c r="IXR23"/>
      <c r="IXS23"/>
      <c r="IXT23"/>
      <c r="IXU23"/>
      <c r="IXV23"/>
      <c r="IXW23"/>
      <c r="IXX23"/>
      <c r="IXY23"/>
      <c r="IXZ23"/>
      <c r="IYA23"/>
      <c r="IYB23"/>
      <c r="IYC23"/>
      <c r="IYD23"/>
      <c r="IYE23"/>
      <c r="IYF23"/>
      <c r="IYG23"/>
      <c r="IYH23"/>
      <c r="IYI23"/>
      <c r="IYJ23"/>
      <c r="IYK23"/>
      <c r="IYL23"/>
      <c r="IYM23"/>
      <c r="IYN23"/>
      <c r="IYO23"/>
      <c r="IYP23"/>
      <c r="IYQ23"/>
      <c r="IYR23"/>
      <c r="IYS23"/>
      <c r="IYT23"/>
      <c r="IYU23"/>
      <c r="IYV23"/>
      <c r="IYW23"/>
      <c r="IYX23"/>
      <c r="IYY23"/>
      <c r="IYZ23"/>
      <c r="IZA23"/>
      <c r="IZB23"/>
      <c r="IZC23"/>
      <c r="IZD23"/>
      <c r="IZE23"/>
      <c r="IZF23"/>
      <c r="IZG23"/>
      <c r="IZH23"/>
      <c r="IZI23"/>
      <c r="IZJ23"/>
      <c r="IZK23"/>
      <c r="IZL23"/>
      <c r="IZM23"/>
      <c r="IZN23"/>
      <c r="IZO23"/>
      <c r="IZP23"/>
      <c r="IZQ23"/>
      <c r="IZR23"/>
      <c r="IZS23"/>
      <c r="IZT23"/>
      <c r="IZU23"/>
      <c r="IZV23"/>
      <c r="IZW23"/>
      <c r="IZX23"/>
      <c r="IZY23"/>
      <c r="IZZ23"/>
      <c r="JAA23"/>
      <c r="JAB23"/>
      <c r="JAC23"/>
      <c r="JAD23"/>
      <c r="JAE23"/>
      <c r="JAF23"/>
      <c r="JAG23"/>
      <c r="JAH23"/>
      <c r="JAI23"/>
      <c r="JAJ23"/>
      <c r="JAK23"/>
      <c r="JAL23"/>
      <c r="JAM23"/>
      <c r="JAN23"/>
      <c r="JAO23"/>
      <c r="JAP23"/>
      <c r="JAQ23"/>
      <c r="JAR23"/>
      <c r="JAS23"/>
      <c r="JAT23"/>
      <c r="JAU23"/>
      <c r="JAV23"/>
      <c r="JAW23"/>
      <c r="JAX23"/>
      <c r="JAY23"/>
      <c r="JAZ23"/>
      <c r="JBA23"/>
      <c r="JBB23"/>
      <c r="JBC23"/>
      <c r="JBD23"/>
      <c r="JBE23"/>
      <c r="JBF23"/>
      <c r="JBG23"/>
      <c r="JBH23"/>
      <c r="JBI23"/>
      <c r="JBJ23"/>
      <c r="JBK23"/>
      <c r="JBL23"/>
      <c r="JBM23"/>
      <c r="JBN23"/>
      <c r="JBO23"/>
      <c r="JBP23"/>
      <c r="JBQ23"/>
      <c r="JBR23"/>
      <c r="JBS23"/>
      <c r="JBT23"/>
      <c r="JBU23"/>
      <c r="JBV23"/>
      <c r="JBW23"/>
      <c r="JBX23"/>
      <c r="JBY23"/>
      <c r="JBZ23"/>
      <c r="JCA23"/>
      <c r="JCB23"/>
      <c r="JCC23"/>
      <c r="JCD23"/>
      <c r="JCE23"/>
      <c r="JCF23"/>
      <c r="JCG23"/>
      <c r="JCH23"/>
      <c r="JCI23"/>
      <c r="JCJ23"/>
      <c r="JCK23"/>
      <c r="JCL23"/>
      <c r="JCM23"/>
      <c r="JCN23"/>
      <c r="JCO23"/>
      <c r="JCP23"/>
      <c r="JCQ23"/>
      <c r="JCR23"/>
      <c r="JCS23"/>
      <c r="JCT23"/>
      <c r="JCU23"/>
      <c r="JCV23"/>
      <c r="JCW23"/>
      <c r="JCX23"/>
      <c r="JCY23"/>
      <c r="JCZ23"/>
      <c r="JDA23"/>
      <c r="JDB23"/>
      <c r="JDC23"/>
      <c r="JDD23"/>
      <c r="JDE23"/>
      <c r="JDF23"/>
      <c r="JDG23"/>
      <c r="JDH23"/>
      <c r="JDI23"/>
      <c r="JDJ23"/>
      <c r="JDK23"/>
      <c r="JDL23"/>
      <c r="JDM23"/>
      <c r="JDN23"/>
      <c r="JDO23"/>
      <c r="JDP23"/>
      <c r="JDQ23"/>
      <c r="JDR23"/>
      <c r="JDS23"/>
      <c r="JDT23"/>
      <c r="JDU23"/>
      <c r="JDV23"/>
      <c r="JDW23"/>
      <c r="JDX23"/>
      <c r="JDY23"/>
      <c r="JDZ23"/>
      <c r="JEA23"/>
      <c r="JEB23"/>
      <c r="JEC23"/>
      <c r="JED23"/>
      <c r="JEE23"/>
      <c r="JEF23"/>
      <c r="JEG23"/>
      <c r="JEH23"/>
      <c r="JEI23"/>
      <c r="JEJ23"/>
      <c r="JEK23"/>
      <c r="JEL23"/>
      <c r="JEM23"/>
      <c r="JEN23"/>
      <c r="JEO23"/>
      <c r="JEP23"/>
      <c r="JEQ23"/>
      <c r="JER23"/>
      <c r="JES23"/>
      <c r="JET23"/>
      <c r="JEU23"/>
      <c r="JEV23"/>
      <c r="JEW23"/>
      <c r="JEX23"/>
      <c r="JEY23"/>
      <c r="JEZ23"/>
      <c r="JFA23"/>
      <c r="JFB23"/>
      <c r="JFC23"/>
      <c r="JFD23"/>
      <c r="JFE23"/>
      <c r="JFF23"/>
      <c r="JFG23"/>
      <c r="JFH23"/>
      <c r="JFI23"/>
      <c r="JFJ23"/>
      <c r="JFK23"/>
      <c r="JFL23"/>
      <c r="JFM23"/>
      <c r="JFN23"/>
      <c r="JFO23"/>
      <c r="JFP23"/>
      <c r="JFQ23"/>
      <c r="JFR23"/>
      <c r="JFS23"/>
      <c r="JFT23"/>
      <c r="JFU23"/>
      <c r="JFV23"/>
      <c r="JFW23"/>
      <c r="JFX23"/>
      <c r="JFY23"/>
      <c r="JFZ23"/>
      <c r="JGA23"/>
      <c r="JGB23"/>
      <c r="JGC23"/>
      <c r="JGD23"/>
      <c r="JGE23"/>
      <c r="JGF23"/>
      <c r="JGG23"/>
      <c r="JGH23"/>
      <c r="JGI23"/>
      <c r="JGJ23"/>
      <c r="JGK23"/>
      <c r="JGL23"/>
      <c r="JGM23"/>
      <c r="JGN23"/>
      <c r="JGO23"/>
      <c r="JGP23"/>
      <c r="JGQ23"/>
      <c r="JGR23"/>
      <c r="JGS23"/>
      <c r="JGT23"/>
      <c r="JGU23"/>
      <c r="JGV23"/>
      <c r="JGW23"/>
      <c r="JGX23"/>
      <c r="JGY23"/>
      <c r="JGZ23"/>
      <c r="JHA23"/>
      <c r="JHB23"/>
      <c r="JHC23"/>
      <c r="JHD23"/>
      <c r="JHE23"/>
      <c r="JHF23"/>
      <c r="JHG23"/>
      <c r="JHH23"/>
      <c r="JHI23"/>
      <c r="JHJ23"/>
      <c r="JHK23"/>
      <c r="JHL23"/>
      <c r="JHM23"/>
      <c r="JHN23"/>
      <c r="JHO23"/>
      <c r="JHP23"/>
      <c r="JHQ23"/>
      <c r="JHR23"/>
      <c r="JHS23"/>
      <c r="JHT23"/>
      <c r="JHU23"/>
      <c r="JHV23"/>
      <c r="JHW23"/>
      <c r="JHX23"/>
      <c r="JHY23"/>
      <c r="JHZ23"/>
      <c r="JIA23"/>
      <c r="JIB23"/>
      <c r="JIC23"/>
      <c r="JID23"/>
      <c r="JIE23"/>
      <c r="JIF23"/>
      <c r="JIG23"/>
      <c r="JIH23"/>
      <c r="JII23"/>
      <c r="JIJ23"/>
      <c r="JIK23"/>
      <c r="JIL23"/>
      <c r="JIM23"/>
      <c r="JIN23"/>
      <c r="JIO23"/>
      <c r="JIP23"/>
      <c r="JIQ23"/>
      <c r="JIR23"/>
      <c r="JIS23"/>
      <c r="JIT23"/>
      <c r="JIU23"/>
      <c r="JIV23"/>
      <c r="JIW23"/>
      <c r="JIX23"/>
      <c r="JIY23"/>
      <c r="JIZ23"/>
      <c r="JJA23"/>
      <c r="JJB23"/>
      <c r="JJC23"/>
      <c r="JJD23"/>
      <c r="JJE23"/>
      <c r="JJF23"/>
      <c r="JJG23"/>
      <c r="JJH23"/>
      <c r="JJI23"/>
      <c r="JJJ23"/>
      <c r="JJK23"/>
      <c r="JJL23"/>
      <c r="JJM23"/>
      <c r="JJN23"/>
      <c r="JJO23"/>
      <c r="JJP23"/>
      <c r="JJQ23"/>
      <c r="JJR23"/>
      <c r="JJS23"/>
      <c r="JJT23"/>
      <c r="JJU23"/>
      <c r="JJV23"/>
      <c r="JJW23"/>
      <c r="JJX23"/>
      <c r="JJY23"/>
      <c r="JJZ23"/>
      <c r="JKA23"/>
      <c r="JKB23"/>
      <c r="JKC23"/>
      <c r="JKD23"/>
      <c r="JKE23"/>
      <c r="JKF23"/>
      <c r="JKG23"/>
      <c r="JKH23"/>
      <c r="JKI23"/>
      <c r="JKJ23"/>
      <c r="JKK23"/>
      <c r="JKL23"/>
      <c r="JKM23"/>
      <c r="JKN23"/>
      <c r="JKO23"/>
      <c r="JKP23"/>
      <c r="JKQ23"/>
      <c r="JKR23"/>
      <c r="JKS23"/>
      <c r="JKT23"/>
      <c r="JKU23"/>
      <c r="JKV23"/>
      <c r="JKW23"/>
      <c r="JKX23"/>
      <c r="JKY23"/>
      <c r="JKZ23"/>
      <c r="JLA23"/>
      <c r="JLB23"/>
      <c r="JLC23"/>
      <c r="JLD23"/>
      <c r="JLE23"/>
      <c r="JLF23"/>
      <c r="JLG23"/>
      <c r="JLH23"/>
      <c r="JLI23"/>
      <c r="JLJ23"/>
      <c r="JLK23"/>
      <c r="JLL23"/>
      <c r="JLM23"/>
      <c r="JLN23"/>
      <c r="JLO23"/>
      <c r="JLP23"/>
      <c r="JLQ23"/>
      <c r="JLR23"/>
      <c r="JLS23"/>
      <c r="JLT23"/>
      <c r="JLU23"/>
      <c r="JLV23"/>
      <c r="JLW23"/>
      <c r="JLX23"/>
      <c r="JLY23"/>
      <c r="JLZ23"/>
      <c r="JMA23"/>
      <c r="JMB23"/>
      <c r="JMC23"/>
      <c r="JMD23"/>
      <c r="JME23"/>
      <c r="JMF23"/>
      <c r="JMG23"/>
      <c r="JMH23"/>
      <c r="JMI23"/>
      <c r="JMJ23"/>
      <c r="JMK23"/>
      <c r="JML23"/>
      <c r="JMM23"/>
      <c r="JMN23"/>
      <c r="JMO23"/>
      <c r="JMP23"/>
      <c r="JMQ23"/>
      <c r="JMR23"/>
      <c r="JMS23"/>
      <c r="JMT23"/>
      <c r="JMU23"/>
      <c r="JMV23"/>
      <c r="JMW23"/>
      <c r="JMX23"/>
      <c r="JMY23"/>
      <c r="JMZ23"/>
      <c r="JNA23"/>
      <c r="JNB23"/>
      <c r="JNC23"/>
      <c r="JND23"/>
      <c r="JNE23"/>
      <c r="JNF23"/>
      <c r="JNG23"/>
      <c r="JNH23"/>
      <c r="JNI23"/>
      <c r="JNJ23"/>
      <c r="JNK23"/>
      <c r="JNL23"/>
      <c r="JNM23"/>
      <c r="JNN23"/>
      <c r="JNO23"/>
      <c r="JNP23"/>
      <c r="JNQ23"/>
      <c r="JNR23"/>
      <c r="JNS23"/>
      <c r="JNT23"/>
      <c r="JNU23"/>
      <c r="JNV23"/>
      <c r="JNW23"/>
      <c r="JNX23"/>
      <c r="JNY23"/>
      <c r="JNZ23"/>
      <c r="JOA23"/>
      <c r="JOB23"/>
      <c r="JOC23"/>
      <c r="JOD23"/>
      <c r="JOE23"/>
      <c r="JOF23"/>
      <c r="JOG23"/>
      <c r="JOH23"/>
      <c r="JOI23"/>
      <c r="JOJ23"/>
      <c r="JOK23"/>
      <c r="JOL23"/>
      <c r="JOM23"/>
      <c r="JON23"/>
      <c r="JOO23"/>
      <c r="JOP23"/>
      <c r="JOQ23"/>
      <c r="JOR23"/>
      <c r="JOS23"/>
      <c r="JOT23"/>
      <c r="JOU23"/>
      <c r="JOV23"/>
      <c r="JOW23"/>
      <c r="JOX23"/>
      <c r="JOY23"/>
      <c r="JOZ23"/>
      <c r="JPA23"/>
      <c r="JPB23"/>
      <c r="JPC23"/>
      <c r="JPD23"/>
      <c r="JPE23"/>
      <c r="JPF23"/>
      <c r="JPG23"/>
      <c r="JPH23"/>
      <c r="JPI23"/>
      <c r="JPJ23"/>
      <c r="JPK23"/>
      <c r="JPL23"/>
      <c r="JPM23"/>
      <c r="JPN23"/>
      <c r="JPO23"/>
      <c r="JPP23"/>
      <c r="JPQ23"/>
      <c r="JPR23"/>
      <c r="JPS23"/>
      <c r="JPT23"/>
      <c r="JPU23"/>
      <c r="JPV23"/>
      <c r="JPW23"/>
      <c r="JPX23"/>
      <c r="JPY23"/>
      <c r="JPZ23"/>
      <c r="JQA23"/>
      <c r="JQB23"/>
      <c r="JQC23"/>
      <c r="JQD23"/>
      <c r="JQE23"/>
      <c r="JQF23"/>
      <c r="JQG23"/>
      <c r="JQH23"/>
      <c r="JQI23"/>
      <c r="JQJ23"/>
      <c r="JQK23"/>
      <c r="JQL23"/>
      <c r="JQM23"/>
      <c r="JQN23"/>
      <c r="JQO23"/>
      <c r="JQP23"/>
      <c r="JQQ23"/>
      <c r="JQR23"/>
      <c r="JQS23"/>
      <c r="JQT23"/>
      <c r="JQU23"/>
      <c r="JQV23"/>
      <c r="JQW23"/>
      <c r="JQX23"/>
      <c r="JQY23"/>
      <c r="JQZ23"/>
      <c r="JRA23"/>
      <c r="JRB23"/>
      <c r="JRC23"/>
      <c r="JRD23"/>
      <c r="JRE23"/>
      <c r="JRF23"/>
      <c r="JRG23"/>
      <c r="JRH23"/>
      <c r="JRI23"/>
      <c r="JRJ23"/>
      <c r="JRK23"/>
      <c r="JRL23"/>
      <c r="JRM23"/>
      <c r="JRN23"/>
      <c r="JRO23"/>
      <c r="JRP23"/>
      <c r="JRQ23"/>
      <c r="JRR23"/>
      <c r="JRS23"/>
      <c r="JRT23"/>
      <c r="JRU23"/>
      <c r="JRV23"/>
      <c r="JRW23"/>
      <c r="JRX23"/>
      <c r="JRY23"/>
      <c r="JRZ23"/>
      <c r="JSA23"/>
      <c r="JSB23"/>
      <c r="JSC23"/>
      <c r="JSD23"/>
      <c r="JSE23"/>
      <c r="JSF23"/>
      <c r="JSG23"/>
      <c r="JSH23"/>
      <c r="JSI23"/>
      <c r="JSJ23"/>
      <c r="JSK23"/>
      <c r="JSL23"/>
      <c r="JSM23"/>
      <c r="JSN23"/>
      <c r="JSO23"/>
      <c r="JSP23"/>
      <c r="JSQ23"/>
      <c r="JSR23"/>
      <c r="JSS23"/>
      <c r="JST23"/>
      <c r="JSU23"/>
      <c r="JSV23"/>
      <c r="JSW23"/>
      <c r="JSX23"/>
      <c r="JSY23"/>
      <c r="JSZ23"/>
      <c r="JTA23"/>
      <c r="JTB23"/>
      <c r="JTC23"/>
      <c r="JTD23"/>
      <c r="JTE23"/>
      <c r="JTF23"/>
      <c r="JTG23"/>
      <c r="JTH23"/>
      <c r="JTI23"/>
      <c r="JTJ23"/>
      <c r="JTK23"/>
      <c r="JTL23"/>
      <c r="JTM23"/>
      <c r="JTN23"/>
      <c r="JTO23"/>
      <c r="JTP23"/>
      <c r="JTQ23"/>
      <c r="JTR23"/>
      <c r="JTS23"/>
      <c r="JTT23"/>
      <c r="JTU23"/>
      <c r="JTV23"/>
      <c r="JTW23"/>
      <c r="JTX23"/>
      <c r="JTY23"/>
      <c r="JTZ23"/>
      <c r="JUA23"/>
      <c r="JUB23"/>
      <c r="JUC23"/>
      <c r="JUD23"/>
      <c r="JUE23"/>
      <c r="JUF23"/>
      <c r="JUG23"/>
      <c r="JUH23"/>
      <c r="JUI23"/>
      <c r="JUJ23"/>
      <c r="JUK23"/>
      <c r="JUL23"/>
      <c r="JUM23"/>
      <c r="JUN23"/>
      <c r="JUO23"/>
      <c r="JUP23"/>
      <c r="JUQ23"/>
      <c r="JUR23"/>
      <c r="JUS23"/>
      <c r="JUT23"/>
      <c r="JUU23"/>
      <c r="JUV23"/>
      <c r="JUW23"/>
      <c r="JUX23"/>
      <c r="JUY23"/>
      <c r="JUZ23"/>
      <c r="JVA23"/>
      <c r="JVB23"/>
      <c r="JVC23"/>
      <c r="JVD23"/>
      <c r="JVE23"/>
      <c r="JVF23"/>
      <c r="JVG23"/>
      <c r="JVH23"/>
      <c r="JVI23"/>
      <c r="JVJ23"/>
      <c r="JVK23"/>
      <c r="JVL23"/>
      <c r="JVM23"/>
      <c r="JVN23"/>
      <c r="JVO23"/>
      <c r="JVP23"/>
      <c r="JVQ23"/>
      <c r="JVR23"/>
      <c r="JVS23"/>
      <c r="JVT23"/>
      <c r="JVU23"/>
      <c r="JVV23"/>
      <c r="JVW23"/>
      <c r="JVX23"/>
      <c r="JVY23"/>
      <c r="JVZ23"/>
      <c r="JWA23"/>
      <c r="JWB23"/>
      <c r="JWC23"/>
      <c r="JWD23"/>
      <c r="JWE23"/>
      <c r="JWF23"/>
      <c r="JWG23"/>
      <c r="JWH23"/>
      <c r="JWI23"/>
      <c r="JWJ23"/>
      <c r="JWK23"/>
      <c r="JWL23"/>
      <c r="JWM23"/>
      <c r="JWN23"/>
      <c r="JWO23"/>
      <c r="JWP23"/>
      <c r="JWQ23"/>
      <c r="JWR23"/>
      <c r="JWS23"/>
      <c r="JWT23"/>
      <c r="JWU23"/>
      <c r="JWV23"/>
      <c r="JWW23"/>
      <c r="JWX23"/>
      <c r="JWY23"/>
      <c r="JWZ23"/>
      <c r="JXA23"/>
      <c r="JXB23"/>
      <c r="JXC23"/>
      <c r="JXD23"/>
      <c r="JXE23"/>
      <c r="JXF23"/>
      <c r="JXG23"/>
      <c r="JXH23"/>
      <c r="JXI23"/>
      <c r="JXJ23"/>
      <c r="JXK23"/>
      <c r="JXL23"/>
      <c r="JXM23"/>
      <c r="JXN23"/>
      <c r="JXO23"/>
      <c r="JXP23"/>
      <c r="JXQ23"/>
      <c r="JXR23"/>
      <c r="JXS23"/>
      <c r="JXT23"/>
      <c r="JXU23"/>
      <c r="JXV23"/>
      <c r="JXW23"/>
      <c r="JXX23"/>
      <c r="JXY23"/>
      <c r="JXZ23"/>
      <c r="JYA23"/>
      <c r="JYB23"/>
      <c r="JYC23"/>
      <c r="JYD23"/>
      <c r="JYE23"/>
      <c r="JYF23"/>
      <c r="JYG23"/>
      <c r="JYH23"/>
      <c r="JYI23"/>
      <c r="JYJ23"/>
      <c r="JYK23"/>
      <c r="JYL23"/>
      <c r="JYM23"/>
      <c r="JYN23"/>
      <c r="JYO23"/>
      <c r="JYP23"/>
      <c r="JYQ23"/>
      <c r="JYR23"/>
      <c r="JYS23"/>
      <c r="JYT23"/>
      <c r="JYU23"/>
      <c r="JYV23"/>
      <c r="JYW23"/>
      <c r="JYX23"/>
      <c r="JYY23"/>
      <c r="JYZ23"/>
      <c r="JZA23"/>
      <c r="JZB23"/>
      <c r="JZC23"/>
      <c r="JZD23"/>
      <c r="JZE23"/>
      <c r="JZF23"/>
      <c r="JZG23"/>
      <c r="JZH23"/>
      <c r="JZI23"/>
      <c r="JZJ23"/>
      <c r="JZK23"/>
      <c r="JZL23"/>
      <c r="JZM23"/>
      <c r="JZN23"/>
      <c r="JZO23"/>
      <c r="JZP23"/>
      <c r="JZQ23"/>
      <c r="JZR23"/>
      <c r="JZS23"/>
      <c r="JZT23"/>
      <c r="JZU23"/>
      <c r="JZV23"/>
      <c r="JZW23"/>
      <c r="JZX23"/>
      <c r="JZY23"/>
      <c r="JZZ23"/>
      <c r="KAA23"/>
      <c r="KAB23"/>
      <c r="KAC23"/>
      <c r="KAD23"/>
      <c r="KAE23"/>
      <c r="KAF23"/>
      <c r="KAG23"/>
      <c r="KAH23"/>
      <c r="KAI23"/>
      <c r="KAJ23"/>
      <c r="KAK23"/>
      <c r="KAL23"/>
      <c r="KAM23"/>
      <c r="KAN23"/>
      <c r="KAO23"/>
      <c r="KAP23"/>
      <c r="KAQ23"/>
      <c r="KAR23"/>
      <c r="KAS23"/>
      <c r="KAT23"/>
      <c r="KAU23"/>
      <c r="KAV23"/>
      <c r="KAW23"/>
      <c r="KAX23"/>
      <c r="KAY23"/>
      <c r="KAZ23"/>
      <c r="KBA23"/>
      <c r="KBB23"/>
      <c r="KBC23"/>
      <c r="KBD23"/>
      <c r="KBE23"/>
      <c r="KBF23"/>
      <c r="KBG23"/>
      <c r="KBH23"/>
      <c r="KBI23"/>
      <c r="KBJ23"/>
      <c r="KBK23"/>
      <c r="KBL23"/>
      <c r="KBM23"/>
      <c r="KBN23"/>
      <c r="KBO23"/>
      <c r="KBP23"/>
      <c r="KBQ23"/>
      <c r="KBR23"/>
      <c r="KBS23"/>
      <c r="KBT23"/>
      <c r="KBU23"/>
      <c r="KBV23"/>
      <c r="KBW23"/>
      <c r="KBX23"/>
      <c r="KBY23"/>
      <c r="KBZ23"/>
      <c r="KCA23"/>
      <c r="KCB23"/>
      <c r="KCC23"/>
      <c r="KCD23"/>
      <c r="KCE23"/>
      <c r="KCF23"/>
      <c r="KCG23"/>
      <c r="KCH23"/>
      <c r="KCI23"/>
      <c r="KCJ23"/>
      <c r="KCK23"/>
      <c r="KCL23"/>
      <c r="KCM23"/>
      <c r="KCN23"/>
      <c r="KCO23"/>
      <c r="KCP23"/>
      <c r="KCQ23"/>
      <c r="KCR23"/>
      <c r="KCS23"/>
      <c r="KCT23"/>
      <c r="KCU23"/>
      <c r="KCV23"/>
      <c r="KCW23"/>
      <c r="KCX23"/>
      <c r="KCY23"/>
      <c r="KCZ23"/>
      <c r="KDA23"/>
      <c r="KDB23"/>
      <c r="KDC23"/>
      <c r="KDD23"/>
      <c r="KDE23"/>
      <c r="KDF23"/>
      <c r="KDG23"/>
      <c r="KDH23"/>
      <c r="KDI23"/>
      <c r="KDJ23"/>
      <c r="KDK23"/>
      <c r="KDL23"/>
      <c r="KDM23"/>
      <c r="KDN23"/>
      <c r="KDO23"/>
      <c r="KDP23"/>
      <c r="KDQ23"/>
      <c r="KDR23"/>
      <c r="KDS23"/>
      <c r="KDT23"/>
      <c r="KDU23"/>
      <c r="KDV23"/>
      <c r="KDW23"/>
      <c r="KDX23"/>
      <c r="KDY23"/>
      <c r="KDZ23"/>
      <c r="KEA23"/>
      <c r="KEB23"/>
      <c r="KEC23"/>
      <c r="KED23"/>
      <c r="KEE23"/>
      <c r="KEF23"/>
      <c r="KEG23"/>
      <c r="KEH23"/>
      <c r="KEI23"/>
      <c r="KEJ23"/>
      <c r="KEK23"/>
      <c r="KEL23"/>
      <c r="KEM23"/>
      <c r="KEN23"/>
      <c r="KEO23"/>
      <c r="KEP23"/>
      <c r="KEQ23"/>
      <c r="KER23"/>
      <c r="KES23"/>
      <c r="KET23"/>
      <c r="KEU23"/>
      <c r="KEV23"/>
      <c r="KEW23"/>
      <c r="KEX23"/>
      <c r="KEY23"/>
      <c r="KEZ23"/>
      <c r="KFA23"/>
      <c r="KFB23"/>
      <c r="KFC23"/>
      <c r="KFD23"/>
      <c r="KFE23"/>
      <c r="KFF23"/>
      <c r="KFG23"/>
      <c r="KFH23"/>
      <c r="KFI23"/>
      <c r="KFJ23"/>
      <c r="KFK23"/>
      <c r="KFL23"/>
      <c r="KFM23"/>
      <c r="KFN23"/>
      <c r="KFO23"/>
      <c r="KFP23"/>
      <c r="KFQ23"/>
      <c r="KFR23"/>
      <c r="KFS23"/>
      <c r="KFT23"/>
      <c r="KFU23"/>
      <c r="KFV23"/>
      <c r="KFW23"/>
      <c r="KFX23"/>
      <c r="KFY23"/>
      <c r="KFZ23"/>
      <c r="KGA23"/>
      <c r="KGB23"/>
      <c r="KGC23"/>
      <c r="KGD23"/>
      <c r="KGE23"/>
      <c r="KGF23"/>
      <c r="KGG23"/>
      <c r="KGH23"/>
      <c r="KGI23"/>
      <c r="KGJ23"/>
      <c r="KGK23"/>
      <c r="KGL23"/>
      <c r="KGM23"/>
      <c r="KGN23"/>
      <c r="KGO23"/>
      <c r="KGP23"/>
      <c r="KGQ23"/>
      <c r="KGR23"/>
      <c r="KGS23"/>
      <c r="KGT23"/>
      <c r="KGU23"/>
      <c r="KGV23"/>
      <c r="KGW23"/>
      <c r="KGX23"/>
      <c r="KGY23"/>
      <c r="KGZ23"/>
      <c r="KHA23"/>
      <c r="KHB23"/>
      <c r="KHC23"/>
      <c r="KHD23"/>
      <c r="KHE23"/>
      <c r="KHF23"/>
      <c r="KHG23"/>
      <c r="KHH23"/>
      <c r="KHI23"/>
      <c r="KHJ23"/>
      <c r="KHK23"/>
      <c r="KHL23"/>
      <c r="KHM23"/>
      <c r="KHN23"/>
      <c r="KHO23"/>
      <c r="KHP23"/>
      <c r="KHQ23"/>
      <c r="KHR23"/>
      <c r="KHS23"/>
      <c r="KHT23"/>
      <c r="KHU23"/>
      <c r="KHV23"/>
      <c r="KHW23"/>
      <c r="KHX23"/>
      <c r="KHY23"/>
      <c r="KHZ23"/>
      <c r="KIA23"/>
      <c r="KIB23"/>
      <c r="KIC23"/>
      <c r="KID23"/>
      <c r="KIE23"/>
      <c r="KIF23"/>
      <c r="KIG23"/>
      <c r="KIH23"/>
      <c r="KII23"/>
      <c r="KIJ23"/>
      <c r="KIK23"/>
      <c r="KIL23"/>
      <c r="KIM23"/>
      <c r="KIN23"/>
      <c r="KIO23"/>
      <c r="KIP23"/>
      <c r="KIQ23"/>
      <c r="KIR23"/>
      <c r="KIS23"/>
      <c r="KIT23"/>
      <c r="KIU23"/>
      <c r="KIV23"/>
      <c r="KIW23"/>
      <c r="KIX23"/>
      <c r="KIY23"/>
      <c r="KIZ23"/>
      <c r="KJA23"/>
      <c r="KJB23"/>
      <c r="KJC23"/>
      <c r="KJD23"/>
      <c r="KJE23"/>
      <c r="KJF23"/>
      <c r="KJG23"/>
      <c r="KJH23"/>
      <c r="KJI23"/>
      <c r="KJJ23"/>
      <c r="KJK23"/>
      <c r="KJL23"/>
      <c r="KJM23"/>
      <c r="KJN23"/>
      <c r="KJO23"/>
      <c r="KJP23"/>
      <c r="KJQ23"/>
      <c r="KJR23"/>
      <c r="KJS23"/>
      <c r="KJT23"/>
      <c r="KJU23"/>
      <c r="KJV23"/>
      <c r="KJW23"/>
      <c r="KJX23"/>
      <c r="KJY23"/>
      <c r="KJZ23"/>
      <c r="KKA23"/>
      <c r="KKB23"/>
      <c r="KKC23"/>
      <c r="KKD23"/>
      <c r="KKE23"/>
      <c r="KKF23"/>
      <c r="KKG23"/>
      <c r="KKH23"/>
      <c r="KKI23"/>
      <c r="KKJ23"/>
      <c r="KKK23"/>
      <c r="KKL23"/>
      <c r="KKM23"/>
      <c r="KKN23"/>
      <c r="KKO23"/>
      <c r="KKP23"/>
      <c r="KKQ23"/>
      <c r="KKR23"/>
      <c r="KKS23"/>
      <c r="KKT23"/>
      <c r="KKU23"/>
      <c r="KKV23"/>
      <c r="KKW23"/>
      <c r="KKX23"/>
      <c r="KKY23"/>
      <c r="KKZ23"/>
      <c r="KLA23"/>
      <c r="KLB23"/>
      <c r="KLC23"/>
      <c r="KLD23"/>
      <c r="KLE23"/>
      <c r="KLF23"/>
      <c r="KLG23"/>
      <c r="KLH23"/>
      <c r="KLI23"/>
      <c r="KLJ23"/>
      <c r="KLK23"/>
      <c r="KLL23"/>
      <c r="KLM23"/>
      <c r="KLN23"/>
      <c r="KLO23"/>
      <c r="KLP23"/>
      <c r="KLQ23"/>
      <c r="KLR23"/>
      <c r="KLS23"/>
      <c r="KLT23"/>
      <c r="KLU23"/>
      <c r="KLV23"/>
      <c r="KLW23"/>
      <c r="KLX23"/>
      <c r="KLY23"/>
      <c r="KLZ23"/>
      <c r="KMA23"/>
      <c r="KMB23"/>
      <c r="KMC23"/>
      <c r="KMD23"/>
      <c r="KME23"/>
      <c r="KMF23"/>
      <c r="KMG23"/>
      <c r="KMH23"/>
      <c r="KMI23"/>
      <c r="KMJ23"/>
      <c r="KMK23"/>
      <c r="KML23"/>
      <c r="KMM23"/>
      <c r="KMN23"/>
      <c r="KMO23"/>
      <c r="KMP23"/>
      <c r="KMQ23"/>
      <c r="KMR23"/>
      <c r="KMS23"/>
      <c r="KMT23"/>
      <c r="KMU23"/>
      <c r="KMV23"/>
      <c r="KMW23"/>
      <c r="KMX23"/>
      <c r="KMY23"/>
      <c r="KMZ23"/>
      <c r="KNA23"/>
      <c r="KNB23"/>
      <c r="KNC23"/>
      <c r="KND23"/>
      <c r="KNE23"/>
      <c r="KNF23"/>
      <c r="KNG23"/>
      <c r="KNH23"/>
      <c r="KNI23"/>
      <c r="KNJ23"/>
      <c r="KNK23"/>
      <c r="KNL23"/>
      <c r="KNM23"/>
      <c r="KNN23"/>
      <c r="KNO23"/>
      <c r="KNP23"/>
      <c r="KNQ23"/>
      <c r="KNR23"/>
      <c r="KNS23"/>
      <c r="KNT23"/>
      <c r="KNU23"/>
      <c r="KNV23"/>
      <c r="KNW23"/>
      <c r="KNX23"/>
      <c r="KNY23"/>
      <c r="KNZ23"/>
      <c r="KOA23"/>
      <c r="KOB23"/>
      <c r="KOC23"/>
      <c r="KOD23"/>
      <c r="KOE23"/>
      <c r="KOF23"/>
      <c r="KOG23"/>
      <c r="KOH23"/>
      <c r="KOI23"/>
      <c r="KOJ23"/>
      <c r="KOK23"/>
      <c r="KOL23"/>
      <c r="KOM23"/>
      <c r="KON23"/>
      <c r="KOO23"/>
      <c r="KOP23"/>
      <c r="KOQ23"/>
      <c r="KOR23"/>
      <c r="KOS23"/>
      <c r="KOT23"/>
      <c r="KOU23"/>
      <c r="KOV23"/>
      <c r="KOW23"/>
      <c r="KOX23"/>
      <c r="KOY23"/>
      <c r="KOZ23"/>
      <c r="KPA23"/>
      <c r="KPB23"/>
      <c r="KPC23"/>
      <c r="KPD23"/>
      <c r="KPE23"/>
      <c r="KPF23"/>
      <c r="KPG23"/>
      <c r="KPH23"/>
      <c r="KPI23"/>
      <c r="KPJ23"/>
      <c r="KPK23"/>
      <c r="KPL23"/>
      <c r="KPM23"/>
      <c r="KPN23"/>
      <c r="KPO23"/>
      <c r="KPP23"/>
      <c r="KPQ23"/>
      <c r="KPR23"/>
      <c r="KPS23"/>
      <c r="KPT23"/>
      <c r="KPU23"/>
      <c r="KPV23"/>
      <c r="KPW23"/>
      <c r="KPX23"/>
      <c r="KPY23"/>
      <c r="KPZ23"/>
      <c r="KQA23"/>
      <c r="KQB23"/>
      <c r="KQC23"/>
      <c r="KQD23"/>
      <c r="KQE23"/>
      <c r="KQF23"/>
      <c r="KQG23"/>
      <c r="KQH23"/>
      <c r="KQI23"/>
      <c r="KQJ23"/>
      <c r="KQK23"/>
      <c r="KQL23"/>
      <c r="KQM23"/>
      <c r="KQN23"/>
      <c r="KQO23"/>
      <c r="KQP23"/>
      <c r="KQQ23"/>
      <c r="KQR23"/>
      <c r="KQS23"/>
      <c r="KQT23"/>
      <c r="KQU23"/>
      <c r="KQV23"/>
      <c r="KQW23"/>
      <c r="KQX23"/>
      <c r="KQY23"/>
      <c r="KQZ23"/>
      <c r="KRA23"/>
      <c r="KRB23"/>
      <c r="KRC23"/>
      <c r="KRD23"/>
      <c r="KRE23"/>
      <c r="KRF23"/>
      <c r="KRG23"/>
      <c r="KRH23"/>
      <c r="KRI23"/>
      <c r="KRJ23"/>
      <c r="KRK23"/>
      <c r="KRL23"/>
      <c r="KRM23"/>
      <c r="KRN23"/>
      <c r="KRO23"/>
      <c r="KRP23"/>
      <c r="KRQ23"/>
      <c r="KRR23"/>
      <c r="KRS23"/>
      <c r="KRT23"/>
      <c r="KRU23"/>
      <c r="KRV23"/>
      <c r="KRW23"/>
      <c r="KRX23"/>
      <c r="KRY23"/>
      <c r="KRZ23"/>
      <c r="KSA23"/>
      <c r="KSB23"/>
      <c r="KSC23"/>
      <c r="KSD23"/>
      <c r="KSE23"/>
      <c r="KSF23"/>
      <c r="KSG23"/>
      <c r="KSH23"/>
      <c r="KSI23"/>
      <c r="KSJ23"/>
      <c r="KSK23"/>
      <c r="KSL23"/>
      <c r="KSM23"/>
      <c r="KSN23"/>
      <c r="KSO23"/>
      <c r="KSP23"/>
      <c r="KSQ23"/>
      <c r="KSR23"/>
      <c r="KSS23"/>
      <c r="KST23"/>
      <c r="KSU23"/>
      <c r="KSV23"/>
      <c r="KSW23"/>
      <c r="KSX23"/>
      <c r="KSY23"/>
      <c r="KSZ23"/>
      <c r="KTA23"/>
      <c r="KTB23"/>
      <c r="KTC23"/>
      <c r="KTD23"/>
      <c r="KTE23"/>
      <c r="KTF23"/>
      <c r="KTG23"/>
      <c r="KTH23"/>
      <c r="KTI23"/>
      <c r="KTJ23"/>
      <c r="KTK23"/>
      <c r="KTL23"/>
      <c r="KTM23"/>
      <c r="KTN23"/>
      <c r="KTO23"/>
      <c r="KTP23"/>
      <c r="KTQ23"/>
      <c r="KTR23"/>
      <c r="KTS23"/>
      <c r="KTT23"/>
      <c r="KTU23"/>
      <c r="KTV23"/>
      <c r="KTW23"/>
      <c r="KTX23"/>
      <c r="KTY23"/>
      <c r="KTZ23"/>
      <c r="KUA23"/>
      <c r="KUB23"/>
      <c r="KUC23"/>
      <c r="KUD23"/>
      <c r="KUE23"/>
      <c r="KUF23"/>
      <c r="KUG23"/>
      <c r="KUH23"/>
      <c r="KUI23"/>
      <c r="KUJ23"/>
      <c r="KUK23"/>
      <c r="KUL23"/>
      <c r="KUM23"/>
      <c r="KUN23"/>
      <c r="KUO23"/>
      <c r="KUP23"/>
      <c r="KUQ23"/>
      <c r="KUR23"/>
      <c r="KUS23"/>
      <c r="KUT23"/>
      <c r="KUU23"/>
      <c r="KUV23"/>
      <c r="KUW23"/>
      <c r="KUX23"/>
      <c r="KUY23"/>
      <c r="KUZ23"/>
      <c r="KVA23"/>
      <c r="KVB23"/>
      <c r="KVC23"/>
      <c r="KVD23"/>
      <c r="KVE23"/>
      <c r="KVF23"/>
      <c r="KVG23"/>
      <c r="KVH23"/>
      <c r="KVI23"/>
      <c r="KVJ23"/>
      <c r="KVK23"/>
      <c r="KVL23"/>
      <c r="KVM23"/>
      <c r="KVN23"/>
      <c r="KVO23"/>
      <c r="KVP23"/>
      <c r="KVQ23"/>
      <c r="KVR23"/>
      <c r="KVS23"/>
      <c r="KVT23"/>
      <c r="KVU23"/>
      <c r="KVV23"/>
      <c r="KVW23"/>
      <c r="KVX23"/>
      <c r="KVY23"/>
      <c r="KVZ23"/>
      <c r="KWA23"/>
      <c r="KWB23"/>
      <c r="KWC23"/>
      <c r="KWD23"/>
      <c r="KWE23"/>
      <c r="KWF23"/>
      <c r="KWG23"/>
      <c r="KWH23"/>
      <c r="KWI23"/>
      <c r="KWJ23"/>
      <c r="KWK23"/>
      <c r="KWL23"/>
      <c r="KWM23"/>
      <c r="KWN23"/>
      <c r="KWO23"/>
      <c r="KWP23"/>
      <c r="KWQ23"/>
      <c r="KWR23"/>
      <c r="KWS23"/>
      <c r="KWT23"/>
      <c r="KWU23"/>
      <c r="KWV23"/>
      <c r="KWW23"/>
      <c r="KWX23"/>
      <c r="KWY23"/>
      <c r="KWZ23"/>
      <c r="KXA23"/>
      <c r="KXB23"/>
      <c r="KXC23"/>
      <c r="KXD23"/>
      <c r="KXE23"/>
      <c r="KXF23"/>
      <c r="KXG23"/>
      <c r="KXH23"/>
      <c r="KXI23"/>
      <c r="KXJ23"/>
      <c r="KXK23"/>
      <c r="KXL23"/>
      <c r="KXM23"/>
      <c r="KXN23"/>
      <c r="KXO23"/>
      <c r="KXP23"/>
      <c r="KXQ23"/>
      <c r="KXR23"/>
      <c r="KXS23"/>
      <c r="KXT23"/>
      <c r="KXU23"/>
      <c r="KXV23"/>
      <c r="KXW23"/>
      <c r="KXX23"/>
      <c r="KXY23"/>
      <c r="KXZ23"/>
      <c r="KYA23"/>
      <c r="KYB23"/>
      <c r="KYC23"/>
      <c r="KYD23"/>
      <c r="KYE23"/>
      <c r="KYF23"/>
      <c r="KYG23"/>
      <c r="KYH23"/>
      <c r="KYI23"/>
      <c r="KYJ23"/>
      <c r="KYK23"/>
      <c r="KYL23"/>
      <c r="KYM23"/>
      <c r="KYN23"/>
      <c r="KYO23"/>
      <c r="KYP23"/>
      <c r="KYQ23"/>
      <c r="KYR23"/>
      <c r="KYS23"/>
      <c r="KYT23"/>
      <c r="KYU23"/>
      <c r="KYV23"/>
      <c r="KYW23"/>
      <c r="KYX23"/>
      <c r="KYY23"/>
      <c r="KYZ23"/>
      <c r="KZA23"/>
      <c r="KZB23"/>
      <c r="KZC23"/>
      <c r="KZD23"/>
      <c r="KZE23"/>
      <c r="KZF23"/>
      <c r="KZG23"/>
      <c r="KZH23"/>
      <c r="KZI23"/>
      <c r="KZJ23"/>
      <c r="KZK23"/>
      <c r="KZL23"/>
      <c r="KZM23"/>
      <c r="KZN23"/>
      <c r="KZO23"/>
      <c r="KZP23"/>
      <c r="KZQ23"/>
      <c r="KZR23"/>
      <c r="KZS23"/>
      <c r="KZT23"/>
      <c r="KZU23"/>
      <c r="KZV23"/>
      <c r="KZW23"/>
      <c r="KZX23"/>
      <c r="KZY23"/>
      <c r="KZZ23"/>
      <c r="LAA23"/>
      <c r="LAB23"/>
      <c r="LAC23"/>
      <c r="LAD23"/>
      <c r="LAE23"/>
      <c r="LAF23"/>
      <c r="LAG23"/>
      <c r="LAH23"/>
      <c r="LAI23"/>
      <c r="LAJ23"/>
      <c r="LAK23"/>
      <c r="LAL23"/>
      <c r="LAM23"/>
      <c r="LAN23"/>
      <c r="LAO23"/>
      <c r="LAP23"/>
      <c r="LAQ23"/>
      <c r="LAR23"/>
      <c r="LAS23"/>
      <c r="LAT23"/>
      <c r="LAU23"/>
      <c r="LAV23"/>
      <c r="LAW23"/>
      <c r="LAX23"/>
      <c r="LAY23"/>
      <c r="LAZ23"/>
      <c r="LBA23"/>
      <c r="LBB23"/>
      <c r="LBC23"/>
      <c r="LBD23"/>
      <c r="LBE23"/>
      <c r="LBF23"/>
      <c r="LBG23"/>
      <c r="LBH23"/>
      <c r="LBI23"/>
      <c r="LBJ23"/>
      <c r="LBK23"/>
      <c r="LBL23"/>
      <c r="LBM23"/>
      <c r="LBN23"/>
      <c r="LBO23"/>
      <c r="LBP23"/>
      <c r="LBQ23"/>
      <c r="LBR23"/>
      <c r="LBS23"/>
      <c r="LBT23"/>
      <c r="LBU23"/>
      <c r="LBV23"/>
      <c r="LBW23"/>
      <c r="LBX23"/>
      <c r="LBY23"/>
      <c r="LBZ23"/>
      <c r="LCA23"/>
      <c r="LCB23"/>
      <c r="LCC23"/>
      <c r="LCD23"/>
      <c r="LCE23"/>
      <c r="LCF23"/>
      <c r="LCG23"/>
      <c r="LCH23"/>
      <c r="LCI23"/>
      <c r="LCJ23"/>
      <c r="LCK23"/>
      <c r="LCL23"/>
      <c r="LCM23"/>
      <c r="LCN23"/>
      <c r="LCO23"/>
      <c r="LCP23"/>
      <c r="LCQ23"/>
      <c r="LCR23"/>
      <c r="LCS23"/>
      <c r="LCT23"/>
      <c r="LCU23"/>
      <c r="LCV23"/>
      <c r="LCW23"/>
      <c r="LCX23"/>
      <c r="LCY23"/>
      <c r="LCZ23"/>
      <c r="LDA23"/>
      <c r="LDB23"/>
      <c r="LDC23"/>
      <c r="LDD23"/>
      <c r="LDE23"/>
      <c r="LDF23"/>
      <c r="LDG23"/>
      <c r="LDH23"/>
      <c r="LDI23"/>
      <c r="LDJ23"/>
      <c r="LDK23"/>
      <c r="LDL23"/>
      <c r="LDM23"/>
      <c r="LDN23"/>
      <c r="LDO23"/>
      <c r="LDP23"/>
      <c r="LDQ23"/>
      <c r="LDR23"/>
      <c r="LDS23"/>
      <c r="LDT23"/>
      <c r="LDU23"/>
      <c r="LDV23"/>
      <c r="LDW23"/>
      <c r="LDX23"/>
      <c r="LDY23"/>
      <c r="LDZ23"/>
      <c r="LEA23"/>
      <c r="LEB23"/>
      <c r="LEC23"/>
      <c r="LED23"/>
      <c r="LEE23"/>
      <c r="LEF23"/>
      <c r="LEG23"/>
      <c r="LEH23"/>
      <c r="LEI23"/>
      <c r="LEJ23"/>
      <c r="LEK23"/>
      <c r="LEL23"/>
      <c r="LEM23"/>
      <c r="LEN23"/>
      <c r="LEO23"/>
      <c r="LEP23"/>
      <c r="LEQ23"/>
      <c r="LER23"/>
      <c r="LES23"/>
      <c r="LET23"/>
      <c r="LEU23"/>
      <c r="LEV23"/>
      <c r="LEW23"/>
      <c r="LEX23"/>
      <c r="LEY23"/>
      <c r="LEZ23"/>
      <c r="LFA23"/>
      <c r="LFB23"/>
      <c r="LFC23"/>
      <c r="LFD23"/>
      <c r="LFE23"/>
      <c r="LFF23"/>
      <c r="LFG23"/>
      <c r="LFH23"/>
      <c r="LFI23"/>
      <c r="LFJ23"/>
      <c r="LFK23"/>
      <c r="LFL23"/>
      <c r="LFM23"/>
      <c r="LFN23"/>
      <c r="LFO23"/>
      <c r="LFP23"/>
      <c r="LFQ23"/>
      <c r="LFR23"/>
      <c r="LFS23"/>
      <c r="LFT23"/>
      <c r="LFU23"/>
      <c r="LFV23"/>
      <c r="LFW23"/>
      <c r="LFX23"/>
      <c r="LFY23"/>
      <c r="LFZ23"/>
      <c r="LGA23"/>
      <c r="LGB23"/>
      <c r="LGC23"/>
      <c r="LGD23"/>
      <c r="LGE23"/>
      <c r="LGF23"/>
      <c r="LGG23"/>
      <c r="LGH23"/>
      <c r="LGI23"/>
      <c r="LGJ23"/>
      <c r="LGK23"/>
      <c r="LGL23"/>
      <c r="LGM23"/>
      <c r="LGN23"/>
      <c r="LGO23"/>
      <c r="LGP23"/>
      <c r="LGQ23"/>
      <c r="LGR23"/>
      <c r="LGS23"/>
      <c r="LGT23"/>
      <c r="LGU23"/>
      <c r="LGV23"/>
      <c r="LGW23"/>
      <c r="LGX23"/>
      <c r="LGY23"/>
      <c r="LGZ23"/>
      <c r="LHA23"/>
      <c r="LHB23"/>
      <c r="LHC23"/>
      <c r="LHD23"/>
      <c r="LHE23"/>
      <c r="LHF23"/>
      <c r="LHG23"/>
      <c r="LHH23"/>
      <c r="LHI23"/>
      <c r="LHJ23"/>
      <c r="LHK23"/>
      <c r="LHL23"/>
      <c r="LHM23"/>
      <c r="LHN23"/>
      <c r="LHO23"/>
      <c r="LHP23"/>
      <c r="LHQ23"/>
      <c r="LHR23"/>
      <c r="LHS23"/>
      <c r="LHT23"/>
      <c r="LHU23"/>
      <c r="LHV23"/>
      <c r="LHW23"/>
      <c r="LHX23"/>
      <c r="LHY23"/>
      <c r="LHZ23"/>
      <c r="LIA23"/>
      <c r="LIB23"/>
      <c r="LIC23"/>
      <c r="LID23"/>
      <c r="LIE23"/>
      <c r="LIF23"/>
      <c r="LIG23"/>
      <c r="LIH23"/>
      <c r="LII23"/>
      <c r="LIJ23"/>
      <c r="LIK23"/>
      <c r="LIL23"/>
      <c r="LIM23"/>
      <c r="LIN23"/>
      <c r="LIO23"/>
      <c r="LIP23"/>
      <c r="LIQ23"/>
      <c r="LIR23"/>
      <c r="LIS23"/>
      <c r="LIT23"/>
      <c r="LIU23"/>
      <c r="LIV23"/>
      <c r="LIW23"/>
      <c r="LIX23"/>
      <c r="LIY23"/>
      <c r="LIZ23"/>
      <c r="LJA23"/>
      <c r="LJB23"/>
      <c r="LJC23"/>
      <c r="LJD23"/>
      <c r="LJE23"/>
      <c r="LJF23"/>
      <c r="LJG23"/>
      <c r="LJH23"/>
      <c r="LJI23"/>
      <c r="LJJ23"/>
      <c r="LJK23"/>
      <c r="LJL23"/>
      <c r="LJM23"/>
      <c r="LJN23"/>
      <c r="LJO23"/>
      <c r="LJP23"/>
      <c r="LJQ23"/>
      <c r="LJR23"/>
      <c r="LJS23"/>
      <c r="LJT23"/>
      <c r="LJU23"/>
      <c r="LJV23"/>
      <c r="LJW23"/>
      <c r="LJX23"/>
      <c r="LJY23"/>
      <c r="LJZ23"/>
      <c r="LKA23"/>
      <c r="LKB23"/>
      <c r="LKC23"/>
      <c r="LKD23"/>
      <c r="LKE23"/>
      <c r="LKF23"/>
      <c r="LKG23"/>
      <c r="LKH23"/>
      <c r="LKI23"/>
      <c r="LKJ23"/>
      <c r="LKK23"/>
      <c r="LKL23"/>
      <c r="LKM23"/>
      <c r="LKN23"/>
      <c r="LKO23"/>
      <c r="LKP23"/>
      <c r="LKQ23"/>
      <c r="LKR23"/>
      <c r="LKS23"/>
      <c r="LKT23"/>
      <c r="LKU23"/>
      <c r="LKV23"/>
      <c r="LKW23"/>
      <c r="LKX23"/>
      <c r="LKY23"/>
      <c r="LKZ23"/>
      <c r="LLA23"/>
      <c r="LLB23"/>
      <c r="LLC23"/>
      <c r="LLD23"/>
      <c r="LLE23"/>
      <c r="LLF23"/>
      <c r="LLG23"/>
      <c r="LLH23"/>
      <c r="LLI23"/>
      <c r="LLJ23"/>
      <c r="LLK23"/>
      <c r="LLL23"/>
      <c r="LLM23"/>
      <c r="LLN23"/>
      <c r="LLO23"/>
      <c r="LLP23"/>
      <c r="LLQ23"/>
      <c r="LLR23"/>
      <c r="LLS23"/>
      <c r="LLT23"/>
      <c r="LLU23"/>
      <c r="LLV23"/>
      <c r="LLW23"/>
      <c r="LLX23"/>
      <c r="LLY23"/>
      <c r="LLZ23"/>
      <c r="LMA23"/>
      <c r="LMB23"/>
      <c r="LMC23"/>
      <c r="LMD23"/>
      <c r="LME23"/>
      <c r="LMF23"/>
      <c r="LMG23"/>
      <c r="LMH23"/>
      <c r="LMI23"/>
      <c r="LMJ23"/>
      <c r="LMK23"/>
      <c r="LML23"/>
      <c r="LMM23"/>
      <c r="LMN23"/>
      <c r="LMO23"/>
      <c r="LMP23"/>
      <c r="LMQ23"/>
      <c r="LMR23"/>
      <c r="LMS23"/>
      <c r="LMT23"/>
      <c r="LMU23"/>
      <c r="LMV23"/>
      <c r="LMW23"/>
      <c r="LMX23"/>
      <c r="LMY23"/>
      <c r="LMZ23"/>
      <c r="LNA23"/>
      <c r="LNB23"/>
      <c r="LNC23"/>
      <c r="LND23"/>
      <c r="LNE23"/>
      <c r="LNF23"/>
      <c r="LNG23"/>
      <c r="LNH23"/>
      <c r="LNI23"/>
      <c r="LNJ23"/>
      <c r="LNK23"/>
      <c r="LNL23"/>
      <c r="LNM23"/>
      <c r="LNN23"/>
      <c r="LNO23"/>
      <c r="LNP23"/>
      <c r="LNQ23"/>
      <c r="LNR23"/>
      <c r="LNS23"/>
      <c r="LNT23"/>
      <c r="LNU23"/>
      <c r="LNV23"/>
      <c r="LNW23"/>
      <c r="LNX23"/>
      <c r="LNY23"/>
      <c r="LNZ23"/>
      <c r="LOA23"/>
      <c r="LOB23"/>
      <c r="LOC23"/>
      <c r="LOD23"/>
      <c r="LOE23"/>
      <c r="LOF23"/>
      <c r="LOG23"/>
      <c r="LOH23"/>
      <c r="LOI23"/>
      <c r="LOJ23"/>
      <c r="LOK23"/>
      <c r="LOL23"/>
      <c r="LOM23"/>
      <c r="LON23"/>
      <c r="LOO23"/>
      <c r="LOP23"/>
      <c r="LOQ23"/>
      <c r="LOR23"/>
      <c r="LOS23"/>
      <c r="LOT23"/>
      <c r="LOU23"/>
      <c r="LOV23"/>
      <c r="LOW23"/>
      <c r="LOX23"/>
      <c r="LOY23"/>
      <c r="LOZ23"/>
      <c r="LPA23"/>
      <c r="LPB23"/>
      <c r="LPC23"/>
      <c r="LPD23"/>
      <c r="LPE23"/>
      <c r="LPF23"/>
      <c r="LPG23"/>
      <c r="LPH23"/>
      <c r="LPI23"/>
      <c r="LPJ23"/>
      <c r="LPK23"/>
      <c r="LPL23"/>
      <c r="LPM23"/>
      <c r="LPN23"/>
      <c r="LPO23"/>
      <c r="LPP23"/>
      <c r="LPQ23"/>
      <c r="LPR23"/>
      <c r="LPS23"/>
      <c r="LPT23"/>
      <c r="LPU23"/>
      <c r="LPV23"/>
      <c r="LPW23"/>
      <c r="LPX23"/>
      <c r="LPY23"/>
      <c r="LPZ23"/>
      <c r="LQA23"/>
      <c r="LQB23"/>
      <c r="LQC23"/>
      <c r="LQD23"/>
      <c r="LQE23"/>
      <c r="LQF23"/>
      <c r="LQG23"/>
      <c r="LQH23"/>
      <c r="LQI23"/>
      <c r="LQJ23"/>
      <c r="LQK23"/>
      <c r="LQL23"/>
      <c r="LQM23"/>
      <c r="LQN23"/>
      <c r="LQO23"/>
      <c r="LQP23"/>
      <c r="LQQ23"/>
      <c r="LQR23"/>
      <c r="LQS23"/>
      <c r="LQT23"/>
      <c r="LQU23"/>
      <c r="LQV23"/>
      <c r="LQW23"/>
      <c r="LQX23"/>
      <c r="LQY23"/>
      <c r="LQZ23"/>
      <c r="LRA23"/>
      <c r="LRB23"/>
      <c r="LRC23"/>
      <c r="LRD23"/>
      <c r="LRE23"/>
      <c r="LRF23"/>
      <c r="LRG23"/>
      <c r="LRH23"/>
      <c r="LRI23"/>
      <c r="LRJ23"/>
      <c r="LRK23"/>
      <c r="LRL23"/>
      <c r="LRM23"/>
      <c r="LRN23"/>
      <c r="LRO23"/>
      <c r="LRP23"/>
      <c r="LRQ23"/>
      <c r="LRR23"/>
      <c r="LRS23"/>
      <c r="LRT23"/>
      <c r="LRU23"/>
      <c r="LRV23"/>
      <c r="LRW23"/>
      <c r="LRX23"/>
      <c r="LRY23"/>
      <c r="LRZ23"/>
      <c r="LSA23"/>
      <c r="LSB23"/>
      <c r="LSC23"/>
      <c r="LSD23"/>
      <c r="LSE23"/>
      <c r="LSF23"/>
      <c r="LSG23"/>
      <c r="LSH23"/>
      <c r="LSI23"/>
      <c r="LSJ23"/>
      <c r="LSK23"/>
      <c r="LSL23"/>
      <c r="LSM23"/>
      <c r="LSN23"/>
      <c r="LSO23"/>
      <c r="LSP23"/>
      <c r="LSQ23"/>
      <c r="LSR23"/>
      <c r="LSS23"/>
      <c r="LST23"/>
      <c r="LSU23"/>
      <c r="LSV23"/>
      <c r="LSW23"/>
      <c r="LSX23"/>
      <c r="LSY23"/>
      <c r="LSZ23"/>
      <c r="LTA23"/>
      <c r="LTB23"/>
      <c r="LTC23"/>
      <c r="LTD23"/>
      <c r="LTE23"/>
      <c r="LTF23"/>
      <c r="LTG23"/>
      <c r="LTH23"/>
      <c r="LTI23"/>
      <c r="LTJ23"/>
      <c r="LTK23"/>
      <c r="LTL23"/>
      <c r="LTM23"/>
      <c r="LTN23"/>
      <c r="LTO23"/>
      <c r="LTP23"/>
      <c r="LTQ23"/>
      <c r="LTR23"/>
      <c r="LTS23"/>
      <c r="LTT23"/>
      <c r="LTU23"/>
      <c r="LTV23"/>
      <c r="LTW23"/>
      <c r="LTX23"/>
      <c r="LTY23"/>
      <c r="LTZ23"/>
      <c r="LUA23"/>
      <c r="LUB23"/>
      <c r="LUC23"/>
      <c r="LUD23"/>
      <c r="LUE23"/>
      <c r="LUF23"/>
      <c r="LUG23"/>
      <c r="LUH23"/>
      <c r="LUI23"/>
      <c r="LUJ23"/>
      <c r="LUK23"/>
      <c r="LUL23"/>
      <c r="LUM23"/>
      <c r="LUN23"/>
      <c r="LUO23"/>
      <c r="LUP23"/>
      <c r="LUQ23"/>
      <c r="LUR23"/>
      <c r="LUS23"/>
      <c r="LUT23"/>
      <c r="LUU23"/>
      <c r="LUV23"/>
      <c r="LUW23"/>
      <c r="LUX23"/>
      <c r="LUY23"/>
      <c r="LUZ23"/>
      <c r="LVA23"/>
      <c r="LVB23"/>
      <c r="LVC23"/>
      <c r="LVD23"/>
      <c r="LVE23"/>
      <c r="LVF23"/>
      <c r="LVG23"/>
      <c r="LVH23"/>
      <c r="LVI23"/>
      <c r="LVJ23"/>
      <c r="LVK23"/>
      <c r="LVL23"/>
      <c r="LVM23"/>
      <c r="LVN23"/>
      <c r="LVO23"/>
      <c r="LVP23"/>
      <c r="LVQ23"/>
      <c r="LVR23"/>
      <c r="LVS23"/>
      <c r="LVT23"/>
      <c r="LVU23"/>
      <c r="LVV23"/>
      <c r="LVW23"/>
      <c r="LVX23"/>
      <c r="LVY23"/>
      <c r="LVZ23"/>
      <c r="LWA23"/>
      <c r="LWB23"/>
      <c r="LWC23"/>
      <c r="LWD23"/>
      <c r="LWE23"/>
      <c r="LWF23"/>
      <c r="LWG23"/>
      <c r="LWH23"/>
      <c r="LWI23"/>
      <c r="LWJ23"/>
      <c r="LWK23"/>
      <c r="LWL23"/>
      <c r="LWM23"/>
      <c r="LWN23"/>
      <c r="LWO23"/>
      <c r="LWP23"/>
      <c r="LWQ23"/>
      <c r="LWR23"/>
      <c r="LWS23"/>
      <c r="LWT23"/>
      <c r="LWU23"/>
      <c r="LWV23"/>
      <c r="LWW23"/>
      <c r="LWX23"/>
      <c r="LWY23"/>
      <c r="LWZ23"/>
      <c r="LXA23"/>
      <c r="LXB23"/>
      <c r="LXC23"/>
      <c r="LXD23"/>
      <c r="LXE23"/>
      <c r="LXF23"/>
      <c r="LXG23"/>
      <c r="LXH23"/>
      <c r="LXI23"/>
      <c r="LXJ23"/>
      <c r="LXK23"/>
      <c r="LXL23"/>
      <c r="LXM23"/>
      <c r="LXN23"/>
      <c r="LXO23"/>
      <c r="LXP23"/>
      <c r="LXQ23"/>
      <c r="LXR23"/>
      <c r="LXS23"/>
      <c r="LXT23"/>
      <c r="LXU23"/>
      <c r="LXV23"/>
      <c r="LXW23"/>
      <c r="LXX23"/>
      <c r="LXY23"/>
      <c r="LXZ23"/>
      <c r="LYA23"/>
      <c r="LYB23"/>
      <c r="LYC23"/>
      <c r="LYD23"/>
      <c r="LYE23"/>
      <c r="LYF23"/>
      <c r="LYG23"/>
      <c r="LYH23"/>
      <c r="LYI23"/>
      <c r="LYJ23"/>
      <c r="LYK23"/>
      <c r="LYL23"/>
      <c r="LYM23"/>
      <c r="LYN23"/>
      <c r="LYO23"/>
      <c r="LYP23"/>
      <c r="LYQ23"/>
      <c r="LYR23"/>
      <c r="LYS23"/>
      <c r="LYT23"/>
      <c r="LYU23"/>
      <c r="LYV23"/>
      <c r="LYW23"/>
      <c r="LYX23"/>
      <c r="LYY23"/>
      <c r="LYZ23"/>
      <c r="LZA23"/>
      <c r="LZB23"/>
      <c r="LZC23"/>
      <c r="LZD23"/>
      <c r="LZE23"/>
      <c r="LZF23"/>
      <c r="LZG23"/>
      <c r="LZH23"/>
      <c r="LZI23"/>
      <c r="LZJ23"/>
      <c r="LZK23"/>
      <c r="LZL23"/>
      <c r="LZM23"/>
      <c r="LZN23"/>
      <c r="LZO23"/>
      <c r="LZP23"/>
      <c r="LZQ23"/>
      <c r="LZR23"/>
      <c r="LZS23"/>
      <c r="LZT23"/>
      <c r="LZU23"/>
      <c r="LZV23"/>
      <c r="LZW23"/>
      <c r="LZX23"/>
      <c r="LZY23"/>
      <c r="LZZ23"/>
      <c r="MAA23"/>
      <c r="MAB23"/>
      <c r="MAC23"/>
      <c r="MAD23"/>
      <c r="MAE23"/>
      <c r="MAF23"/>
      <c r="MAG23"/>
      <c r="MAH23"/>
      <c r="MAI23"/>
      <c r="MAJ23"/>
      <c r="MAK23"/>
      <c r="MAL23"/>
      <c r="MAM23"/>
      <c r="MAN23"/>
      <c r="MAO23"/>
      <c r="MAP23"/>
      <c r="MAQ23"/>
      <c r="MAR23"/>
      <c r="MAS23"/>
      <c r="MAT23"/>
      <c r="MAU23"/>
      <c r="MAV23"/>
      <c r="MAW23"/>
      <c r="MAX23"/>
      <c r="MAY23"/>
      <c r="MAZ23"/>
      <c r="MBA23"/>
      <c r="MBB23"/>
      <c r="MBC23"/>
      <c r="MBD23"/>
      <c r="MBE23"/>
      <c r="MBF23"/>
      <c r="MBG23"/>
      <c r="MBH23"/>
      <c r="MBI23"/>
      <c r="MBJ23"/>
      <c r="MBK23"/>
      <c r="MBL23"/>
      <c r="MBM23"/>
      <c r="MBN23"/>
      <c r="MBO23"/>
      <c r="MBP23"/>
      <c r="MBQ23"/>
      <c r="MBR23"/>
      <c r="MBS23"/>
      <c r="MBT23"/>
      <c r="MBU23"/>
      <c r="MBV23"/>
      <c r="MBW23"/>
      <c r="MBX23"/>
      <c r="MBY23"/>
      <c r="MBZ23"/>
      <c r="MCA23"/>
      <c r="MCB23"/>
      <c r="MCC23"/>
      <c r="MCD23"/>
      <c r="MCE23"/>
      <c r="MCF23"/>
      <c r="MCG23"/>
      <c r="MCH23"/>
      <c r="MCI23"/>
      <c r="MCJ23"/>
      <c r="MCK23"/>
      <c r="MCL23"/>
      <c r="MCM23"/>
      <c r="MCN23"/>
      <c r="MCO23"/>
      <c r="MCP23"/>
      <c r="MCQ23"/>
      <c r="MCR23"/>
      <c r="MCS23"/>
      <c r="MCT23"/>
      <c r="MCU23"/>
      <c r="MCV23"/>
      <c r="MCW23"/>
      <c r="MCX23"/>
      <c r="MCY23"/>
      <c r="MCZ23"/>
      <c r="MDA23"/>
      <c r="MDB23"/>
      <c r="MDC23"/>
      <c r="MDD23"/>
      <c r="MDE23"/>
      <c r="MDF23"/>
      <c r="MDG23"/>
      <c r="MDH23"/>
      <c r="MDI23"/>
      <c r="MDJ23"/>
      <c r="MDK23"/>
      <c r="MDL23"/>
      <c r="MDM23"/>
      <c r="MDN23"/>
      <c r="MDO23"/>
      <c r="MDP23"/>
      <c r="MDQ23"/>
      <c r="MDR23"/>
      <c r="MDS23"/>
      <c r="MDT23"/>
      <c r="MDU23"/>
      <c r="MDV23"/>
      <c r="MDW23"/>
      <c r="MDX23"/>
      <c r="MDY23"/>
      <c r="MDZ23"/>
      <c r="MEA23"/>
      <c r="MEB23"/>
      <c r="MEC23"/>
      <c r="MED23"/>
      <c r="MEE23"/>
      <c r="MEF23"/>
      <c r="MEG23"/>
      <c r="MEH23"/>
      <c r="MEI23"/>
      <c r="MEJ23"/>
      <c r="MEK23"/>
      <c r="MEL23"/>
      <c r="MEM23"/>
      <c r="MEN23"/>
      <c r="MEO23"/>
      <c r="MEP23"/>
      <c r="MEQ23"/>
      <c r="MER23"/>
      <c r="MES23"/>
      <c r="MET23"/>
      <c r="MEU23"/>
      <c r="MEV23"/>
      <c r="MEW23"/>
      <c r="MEX23"/>
      <c r="MEY23"/>
      <c r="MEZ23"/>
      <c r="MFA23"/>
      <c r="MFB23"/>
      <c r="MFC23"/>
      <c r="MFD23"/>
      <c r="MFE23"/>
      <c r="MFF23"/>
      <c r="MFG23"/>
      <c r="MFH23"/>
      <c r="MFI23"/>
      <c r="MFJ23"/>
      <c r="MFK23"/>
      <c r="MFL23"/>
      <c r="MFM23"/>
      <c r="MFN23"/>
      <c r="MFO23"/>
      <c r="MFP23"/>
      <c r="MFQ23"/>
      <c r="MFR23"/>
      <c r="MFS23"/>
      <c r="MFT23"/>
      <c r="MFU23"/>
      <c r="MFV23"/>
      <c r="MFW23"/>
      <c r="MFX23"/>
      <c r="MFY23"/>
      <c r="MFZ23"/>
      <c r="MGA23"/>
      <c r="MGB23"/>
      <c r="MGC23"/>
      <c r="MGD23"/>
      <c r="MGE23"/>
      <c r="MGF23"/>
      <c r="MGG23"/>
      <c r="MGH23"/>
      <c r="MGI23"/>
      <c r="MGJ23"/>
      <c r="MGK23"/>
      <c r="MGL23"/>
      <c r="MGM23"/>
      <c r="MGN23"/>
      <c r="MGO23"/>
      <c r="MGP23"/>
      <c r="MGQ23"/>
      <c r="MGR23"/>
      <c r="MGS23"/>
      <c r="MGT23"/>
      <c r="MGU23"/>
      <c r="MGV23"/>
      <c r="MGW23"/>
      <c r="MGX23"/>
      <c r="MGY23"/>
      <c r="MGZ23"/>
      <c r="MHA23"/>
      <c r="MHB23"/>
      <c r="MHC23"/>
      <c r="MHD23"/>
      <c r="MHE23"/>
      <c r="MHF23"/>
      <c r="MHG23"/>
      <c r="MHH23"/>
      <c r="MHI23"/>
      <c r="MHJ23"/>
      <c r="MHK23"/>
      <c r="MHL23"/>
      <c r="MHM23"/>
      <c r="MHN23"/>
      <c r="MHO23"/>
      <c r="MHP23"/>
      <c r="MHQ23"/>
      <c r="MHR23"/>
      <c r="MHS23"/>
      <c r="MHT23"/>
      <c r="MHU23"/>
      <c r="MHV23"/>
      <c r="MHW23"/>
      <c r="MHX23"/>
      <c r="MHY23"/>
      <c r="MHZ23"/>
      <c r="MIA23"/>
      <c r="MIB23"/>
      <c r="MIC23"/>
      <c r="MID23"/>
      <c r="MIE23"/>
      <c r="MIF23"/>
      <c r="MIG23"/>
      <c r="MIH23"/>
      <c r="MII23"/>
      <c r="MIJ23"/>
      <c r="MIK23"/>
      <c r="MIL23"/>
      <c r="MIM23"/>
      <c r="MIN23"/>
      <c r="MIO23"/>
      <c r="MIP23"/>
      <c r="MIQ23"/>
      <c r="MIR23"/>
      <c r="MIS23"/>
      <c r="MIT23"/>
      <c r="MIU23"/>
      <c r="MIV23"/>
      <c r="MIW23"/>
      <c r="MIX23"/>
      <c r="MIY23"/>
      <c r="MIZ23"/>
      <c r="MJA23"/>
      <c r="MJB23"/>
      <c r="MJC23"/>
      <c r="MJD23"/>
      <c r="MJE23"/>
      <c r="MJF23"/>
      <c r="MJG23"/>
      <c r="MJH23"/>
      <c r="MJI23"/>
      <c r="MJJ23"/>
      <c r="MJK23"/>
      <c r="MJL23"/>
      <c r="MJM23"/>
      <c r="MJN23"/>
      <c r="MJO23"/>
      <c r="MJP23"/>
      <c r="MJQ23"/>
      <c r="MJR23"/>
      <c r="MJS23"/>
      <c r="MJT23"/>
      <c r="MJU23"/>
      <c r="MJV23"/>
      <c r="MJW23"/>
      <c r="MJX23"/>
      <c r="MJY23"/>
      <c r="MJZ23"/>
      <c r="MKA23"/>
      <c r="MKB23"/>
      <c r="MKC23"/>
      <c r="MKD23"/>
      <c r="MKE23"/>
      <c r="MKF23"/>
      <c r="MKG23"/>
      <c r="MKH23"/>
      <c r="MKI23"/>
      <c r="MKJ23"/>
      <c r="MKK23"/>
      <c r="MKL23"/>
      <c r="MKM23"/>
      <c r="MKN23"/>
      <c r="MKO23"/>
      <c r="MKP23"/>
      <c r="MKQ23"/>
      <c r="MKR23"/>
      <c r="MKS23"/>
      <c r="MKT23"/>
      <c r="MKU23"/>
      <c r="MKV23"/>
      <c r="MKW23"/>
      <c r="MKX23"/>
      <c r="MKY23"/>
      <c r="MKZ23"/>
      <c r="MLA23"/>
      <c r="MLB23"/>
      <c r="MLC23"/>
      <c r="MLD23"/>
      <c r="MLE23"/>
      <c r="MLF23"/>
      <c r="MLG23"/>
      <c r="MLH23"/>
      <c r="MLI23"/>
      <c r="MLJ23"/>
      <c r="MLK23"/>
      <c r="MLL23"/>
      <c r="MLM23"/>
      <c r="MLN23"/>
      <c r="MLO23"/>
      <c r="MLP23"/>
      <c r="MLQ23"/>
      <c r="MLR23"/>
      <c r="MLS23"/>
      <c r="MLT23"/>
      <c r="MLU23"/>
      <c r="MLV23"/>
      <c r="MLW23"/>
      <c r="MLX23"/>
      <c r="MLY23"/>
      <c r="MLZ23"/>
      <c r="MMA23"/>
      <c r="MMB23"/>
      <c r="MMC23"/>
      <c r="MMD23"/>
      <c r="MME23"/>
      <c r="MMF23"/>
      <c r="MMG23"/>
      <c r="MMH23"/>
      <c r="MMI23"/>
      <c r="MMJ23"/>
      <c r="MMK23"/>
      <c r="MML23"/>
      <c r="MMM23"/>
      <c r="MMN23"/>
      <c r="MMO23"/>
      <c r="MMP23"/>
      <c r="MMQ23"/>
      <c r="MMR23"/>
      <c r="MMS23"/>
      <c r="MMT23"/>
      <c r="MMU23"/>
      <c r="MMV23"/>
      <c r="MMW23"/>
      <c r="MMX23"/>
      <c r="MMY23"/>
      <c r="MMZ23"/>
      <c r="MNA23"/>
      <c r="MNB23"/>
      <c r="MNC23"/>
      <c r="MND23"/>
      <c r="MNE23"/>
      <c r="MNF23"/>
      <c r="MNG23"/>
      <c r="MNH23"/>
      <c r="MNI23"/>
      <c r="MNJ23"/>
      <c r="MNK23"/>
      <c r="MNL23"/>
      <c r="MNM23"/>
      <c r="MNN23"/>
      <c r="MNO23"/>
      <c r="MNP23"/>
      <c r="MNQ23"/>
      <c r="MNR23"/>
      <c r="MNS23"/>
      <c r="MNT23"/>
      <c r="MNU23"/>
      <c r="MNV23"/>
      <c r="MNW23"/>
      <c r="MNX23"/>
      <c r="MNY23"/>
      <c r="MNZ23"/>
      <c r="MOA23"/>
      <c r="MOB23"/>
      <c r="MOC23"/>
      <c r="MOD23"/>
      <c r="MOE23"/>
      <c r="MOF23"/>
      <c r="MOG23"/>
      <c r="MOH23"/>
      <c r="MOI23"/>
      <c r="MOJ23"/>
      <c r="MOK23"/>
      <c r="MOL23"/>
      <c r="MOM23"/>
      <c r="MON23"/>
      <c r="MOO23"/>
      <c r="MOP23"/>
      <c r="MOQ23"/>
      <c r="MOR23"/>
      <c r="MOS23"/>
      <c r="MOT23"/>
      <c r="MOU23"/>
      <c r="MOV23"/>
      <c r="MOW23"/>
      <c r="MOX23"/>
      <c r="MOY23"/>
      <c r="MOZ23"/>
      <c r="MPA23"/>
      <c r="MPB23"/>
      <c r="MPC23"/>
      <c r="MPD23"/>
      <c r="MPE23"/>
      <c r="MPF23"/>
      <c r="MPG23"/>
      <c r="MPH23"/>
      <c r="MPI23"/>
      <c r="MPJ23"/>
      <c r="MPK23"/>
      <c r="MPL23"/>
      <c r="MPM23"/>
      <c r="MPN23"/>
      <c r="MPO23"/>
      <c r="MPP23"/>
      <c r="MPQ23"/>
      <c r="MPR23"/>
      <c r="MPS23"/>
      <c r="MPT23"/>
      <c r="MPU23"/>
      <c r="MPV23"/>
      <c r="MPW23"/>
      <c r="MPX23"/>
      <c r="MPY23"/>
      <c r="MPZ23"/>
      <c r="MQA23"/>
      <c r="MQB23"/>
      <c r="MQC23"/>
      <c r="MQD23"/>
      <c r="MQE23"/>
      <c r="MQF23"/>
      <c r="MQG23"/>
      <c r="MQH23"/>
      <c r="MQI23"/>
      <c r="MQJ23"/>
      <c r="MQK23"/>
      <c r="MQL23"/>
      <c r="MQM23"/>
      <c r="MQN23"/>
      <c r="MQO23"/>
      <c r="MQP23"/>
      <c r="MQQ23"/>
      <c r="MQR23"/>
      <c r="MQS23"/>
      <c r="MQT23"/>
      <c r="MQU23"/>
      <c r="MQV23"/>
      <c r="MQW23"/>
      <c r="MQX23"/>
      <c r="MQY23"/>
      <c r="MQZ23"/>
      <c r="MRA23"/>
      <c r="MRB23"/>
      <c r="MRC23"/>
      <c r="MRD23"/>
      <c r="MRE23"/>
      <c r="MRF23"/>
      <c r="MRG23"/>
      <c r="MRH23"/>
      <c r="MRI23"/>
      <c r="MRJ23"/>
      <c r="MRK23"/>
      <c r="MRL23"/>
      <c r="MRM23"/>
      <c r="MRN23"/>
      <c r="MRO23"/>
      <c r="MRP23"/>
      <c r="MRQ23"/>
      <c r="MRR23"/>
      <c r="MRS23"/>
      <c r="MRT23"/>
      <c r="MRU23"/>
      <c r="MRV23"/>
      <c r="MRW23"/>
      <c r="MRX23"/>
      <c r="MRY23"/>
      <c r="MRZ23"/>
      <c r="MSA23"/>
      <c r="MSB23"/>
      <c r="MSC23"/>
      <c r="MSD23"/>
      <c r="MSE23"/>
      <c r="MSF23"/>
      <c r="MSG23"/>
      <c r="MSH23"/>
      <c r="MSI23"/>
      <c r="MSJ23"/>
      <c r="MSK23"/>
      <c r="MSL23"/>
      <c r="MSM23"/>
      <c r="MSN23"/>
      <c r="MSO23"/>
      <c r="MSP23"/>
      <c r="MSQ23"/>
      <c r="MSR23"/>
      <c r="MSS23"/>
      <c r="MST23"/>
      <c r="MSU23"/>
      <c r="MSV23"/>
      <c r="MSW23"/>
      <c r="MSX23"/>
      <c r="MSY23"/>
      <c r="MSZ23"/>
      <c r="MTA23"/>
      <c r="MTB23"/>
      <c r="MTC23"/>
      <c r="MTD23"/>
      <c r="MTE23"/>
      <c r="MTF23"/>
      <c r="MTG23"/>
      <c r="MTH23"/>
      <c r="MTI23"/>
      <c r="MTJ23"/>
      <c r="MTK23"/>
      <c r="MTL23"/>
      <c r="MTM23"/>
      <c r="MTN23"/>
      <c r="MTO23"/>
      <c r="MTP23"/>
      <c r="MTQ23"/>
      <c r="MTR23"/>
      <c r="MTS23"/>
      <c r="MTT23"/>
      <c r="MTU23"/>
      <c r="MTV23"/>
      <c r="MTW23"/>
      <c r="MTX23"/>
      <c r="MTY23"/>
      <c r="MTZ23"/>
      <c r="MUA23"/>
      <c r="MUB23"/>
      <c r="MUC23"/>
      <c r="MUD23"/>
      <c r="MUE23"/>
      <c r="MUF23"/>
      <c r="MUG23"/>
      <c r="MUH23"/>
      <c r="MUI23"/>
      <c r="MUJ23"/>
      <c r="MUK23"/>
      <c r="MUL23"/>
      <c r="MUM23"/>
      <c r="MUN23"/>
      <c r="MUO23"/>
      <c r="MUP23"/>
      <c r="MUQ23"/>
      <c r="MUR23"/>
      <c r="MUS23"/>
      <c r="MUT23"/>
      <c r="MUU23"/>
      <c r="MUV23"/>
      <c r="MUW23"/>
      <c r="MUX23"/>
      <c r="MUY23"/>
      <c r="MUZ23"/>
      <c r="MVA23"/>
      <c r="MVB23"/>
      <c r="MVC23"/>
      <c r="MVD23"/>
      <c r="MVE23"/>
      <c r="MVF23"/>
      <c r="MVG23"/>
      <c r="MVH23"/>
      <c r="MVI23"/>
      <c r="MVJ23"/>
      <c r="MVK23"/>
      <c r="MVL23"/>
      <c r="MVM23"/>
      <c r="MVN23"/>
      <c r="MVO23"/>
      <c r="MVP23"/>
      <c r="MVQ23"/>
      <c r="MVR23"/>
      <c r="MVS23"/>
      <c r="MVT23"/>
      <c r="MVU23"/>
      <c r="MVV23"/>
      <c r="MVW23"/>
      <c r="MVX23"/>
      <c r="MVY23"/>
      <c r="MVZ23"/>
      <c r="MWA23"/>
      <c r="MWB23"/>
      <c r="MWC23"/>
      <c r="MWD23"/>
      <c r="MWE23"/>
      <c r="MWF23"/>
      <c r="MWG23"/>
      <c r="MWH23"/>
      <c r="MWI23"/>
      <c r="MWJ23"/>
      <c r="MWK23"/>
      <c r="MWL23"/>
      <c r="MWM23"/>
      <c r="MWN23"/>
      <c r="MWO23"/>
      <c r="MWP23"/>
      <c r="MWQ23"/>
      <c r="MWR23"/>
      <c r="MWS23"/>
      <c r="MWT23"/>
      <c r="MWU23"/>
      <c r="MWV23"/>
      <c r="MWW23"/>
      <c r="MWX23"/>
      <c r="MWY23"/>
      <c r="MWZ23"/>
      <c r="MXA23"/>
      <c r="MXB23"/>
      <c r="MXC23"/>
      <c r="MXD23"/>
      <c r="MXE23"/>
      <c r="MXF23"/>
      <c r="MXG23"/>
      <c r="MXH23"/>
      <c r="MXI23"/>
      <c r="MXJ23"/>
      <c r="MXK23"/>
      <c r="MXL23"/>
      <c r="MXM23"/>
      <c r="MXN23"/>
      <c r="MXO23"/>
      <c r="MXP23"/>
      <c r="MXQ23"/>
      <c r="MXR23"/>
      <c r="MXS23"/>
      <c r="MXT23"/>
      <c r="MXU23"/>
      <c r="MXV23"/>
      <c r="MXW23"/>
      <c r="MXX23"/>
      <c r="MXY23"/>
      <c r="MXZ23"/>
      <c r="MYA23"/>
      <c r="MYB23"/>
      <c r="MYC23"/>
      <c r="MYD23"/>
      <c r="MYE23"/>
      <c r="MYF23"/>
      <c r="MYG23"/>
      <c r="MYH23"/>
      <c r="MYI23"/>
      <c r="MYJ23"/>
      <c r="MYK23"/>
      <c r="MYL23"/>
      <c r="MYM23"/>
      <c r="MYN23"/>
      <c r="MYO23"/>
      <c r="MYP23"/>
      <c r="MYQ23"/>
      <c r="MYR23"/>
      <c r="MYS23"/>
      <c r="MYT23"/>
      <c r="MYU23"/>
      <c r="MYV23"/>
      <c r="MYW23"/>
      <c r="MYX23"/>
      <c r="MYY23"/>
      <c r="MYZ23"/>
      <c r="MZA23"/>
      <c r="MZB23"/>
      <c r="MZC23"/>
      <c r="MZD23"/>
      <c r="MZE23"/>
      <c r="MZF23"/>
      <c r="MZG23"/>
      <c r="MZH23"/>
      <c r="MZI23"/>
      <c r="MZJ23"/>
      <c r="MZK23"/>
      <c r="MZL23"/>
      <c r="MZM23"/>
      <c r="MZN23"/>
      <c r="MZO23"/>
      <c r="MZP23"/>
      <c r="MZQ23"/>
      <c r="MZR23"/>
      <c r="MZS23"/>
      <c r="MZT23"/>
      <c r="MZU23"/>
      <c r="MZV23"/>
      <c r="MZW23"/>
      <c r="MZX23"/>
      <c r="MZY23"/>
      <c r="MZZ23"/>
      <c r="NAA23"/>
      <c r="NAB23"/>
      <c r="NAC23"/>
      <c r="NAD23"/>
      <c r="NAE23"/>
      <c r="NAF23"/>
      <c r="NAG23"/>
      <c r="NAH23"/>
      <c r="NAI23"/>
      <c r="NAJ23"/>
      <c r="NAK23"/>
      <c r="NAL23"/>
      <c r="NAM23"/>
      <c r="NAN23"/>
      <c r="NAO23"/>
      <c r="NAP23"/>
      <c r="NAQ23"/>
      <c r="NAR23"/>
      <c r="NAS23"/>
      <c r="NAT23"/>
      <c r="NAU23"/>
      <c r="NAV23"/>
      <c r="NAW23"/>
      <c r="NAX23"/>
      <c r="NAY23"/>
      <c r="NAZ23"/>
      <c r="NBA23"/>
      <c r="NBB23"/>
      <c r="NBC23"/>
      <c r="NBD23"/>
      <c r="NBE23"/>
      <c r="NBF23"/>
      <c r="NBG23"/>
      <c r="NBH23"/>
      <c r="NBI23"/>
      <c r="NBJ23"/>
      <c r="NBK23"/>
      <c r="NBL23"/>
      <c r="NBM23"/>
      <c r="NBN23"/>
      <c r="NBO23"/>
      <c r="NBP23"/>
      <c r="NBQ23"/>
      <c r="NBR23"/>
      <c r="NBS23"/>
      <c r="NBT23"/>
      <c r="NBU23"/>
      <c r="NBV23"/>
      <c r="NBW23"/>
      <c r="NBX23"/>
      <c r="NBY23"/>
      <c r="NBZ23"/>
      <c r="NCA23"/>
      <c r="NCB23"/>
      <c r="NCC23"/>
      <c r="NCD23"/>
      <c r="NCE23"/>
      <c r="NCF23"/>
      <c r="NCG23"/>
      <c r="NCH23"/>
      <c r="NCI23"/>
      <c r="NCJ23"/>
      <c r="NCK23"/>
      <c r="NCL23"/>
      <c r="NCM23"/>
      <c r="NCN23"/>
      <c r="NCO23"/>
      <c r="NCP23"/>
      <c r="NCQ23"/>
      <c r="NCR23"/>
      <c r="NCS23"/>
      <c r="NCT23"/>
      <c r="NCU23"/>
      <c r="NCV23"/>
      <c r="NCW23"/>
      <c r="NCX23"/>
      <c r="NCY23"/>
      <c r="NCZ23"/>
      <c r="NDA23"/>
      <c r="NDB23"/>
      <c r="NDC23"/>
      <c r="NDD23"/>
      <c r="NDE23"/>
      <c r="NDF23"/>
      <c r="NDG23"/>
      <c r="NDH23"/>
      <c r="NDI23"/>
      <c r="NDJ23"/>
      <c r="NDK23"/>
      <c r="NDL23"/>
      <c r="NDM23"/>
      <c r="NDN23"/>
      <c r="NDO23"/>
      <c r="NDP23"/>
      <c r="NDQ23"/>
      <c r="NDR23"/>
      <c r="NDS23"/>
      <c r="NDT23"/>
      <c r="NDU23"/>
      <c r="NDV23"/>
      <c r="NDW23"/>
      <c r="NDX23"/>
      <c r="NDY23"/>
      <c r="NDZ23"/>
      <c r="NEA23"/>
      <c r="NEB23"/>
      <c r="NEC23"/>
      <c r="NED23"/>
      <c r="NEE23"/>
      <c r="NEF23"/>
      <c r="NEG23"/>
      <c r="NEH23"/>
      <c r="NEI23"/>
      <c r="NEJ23"/>
      <c r="NEK23"/>
      <c r="NEL23"/>
      <c r="NEM23"/>
      <c r="NEN23"/>
      <c r="NEO23"/>
      <c r="NEP23"/>
      <c r="NEQ23"/>
      <c r="NER23"/>
      <c r="NES23"/>
      <c r="NET23"/>
      <c r="NEU23"/>
      <c r="NEV23"/>
      <c r="NEW23"/>
      <c r="NEX23"/>
      <c r="NEY23"/>
      <c r="NEZ23"/>
      <c r="NFA23"/>
      <c r="NFB23"/>
      <c r="NFC23"/>
      <c r="NFD23"/>
      <c r="NFE23"/>
      <c r="NFF23"/>
      <c r="NFG23"/>
      <c r="NFH23"/>
      <c r="NFI23"/>
      <c r="NFJ23"/>
      <c r="NFK23"/>
      <c r="NFL23"/>
      <c r="NFM23"/>
      <c r="NFN23"/>
      <c r="NFO23"/>
      <c r="NFP23"/>
      <c r="NFQ23"/>
      <c r="NFR23"/>
      <c r="NFS23"/>
      <c r="NFT23"/>
      <c r="NFU23"/>
      <c r="NFV23"/>
      <c r="NFW23"/>
      <c r="NFX23"/>
      <c r="NFY23"/>
      <c r="NFZ23"/>
      <c r="NGA23"/>
      <c r="NGB23"/>
      <c r="NGC23"/>
      <c r="NGD23"/>
      <c r="NGE23"/>
      <c r="NGF23"/>
      <c r="NGG23"/>
      <c r="NGH23"/>
      <c r="NGI23"/>
      <c r="NGJ23"/>
      <c r="NGK23"/>
      <c r="NGL23"/>
      <c r="NGM23"/>
      <c r="NGN23"/>
      <c r="NGO23"/>
      <c r="NGP23"/>
      <c r="NGQ23"/>
      <c r="NGR23"/>
      <c r="NGS23"/>
      <c r="NGT23"/>
      <c r="NGU23"/>
      <c r="NGV23"/>
      <c r="NGW23"/>
      <c r="NGX23"/>
      <c r="NGY23"/>
      <c r="NGZ23"/>
      <c r="NHA23"/>
      <c r="NHB23"/>
      <c r="NHC23"/>
      <c r="NHD23"/>
      <c r="NHE23"/>
      <c r="NHF23"/>
      <c r="NHG23"/>
      <c r="NHH23"/>
      <c r="NHI23"/>
      <c r="NHJ23"/>
      <c r="NHK23"/>
      <c r="NHL23"/>
      <c r="NHM23"/>
      <c r="NHN23"/>
      <c r="NHO23"/>
      <c r="NHP23"/>
      <c r="NHQ23"/>
      <c r="NHR23"/>
      <c r="NHS23"/>
      <c r="NHT23"/>
      <c r="NHU23"/>
      <c r="NHV23"/>
      <c r="NHW23"/>
      <c r="NHX23"/>
      <c r="NHY23"/>
      <c r="NHZ23"/>
      <c r="NIA23"/>
      <c r="NIB23"/>
      <c r="NIC23"/>
      <c r="NID23"/>
      <c r="NIE23"/>
      <c r="NIF23"/>
      <c r="NIG23"/>
      <c r="NIH23"/>
      <c r="NII23"/>
      <c r="NIJ23"/>
      <c r="NIK23"/>
      <c r="NIL23"/>
      <c r="NIM23"/>
      <c r="NIN23"/>
      <c r="NIO23"/>
      <c r="NIP23"/>
      <c r="NIQ23"/>
      <c r="NIR23"/>
      <c r="NIS23"/>
      <c r="NIT23"/>
      <c r="NIU23"/>
      <c r="NIV23"/>
      <c r="NIW23"/>
      <c r="NIX23"/>
      <c r="NIY23"/>
      <c r="NIZ23"/>
      <c r="NJA23"/>
      <c r="NJB23"/>
      <c r="NJC23"/>
      <c r="NJD23"/>
      <c r="NJE23"/>
      <c r="NJF23"/>
      <c r="NJG23"/>
      <c r="NJH23"/>
      <c r="NJI23"/>
      <c r="NJJ23"/>
      <c r="NJK23"/>
      <c r="NJL23"/>
      <c r="NJM23"/>
      <c r="NJN23"/>
      <c r="NJO23"/>
      <c r="NJP23"/>
      <c r="NJQ23"/>
      <c r="NJR23"/>
      <c r="NJS23"/>
      <c r="NJT23"/>
      <c r="NJU23"/>
      <c r="NJV23"/>
      <c r="NJW23"/>
      <c r="NJX23"/>
      <c r="NJY23"/>
      <c r="NJZ23"/>
      <c r="NKA23"/>
      <c r="NKB23"/>
      <c r="NKC23"/>
      <c r="NKD23"/>
      <c r="NKE23"/>
      <c r="NKF23"/>
      <c r="NKG23"/>
      <c r="NKH23"/>
      <c r="NKI23"/>
      <c r="NKJ23"/>
      <c r="NKK23"/>
      <c r="NKL23"/>
      <c r="NKM23"/>
      <c r="NKN23"/>
      <c r="NKO23"/>
      <c r="NKP23"/>
      <c r="NKQ23"/>
      <c r="NKR23"/>
      <c r="NKS23"/>
      <c r="NKT23"/>
      <c r="NKU23"/>
      <c r="NKV23"/>
      <c r="NKW23"/>
      <c r="NKX23"/>
      <c r="NKY23"/>
      <c r="NKZ23"/>
      <c r="NLA23"/>
      <c r="NLB23"/>
      <c r="NLC23"/>
      <c r="NLD23"/>
      <c r="NLE23"/>
      <c r="NLF23"/>
      <c r="NLG23"/>
      <c r="NLH23"/>
      <c r="NLI23"/>
      <c r="NLJ23"/>
      <c r="NLK23"/>
      <c r="NLL23"/>
      <c r="NLM23"/>
      <c r="NLN23"/>
      <c r="NLO23"/>
      <c r="NLP23"/>
      <c r="NLQ23"/>
      <c r="NLR23"/>
      <c r="NLS23"/>
      <c r="NLT23"/>
      <c r="NLU23"/>
      <c r="NLV23"/>
      <c r="NLW23"/>
      <c r="NLX23"/>
      <c r="NLY23"/>
      <c r="NLZ23"/>
      <c r="NMA23"/>
      <c r="NMB23"/>
      <c r="NMC23"/>
      <c r="NMD23"/>
      <c r="NME23"/>
      <c r="NMF23"/>
      <c r="NMG23"/>
      <c r="NMH23"/>
      <c r="NMI23"/>
      <c r="NMJ23"/>
      <c r="NMK23"/>
      <c r="NML23"/>
      <c r="NMM23"/>
      <c r="NMN23"/>
      <c r="NMO23"/>
      <c r="NMP23"/>
      <c r="NMQ23"/>
      <c r="NMR23"/>
      <c r="NMS23"/>
      <c r="NMT23"/>
      <c r="NMU23"/>
      <c r="NMV23"/>
      <c r="NMW23"/>
      <c r="NMX23"/>
      <c r="NMY23"/>
      <c r="NMZ23"/>
      <c r="NNA23"/>
      <c r="NNB23"/>
      <c r="NNC23"/>
      <c r="NND23"/>
      <c r="NNE23"/>
      <c r="NNF23"/>
      <c r="NNG23"/>
      <c r="NNH23"/>
      <c r="NNI23"/>
      <c r="NNJ23"/>
      <c r="NNK23"/>
      <c r="NNL23"/>
      <c r="NNM23"/>
      <c r="NNN23"/>
      <c r="NNO23"/>
      <c r="NNP23"/>
      <c r="NNQ23"/>
      <c r="NNR23"/>
      <c r="NNS23"/>
      <c r="NNT23"/>
      <c r="NNU23"/>
      <c r="NNV23"/>
      <c r="NNW23"/>
      <c r="NNX23"/>
      <c r="NNY23"/>
      <c r="NNZ23"/>
      <c r="NOA23"/>
      <c r="NOB23"/>
      <c r="NOC23"/>
      <c r="NOD23"/>
      <c r="NOE23"/>
      <c r="NOF23"/>
      <c r="NOG23"/>
      <c r="NOH23"/>
      <c r="NOI23"/>
      <c r="NOJ23"/>
      <c r="NOK23"/>
      <c r="NOL23"/>
      <c r="NOM23"/>
      <c r="NON23"/>
      <c r="NOO23"/>
      <c r="NOP23"/>
      <c r="NOQ23"/>
      <c r="NOR23"/>
      <c r="NOS23"/>
      <c r="NOT23"/>
      <c r="NOU23"/>
      <c r="NOV23"/>
      <c r="NOW23"/>
      <c r="NOX23"/>
      <c r="NOY23"/>
      <c r="NOZ23"/>
      <c r="NPA23"/>
      <c r="NPB23"/>
      <c r="NPC23"/>
      <c r="NPD23"/>
      <c r="NPE23"/>
      <c r="NPF23"/>
      <c r="NPG23"/>
      <c r="NPH23"/>
      <c r="NPI23"/>
      <c r="NPJ23"/>
      <c r="NPK23"/>
      <c r="NPL23"/>
      <c r="NPM23"/>
      <c r="NPN23"/>
      <c r="NPO23"/>
      <c r="NPP23"/>
      <c r="NPQ23"/>
      <c r="NPR23"/>
      <c r="NPS23"/>
      <c r="NPT23"/>
      <c r="NPU23"/>
      <c r="NPV23"/>
      <c r="NPW23"/>
      <c r="NPX23"/>
      <c r="NPY23"/>
      <c r="NPZ23"/>
      <c r="NQA23"/>
      <c r="NQB23"/>
      <c r="NQC23"/>
      <c r="NQD23"/>
      <c r="NQE23"/>
      <c r="NQF23"/>
      <c r="NQG23"/>
      <c r="NQH23"/>
      <c r="NQI23"/>
      <c r="NQJ23"/>
      <c r="NQK23"/>
      <c r="NQL23"/>
      <c r="NQM23"/>
      <c r="NQN23"/>
      <c r="NQO23"/>
      <c r="NQP23"/>
      <c r="NQQ23"/>
      <c r="NQR23"/>
      <c r="NQS23"/>
      <c r="NQT23"/>
      <c r="NQU23"/>
      <c r="NQV23"/>
      <c r="NQW23"/>
      <c r="NQX23"/>
      <c r="NQY23"/>
      <c r="NQZ23"/>
      <c r="NRA23"/>
      <c r="NRB23"/>
      <c r="NRC23"/>
      <c r="NRD23"/>
      <c r="NRE23"/>
      <c r="NRF23"/>
      <c r="NRG23"/>
      <c r="NRH23"/>
      <c r="NRI23"/>
      <c r="NRJ23"/>
      <c r="NRK23"/>
      <c r="NRL23"/>
      <c r="NRM23"/>
      <c r="NRN23"/>
      <c r="NRO23"/>
      <c r="NRP23"/>
      <c r="NRQ23"/>
      <c r="NRR23"/>
      <c r="NRS23"/>
      <c r="NRT23"/>
      <c r="NRU23"/>
      <c r="NRV23"/>
      <c r="NRW23"/>
      <c r="NRX23"/>
      <c r="NRY23"/>
      <c r="NRZ23"/>
      <c r="NSA23"/>
      <c r="NSB23"/>
      <c r="NSC23"/>
      <c r="NSD23"/>
      <c r="NSE23"/>
      <c r="NSF23"/>
      <c r="NSG23"/>
      <c r="NSH23"/>
      <c r="NSI23"/>
      <c r="NSJ23"/>
      <c r="NSK23"/>
      <c r="NSL23"/>
      <c r="NSM23"/>
      <c r="NSN23"/>
      <c r="NSO23"/>
      <c r="NSP23"/>
      <c r="NSQ23"/>
      <c r="NSR23"/>
      <c r="NSS23"/>
      <c r="NST23"/>
      <c r="NSU23"/>
      <c r="NSV23"/>
      <c r="NSW23"/>
      <c r="NSX23"/>
      <c r="NSY23"/>
      <c r="NSZ23"/>
      <c r="NTA23"/>
      <c r="NTB23"/>
      <c r="NTC23"/>
      <c r="NTD23"/>
      <c r="NTE23"/>
      <c r="NTF23"/>
      <c r="NTG23"/>
      <c r="NTH23"/>
      <c r="NTI23"/>
      <c r="NTJ23"/>
      <c r="NTK23"/>
      <c r="NTL23"/>
      <c r="NTM23"/>
      <c r="NTN23"/>
      <c r="NTO23"/>
      <c r="NTP23"/>
      <c r="NTQ23"/>
      <c r="NTR23"/>
      <c r="NTS23"/>
      <c r="NTT23"/>
      <c r="NTU23"/>
      <c r="NTV23"/>
      <c r="NTW23"/>
      <c r="NTX23"/>
      <c r="NTY23"/>
      <c r="NTZ23"/>
      <c r="NUA23"/>
      <c r="NUB23"/>
      <c r="NUC23"/>
      <c r="NUD23"/>
      <c r="NUE23"/>
      <c r="NUF23"/>
      <c r="NUG23"/>
      <c r="NUH23"/>
      <c r="NUI23"/>
      <c r="NUJ23"/>
      <c r="NUK23"/>
      <c r="NUL23"/>
      <c r="NUM23"/>
      <c r="NUN23"/>
      <c r="NUO23"/>
      <c r="NUP23"/>
      <c r="NUQ23"/>
      <c r="NUR23"/>
      <c r="NUS23"/>
      <c r="NUT23"/>
      <c r="NUU23"/>
      <c r="NUV23"/>
      <c r="NUW23"/>
      <c r="NUX23"/>
      <c r="NUY23"/>
      <c r="NUZ23"/>
      <c r="NVA23"/>
      <c r="NVB23"/>
      <c r="NVC23"/>
      <c r="NVD23"/>
      <c r="NVE23"/>
      <c r="NVF23"/>
      <c r="NVG23"/>
      <c r="NVH23"/>
      <c r="NVI23"/>
      <c r="NVJ23"/>
      <c r="NVK23"/>
      <c r="NVL23"/>
      <c r="NVM23"/>
      <c r="NVN23"/>
      <c r="NVO23"/>
      <c r="NVP23"/>
      <c r="NVQ23"/>
      <c r="NVR23"/>
      <c r="NVS23"/>
      <c r="NVT23"/>
      <c r="NVU23"/>
      <c r="NVV23"/>
      <c r="NVW23"/>
      <c r="NVX23"/>
      <c r="NVY23"/>
      <c r="NVZ23"/>
      <c r="NWA23"/>
      <c r="NWB23"/>
      <c r="NWC23"/>
      <c r="NWD23"/>
      <c r="NWE23"/>
      <c r="NWF23"/>
      <c r="NWG23"/>
      <c r="NWH23"/>
      <c r="NWI23"/>
      <c r="NWJ23"/>
      <c r="NWK23"/>
      <c r="NWL23"/>
      <c r="NWM23"/>
      <c r="NWN23"/>
      <c r="NWO23"/>
      <c r="NWP23"/>
      <c r="NWQ23"/>
      <c r="NWR23"/>
      <c r="NWS23"/>
      <c r="NWT23"/>
      <c r="NWU23"/>
      <c r="NWV23"/>
      <c r="NWW23"/>
      <c r="NWX23"/>
      <c r="NWY23"/>
      <c r="NWZ23"/>
      <c r="NXA23"/>
      <c r="NXB23"/>
      <c r="NXC23"/>
      <c r="NXD23"/>
      <c r="NXE23"/>
      <c r="NXF23"/>
      <c r="NXG23"/>
      <c r="NXH23"/>
      <c r="NXI23"/>
      <c r="NXJ23"/>
      <c r="NXK23"/>
      <c r="NXL23"/>
      <c r="NXM23"/>
      <c r="NXN23"/>
      <c r="NXO23"/>
      <c r="NXP23"/>
      <c r="NXQ23"/>
      <c r="NXR23"/>
      <c r="NXS23"/>
      <c r="NXT23"/>
      <c r="NXU23"/>
      <c r="NXV23"/>
      <c r="NXW23"/>
      <c r="NXX23"/>
      <c r="NXY23"/>
      <c r="NXZ23"/>
      <c r="NYA23"/>
      <c r="NYB23"/>
      <c r="NYC23"/>
      <c r="NYD23"/>
      <c r="NYE23"/>
      <c r="NYF23"/>
      <c r="NYG23"/>
      <c r="NYH23"/>
      <c r="NYI23"/>
      <c r="NYJ23"/>
      <c r="NYK23"/>
      <c r="NYL23"/>
      <c r="NYM23"/>
      <c r="NYN23"/>
      <c r="NYO23"/>
      <c r="NYP23"/>
      <c r="NYQ23"/>
      <c r="NYR23"/>
      <c r="NYS23"/>
      <c r="NYT23"/>
      <c r="NYU23"/>
      <c r="NYV23"/>
      <c r="NYW23"/>
      <c r="NYX23"/>
      <c r="NYY23"/>
      <c r="NYZ23"/>
      <c r="NZA23"/>
      <c r="NZB23"/>
      <c r="NZC23"/>
      <c r="NZD23"/>
      <c r="NZE23"/>
      <c r="NZF23"/>
      <c r="NZG23"/>
      <c r="NZH23"/>
      <c r="NZI23"/>
      <c r="NZJ23"/>
      <c r="NZK23"/>
      <c r="NZL23"/>
      <c r="NZM23"/>
      <c r="NZN23"/>
      <c r="NZO23"/>
      <c r="NZP23"/>
      <c r="NZQ23"/>
      <c r="NZR23"/>
      <c r="NZS23"/>
      <c r="NZT23"/>
      <c r="NZU23"/>
      <c r="NZV23"/>
      <c r="NZW23"/>
      <c r="NZX23"/>
      <c r="NZY23"/>
      <c r="NZZ23"/>
      <c r="OAA23"/>
      <c r="OAB23"/>
      <c r="OAC23"/>
      <c r="OAD23"/>
      <c r="OAE23"/>
      <c r="OAF23"/>
      <c r="OAG23"/>
      <c r="OAH23"/>
      <c r="OAI23"/>
      <c r="OAJ23"/>
      <c r="OAK23"/>
      <c r="OAL23"/>
      <c r="OAM23"/>
      <c r="OAN23"/>
      <c r="OAO23"/>
      <c r="OAP23"/>
      <c r="OAQ23"/>
      <c r="OAR23"/>
      <c r="OAS23"/>
      <c r="OAT23"/>
      <c r="OAU23"/>
      <c r="OAV23"/>
      <c r="OAW23"/>
      <c r="OAX23"/>
      <c r="OAY23"/>
      <c r="OAZ23"/>
      <c r="OBA23"/>
      <c r="OBB23"/>
      <c r="OBC23"/>
      <c r="OBD23"/>
      <c r="OBE23"/>
      <c r="OBF23"/>
      <c r="OBG23"/>
      <c r="OBH23"/>
      <c r="OBI23"/>
      <c r="OBJ23"/>
      <c r="OBK23"/>
      <c r="OBL23"/>
      <c r="OBM23"/>
      <c r="OBN23"/>
      <c r="OBO23"/>
      <c r="OBP23"/>
      <c r="OBQ23"/>
      <c r="OBR23"/>
      <c r="OBS23"/>
      <c r="OBT23"/>
      <c r="OBU23"/>
      <c r="OBV23"/>
      <c r="OBW23"/>
      <c r="OBX23"/>
      <c r="OBY23"/>
      <c r="OBZ23"/>
      <c r="OCA23"/>
      <c r="OCB23"/>
      <c r="OCC23"/>
      <c r="OCD23"/>
      <c r="OCE23"/>
      <c r="OCF23"/>
      <c r="OCG23"/>
      <c r="OCH23"/>
      <c r="OCI23"/>
      <c r="OCJ23"/>
      <c r="OCK23"/>
      <c r="OCL23"/>
      <c r="OCM23"/>
      <c r="OCN23"/>
      <c r="OCO23"/>
      <c r="OCP23"/>
      <c r="OCQ23"/>
      <c r="OCR23"/>
      <c r="OCS23"/>
      <c r="OCT23"/>
      <c r="OCU23"/>
      <c r="OCV23"/>
      <c r="OCW23"/>
      <c r="OCX23"/>
      <c r="OCY23"/>
      <c r="OCZ23"/>
      <c r="ODA23"/>
      <c r="ODB23"/>
      <c r="ODC23"/>
      <c r="ODD23"/>
      <c r="ODE23"/>
      <c r="ODF23"/>
      <c r="ODG23"/>
      <c r="ODH23"/>
      <c r="ODI23"/>
      <c r="ODJ23"/>
      <c r="ODK23"/>
      <c r="ODL23"/>
      <c r="ODM23"/>
      <c r="ODN23"/>
      <c r="ODO23"/>
      <c r="ODP23"/>
      <c r="ODQ23"/>
      <c r="ODR23"/>
      <c r="ODS23"/>
      <c r="ODT23"/>
      <c r="ODU23"/>
      <c r="ODV23"/>
      <c r="ODW23"/>
      <c r="ODX23"/>
      <c r="ODY23"/>
      <c r="ODZ23"/>
      <c r="OEA23"/>
      <c r="OEB23"/>
      <c r="OEC23"/>
      <c r="OED23"/>
      <c r="OEE23"/>
      <c r="OEF23"/>
      <c r="OEG23"/>
      <c r="OEH23"/>
      <c r="OEI23"/>
      <c r="OEJ23"/>
      <c r="OEK23"/>
      <c r="OEL23"/>
      <c r="OEM23"/>
      <c r="OEN23"/>
      <c r="OEO23"/>
      <c r="OEP23"/>
      <c r="OEQ23"/>
      <c r="OER23"/>
      <c r="OES23"/>
      <c r="OET23"/>
      <c r="OEU23"/>
      <c r="OEV23"/>
      <c r="OEW23"/>
      <c r="OEX23"/>
      <c r="OEY23"/>
      <c r="OEZ23"/>
      <c r="OFA23"/>
      <c r="OFB23"/>
      <c r="OFC23"/>
      <c r="OFD23"/>
      <c r="OFE23"/>
      <c r="OFF23"/>
      <c r="OFG23"/>
      <c r="OFH23"/>
      <c r="OFI23"/>
      <c r="OFJ23"/>
      <c r="OFK23"/>
      <c r="OFL23"/>
      <c r="OFM23"/>
      <c r="OFN23"/>
      <c r="OFO23"/>
      <c r="OFP23"/>
      <c r="OFQ23"/>
      <c r="OFR23"/>
      <c r="OFS23"/>
      <c r="OFT23"/>
      <c r="OFU23"/>
      <c r="OFV23"/>
      <c r="OFW23"/>
      <c r="OFX23"/>
      <c r="OFY23"/>
      <c r="OFZ23"/>
      <c r="OGA23"/>
      <c r="OGB23"/>
      <c r="OGC23"/>
      <c r="OGD23"/>
      <c r="OGE23"/>
      <c r="OGF23"/>
      <c r="OGG23"/>
      <c r="OGH23"/>
      <c r="OGI23"/>
      <c r="OGJ23"/>
      <c r="OGK23"/>
      <c r="OGL23"/>
      <c r="OGM23"/>
      <c r="OGN23"/>
      <c r="OGO23"/>
      <c r="OGP23"/>
      <c r="OGQ23"/>
      <c r="OGR23"/>
      <c r="OGS23"/>
      <c r="OGT23"/>
      <c r="OGU23"/>
      <c r="OGV23"/>
      <c r="OGW23"/>
      <c r="OGX23"/>
      <c r="OGY23"/>
      <c r="OGZ23"/>
      <c r="OHA23"/>
      <c r="OHB23"/>
      <c r="OHC23"/>
      <c r="OHD23"/>
      <c r="OHE23"/>
      <c r="OHF23"/>
      <c r="OHG23"/>
      <c r="OHH23"/>
      <c r="OHI23"/>
      <c r="OHJ23"/>
      <c r="OHK23"/>
      <c r="OHL23"/>
      <c r="OHM23"/>
      <c r="OHN23"/>
      <c r="OHO23"/>
      <c r="OHP23"/>
      <c r="OHQ23"/>
      <c r="OHR23"/>
      <c r="OHS23"/>
      <c r="OHT23"/>
      <c r="OHU23"/>
      <c r="OHV23"/>
      <c r="OHW23"/>
      <c r="OHX23"/>
      <c r="OHY23"/>
      <c r="OHZ23"/>
      <c r="OIA23"/>
      <c r="OIB23"/>
      <c r="OIC23"/>
      <c r="OID23"/>
      <c r="OIE23"/>
      <c r="OIF23"/>
      <c r="OIG23"/>
      <c r="OIH23"/>
      <c r="OII23"/>
      <c r="OIJ23"/>
      <c r="OIK23"/>
      <c r="OIL23"/>
      <c r="OIM23"/>
      <c r="OIN23"/>
      <c r="OIO23"/>
      <c r="OIP23"/>
      <c r="OIQ23"/>
      <c r="OIR23"/>
      <c r="OIS23"/>
      <c r="OIT23"/>
      <c r="OIU23"/>
      <c r="OIV23"/>
      <c r="OIW23"/>
      <c r="OIX23"/>
      <c r="OIY23"/>
      <c r="OIZ23"/>
      <c r="OJA23"/>
      <c r="OJB23"/>
      <c r="OJC23"/>
      <c r="OJD23"/>
      <c r="OJE23"/>
      <c r="OJF23"/>
      <c r="OJG23"/>
      <c r="OJH23"/>
      <c r="OJI23"/>
      <c r="OJJ23"/>
      <c r="OJK23"/>
      <c r="OJL23"/>
      <c r="OJM23"/>
      <c r="OJN23"/>
      <c r="OJO23"/>
      <c r="OJP23"/>
      <c r="OJQ23"/>
      <c r="OJR23"/>
      <c r="OJS23"/>
      <c r="OJT23"/>
      <c r="OJU23"/>
      <c r="OJV23"/>
      <c r="OJW23"/>
      <c r="OJX23"/>
      <c r="OJY23"/>
      <c r="OJZ23"/>
      <c r="OKA23"/>
      <c r="OKB23"/>
      <c r="OKC23"/>
      <c r="OKD23"/>
      <c r="OKE23"/>
      <c r="OKF23"/>
      <c r="OKG23"/>
      <c r="OKH23"/>
      <c r="OKI23"/>
      <c r="OKJ23"/>
      <c r="OKK23"/>
      <c r="OKL23"/>
      <c r="OKM23"/>
      <c r="OKN23"/>
      <c r="OKO23"/>
      <c r="OKP23"/>
      <c r="OKQ23"/>
      <c r="OKR23"/>
      <c r="OKS23"/>
      <c r="OKT23"/>
      <c r="OKU23"/>
      <c r="OKV23"/>
      <c r="OKW23"/>
      <c r="OKX23"/>
      <c r="OKY23"/>
      <c r="OKZ23"/>
      <c r="OLA23"/>
      <c r="OLB23"/>
      <c r="OLC23"/>
      <c r="OLD23"/>
      <c r="OLE23"/>
      <c r="OLF23"/>
      <c r="OLG23"/>
      <c r="OLH23"/>
      <c r="OLI23"/>
      <c r="OLJ23"/>
      <c r="OLK23"/>
      <c r="OLL23"/>
      <c r="OLM23"/>
      <c r="OLN23"/>
      <c r="OLO23"/>
      <c r="OLP23"/>
      <c r="OLQ23"/>
      <c r="OLR23"/>
      <c r="OLS23"/>
      <c r="OLT23"/>
      <c r="OLU23"/>
      <c r="OLV23"/>
      <c r="OLW23"/>
      <c r="OLX23"/>
      <c r="OLY23"/>
      <c r="OLZ23"/>
      <c r="OMA23"/>
      <c r="OMB23"/>
      <c r="OMC23"/>
      <c r="OMD23"/>
      <c r="OME23"/>
      <c r="OMF23"/>
      <c r="OMG23"/>
      <c r="OMH23"/>
      <c r="OMI23"/>
      <c r="OMJ23"/>
      <c r="OMK23"/>
      <c r="OML23"/>
      <c r="OMM23"/>
      <c r="OMN23"/>
      <c r="OMO23"/>
      <c r="OMP23"/>
      <c r="OMQ23"/>
      <c r="OMR23"/>
      <c r="OMS23"/>
      <c r="OMT23"/>
      <c r="OMU23"/>
      <c r="OMV23"/>
      <c r="OMW23"/>
      <c r="OMX23"/>
      <c r="OMY23"/>
      <c r="OMZ23"/>
      <c r="ONA23"/>
      <c r="ONB23"/>
      <c r="ONC23"/>
      <c r="OND23"/>
      <c r="ONE23"/>
      <c r="ONF23"/>
      <c r="ONG23"/>
      <c r="ONH23"/>
      <c r="ONI23"/>
      <c r="ONJ23"/>
      <c r="ONK23"/>
      <c r="ONL23"/>
      <c r="ONM23"/>
      <c r="ONN23"/>
      <c r="ONO23"/>
      <c r="ONP23"/>
      <c r="ONQ23"/>
      <c r="ONR23"/>
      <c r="ONS23"/>
      <c r="ONT23"/>
      <c r="ONU23"/>
      <c r="ONV23"/>
      <c r="ONW23"/>
      <c r="ONX23"/>
      <c r="ONY23"/>
      <c r="ONZ23"/>
      <c r="OOA23"/>
      <c r="OOB23"/>
      <c r="OOC23"/>
      <c r="OOD23"/>
      <c r="OOE23"/>
      <c r="OOF23"/>
      <c r="OOG23"/>
      <c r="OOH23"/>
      <c r="OOI23"/>
      <c r="OOJ23"/>
      <c r="OOK23"/>
      <c r="OOL23"/>
      <c r="OOM23"/>
      <c r="OON23"/>
      <c r="OOO23"/>
      <c r="OOP23"/>
      <c r="OOQ23"/>
      <c r="OOR23"/>
      <c r="OOS23"/>
      <c r="OOT23"/>
      <c r="OOU23"/>
      <c r="OOV23"/>
      <c r="OOW23"/>
      <c r="OOX23"/>
      <c r="OOY23"/>
      <c r="OOZ23"/>
      <c r="OPA23"/>
      <c r="OPB23"/>
      <c r="OPC23"/>
      <c r="OPD23"/>
      <c r="OPE23"/>
      <c r="OPF23"/>
      <c r="OPG23"/>
      <c r="OPH23"/>
      <c r="OPI23"/>
      <c r="OPJ23"/>
      <c r="OPK23"/>
      <c r="OPL23"/>
      <c r="OPM23"/>
      <c r="OPN23"/>
      <c r="OPO23"/>
      <c r="OPP23"/>
      <c r="OPQ23"/>
      <c r="OPR23"/>
      <c r="OPS23"/>
      <c r="OPT23"/>
      <c r="OPU23"/>
      <c r="OPV23"/>
      <c r="OPW23"/>
      <c r="OPX23"/>
      <c r="OPY23"/>
      <c r="OPZ23"/>
      <c r="OQA23"/>
      <c r="OQB23"/>
      <c r="OQC23"/>
      <c r="OQD23"/>
      <c r="OQE23"/>
      <c r="OQF23"/>
      <c r="OQG23"/>
      <c r="OQH23"/>
      <c r="OQI23"/>
      <c r="OQJ23"/>
      <c r="OQK23"/>
      <c r="OQL23"/>
      <c r="OQM23"/>
      <c r="OQN23"/>
      <c r="OQO23"/>
      <c r="OQP23"/>
      <c r="OQQ23"/>
      <c r="OQR23"/>
      <c r="OQS23"/>
      <c r="OQT23"/>
      <c r="OQU23"/>
      <c r="OQV23"/>
      <c r="OQW23"/>
      <c r="OQX23"/>
      <c r="OQY23"/>
      <c r="OQZ23"/>
      <c r="ORA23"/>
      <c r="ORB23"/>
      <c r="ORC23"/>
      <c r="ORD23"/>
      <c r="ORE23"/>
      <c r="ORF23"/>
      <c r="ORG23"/>
      <c r="ORH23"/>
      <c r="ORI23"/>
      <c r="ORJ23"/>
      <c r="ORK23"/>
      <c r="ORL23"/>
      <c r="ORM23"/>
      <c r="ORN23"/>
      <c r="ORO23"/>
      <c r="ORP23"/>
      <c r="ORQ23"/>
      <c r="ORR23"/>
      <c r="ORS23"/>
      <c r="ORT23"/>
      <c r="ORU23"/>
      <c r="ORV23"/>
      <c r="ORW23"/>
      <c r="ORX23"/>
      <c r="ORY23"/>
      <c r="ORZ23"/>
      <c r="OSA23"/>
      <c r="OSB23"/>
      <c r="OSC23"/>
      <c r="OSD23"/>
      <c r="OSE23"/>
      <c r="OSF23"/>
      <c r="OSG23"/>
      <c r="OSH23"/>
      <c r="OSI23"/>
      <c r="OSJ23"/>
      <c r="OSK23"/>
      <c r="OSL23"/>
      <c r="OSM23"/>
      <c r="OSN23"/>
      <c r="OSO23"/>
      <c r="OSP23"/>
      <c r="OSQ23"/>
      <c r="OSR23"/>
      <c r="OSS23"/>
      <c r="OST23"/>
      <c r="OSU23"/>
      <c r="OSV23"/>
      <c r="OSW23"/>
      <c r="OSX23"/>
      <c r="OSY23"/>
      <c r="OSZ23"/>
      <c r="OTA23"/>
      <c r="OTB23"/>
      <c r="OTC23"/>
      <c r="OTD23"/>
      <c r="OTE23"/>
      <c r="OTF23"/>
      <c r="OTG23"/>
      <c r="OTH23"/>
      <c r="OTI23"/>
      <c r="OTJ23"/>
      <c r="OTK23"/>
      <c r="OTL23"/>
      <c r="OTM23"/>
      <c r="OTN23"/>
      <c r="OTO23"/>
      <c r="OTP23"/>
      <c r="OTQ23"/>
      <c r="OTR23"/>
      <c r="OTS23"/>
      <c r="OTT23"/>
      <c r="OTU23"/>
      <c r="OTV23"/>
      <c r="OTW23"/>
      <c r="OTX23"/>
      <c r="OTY23"/>
      <c r="OTZ23"/>
      <c r="OUA23"/>
      <c r="OUB23"/>
      <c r="OUC23"/>
      <c r="OUD23"/>
      <c r="OUE23"/>
      <c r="OUF23"/>
      <c r="OUG23"/>
      <c r="OUH23"/>
      <c r="OUI23"/>
      <c r="OUJ23"/>
      <c r="OUK23"/>
      <c r="OUL23"/>
      <c r="OUM23"/>
      <c r="OUN23"/>
      <c r="OUO23"/>
      <c r="OUP23"/>
      <c r="OUQ23"/>
      <c r="OUR23"/>
      <c r="OUS23"/>
      <c r="OUT23"/>
      <c r="OUU23"/>
      <c r="OUV23"/>
      <c r="OUW23"/>
      <c r="OUX23"/>
      <c r="OUY23"/>
      <c r="OUZ23"/>
      <c r="OVA23"/>
      <c r="OVB23"/>
      <c r="OVC23"/>
      <c r="OVD23"/>
      <c r="OVE23"/>
      <c r="OVF23"/>
      <c r="OVG23"/>
      <c r="OVH23"/>
      <c r="OVI23"/>
      <c r="OVJ23"/>
      <c r="OVK23"/>
      <c r="OVL23"/>
      <c r="OVM23"/>
      <c r="OVN23"/>
      <c r="OVO23"/>
      <c r="OVP23"/>
      <c r="OVQ23"/>
      <c r="OVR23"/>
      <c r="OVS23"/>
      <c r="OVT23"/>
      <c r="OVU23"/>
      <c r="OVV23"/>
      <c r="OVW23"/>
      <c r="OVX23"/>
      <c r="OVY23"/>
      <c r="OVZ23"/>
      <c r="OWA23"/>
      <c r="OWB23"/>
      <c r="OWC23"/>
      <c r="OWD23"/>
      <c r="OWE23"/>
      <c r="OWF23"/>
      <c r="OWG23"/>
      <c r="OWH23"/>
      <c r="OWI23"/>
      <c r="OWJ23"/>
      <c r="OWK23"/>
      <c r="OWL23"/>
      <c r="OWM23"/>
      <c r="OWN23"/>
      <c r="OWO23"/>
      <c r="OWP23"/>
      <c r="OWQ23"/>
      <c r="OWR23"/>
      <c r="OWS23"/>
      <c r="OWT23"/>
      <c r="OWU23"/>
      <c r="OWV23"/>
      <c r="OWW23"/>
      <c r="OWX23"/>
      <c r="OWY23"/>
      <c r="OWZ23"/>
      <c r="OXA23"/>
      <c r="OXB23"/>
      <c r="OXC23"/>
      <c r="OXD23"/>
      <c r="OXE23"/>
      <c r="OXF23"/>
      <c r="OXG23"/>
      <c r="OXH23"/>
      <c r="OXI23"/>
      <c r="OXJ23"/>
      <c r="OXK23"/>
      <c r="OXL23"/>
      <c r="OXM23"/>
      <c r="OXN23"/>
      <c r="OXO23"/>
      <c r="OXP23"/>
      <c r="OXQ23"/>
      <c r="OXR23"/>
      <c r="OXS23"/>
      <c r="OXT23"/>
      <c r="OXU23"/>
      <c r="OXV23"/>
      <c r="OXW23"/>
      <c r="OXX23"/>
      <c r="OXY23"/>
      <c r="OXZ23"/>
      <c r="OYA23"/>
      <c r="OYB23"/>
      <c r="OYC23"/>
      <c r="OYD23"/>
      <c r="OYE23"/>
      <c r="OYF23"/>
      <c r="OYG23"/>
      <c r="OYH23"/>
      <c r="OYI23"/>
      <c r="OYJ23"/>
      <c r="OYK23"/>
      <c r="OYL23"/>
      <c r="OYM23"/>
      <c r="OYN23"/>
      <c r="OYO23"/>
      <c r="OYP23"/>
      <c r="OYQ23"/>
      <c r="OYR23"/>
      <c r="OYS23"/>
      <c r="OYT23"/>
      <c r="OYU23"/>
      <c r="OYV23"/>
      <c r="OYW23"/>
      <c r="OYX23"/>
      <c r="OYY23"/>
      <c r="OYZ23"/>
      <c r="OZA23"/>
      <c r="OZB23"/>
      <c r="OZC23"/>
      <c r="OZD23"/>
      <c r="OZE23"/>
      <c r="OZF23"/>
      <c r="OZG23"/>
      <c r="OZH23"/>
      <c r="OZI23"/>
      <c r="OZJ23"/>
      <c r="OZK23"/>
      <c r="OZL23"/>
      <c r="OZM23"/>
      <c r="OZN23"/>
      <c r="OZO23"/>
      <c r="OZP23"/>
      <c r="OZQ23"/>
      <c r="OZR23"/>
      <c r="OZS23"/>
      <c r="OZT23"/>
      <c r="OZU23"/>
      <c r="OZV23"/>
      <c r="OZW23"/>
      <c r="OZX23"/>
      <c r="OZY23"/>
      <c r="OZZ23"/>
      <c r="PAA23"/>
      <c r="PAB23"/>
      <c r="PAC23"/>
      <c r="PAD23"/>
      <c r="PAE23"/>
      <c r="PAF23"/>
      <c r="PAG23"/>
      <c r="PAH23"/>
      <c r="PAI23"/>
      <c r="PAJ23"/>
      <c r="PAK23"/>
      <c r="PAL23"/>
      <c r="PAM23"/>
      <c r="PAN23"/>
      <c r="PAO23"/>
      <c r="PAP23"/>
      <c r="PAQ23"/>
      <c r="PAR23"/>
      <c r="PAS23"/>
      <c r="PAT23"/>
      <c r="PAU23"/>
      <c r="PAV23"/>
      <c r="PAW23"/>
      <c r="PAX23"/>
      <c r="PAY23"/>
      <c r="PAZ23"/>
      <c r="PBA23"/>
      <c r="PBB23"/>
      <c r="PBC23"/>
      <c r="PBD23"/>
      <c r="PBE23"/>
      <c r="PBF23"/>
      <c r="PBG23"/>
      <c r="PBH23"/>
      <c r="PBI23"/>
      <c r="PBJ23"/>
      <c r="PBK23"/>
      <c r="PBL23"/>
      <c r="PBM23"/>
      <c r="PBN23"/>
      <c r="PBO23"/>
      <c r="PBP23"/>
      <c r="PBQ23"/>
      <c r="PBR23"/>
      <c r="PBS23"/>
      <c r="PBT23"/>
      <c r="PBU23"/>
      <c r="PBV23"/>
      <c r="PBW23"/>
      <c r="PBX23"/>
      <c r="PBY23"/>
      <c r="PBZ23"/>
      <c r="PCA23"/>
      <c r="PCB23"/>
      <c r="PCC23"/>
      <c r="PCD23"/>
      <c r="PCE23"/>
      <c r="PCF23"/>
      <c r="PCG23"/>
      <c r="PCH23"/>
      <c r="PCI23"/>
      <c r="PCJ23"/>
      <c r="PCK23"/>
      <c r="PCL23"/>
      <c r="PCM23"/>
      <c r="PCN23"/>
      <c r="PCO23"/>
      <c r="PCP23"/>
      <c r="PCQ23"/>
      <c r="PCR23"/>
      <c r="PCS23"/>
      <c r="PCT23"/>
      <c r="PCU23"/>
      <c r="PCV23"/>
      <c r="PCW23"/>
      <c r="PCX23"/>
      <c r="PCY23"/>
      <c r="PCZ23"/>
      <c r="PDA23"/>
      <c r="PDB23"/>
      <c r="PDC23"/>
      <c r="PDD23"/>
      <c r="PDE23"/>
      <c r="PDF23"/>
      <c r="PDG23"/>
      <c r="PDH23"/>
      <c r="PDI23"/>
      <c r="PDJ23"/>
      <c r="PDK23"/>
      <c r="PDL23"/>
      <c r="PDM23"/>
      <c r="PDN23"/>
      <c r="PDO23"/>
      <c r="PDP23"/>
      <c r="PDQ23"/>
      <c r="PDR23"/>
      <c r="PDS23"/>
      <c r="PDT23"/>
      <c r="PDU23"/>
      <c r="PDV23"/>
      <c r="PDW23"/>
      <c r="PDX23"/>
      <c r="PDY23"/>
      <c r="PDZ23"/>
      <c r="PEA23"/>
      <c r="PEB23"/>
      <c r="PEC23"/>
      <c r="PED23"/>
      <c r="PEE23"/>
      <c r="PEF23"/>
      <c r="PEG23"/>
      <c r="PEH23"/>
      <c r="PEI23"/>
      <c r="PEJ23"/>
      <c r="PEK23"/>
      <c r="PEL23"/>
      <c r="PEM23"/>
      <c r="PEN23"/>
      <c r="PEO23"/>
      <c r="PEP23"/>
      <c r="PEQ23"/>
      <c r="PER23"/>
      <c r="PES23"/>
      <c r="PET23"/>
      <c r="PEU23"/>
      <c r="PEV23"/>
      <c r="PEW23"/>
      <c r="PEX23"/>
      <c r="PEY23"/>
      <c r="PEZ23"/>
      <c r="PFA23"/>
      <c r="PFB23"/>
      <c r="PFC23"/>
      <c r="PFD23"/>
      <c r="PFE23"/>
      <c r="PFF23"/>
      <c r="PFG23"/>
      <c r="PFH23"/>
      <c r="PFI23"/>
      <c r="PFJ23"/>
      <c r="PFK23"/>
      <c r="PFL23"/>
      <c r="PFM23"/>
      <c r="PFN23"/>
      <c r="PFO23"/>
      <c r="PFP23"/>
      <c r="PFQ23"/>
      <c r="PFR23"/>
      <c r="PFS23"/>
      <c r="PFT23"/>
      <c r="PFU23"/>
      <c r="PFV23"/>
      <c r="PFW23"/>
      <c r="PFX23"/>
      <c r="PFY23"/>
      <c r="PFZ23"/>
      <c r="PGA23"/>
      <c r="PGB23"/>
      <c r="PGC23"/>
      <c r="PGD23"/>
      <c r="PGE23"/>
      <c r="PGF23"/>
      <c r="PGG23"/>
      <c r="PGH23"/>
      <c r="PGI23"/>
      <c r="PGJ23"/>
      <c r="PGK23"/>
      <c r="PGL23"/>
      <c r="PGM23"/>
      <c r="PGN23"/>
      <c r="PGO23"/>
      <c r="PGP23"/>
      <c r="PGQ23"/>
      <c r="PGR23"/>
      <c r="PGS23"/>
      <c r="PGT23"/>
      <c r="PGU23"/>
      <c r="PGV23"/>
      <c r="PGW23"/>
      <c r="PGX23"/>
      <c r="PGY23"/>
      <c r="PGZ23"/>
      <c r="PHA23"/>
      <c r="PHB23"/>
      <c r="PHC23"/>
      <c r="PHD23"/>
      <c r="PHE23"/>
      <c r="PHF23"/>
      <c r="PHG23"/>
      <c r="PHH23"/>
      <c r="PHI23"/>
      <c r="PHJ23"/>
      <c r="PHK23"/>
      <c r="PHL23"/>
      <c r="PHM23"/>
      <c r="PHN23"/>
      <c r="PHO23"/>
      <c r="PHP23"/>
      <c r="PHQ23"/>
      <c r="PHR23"/>
      <c r="PHS23"/>
      <c r="PHT23"/>
      <c r="PHU23"/>
      <c r="PHV23"/>
      <c r="PHW23"/>
      <c r="PHX23"/>
      <c r="PHY23"/>
      <c r="PHZ23"/>
      <c r="PIA23"/>
      <c r="PIB23"/>
      <c r="PIC23"/>
      <c r="PID23"/>
      <c r="PIE23"/>
      <c r="PIF23"/>
      <c r="PIG23"/>
      <c r="PIH23"/>
      <c r="PII23"/>
      <c r="PIJ23"/>
      <c r="PIK23"/>
      <c r="PIL23"/>
      <c r="PIM23"/>
      <c r="PIN23"/>
      <c r="PIO23"/>
      <c r="PIP23"/>
      <c r="PIQ23"/>
      <c r="PIR23"/>
      <c r="PIS23"/>
      <c r="PIT23"/>
      <c r="PIU23"/>
      <c r="PIV23"/>
      <c r="PIW23"/>
      <c r="PIX23"/>
      <c r="PIY23"/>
      <c r="PIZ23"/>
      <c r="PJA23"/>
      <c r="PJB23"/>
      <c r="PJC23"/>
      <c r="PJD23"/>
      <c r="PJE23"/>
      <c r="PJF23"/>
      <c r="PJG23"/>
      <c r="PJH23"/>
      <c r="PJI23"/>
      <c r="PJJ23"/>
      <c r="PJK23"/>
      <c r="PJL23"/>
      <c r="PJM23"/>
      <c r="PJN23"/>
      <c r="PJO23"/>
      <c r="PJP23"/>
      <c r="PJQ23"/>
      <c r="PJR23"/>
      <c r="PJS23"/>
      <c r="PJT23"/>
      <c r="PJU23"/>
      <c r="PJV23"/>
      <c r="PJW23"/>
      <c r="PJX23"/>
      <c r="PJY23"/>
      <c r="PJZ23"/>
      <c r="PKA23"/>
      <c r="PKB23"/>
      <c r="PKC23"/>
      <c r="PKD23"/>
      <c r="PKE23"/>
      <c r="PKF23"/>
      <c r="PKG23"/>
      <c r="PKH23"/>
      <c r="PKI23"/>
      <c r="PKJ23"/>
      <c r="PKK23"/>
      <c r="PKL23"/>
      <c r="PKM23"/>
      <c r="PKN23"/>
      <c r="PKO23"/>
      <c r="PKP23"/>
      <c r="PKQ23"/>
      <c r="PKR23"/>
      <c r="PKS23"/>
      <c r="PKT23"/>
      <c r="PKU23"/>
      <c r="PKV23"/>
      <c r="PKW23"/>
      <c r="PKX23"/>
      <c r="PKY23"/>
      <c r="PKZ23"/>
      <c r="PLA23"/>
      <c r="PLB23"/>
      <c r="PLC23"/>
      <c r="PLD23"/>
      <c r="PLE23"/>
      <c r="PLF23"/>
      <c r="PLG23"/>
      <c r="PLH23"/>
      <c r="PLI23"/>
      <c r="PLJ23"/>
      <c r="PLK23"/>
      <c r="PLL23"/>
      <c r="PLM23"/>
      <c r="PLN23"/>
      <c r="PLO23"/>
      <c r="PLP23"/>
      <c r="PLQ23"/>
      <c r="PLR23"/>
      <c r="PLS23"/>
      <c r="PLT23"/>
      <c r="PLU23"/>
      <c r="PLV23"/>
      <c r="PLW23"/>
      <c r="PLX23"/>
      <c r="PLY23"/>
      <c r="PLZ23"/>
      <c r="PMA23"/>
      <c r="PMB23"/>
      <c r="PMC23"/>
      <c r="PMD23"/>
      <c r="PME23"/>
      <c r="PMF23"/>
      <c r="PMG23"/>
      <c r="PMH23"/>
      <c r="PMI23"/>
      <c r="PMJ23"/>
      <c r="PMK23"/>
      <c r="PML23"/>
      <c r="PMM23"/>
      <c r="PMN23"/>
      <c r="PMO23"/>
      <c r="PMP23"/>
      <c r="PMQ23"/>
      <c r="PMR23"/>
      <c r="PMS23"/>
      <c r="PMT23"/>
      <c r="PMU23"/>
      <c r="PMV23"/>
      <c r="PMW23"/>
      <c r="PMX23"/>
      <c r="PMY23"/>
      <c r="PMZ23"/>
      <c r="PNA23"/>
      <c r="PNB23"/>
      <c r="PNC23"/>
      <c r="PND23"/>
      <c r="PNE23"/>
      <c r="PNF23"/>
      <c r="PNG23"/>
      <c r="PNH23"/>
      <c r="PNI23"/>
      <c r="PNJ23"/>
      <c r="PNK23"/>
      <c r="PNL23"/>
      <c r="PNM23"/>
      <c r="PNN23"/>
      <c r="PNO23"/>
      <c r="PNP23"/>
      <c r="PNQ23"/>
      <c r="PNR23"/>
      <c r="PNS23"/>
      <c r="PNT23"/>
      <c r="PNU23"/>
      <c r="PNV23"/>
      <c r="PNW23"/>
      <c r="PNX23"/>
      <c r="PNY23"/>
      <c r="PNZ23"/>
      <c r="POA23"/>
      <c r="POB23"/>
      <c r="POC23"/>
      <c r="POD23"/>
      <c r="POE23"/>
      <c r="POF23"/>
      <c r="POG23"/>
      <c r="POH23"/>
      <c r="POI23"/>
      <c r="POJ23"/>
      <c r="POK23"/>
      <c r="POL23"/>
      <c r="POM23"/>
      <c r="PON23"/>
      <c r="POO23"/>
      <c r="POP23"/>
      <c r="POQ23"/>
      <c r="POR23"/>
      <c r="POS23"/>
      <c r="POT23"/>
      <c r="POU23"/>
      <c r="POV23"/>
      <c r="POW23"/>
      <c r="POX23"/>
      <c r="POY23"/>
      <c r="POZ23"/>
      <c r="PPA23"/>
      <c r="PPB23"/>
      <c r="PPC23"/>
      <c r="PPD23"/>
      <c r="PPE23"/>
      <c r="PPF23"/>
      <c r="PPG23"/>
      <c r="PPH23"/>
      <c r="PPI23"/>
      <c r="PPJ23"/>
      <c r="PPK23"/>
      <c r="PPL23"/>
      <c r="PPM23"/>
      <c r="PPN23"/>
      <c r="PPO23"/>
      <c r="PPP23"/>
      <c r="PPQ23"/>
      <c r="PPR23"/>
      <c r="PPS23"/>
      <c r="PPT23"/>
      <c r="PPU23"/>
      <c r="PPV23"/>
      <c r="PPW23"/>
      <c r="PPX23"/>
      <c r="PPY23"/>
      <c r="PPZ23"/>
      <c r="PQA23"/>
      <c r="PQB23"/>
      <c r="PQC23"/>
      <c r="PQD23"/>
      <c r="PQE23"/>
      <c r="PQF23"/>
      <c r="PQG23"/>
      <c r="PQH23"/>
      <c r="PQI23"/>
      <c r="PQJ23"/>
      <c r="PQK23"/>
      <c r="PQL23"/>
      <c r="PQM23"/>
      <c r="PQN23"/>
      <c r="PQO23"/>
      <c r="PQP23"/>
      <c r="PQQ23"/>
      <c r="PQR23"/>
      <c r="PQS23"/>
      <c r="PQT23"/>
      <c r="PQU23"/>
      <c r="PQV23"/>
      <c r="PQW23"/>
      <c r="PQX23"/>
      <c r="PQY23"/>
      <c r="PQZ23"/>
      <c r="PRA23"/>
      <c r="PRB23"/>
      <c r="PRC23"/>
      <c r="PRD23"/>
      <c r="PRE23"/>
      <c r="PRF23"/>
      <c r="PRG23"/>
      <c r="PRH23"/>
      <c r="PRI23"/>
      <c r="PRJ23"/>
      <c r="PRK23"/>
      <c r="PRL23"/>
      <c r="PRM23"/>
      <c r="PRN23"/>
      <c r="PRO23"/>
      <c r="PRP23"/>
      <c r="PRQ23"/>
      <c r="PRR23"/>
      <c r="PRS23"/>
      <c r="PRT23"/>
      <c r="PRU23"/>
      <c r="PRV23"/>
      <c r="PRW23"/>
      <c r="PRX23"/>
      <c r="PRY23"/>
      <c r="PRZ23"/>
      <c r="PSA23"/>
      <c r="PSB23"/>
      <c r="PSC23"/>
      <c r="PSD23"/>
      <c r="PSE23"/>
      <c r="PSF23"/>
      <c r="PSG23"/>
      <c r="PSH23"/>
      <c r="PSI23"/>
      <c r="PSJ23"/>
      <c r="PSK23"/>
      <c r="PSL23"/>
      <c r="PSM23"/>
      <c r="PSN23"/>
      <c r="PSO23"/>
      <c r="PSP23"/>
      <c r="PSQ23"/>
      <c r="PSR23"/>
      <c r="PSS23"/>
      <c r="PST23"/>
      <c r="PSU23"/>
      <c r="PSV23"/>
      <c r="PSW23"/>
      <c r="PSX23"/>
      <c r="PSY23"/>
      <c r="PSZ23"/>
      <c r="PTA23"/>
      <c r="PTB23"/>
      <c r="PTC23"/>
      <c r="PTD23"/>
      <c r="PTE23"/>
      <c r="PTF23"/>
      <c r="PTG23"/>
      <c r="PTH23"/>
      <c r="PTI23"/>
      <c r="PTJ23"/>
      <c r="PTK23"/>
      <c r="PTL23"/>
      <c r="PTM23"/>
      <c r="PTN23"/>
      <c r="PTO23"/>
      <c r="PTP23"/>
      <c r="PTQ23"/>
      <c r="PTR23"/>
      <c r="PTS23"/>
      <c r="PTT23"/>
      <c r="PTU23"/>
      <c r="PTV23"/>
      <c r="PTW23"/>
      <c r="PTX23"/>
      <c r="PTY23"/>
      <c r="PTZ23"/>
      <c r="PUA23"/>
      <c r="PUB23"/>
      <c r="PUC23"/>
      <c r="PUD23"/>
      <c r="PUE23"/>
      <c r="PUF23"/>
      <c r="PUG23"/>
      <c r="PUH23"/>
      <c r="PUI23"/>
      <c r="PUJ23"/>
      <c r="PUK23"/>
      <c r="PUL23"/>
      <c r="PUM23"/>
      <c r="PUN23"/>
      <c r="PUO23"/>
      <c r="PUP23"/>
      <c r="PUQ23"/>
      <c r="PUR23"/>
      <c r="PUS23"/>
      <c r="PUT23"/>
      <c r="PUU23"/>
      <c r="PUV23"/>
      <c r="PUW23"/>
      <c r="PUX23"/>
      <c r="PUY23"/>
      <c r="PUZ23"/>
      <c r="PVA23"/>
      <c r="PVB23"/>
      <c r="PVC23"/>
      <c r="PVD23"/>
      <c r="PVE23"/>
      <c r="PVF23"/>
      <c r="PVG23"/>
      <c r="PVH23"/>
      <c r="PVI23"/>
      <c r="PVJ23"/>
      <c r="PVK23"/>
      <c r="PVL23"/>
      <c r="PVM23"/>
      <c r="PVN23"/>
      <c r="PVO23"/>
      <c r="PVP23"/>
      <c r="PVQ23"/>
      <c r="PVR23"/>
      <c r="PVS23"/>
      <c r="PVT23"/>
      <c r="PVU23"/>
      <c r="PVV23"/>
      <c r="PVW23"/>
      <c r="PVX23"/>
      <c r="PVY23"/>
      <c r="PVZ23"/>
      <c r="PWA23"/>
      <c r="PWB23"/>
      <c r="PWC23"/>
      <c r="PWD23"/>
      <c r="PWE23"/>
      <c r="PWF23"/>
      <c r="PWG23"/>
      <c r="PWH23"/>
      <c r="PWI23"/>
      <c r="PWJ23"/>
      <c r="PWK23"/>
      <c r="PWL23"/>
      <c r="PWM23"/>
      <c r="PWN23"/>
      <c r="PWO23"/>
      <c r="PWP23"/>
      <c r="PWQ23"/>
      <c r="PWR23"/>
      <c r="PWS23"/>
      <c r="PWT23"/>
      <c r="PWU23"/>
      <c r="PWV23"/>
      <c r="PWW23"/>
      <c r="PWX23"/>
      <c r="PWY23"/>
      <c r="PWZ23"/>
      <c r="PXA23"/>
      <c r="PXB23"/>
      <c r="PXC23"/>
      <c r="PXD23"/>
      <c r="PXE23"/>
      <c r="PXF23"/>
      <c r="PXG23"/>
      <c r="PXH23"/>
      <c r="PXI23"/>
      <c r="PXJ23"/>
      <c r="PXK23"/>
      <c r="PXL23"/>
      <c r="PXM23"/>
      <c r="PXN23"/>
      <c r="PXO23"/>
      <c r="PXP23"/>
      <c r="PXQ23"/>
      <c r="PXR23"/>
      <c r="PXS23"/>
      <c r="PXT23"/>
      <c r="PXU23"/>
      <c r="PXV23"/>
      <c r="PXW23"/>
      <c r="PXX23"/>
      <c r="PXY23"/>
      <c r="PXZ23"/>
      <c r="PYA23"/>
      <c r="PYB23"/>
      <c r="PYC23"/>
      <c r="PYD23"/>
      <c r="PYE23"/>
      <c r="PYF23"/>
      <c r="PYG23"/>
      <c r="PYH23"/>
      <c r="PYI23"/>
      <c r="PYJ23"/>
      <c r="PYK23"/>
      <c r="PYL23"/>
      <c r="PYM23"/>
      <c r="PYN23"/>
      <c r="PYO23"/>
      <c r="PYP23"/>
      <c r="PYQ23"/>
      <c r="PYR23"/>
      <c r="PYS23"/>
      <c r="PYT23"/>
      <c r="PYU23"/>
      <c r="PYV23"/>
      <c r="PYW23"/>
      <c r="PYX23"/>
      <c r="PYY23"/>
      <c r="PYZ23"/>
      <c r="PZA23"/>
      <c r="PZB23"/>
      <c r="PZC23"/>
      <c r="PZD23"/>
      <c r="PZE23"/>
      <c r="PZF23"/>
      <c r="PZG23"/>
      <c r="PZH23"/>
      <c r="PZI23"/>
      <c r="PZJ23"/>
      <c r="PZK23"/>
      <c r="PZL23"/>
      <c r="PZM23"/>
      <c r="PZN23"/>
      <c r="PZO23"/>
      <c r="PZP23"/>
      <c r="PZQ23"/>
      <c r="PZR23"/>
      <c r="PZS23"/>
      <c r="PZT23"/>
      <c r="PZU23"/>
      <c r="PZV23"/>
      <c r="PZW23"/>
      <c r="PZX23"/>
      <c r="PZY23"/>
      <c r="PZZ23"/>
      <c r="QAA23"/>
      <c r="QAB23"/>
      <c r="QAC23"/>
      <c r="QAD23"/>
      <c r="QAE23"/>
      <c r="QAF23"/>
      <c r="QAG23"/>
      <c r="QAH23"/>
      <c r="QAI23"/>
      <c r="QAJ23"/>
      <c r="QAK23"/>
      <c r="QAL23"/>
      <c r="QAM23"/>
      <c r="QAN23"/>
      <c r="QAO23"/>
      <c r="QAP23"/>
      <c r="QAQ23"/>
      <c r="QAR23"/>
      <c r="QAS23"/>
      <c r="QAT23"/>
      <c r="QAU23"/>
      <c r="QAV23"/>
      <c r="QAW23"/>
      <c r="QAX23"/>
      <c r="QAY23"/>
      <c r="QAZ23"/>
      <c r="QBA23"/>
      <c r="QBB23"/>
      <c r="QBC23"/>
      <c r="QBD23"/>
      <c r="QBE23"/>
      <c r="QBF23"/>
      <c r="QBG23"/>
      <c r="QBH23"/>
      <c r="QBI23"/>
      <c r="QBJ23"/>
      <c r="QBK23"/>
      <c r="QBL23"/>
      <c r="QBM23"/>
      <c r="QBN23"/>
      <c r="QBO23"/>
      <c r="QBP23"/>
      <c r="QBQ23"/>
      <c r="QBR23"/>
      <c r="QBS23"/>
      <c r="QBT23"/>
      <c r="QBU23"/>
      <c r="QBV23"/>
      <c r="QBW23"/>
      <c r="QBX23"/>
      <c r="QBY23"/>
      <c r="QBZ23"/>
      <c r="QCA23"/>
      <c r="QCB23"/>
      <c r="QCC23"/>
      <c r="QCD23"/>
      <c r="QCE23"/>
      <c r="QCF23"/>
      <c r="QCG23"/>
      <c r="QCH23"/>
      <c r="QCI23"/>
      <c r="QCJ23"/>
      <c r="QCK23"/>
      <c r="QCL23"/>
      <c r="QCM23"/>
      <c r="QCN23"/>
      <c r="QCO23"/>
      <c r="QCP23"/>
      <c r="QCQ23"/>
      <c r="QCR23"/>
      <c r="QCS23"/>
      <c r="QCT23"/>
      <c r="QCU23"/>
      <c r="QCV23"/>
      <c r="QCW23"/>
      <c r="QCX23"/>
      <c r="QCY23"/>
      <c r="QCZ23"/>
      <c r="QDA23"/>
      <c r="QDB23"/>
      <c r="QDC23"/>
      <c r="QDD23"/>
      <c r="QDE23"/>
      <c r="QDF23"/>
      <c r="QDG23"/>
      <c r="QDH23"/>
      <c r="QDI23"/>
      <c r="QDJ23"/>
      <c r="QDK23"/>
      <c r="QDL23"/>
      <c r="QDM23"/>
      <c r="QDN23"/>
      <c r="QDO23"/>
      <c r="QDP23"/>
      <c r="QDQ23"/>
      <c r="QDR23"/>
      <c r="QDS23"/>
      <c r="QDT23"/>
      <c r="QDU23"/>
      <c r="QDV23"/>
      <c r="QDW23"/>
      <c r="QDX23"/>
      <c r="QDY23"/>
      <c r="QDZ23"/>
      <c r="QEA23"/>
      <c r="QEB23"/>
      <c r="QEC23"/>
      <c r="QED23"/>
      <c r="QEE23"/>
      <c r="QEF23"/>
      <c r="QEG23"/>
      <c r="QEH23"/>
      <c r="QEI23"/>
      <c r="QEJ23"/>
      <c r="QEK23"/>
      <c r="QEL23"/>
      <c r="QEM23"/>
      <c r="QEN23"/>
      <c r="QEO23"/>
      <c r="QEP23"/>
      <c r="QEQ23"/>
      <c r="QER23"/>
      <c r="QES23"/>
      <c r="QET23"/>
      <c r="QEU23"/>
      <c r="QEV23"/>
      <c r="QEW23"/>
      <c r="QEX23"/>
      <c r="QEY23"/>
      <c r="QEZ23"/>
      <c r="QFA23"/>
      <c r="QFB23"/>
      <c r="QFC23"/>
      <c r="QFD23"/>
      <c r="QFE23"/>
      <c r="QFF23"/>
      <c r="QFG23"/>
      <c r="QFH23"/>
      <c r="QFI23"/>
      <c r="QFJ23"/>
      <c r="QFK23"/>
      <c r="QFL23"/>
      <c r="QFM23"/>
      <c r="QFN23"/>
      <c r="QFO23"/>
      <c r="QFP23"/>
      <c r="QFQ23"/>
      <c r="QFR23"/>
      <c r="QFS23"/>
      <c r="QFT23"/>
      <c r="QFU23"/>
      <c r="QFV23"/>
      <c r="QFW23"/>
      <c r="QFX23"/>
      <c r="QFY23"/>
      <c r="QFZ23"/>
      <c r="QGA23"/>
      <c r="QGB23"/>
      <c r="QGC23"/>
      <c r="QGD23"/>
      <c r="QGE23"/>
      <c r="QGF23"/>
      <c r="QGG23"/>
      <c r="QGH23"/>
      <c r="QGI23"/>
      <c r="QGJ23"/>
      <c r="QGK23"/>
      <c r="QGL23"/>
      <c r="QGM23"/>
      <c r="QGN23"/>
      <c r="QGO23"/>
      <c r="QGP23"/>
      <c r="QGQ23"/>
      <c r="QGR23"/>
      <c r="QGS23"/>
      <c r="QGT23"/>
      <c r="QGU23"/>
      <c r="QGV23"/>
      <c r="QGW23"/>
      <c r="QGX23"/>
      <c r="QGY23"/>
      <c r="QGZ23"/>
      <c r="QHA23"/>
      <c r="QHB23"/>
      <c r="QHC23"/>
      <c r="QHD23"/>
      <c r="QHE23"/>
      <c r="QHF23"/>
      <c r="QHG23"/>
      <c r="QHH23"/>
      <c r="QHI23"/>
      <c r="QHJ23"/>
      <c r="QHK23"/>
      <c r="QHL23"/>
      <c r="QHM23"/>
      <c r="QHN23"/>
      <c r="QHO23"/>
      <c r="QHP23"/>
      <c r="QHQ23"/>
      <c r="QHR23"/>
      <c r="QHS23"/>
      <c r="QHT23"/>
      <c r="QHU23"/>
      <c r="QHV23"/>
      <c r="QHW23"/>
      <c r="QHX23"/>
      <c r="QHY23"/>
      <c r="QHZ23"/>
      <c r="QIA23"/>
      <c r="QIB23"/>
      <c r="QIC23"/>
      <c r="QID23"/>
      <c r="QIE23"/>
      <c r="QIF23"/>
      <c r="QIG23"/>
      <c r="QIH23"/>
      <c r="QII23"/>
      <c r="QIJ23"/>
      <c r="QIK23"/>
      <c r="QIL23"/>
      <c r="QIM23"/>
      <c r="QIN23"/>
      <c r="QIO23"/>
      <c r="QIP23"/>
      <c r="QIQ23"/>
      <c r="QIR23"/>
      <c r="QIS23"/>
      <c r="QIT23"/>
      <c r="QIU23"/>
      <c r="QIV23"/>
      <c r="QIW23"/>
      <c r="QIX23"/>
      <c r="QIY23"/>
      <c r="QIZ23"/>
      <c r="QJA23"/>
      <c r="QJB23"/>
      <c r="QJC23"/>
      <c r="QJD23"/>
      <c r="QJE23"/>
      <c r="QJF23"/>
      <c r="QJG23"/>
      <c r="QJH23"/>
      <c r="QJI23"/>
      <c r="QJJ23"/>
      <c r="QJK23"/>
      <c r="QJL23"/>
      <c r="QJM23"/>
      <c r="QJN23"/>
      <c r="QJO23"/>
      <c r="QJP23"/>
      <c r="QJQ23"/>
      <c r="QJR23"/>
      <c r="QJS23"/>
      <c r="QJT23"/>
      <c r="QJU23"/>
      <c r="QJV23"/>
      <c r="QJW23"/>
      <c r="QJX23"/>
      <c r="QJY23"/>
      <c r="QJZ23"/>
      <c r="QKA23"/>
      <c r="QKB23"/>
      <c r="QKC23"/>
      <c r="QKD23"/>
      <c r="QKE23"/>
      <c r="QKF23"/>
      <c r="QKG23"/>
      <c r="QKH23"/>
      <c r="QKI23"/>
      <c r="QKJ23"/>
      <c r="QKK23"/>
      <c r="QKL23"/>
      <c r="QKM23"/>
      <c r="QKN23"/>
      <c r="QKO23"/>
      <c r="QKP23"/>
      <c r="QKQ23"/>
      <c r="QKR23"/>
      <c r="QKS23"/>
      <c r="QKT23"/>
      <c r="QKU23"/>
      <c r="QKV23"/>
      <c r="QKW23"/>
      <c r="QKX23"/>
      <c r="QKY23"/>
      <c r="QKZ23"/>
      <c r="QLA23"/>
      <c r="QLB23"/>
      <c r="QLC23"/>
      <c r="QLD23"/>
      <c r="QLE23"/>
      <c r="QLF23"/>
      <c r="QLG23"/>
      <c r="QLH23"/>
      <c r="QLI23"/>
      <c r="QLJ23"/>
      <c r="QLK23"/>
      <c r="QLL23"/>
      <c r="QLM23"/>
      <c r="QLN23"/>
      <c r="QLO23"/>
      <c r="QLP23"/>
      <c r="QLQ23"/>
      <c r="QLR23"/>
      <c r="QLS23"/>
      <c r="QLT23"/>
      <c r="QLU23"/>
      <c r="QLV23"/>
      <c r="QLW23"/>
      <c r="QLX23"/>
      <c r="QLY23"/>
      <c r="QLZ23"/>
      <c r="QMA23"/>
      <c r="QMB23"/>
      <c r="QMC23"/>
      <c r="QMD23"/>
      <c r="QME23"/>
      <c r="QMF23"/>
      <c r="QMG23"/>
      <c r="QMH23"/>
      <c r="QMI23"/>
      <c r="QMJ23"/>
      <c r="QMK23"/>
      <c r="QML23"/>
      <c r="QMM23"/>
      <c r="QMN23"/>
      <c r="QMO23"/>
      <c r="QMP23"/>
      <c r="QMQ23"/>
      <c r="QMR23"/>
      <c r="QMS23"/>
      <c r="QMT23"/>
      <c r="QMU23"/>
      <c r="QMV23"/>
      <c r="QMW23"/>
      <c r="QMX23"/>
      <c r="QMY23"/>
      <c r="QMZ23"/>
      <c r="QNA23"/>
      <c r="QNB23"/>
      <c r="QNC23"/>
      <c r="QND23"/>
      <c r="QNE23"/>
      <c r="QNF23"/>
      <c r="QNG23"/>
      <c r="QNH23"/>
      <c r="QNI23"/>
      <c r="QNJ23"/>
      <c r="QNK23"/>
      <c r="QNL23"/>
      <c r="QNM23"/>
      <c r="QNN23"/>
      <c r="QNO23"/>
      <c r="QNP23"/>
      <c r="QNQ23"/>
      <c r="QNR23"/>
      <c r="QNS23"/>
      <c r="QNT23"/>
      <c r="QNU23"/>
      <c r="QNV23"/>
      <c r="QNW23"/>
      <c r="QNX23"/>
      <c r="QNY23"/>
      <c r="QNZ23"/>
      <c r="QOA23"/>
      <c r="QOB23"/>
      <c r="QOC23"/>
      <c r="QOD23"/>
      <c r="QOE23"/>
      <c r="QOF23"/>
      <c r="QOG23"/>
      <c r="QOH23"/>
      <c r="QOI23"/>
      <c r="QOJ23"/>
      <c r="QOK23"/>
      <c r="QOL23"/>
      <c r="QOM23"/>
      <c r="QON23"/>
      <c r="QOO23"/>
      <c r="QOP23"/>
      <c r="QOQ23"/>
      <c r="QOR23"/>
      <c r="QOS23"/>
      <c r="QOT23"/>
      <c r="QOU23"/>
      <c r="QOV23"/>
      <c r="QOW23"/>
      <c r="QOX23"/>
      <c r="QOY23"/>
      <c r="QOZ23"/>
      <c r="QPA23"/>
      <c r="QPB23"/>
      <c r="QPC23"/>
      <c r="QPD23"/>
      <c r="QPE23"/>
      <c r="QPF23"/>
      <c r="QPG23"/>
      <c r="QPH23"/>
      <c r="QPI23"/>
      <c r="QPJ23"/>
      <c r="QPK23"/>
      <c r="QPL23"/>
      <c r="QPM23"/>
      <c r="QPN23"/>
      <c r="QPO23"/>
      <c r="QPP23"/>
      <c r="QPQ23"/>
      <c r="QPR23"/>
      <c r="QPS23"/>
      <c r="QPT23"/>
      <c r="QPU23"/>
      <c r="QPV23"/>
      <c r="QPW23"/>
      <c r="QPX23"/>
      <c r="QPY23"/>
      <c r="QPZ23"/>
      <c r="QQA23"/>
      <c r="QQB23"/>
      <c r="QQC23"/>
      <c r="QQD23"/>
      <c r="QQE23"/>
      <c r="QQF23"/>
      <c r="QQG23"/>
      <c r="QQH23"/>
      <c r="QQI23"/>
      <c r="QQJ23"/>
      <c r="QQK23"/>
      <c r="QQL23"/>
      <c r="QQM23"/>
      <c r="QQN23"/>
      <c r="QQO23"/>
      <c r="QQP23"/>
      <c r="QQQ23"/>
      <c r="QQR23"/>
      <c r="QQS23"/>
      <c r="QQT23"/>
      <c r="QQU23"/>
      <c r="QQV23"/>
      <c r="QQW23"/>
      <c r="QQX23"/>
      <c r="QQY23"/>
      <c r="QQZ23"/>
      <c r="QRA23"/>
      <c r="QRB23"/>
      <c r="QRC23"/>
      <c r="QRD23"/>
      <c r="QRE23"/>
      <c r="QRF23"/>
      <c r="QRG23"/>
      <c r="QRH23"/>
      <c r="QRI23"/>
      <c r="QRJ23"/>
      <c r="QRK23"/>
      <c r="QRL23"/>
      <c r="QRM23"/>
      <c r="QRN23"/>
      <c r="QRO23"/>
      <c r="QRP23"/>
      <c r="QRQ23"/>
      <c r="QRR23"/>
      <c r="QRS23"/>
      <c r="QRT23"/>
      <c r="QRU23"/>
      <c r="QRV23"/>
      <c r="QRW23"/>
      <c r="QRX23"/>
      <c r="QRY23"/>
      <c r="QRZ23"/>
      <c r="QSA23"/>
      <c r="QSB23"/>
      <c r="QSC23"/>
      <c r="QSD23"/>
      <c r="QSE23"/>
      <c r="QSF23"/>
      <c r="QSG23"/>
      <c r="QSH23"/>
      <c r="QSI23"/>
      <c r="QSJ23"/>
      <c r="QSK23"/>
      <c r="QSL23"/>
      <c r="QSM23"/>
      <c r="QSN23"/>
      <c r="QSO23"/>
      <c r="QSP23"/>
      <c r="QSQ23"/>
      <c r="QSR23"/>
      <c r="QSS23"/>
      <c r="QST23"/>
      <c r="QSU23"/>
      <c r="QSV23"/>
      <c r="QSW23"/>
      <c r="QSX23"/>
      <c r="QSY23"/>
      <c r="QSZ23"/>
      <c r="QTA23"/>
      <c r="QTB23"/>
      <c r="QTC23"/>
      <c r="QTD23"/>
      <c r="QTE23"/>
      <c r="QTF23"/>
      <c r="QTG23"/>
      <c r="QTH23"/>
      <c r="QTI23"/>
      <c r="QTJ23"/>
      <c r="QTK23"/>
      <c r="QTL23"/>
      <c r="QTM23"/>
      <c r="QTN23"/>
      <c r="QTO23"/>
      <c r="QTP23"/>
      <c r="QTQ23"/>
      <c r="QTR23"/>
      <c r="QTS23"/>
      <c r="QTT23"/>
      <c r="QTU23"/>
      <c r="QTV23"/>
      <c r="QTW23"/>
      <c r="QTX23"/>
      <c r="QTY23"/>
      <c r="QTZ23"/>
      <c r="QUA23"/>
      <c r="QUB23"/>
      <c r="QUC23"/>
      <c r="QUD23"/>
      <c r="QUE23"/>
      <c r="QUF23"/>
      <c r="QUG23"/>
      <c r="QUH23"/>
      <c r="QUI23"/>
      <c r="QUJ23"/>
      <c r="QUK23"/>
      <c r="QUL23"/>
      <c r="QUM23"/>
      <c r="QUN23"/>
      <c r="QUO23"/>
      <c r="QUP23"/>
      <c r="QUQ23"/>
      <c r="QUR23"/>
      <c r="QUS23"/>
      <c r="QUT23"/>
      <c r="QUU23"/>
      <c r="QUV23"/>
      <c r="QUW23"/>
      <c r="QUX23"/>
      <c r="QUY23"/>
      <c r="QUZ23"/>
      <c r="QVA23"/>
      <c r="QVB23"/>
      <c r="QVC23"/>
      <c r="QVD23"/>
      <c r="QVE23"/>
      <c r="QVF23"/>
      <c r="QVG23"/>
      <c r="QVH23"/>
      <c r="QVI23"/>
      <c r="QVJ23"/>
      <c r="QVK23"/>
      <c r="QVL23"/>
      <c r="QVM23"/>
      <c r="QVN23"/>
      <c r="QVO23"/>
      <c r="QVP23"/>
      <c r="QVQ23"/>
      <c r="QVR23"/>
      <c r="QVS23"/>
      <c r="QVT23"/>
      <c r="QVU23"/>
      <c r="QVV23"/>
      <c r="QVW23"/>
      <c r="QVX23"/>
      <c r="QVY23"/>
      <c r="QVZ23"/>
      <c r="QWA23"/>
      <c r="QWB23"/>
      <c r="QWC23"/>
      <c r="QWD23"/>
      <c r="QWE23"/>
      <c r="QWF23"/>
      <c r="QWG23"/>
      <c r="QWH23"/>
      <c r="QWI23"/>
      <c r="QWJ23"/>
      <c r="QWK23"/>
      <c r="QWL23"/>
      <c r="QWM23"/>
      <c r="QWN23"/>
      <c r="QWO23"/>
      <c r="QWP23"/>
      <c r="QWQ23"/>
      <c r="QWR23"/>
      <c r="QWS23"/>
      <c r="QWT23"/>
      <c r="QWU23"/>
      <c r="QWV23"/>
      <c r="QWW23"/>
      <c r="QWX23"/>
      <c r="QWY23"/>
      <c r="QWZ23"/>
      <c r="QXA23"/>
      <c r="QXB23"/>
      <c r="QXC23"/>
      <c r="QXD23"/>
      <c r="QXE23"/>
      <c r="QXF23"/>
      <c r="QXG23"/>
      <c r="QXH23"/>
      <c r="QXI23"/>
      <c r="QXJ23"/>
      <c r="QXK23"/>
      <c r="QXL23"/>
      <c r="QXM23"/>
      <c r="QXN23"/>
      <c r="QXO23"/>
      <c r="QXP23"/>
      <c r="QXQ23"/>
      <c r="QXR23"/>
      <c r="QXS23"/>
      <c r="QXT23"/>
      <c r="QXU23"/>
      <c r="QXV23"/>
      <c r="QXW23"/>
      <c r="QXX23"/>
      <c r="QXY23"/>
      <c r="QXZ23"/>
      <c r="QYA23"/>
      <c r="QYB23"/>
      <c r="QYC23"/>
      <c r="QYD23"/>
      <c r="QYE23"/>
      <c r="QYF23"/>
      <c r="QYG23"/>
      <c r="QYH23"/>
      <c r="QYI23"/>
      <c r="QYJ23"/>
      <c r="QYK23"/>
      <c r="QYL23"/>
      <c r="QYM23"/>
      <c r="QYN23"/>
      <c r="QYO23"/>
      <c r="QYP23"/>
      <c r="QYQ23"/>
      <c r="QYR23"/>
      <c r="QYS23"/>
      <c r="QYT23"/>
      <c r="QYU23"/>
      <c r="QYV23"/>
      <c r="QYW23"/>
      <c r="QYX23"/>
      <c r="QYY23"/>
      <c r="QYZ23"/>
      <c r="QZA23"/>
      <c r="QZB23"/>
      <c r="QZC23"/>
      <c r="QZD23"/>
      <c r="QZE23"/>
      <c r="QZF23"/>
      <c r="QZG23"/>
      <c r="QZH23"/>
      <c r="QZI23"/>
      <c r="QZJ23"/>
      <c r="QZK23"/>
      <c r="QZL23"/>
      <c r="QZM23"/>
      <c r="QZN23"/>
      <c r="QZO23"/>
      <c r="QZP23"/>
      <c r="QZQ23"/>
      <c r="QZR23"/>
      <c r="QZS23"/>
      <c r="QZT23"/>
      <c r="QZU23"/>
      <c r="QZV23"/>
      <c r="QZW23"/>
      <c r="QZX23"/>
      <c r="QZY23"/>
      <c r="QZZ23"/>
      <c r="RAA23"/>
      <c r="RAB23"/>
      <c r="RAC23"/>
      <c r="RAD23"/>
      <c r="RAE23"/>
      <c r="RAF23"/>
      <c r="RAG23"/>
      <c r="RAH23"/>
      <c r="RAI23"/>
      <c r="RAJ23"/>
      <c r="RAK23"/>
      <c r="RAL23"/>
      <c r="RAM23"/>
      <c r="RAN23"/>
      <c r="RAO23"/>
      <c r="RAP23"/>
      <c r="RAQ23"/>
      <c r="RAR23"/>
      <c r="RAS23"/>
      <c r="RAT23"/>
      <c r="RAU23"/>
      <c r="RAV23"/>
      <c r="RAW23"/>
      <c r="RAX23"/>
      <c r="RAY23"/>
      <c r="RAZ23"/>
      <c r="RBA23"/>
      <c r="RBB23"/>
      <c r="RBC23"/>
      <c r="RBD23"/>
      <c r="RBE23"/>
      <c r="RBF23"/>
      <c r="RBG23"/>
      <c r="RBH23"/>
      <c r="RBI23"/>
      <c r="RBJ23"/>
      <c r="RBK23"/>
      <c r="RBL23"/>
      <c r="RBM23"/>
      <c r="RBN23"/>
      <c r="RBO23"/>
      <c r="RBP23"/>
      <c r="RBQ23"/>
      <c r="RBR23"/>
      <c r="RBS23"/>
      <c r="RBT23"/>
      <c r="RBU23"/>
      <c r="RBV23"/>
      <c r="RBW23"/>
      <c r="RBX23"/>
      <c r="RBY23"/>
      <c r="RBZ23"/>
      <c r="RCA23"/>
      <c r="RCB23"/>
      <c r="RCC23"/>
      <c r="RCD23"/>
      <c r="RCE23"/>
      <c r="RCF23"/>
      <c r="RCG23"/>
      <c r="RCH23"/>
      <c r="RCI23"/>
      <c r="RCJ23"/>
      <c r="RCK23"/>
      <c r="RCL23"/>
      <c r="RCM23"/>
      <c r="RCN23"/>
      <c r="RCO23"/>
      <c r="RCP23"/>
      <c r="RCQ23"/>
      <c r="RCR23"/>
      <c r="RCS23"/>
      <c r="RCT23"/>
      <c r="RCU23"/>
      <c r="RCV23"/>
      <c r="RCW23"/>
      <c r="RCX23"/>
      <c r="RCY23"/>
      <c r="RCZ23"/>
      <c r="RDA23"/>
      <c r="RDB23"/>
      <c r="RDC23"/>
      <c r="RDD23"/>
      <c r="RDE23"/>
      <c r="RDF23"/>
      <c r="RDG23"/>
      <c r="RDH23"/>
      <c r="RDI23"/>
      <c r="RDJ23"/>
      <c r="RDK23"/>
      <c r="RDL23"/>
      <c r="RDM23"/>
      <c r="RDN23"/>
      <c r="RDO23"/>
      <c r="RDP23"/>
      <c r="RDQ23"/>
      <c r="RDR23"/>
      <c r="RDS23"/>
      <c r="RDT23"/>
      <c r="RDU23"/>
      <c r="RDV23"/>
      <c r="RDW23"/>
      <c r="RDX23"/>
      <c r="RDY23"/>
      <c r="RDZ23"/>
      <c r="REA23"/>
      <c r="REB23"/>
      <c r="REC23"/>
      <c r="RED23"/>
      <c r="REE23"/>
      <c r="REF23"/>
      <c r="REG23"/>
      <c r="REH23"/>
      <c r="REI23"/>
      <c r="REJ23"/>
      <c r="REK23"/>
      <c r="REL23"/>
      <c r="REM23"/>
      <c r="REN23"/>
      <c r="REO23"/>
      <c r="REP23"/>
      <c r="REQ23"/>
      <c r="RER23"/>
      <c r="RES23"/>
      <c r="RET23"/>
      <c r="REU23"/>
      <c r="REV23"/>
      <c r="REW23"/>
      <c r="REX23"/>
      <c r="REY23"/>
      <c r="REZ23"/>
      <c r="RFA23"/>
      <c r="RFB23"/>
      <c r="RFC23"/>
      <c r="RFD23"/>
      <c r="RFE23"/>
      <c r="RFF23"/>
      <c r="RFG23"/>
      <c r="RFH23"/>
      <c r="RFI23"/>
      <c r="RFJ23"/>
      <c r="RFK23"/>
      <c r="RFL23"/>
      <c r="RFM23"/>
      <c r="RFN23"/>
      <c r="RFO23"/>
      <c r="RFP23"/>
      <c r="RFQ23"/>
      <c r="RFR23"/>
      <c r="RFS23"/>
      <c r="RFT23"/>
      <c r="RFU23"/>
      <c r="RFV23"/>
      <c r="RFW23"/>
      <c r="RFX23"/>
      <c r="RFY23"/>
      <c r="RFZ23"/>
      <c r="RGA23"/>
      <c r="RGB23"/>
      <c r="RGC23"/>
      <c r="RGD23"/>
      <c r="RGE23"/>
      <c r="RGF23"/>
      <c r="RGG23"/>
      <c r="RGH23"/>
      <c r="RGI23"/>
      <c r="RGJ23"/>
      <c r="RGK23"/>
      <c r="RGL23"/>
      <c r="RGM23"/>
      <c r="RGN23"/>
      <c r="RGO23"/>
      <c r="RGP23"/>
      <c r="RGQ23"/>
      <c r="RGR23"/>
      <c r="RGS23"/>
      <c r="RGT23"/>
      <c r="RGU23"/>
      <c r="RGV23"/>
      <c r="RGW23"/>
      <c r="RGX23"/>
      <c r="RGY23"/>
      <c r="RGZ23"/>
      <c r="RHA23"/>
      <c r="RHB23"/>
      <c r="RHC23"/>
      <c r="RHD23"/>
      <c r="RHE23"/>
      <c r="RHF23"/>
      <c r="RHG23"/>
      <c r="RHH23"/>
      <c r="RHI23"/>
      <c r="RHJ23"/>
      <c r="RHK23"/>
      <c r="RHL23"/>
      <c r="RHM23"/>
      <c r="RHN23"/>
      <c r="RHO23"/>
      <c r="RHP23"/>
      <c r="RHQ23"/>
      <c r="RHR23"/>
      <c r="RHS23"/>
      <c r="RHT23"/>
      <c r="RHU23"/>
      <c r="RHV23"/>
      <c r="RHW23"/>
      <c r="RHX23"/>
      <c r="RHY23"/>
      <c r="RHZ23"/>
      <c r="RIA23"/>
      <c r="RIB23"/>
      <c r="RIC23"/>
      <c r="RID23"/>
      <c r="RIE23"/>
      <c r="RIF23"/>
      <c r="RIG23"/>
      <c r="RIH23"/>
      <c r="RII23"/>
      <c r="RIJ23"/>
      <c r="RIK23"/>
      <c r="RIL23"/>
      <c r="RIM23"/>
      <c r="RIN23"/>
      <c r="RIO23"/>
      <c r="RIP23"/>
      <c r="RIQ23"/>
      <c r="RIR23"/>
      <c r="RIS23"/>
      <c r="RIT23"/>
      <c r="RIU23"/>
      <c r="RIV23"/>
      <c r="RIW23"/>
      <c r="RIX23"/>
      <c r="RIY23"/>
      <c r="RIZ23"/>
      <c r="RJA23"/>
      <c r="RJB23"/>
      <c r="RJC23"/>
      <c r="RJD23"/>
      <c r="RJE23"/>
      <c r="RJF23"/>
      <c r="RJG23"/>
      <c r="RJH23"/>
      <c r="RJI23"/>
      <c r="RJJ23"/>
      <c r="RJK23"/>
      <c r="RJL23"/>
      <c r="RJM23"/>
      <c r="RJN23"/>
      <c r="RJO23"/>
      <c r="RJP23"/>
      <c r="RJQ23"/>
      <c r="RJR23"/>
      <c r="RJS23"/>
      <c r="RJT23"/>
      <c r="RJU23"/>
      <c r="RJV23"/>
      <c r="RJW23"/>
      <c r="RJX23"/>
      <c r="RJY23"/>
      <c r="RJZ23"/>
      <c r="RKA23"/>
      <c r="RKB23"/>
      <c r="RKC23"/>
      <c r="RKD23"/>
      <c r="RKE23"/>
      <c r="RKF23"/>
      <c r="RKG23"/>
      <c r="RKH23"/>
      <c r="RKI23"/>
      <c r="RKJ23"/>
      <c r="RKK23"/>
      <c r="RKL23"/>
      <c r="RKM23"/>
      <c r="RKN23"/>
      <c r="RKO23"/>
      <c r="RKP23"/>
      <c r="RKQ23"/>
      <c r="RKR23"/>
      <c r="RKS23"/>
      <c r="RKT23"/>
      <c r="RKU23"/>
      <c r="RKV23"/>
      <c r="RKW23"/>
      <c r="RKX23"/>
      <c r="RKY23"/>
      <c r="RKZ23"/>
      <c r="RLA23"/>
      <c r="RLB23"/>
      <c r="RLC23"/>
      <c r="RLD23"/>
      <c r="RLE23"/>
      <c r="RLF23"/>
      <c r="RLG23"/>
      <c r="RLH23"/>
      <c r="RLI23"/>
      <c r="RLJ23"/>
      <c r="RLK23"/>
      <c r="RLL23"/>
      <c r="RLM23"/>
      <c r="RLN23"/>
      <c r="RLO23"/>
      <c r="RLP23"/>
      <c r="RLQ23"/>
      <c r="RLR23"/>
      <c r="RLS23"/>
      <c r="RLT23"/>
      <c r="RLU23"/>
      <c r="RLV23"/>
      <c r="RLW23"/>
      <c r="RLX23"/>
      <c r="RLY23"/>
      <c r="RLZ23"/>
      <c r="RMA23"/>
      <c r="RMB23"/>
      <c r="RMC23"/>
      <c r="RMD23"/>
      <c r="RME23"/>
      <c r="RMF23"/>
      <c r="RMG23"/>
      <c r="RMH23"/>
      <c r="RMI23"/>
      <c r="RMJ23"/>
      <c r="RMK23"/>
      <c r="RML23"/>
      <c r="RMM23"/>
      <c r="RMN23"/>
      <c r="RMO23"/>
      <c r="RMP23"/>
      <c r="RMQ23"/>
      <c r="RMR23"/>
      <c r="RMS23"/>
      <c r="RMT23"/>
      <c r="RMU23"/>
      <c r="RMV23"/>
      <c r="RMW23"/>
      <c r="RMX23"/>
      <c r="RMY23"/>
      <c r="RMZ23"/>
      <c r="RNA23"/>
      <c r="RNB23"/>
      <c r="RNC23"/>
      <c r="RND23"/>
      <c r="RNE23"/>
      <c r="RNF23"/>
      <c r="RNG23"/>
      <c r="RNH23"/>
      <c r="RNI23"/>
      <c r="RNJ23"/>
      <c r="RNK23"/>
      <c r="RNL23"/>
      <c r="RNM23"/>
      <c r="RNN23"/>
      <c r="RNO23"/>
      <c r="RNP23"/>
      <c r="RNQ23"/>
      <c r="RNR23"/>
      <c r="RNS23"/>
      <c r="RNT23"/>
      <c r="RNU23"/>
      <c r="RNV23"/>
      <c r="RNW23"/>
      <c r="RNX23"/>
      <c r="RNY23"/>
      <c r="RNZ23"/>
      <c r="ROA23"/>
      <c r="ROB23"/>
      <c r="ROC23"/>
      <c r="ROD23"/>
      <c r="ROE23"/>
      <c r="ROF23"/>
      <c r="ROG23"/>
      <c r="ROH23"/>
      <c r="ROI23"/>
      <c r="ROJ23"/>
      <c r="ROK23"/>
      <c r="ROL23"/>
      <c r="ROM23"/>
      <c r="RON23"/>
      <c r="ROO23"/>
      <c r="ROP23"/>
      <c r="ROQ23"/>
      <c r="ROR23"/>
      <c r="ROS23"/>
      <c r="ROT23"/>
      <c r="ROU23"/>
      <c r="ROV23"/>
      <c r="ROW23"/>
      <c r="ROX23"/>
      <c r="ROY23"/>
      <c r="ROZ23"/>
      <c r="RPA23"/>
      <c r="RPB23"/>
      <c r="RPC23"/>
      <c r="RPD23"/>
      <c r="RPE23"/>
      <c r="RPF23"/>
      <c r="RPG23"/>
      <c r="RPH23"/>
      <c r="RPI23"/>
      <c r="RPJ23"/>
      <c r="RPK23"/>
      <c r="RPL23"/>
      <c r="RPM23"/>
      <c r="RPN23"/>
      <c r="RPO23"/>
      <c r="RPP23"/>
      <c r="RPQ23"/>
      <c r="RPR23"/>
      <c r="RPS23"/>
      <c r="RPT23"/>
      <c r="RPU23"/>
      <c r="RPV23"/>
      <c r="RPW23"/>
      <c r="RPX23"/>
      <c r="RPY23"/>
      <c r="RPZ23"/>
      <c r="RQA23"/>
      <c r="RQB23"/>
      <c r="RQC23"/>
      <c r="RQD23"/>
      <c r="RQE23"/>
      <c r="RQF23"/>
      <c r="RQG23"/>
      <c r="RQH23"/>
      <c r="RQI23"/>
      <c r="RQJ23"/>
      <c r="RQK23"/>
      <c r="RQL23"/>
      <c r="RQM23"/>
      <c r="RQN23"/>
      <c r="RQO23"/>
      <c r="RQP23"/>
      <c r="RQQ23"/>
      <c r="RQR23"/>
      <c r="RQS23"/>
      <c r="RQT23"/>
      <c r="RQU23"/>
      <c r="RQV23"/>
      <c r="RQW23"/>
      <c r="RQX23"/>
      <c r="RQY23"/>
      <c r="RQZ23"/>
      <c r="RRA23"/>
      <c r="RRB23"/>
      <c r="RRC23"/>
      <c r="RRD23"/>
      <c r="RRE23"/>
      <c r="RRF23"/>
      <c r="RRG23"/>
      <c r="RRH23"/>
      <c r="RRI23"/>
      <c r="RRJ23"/>
      <c r="RRK23"/>
      <c r="RRL23"/>
      <c r="RRM23"/>
      <c r="RRN23"/>
      <c r="RRO23"/>
      <c r="RRP23"/>
      <c r="RRQ23"/>
      <c r="RRR23"/>
      <c r="RRS23"/>
      <c r="RRT23"/>
      <c r="RRU23"/>
      <c r="RRV23"/>
      <c r="RRW23"/>
      <c r="RRX23"/>
      <c r="RRY23"/>
      <c r="RRZ23"/>
      <c r="RSA23"/>
      <c r="RSB23"/>
      <c r="RSC23"/>
      <c r="RSD23"/>
      <c r="RSE23"/>
      <c r="RSF23"/>
      <c r="RSG23"/>
      <c r="RSH23"/>
      <c r="RSI23"/>
      <c r="RSJ23"/>
      <c r="RSK23"/>
      <c r="RSL23"/>
      <c r="RSM23"/>
      <c r="RSN23"/>
      <c r="RSO23"/>
      <c r="RSP23"/>
      <c r="RSQ23"/>
      <c r="RSR23"/>
      <c r="RSS23"/>
      <c r="RST23"/>
      <c r="RSU23"/>
      <c r="RSV23"/>
      <c r="RSW23"/>
      <c r="RSX23"/>
      <c r="RSY23"/>
      <c r="RSZ23"/>
      <c r="RTA23"/>
      <c r="RTB23"/>
      <c r="RTC23"/>
      <c r="RTD23"/>
      <c r="RTE23"/>
      <c r="RTF23"/>
      <c r="RTG23"/>
      <c r="RTH23"/>
      <c r="RTI23"/>
      <c r="RTJ23"/>
      <c r="RTK23"/>
      <c r="RTL23"/>
      <c r="RTM23"/>
      <c r="RTN23"/>
      <c r="RTO23"/>
      <c r="RTP23"/>
      <c r="RTQ23"/>
      <c r="RTR23"/>
      <c r="RTS23"/>
      <c r="RTT23"/>
      <c r="RTU23"/>
      <c r="RTV23"/>
      <c r="RTW23"/>
      <c r="RTX23"/>
      <c r="RTY23"/>
      <c r="RTZ23"/>
      <c r="RUA23"/>
      <c r="RUB23"/>
      <c r="RUC23"/>
      <c r="RUD23"/>
      <c r="RUE23"/>
      <c r="RUF23"/>
      <c r="RUG23"/>
      <c r="RUH23"/>
      <c r="RUI23"/>
      <c r="RUJ23"/>
      <c r="RUK23"/>
      <c r="RUL23"/>
      <c r="RUM23"/>
      <c r="RUN23"/>
      <c r="RUO23"/>
      <c r="RUP23"/>
      <c r="RUQ23"/>
      <c r="RUR23"/>
      <c r="RUS23"/>
      <c r="RUT23"/>
      <c r="RUU23"/>
      <c r="RUV23"/>
      <c r="RUW23"/>
      <c r="RUX23"/>
      <c r="RUY23"/>
      <c r="RUZ23"/>
      <c r="RVA23"/>
      <c r="RVB23"/>
      <c r="RVC23"/>
      <c r="RVD23"/>
      <c r="RVE23"/>
      <c r="RVF23"/>
      <c r="RVG23"/>
      <c r="RVH23"/>
      <c r="RVI23"/>
      <c r="RVJ23"/>
      <c r="RVK23"/>
      <c r="RVL23"/>
      <c r="RVM23"/>
      <c r="RVN23"/>
      <c r="RVO23"/>
      <c r="RVP23"/>
      <c r="RVQ23"/>
      <c r="RVR23"/>
      <c r="RVS23"/>
      <c r="RVT23"/>
      <c r="RVU23"/>
      <c r="RVV23"/>
      <c r="RVW23"/>
      <c r="RVX23"/>
      <c r="RVY23"/>
      <c r="RVZ23"/>
      <c r="RWA23"/>
      <c r="RWB23"/>
      <c r="RWC23"/>
      <c r="RWD23"/>
      <c r="RWE23"/>
      <c r="RWF23"/>
      <c r="RWG23"/>
      <c r="RWH23"/>
      <c r="RWI23"/>
      <c r="RWJ23"/>
      <c r="RWK23"/>
      <c r="RWL23"/>
      <c r="RWM23"/>
      <c r="RWN23"/>
      <c r="RWO23"/>
      <c r="RWP23"/>
      <c r="RWQ23"/>
      <c r="RWR23"/>
      <c r="RWS23"/>
      <c r="RWT23"/>
      <c r="RWU23"/>
      <c r="RWV23"/>
      <c r="RWW23"/>
      <c r="RWX23"/>
      <c r="RWY23"/>
      <c r="RWZ23"/>
      <c r="RXA23"/>
      <c r="RXB23"/>
      <c r="RXC23"/>
      <c r="RXD23"/>
      <c r="RXE23"/>
      <c r="RXF23"/>
      <c r="RXG23"/>
      <c r="RXH23"/>
      <c r="RXI23"/>
      <c r="RXJ23"/>
      <c r="RXK23"/>
      <c r="RXL23"/>
      <c r="RXM23"/>
      <c r="RXN23"/>
      <c r="RXO23"/>
      <c r="RXP23"/>
      <c r="RXQ23"/>
      <c r="RXR23"/>
      <c r="RXS23"/>
      <c r="RXT23"/>
      <c r="RXU23"/>
      <c r="RXV23"/>
      <c r="RXW23"/>
      <c r="RXX23"/>
      <c r="RXY23"/>
      <c r="RXZ23"/>
      <c r="RYA23"/>
      <c r="RYB23"/>
      <c r="RYC23"/>
      <c r="RYD23"/>
      <c r="RYE23"/>
      <c r="RYF23"/>
      <c r="RYG23"/>
      <c r="RYH23"/>
      <c r="RYI23"/>
      <c r="RYJ23"/>
      <c r="RYK23"/>
      <c r="RYL23"/>
      <c r="RYM23"/>
      <c r="RYN23"/>
      <c r="RYO23"/>
      <c r="RYP23"/>
      <c r="RYQ23"/>
      <c r="RYR23"/>
      <c r="RYS23"/>
      <c r="RYT23"/>
      <c r="RYU23"/>
      <c r="RYV23"/>
      <c r="RYW23"/>
      <c r="RYX23"/>
      <c r="RYY23"/>
      <c r="RYZ23"/>
      <c r="RZA23"/>
      <c r="RZB23"/>
      <c r="RZC23"/>
      <c r="RZD23"/>
      <c r="RZE23"/>
      <c r="RZF23"/>
      <c r="RZG23"/>
      <c r="RZH23"/>
      <c r="RZI23"/>
      <c r="RZJ23"/>
      <c r="RZK23"/>
      <c r="RZL23"/>
      <c r="RZM23"/>
      <c r="RZN23"/>
      <c r="RZO23"/>
      <c r="RZP23"/>
      <c r="RZQ23"/>
      <c r="RZR23"/>
      <c r="RZS23"/>
      <c r="RZT23"/>
      <c r="RZU23"/>
      <c r="RZV23"/>
      <c r="RZW23"/>
      <c r="RZX23"/>
      <c r="RZY23"/>
      <c r="RZZ23"/>
      <c r="SAA23"/>
      <c r="SAB23"/>
      <c r="SAC23"/>
      <c r="SAD23"/>
      <c r="SAE23"/>
      <c r="SAF23"/>
      <c r="SAG23"/>
      <c r="SAH23"/>
      <c r="SAI23"/>
      <c r="SAJ23"/>
      <c r="SAK23"/>
      <c r="SAL23"/>
      <c r="SAM23"/>
      <c r="SAN23"/>
      <c r="SAO23"/>
      <c r="SAP23"/>
      <c r="SAQ23"/>
      <c r="SAR23"/>
      <c r="SAS23"/>
      <c r="SAT23"/>
      <c r="SAU23"/>
      <c r="SAV23"/>
      <c r="SAW23"/>
      <c r="SAX23"/>
      <c r="SAY23"/>
      <c r="SAZ23"/>
      <c r="SBA23"/>
      <c r="SBB23"/>
      <c r="SBC23"/>
      <c r="SBD23"/>
      <c r="SBE23"/>
      <c r="SBF23"/>
      <c r="SBG23"/>
      <c r="SBH23"/>
      <c r="SBI23"/>
      <c r="SBJ23"/>
      <c r="SBK23"/>
      <c r="SBL23"/>
      <c r="SBM23"/>
      <c r="SBN23"/>
      <c r="SBO23"/>
      <c r="SBP23"/>
      <c r="SBQ23"/>
      <c r="SBR23"/>
      <c r="SBS23"/>
      <c r="SBT23"/>
      <c r="SBU23"/>
      <c r="SBV23"/>
      <c r="SBW23"/>
      <c r="SBX23"/>
      <c r="SBY23"/>
      <c r="SBZ23"/>
      <c r="SCA23"/>
      <c r="SCB23"/>
      <c r="SCC23"/>
      <c r="SCD23"/>
      <c r="SCE23"/>
      <c r="SCF23"/>
      <c r="SCG23"/>
      <c r="SCH23"/>
      <c r="SCI23"/>
      <c r="SCJ23"/>
      <c r="SCK23"/>
      <c r="SCL23"/>
      <c r="SCM23"/>
      <c r="SCN23"/>
      <c r="SCO23"/>
      <c r="SCP23"/>
      <c r="SCQ23"/>
      <c r="SCR23"/>
      <c r="SCS23"/>
      <c r="SCT23"/>
      <c r="SCU23"/>
      <c r="SCV23"/>
      <c r="SCW23"/>
      <c r="SCX23"/>
      <c r="SCY23"/>
      <c r="SCZ23"/>
      <c r="SDA23"/>
      <c r="SDB23"/>
      <c r="SDC23"/>
      <c r="SDD23"/>
      <c r="SDE23"/>
      <c r="SDF23"/>
      <c r="SDG23"/>
      <c r="SDH23"/>
      <c r="SDI23"/>
      <c r="SDJ23"/>
      <c r="SDK23"/>
      <c r="SDL23"/>
      <c r="SDM23"/>
      <c r="SDN23"/>
      <c r="SDO23"/>
      <c r="SDP23"/>
      <c r="SDQ23"/>
      <c r="SDR23"/>
      <c r="SDS23"/>
      <c r="SDT23"/>
      <c r="SDU23"/>
      <c r="SDV23"/>
      <c r="SDW23"/>
      <c r="SDX23"/>
      <c r="SDY23"/>
      <c r="SDZ23"/>
      <c r="SEA23"/>
      <c r="SEB23"/>
      <c r="SEC23"/>
      <c r="SED23"/>
      <c r="SEE23"/>
      <c r="SEF23"/>
      <c r="SEG23"/>
      <c r="SEH23"/>
      <c r="SEI23"/>
      <c r="SEJ23"/>
      <c r="SEK23"/>
      <c r="SEL23"/>
      <c r="SEM23"/>
      <c r="SEN23"/>
      <c r="SEO23"/>
      <c r="SEP23"/>
      <c r="SEQ23"/>
      <c r="SER23"/>
      <c r="SES23"/>
      <c r="SET23"/>
      <c r="SEU23"/>
      <c r="SEV23"/>
      <c r="SEW23"/>
      <c r="SEX23"/>
      <c r="SEY23"/>
      <c r="SEZ23"/>
      <c r="SFA23"/>
      <c r="SFB23"/>
      <c r="SFC23"/>
      <c r="SFD23"/>
      <c r="SFE23"/>
      <c r="SFF23"/>
      <c r="SFG23"/>
      <c r="SFH23"/>
      <c r="SFI23"/>
      <c r="SFJ23"/>
      <c r="SFK23"/>
      <c r="SFL23"/>
      <c r="SFM23"/>
      <c r="SFN23"/>
      <c r="SFO23"/>
      <c r="SFP23"/>
      <c r="SFQ23"/>
      <c r="SFR23"/>
      <c r="SFS23"/>
      <c r="SFT23"/>
      <c r="SFU23"/>
      <c r="SFV23"/>
      <c r="SFW23"/>
      <c r="SFX23"/>
      <c r="SFY23"/>
      <c r="SFZ23"/>
      <c r="SGA23"/>
      <c r="SGB23"/>
      <c r="SGC23"/>
      <c r="SGD23"/>
      <c r="SGE23"/>
      <c r="SGF23"/>
      <c r="SGG23"/>
      <c r="SGH23"/>
      <c r="SGI23"/>
      <c r="SGJ23"/>
      <c r="SGK23"/>
      <c r="SGL23"/>
      <c r="SGM23"/>
      <c r="SGN23"/>
      <c r="SGO23"/>
      <c r="SGP23"/>
      <c r="SGQ23"/>
      <c r="SGR23"/>
      <c r="SGS23"/>
      <c r="SGT23"/>
      <c r="SGU23"/>
      <c r="SGV23"/>
      <c r="SGW23"/>
      <c r="SGX23"/>
      <c r="SGY23"/>
      <c r="SGZ23"/>
      <c r="SHA23"/>
      <c r="SHB23"/>
      <c r="SHC23"/>
      <c r="SHD23"/>
      <c r="SHE23"/>
      <c r="SHF23"/>
      <c r="SHG23"/>
      <c r="SHH23"/>
      <c r="SHI23"/>
      <c r="SHJ23"/>
      <c r="SHK23"/>
      <c r="SHL23"/>
      <c r="SHM23"/>
      <c r="SHN23"/>
      <c r="SHO23"/>
      <c r="SHP23"/>
      <c r="SHQ23"/>
      <c r="SHR23"/>
      <c r="SHS23"/>
      <c r="SHT23"/>
      <c r="SHU23"/>
      <c r="SHV23"/>
      <c r="SHW23"/>
      <c r="SHX23"/>
      <c r="SHY23"/>
      <c r="SHZ23"/>
      <c r="SIA23"/>
      <c r="SIB23"/>
      <c r="SIC23"/>
      <c r="SID23"/>
      <c r="SIE23"/>
      <c r="SIF23"/>
      <c r="SIG23"/>
      <c r="SIH23"/>
      <c r="SII23"/>
      <c r="SIJ23"/>
      <c r="SIK23"/>
      <c r="SIL23"/>
      <c r="SIM23"/>
      <c r="SIN23"/>
      <c r="SIO23"/>
      <c r="SIP23"/>
      <c r="SIQ23"/>
      <c r="SIR23"/>
      <c r="SIS23"/>
      <c r="SIT23"/>
      <c r="SIU23"/>
      <c r="SIV23"/>
      <c r="SIW23"/>
      <c r="SIX23"/>
      <c r="SIY23"/>
      <c r="SIZ23"/>
      <c r="SJA23"/>
      <c r="SJB23"/>
      <c r="SJC23"/>
      <c r="SJD23"/>
      <c r="SJE23"/>
      <c r="SJF23"/>
      <c r="SJG23"/>
      <c r="SJH23"/>
      <c r="SJI23"/>
      <c r="SJJ23"/>
      <c r="SJK23"/>
      <c r="SJL23"/>
      <c r="SJM23"/>
      <c r="SJN23"/>
      <c r="SJO23"/>
      <c r="SJP23"/>
      <c r="SJQ23"/>
      <c r="SJR23"/>
      <c r="SJS23"/>
      <c r="SJT23"/>
      <c r="SJU23"/>
      <c r="SJV23"/>
      <c r="SJW23"/>
      <c r="SJX23"/>
      <c r="SJY23"/>
      <c r="SJZ23"/>
      <c r="SKA23"/>
      <c r="SKB23"/>
      <c r="SKC23"/>
      <c r="SKD23"/>
      <c r="SKE23"/>
      <c r="SKF23"/>
      <c r="SKG23"/>
      <c r="SKH23"/>
      <c r="SKI23"/>
      <c r="SKJ23"/>
      <c r="SKK23"/>
      <c r="SKL23"/>
      <c r="SKM23"/>
      <c r="SKN23"/>
      <c r="SKO23"/>
      <c r="SKP23"/>
      <c r="SKQ23"/>
      <c r="SKR23"/>
      <c r="SKS23"/>
      <c r="SKT23"/>
      <c r="SKU23"/>
      <c r="SKV23"/>
      <c r="SKW23"/>
      <c r="SKX23"/>
      <c r="SKY23"/>
      <c r="SKZ23"/>
      <c r="SLA23"/>
      <c r="SLB23"/>
      <c r="SLC23"/>
      <c r="SLD23"/>
      <c r="SLE23"/>
      <c r="SLF23"/>
      <c r="SLG23"/>
      <c r="SLH23"/>
      <c r="SLI23"/>
      <c r="SLJ23"/>
      <c r="SLK23"/>
      <c r="SLL23"/>
      <c r="SLM23"/>
      <c r="SLN23"/>
      <c r="SLO23"/>
      <c r="SLP23"/>
      <c r="SLQ23"/>
      <c r="SLR23"/>
      <c r="SLS23"/>
      <c r="SLT23"/>
      <c r="SLU23"/>
      <c r="SLV23"/>
      <c r="SLW23"/>
      <c r="SLX23"/>
      <c r="SLY23"/>
      <c r="SLZ23"/>
      <c r="SMA23"/>
      <c r="SMB23"/>
      <c r="SMC23"/>
      <c r="SMD23"/>
      <c r="SME23"/>
      <c r="SMF23"/>
      <c r="SMG23"/>
      <c r="SMH23"/>
      <c r="SMI23"/>
      <c r="SMJ23"/>
      <c r="SMK23"/>
      <c r="SML23"/>
      <c r="SMM23"/>
      <c r="SMN23"/>
      <c r="SMO23"/>
      <c r="SMP23"/>
      <c r="SMQ23"/>
      <c r="SMR23"/>
      <c r="SMS23"/>
      <c r="SMT23"/>
      <c r="SMU23"/>
      <c r="SMV23"/>
      <c r="SMW23"/>
      <c r="SMX23"/>
      <c r="SMY23"/>
      <c r="SMZ23"/>
      <c r="SNA23"/>
      <c r="SNB23"/>
      <c r="SNC23"/>
      <c r="SND23"/>
      <c r="SNE23"/>
      <c r="SNF23"/>
      <c r="SNG23"/>
      <c r="SNH23"/>
      <c r="SNI23"/>
      <c r="SNJ23"/>
      <c r="SNK23"/>
      <c r="SNL23"/>
      <c r="SNM23"/>
      <c r="SNN23"/>
      <c r="SNO23"/>
      <c r="SNP23"/>
      <c r="SNQ23"/>
      <c r="SNR23"/>
      <c r="SNS23"/>
      <c r="SNT23"/>
      <c r="SNU23"/>
      <c r="SNV23"/>
      <c r="SNW23"/>
      <c r="SNX23"/>
      <c r="SNY23"/>
      <c r="SNZ23"/>
      <c r="SOA23"/>
      <c r="SOB23"/>
      <c r="SOC23"/>
      <c r="SOD23"/>
      <c r="SOE23"/>
      <c r="SOF23"/>
      <c r="SOG23"/>
      <c r="SOH23"/>
      <c r="SOI23"/>
      <c r="SOJ23"/>
      <c r="SOK23"/>
      <c r="SOL23"/>
      <c r="SOM23"/>
      <c r="SON23"/>
      <c r="SOO23"/>
      <c r="SOP23"/>
      <c r="SOQ23"/>
      <c r="SOR23"/>
      <c r="SOS23"/>
      <c r="SOT23"/>
      <c r="SOU23"/>
      <c r="SOV23"/>
      <c r="SOW23"/>
      <c r="SOX23"/>
      <c r="SOY23"/>
      <c r="SOZ23"/>
      <c r="SPA23"/>
      <c r="SPB23"/>
      <c r="SPC23"/>
      <c r="SPD23"/>
      <c r="SPE23"/>
      <c r="SPF23"/>
      <c r="SPG23"/>
      <c r="SPH23"/>
      <c r="SPI23"/>
      <c r="SPJ23"/>
      <c r="SPK23"/>
      <c r="SPL23"/>
      <c r="SPM23"/>
      <c r="SPN23"/>
      <c r="SPO23"/>
      <c r="SPP23"/>
      <c r="SPQ23"/>
      <c r="SPR23"/>
      <c r="SPS23"/>
      <c r="SPT23"/>
      <c r="SPU23"/>
      <c r="SPV23"/>
      <c r="SPW23"/>
      <c r="SPX23"/>
      <c r="SPY23"/>
      <c r="SPZ23"/>
      <c r="SQA23"/>
      <c r="SQB23"/>
      <c r="SQC23"/>
      <c r="SQD23"/>
      <c r="SQE23"/>
      <c r="SQF23"/>
      <c r="SQG23"/>
      <c r="SQH23"/>
      <c r="SQI23"/>
      <c r="SQJ23"/>
      <c r="SQK23"/>
      <c r="SQL23"/>
      <c r="SQM23"/>
      <c r="SQN23"/>
      <c r="SQO23"/>
      <c r="SQP23"/>
      <c r="SQQ23"/>
      <c r="SQR23"/>
      <c r="SQS23"/>
      <c r="SQT23"/>
      <c r="SQU23"/>
      <c r="SQV23"/>
      <c r="SQW23"/>
      <c r="SQX23"/>
      <c r="SQY23"/>
      <c r="SQZ23"/>
      <c r="SRA23"/>
      <c r="SRB23"/>
      <c r="SRC23"/>
      <c r="SRD23"/>
      <c r="SRE23"/>
      <c r="SRF23"/>
      <c r="SRG23"/>
      <c r="SRH23"/>
      <c r="SRI23"/>
      <c r="SRJ23"/>
      <c r="SRK23"/>
      <c r="SRL23"/>
      <c r="SRM23"/>
      <c r="SRN23"/>
      <c r="SRO23"/>
      <c r="SRP23"/>
      <c r="SRQ23"/>
      <c r="SRR23"/>
      <c r="SRS23"/>
      <c r="SRT23"/>
      <c r="SRU23"/>
      <c r="SRV23"/>
      <c r="SRW23"/>
      <c r="SRX23"/>
      <c r="SRY23"/>
      <c r="SRZ23"/>
      <c r="SSA23"/>
      <c r="SSB23"/>
      <c r="SSC23"/>
      <c r="SSD23"/>
      <c r="SSE23"/>
      <c r="SSF23"/>
      <c r="SSG23"/>
      <c r="SSH23"/>
      <c r="SSI23"/>
      <c r="SSJ23"/>
      <c r="SSK23"/>
      <c r="SSL23"/>
      <c r="SSM23"/>
      <c r="SSN23"/>
      <c r="SSO23"/>
      <c r="SSP23"/>
      <c r="SSQ23"/>
      <c r="SSR23"/>
      <c r="SSS23"/>
      <c r="SST23"/>
      <c r="SSU23"/>
      <c r="SSV23"/>
      <c r="SSW23"/>
      <c r="SSX23"/>
      <c r="SSY23"/>
      <c r="SSZ23"/>
      <c r="STA23"/>
      <c r="STB23"/>
      <c r="STC23"/>
      <c r="STD23"/>
      <c r="STE23"/>
      <c r="STF23"/>
      <c r="STG23"/>
      <c r="STH23"/>
      <c r="STI23"/>
      <c r="STJ23"/>
      <c r="STK23"/>
      <c r="STL23"/>
      <c r="STM23"/>
      <c r="STN23"/>
      <c r="STO23"/>
      <c r="STP23"/>
      <c r="STQ23"/>
      <c r="STR23"/>
      <c r="STS23"/>
      <c r="STT23"/>
      <c r="STU23"/>
      <c r="STV23"/>
      <c r="STW23"/>
      <c r="STX23"/>
      <c r="STY23"/>
      <c r="STZ23"/>
      <c r="SUA23"/>
      <c r="SUB23"/>
      <c r="SUC23"/>
      <c r="SUD23"/>
      <c r="SUE23"/>
      <c r="SUF23"/>
      <c r="SUG23"/>
      <c r="SUH23"/>
      <c r="SUI23"/>
      <c r="SUJ23"/>
      <c r="SUK23"/>
      <c r="SUL23"/>
      <c r="SUM23"/>
      <c r="SUN23"/>
      <c r="SUO23"/>
      <c r="SUP23"/>
      <c r="SUQ23"/>
      <c r="SUR23"/>
      <c r="SUS23"/>
      <c r="SUT23"/>
      <c r="SUU23"/>
      <c r="SUV23"/>
      <c r="SUW23"/>
      <c r="SUX23"/>
      <c r="SUY23"/>
      <c r="SUZ23"/>
      <c r="SVA23"/>
      <c r="SVB23"/>
      <c r="SVC23"/>
      <c r="SVD23"/>
      <c r="SVE23"/>
      <c r="SVF23"/>
      <c r="SVG23"/>
      <c r="SVH23"/>
      <c r="SVI23"/>
      <c r="SVJ23"/>
      <c r="SVK23"/>
      <c r="SVL23"/>
      <c r="SVM23"/>
      <c r="SVN23"/>
      <c r="SVO23"/>
      <c r="SVP23"/>
      <c r="SVQ23"/>
      <c r="SVR23"/>
      <c r="SVS23"/>
      <c r="SVT23"/>
      <c r="SVU23"/>
      <c r="SVV23"/>
      <c r="SVW23"/>
      <c r="SVX23"/>
      <c r="SVY23"/>
      <c r="SVZ23"/>
      <c r="SWA23"/>
      <c r="SWB23"/>
      <c r="SWC23"/>
      <c r="SWD23"/>
      <c r="SWE23"/>
      <c r="SWF23"/>
      <c r="SWG23"/>
      <c r="SWH23"/>
      <c r="SWI23"/>
      <c r="SWJ23"/>
      <c r="SWK23"/>
      <c r="SWL23"/>
      <c r="SWM23"/>
      <c r="SWN23"/>
      <c r="SWO23"/>
      <c r="SWP23"/>
      <c r="SWQ23"/>
      <c r="SWR23"/>
      <c r="SWS23"/>
      <c r="SWT23"/>
      <c r="SWU23"/>
      <c r="SWV23"/>
      <c r="SWW23"/>
      <c r="SWX23"/>
      <c r="SWY23"/>
      <c r="SWZ23"/>
      <c r="SXA23"/>
      <c r="SXB23"/>
      <c r="SXC23"/>
      <c r="SXD23"/>
      <c r="SXE23"/>
      <c r="SXF23"/>
      <c r="SXG23"/>
      <c r="SXH23"/>
      <c r="SXI23"/>
      <c r="SXJ23"/>
      <c r="SXK23"/>
      <c r="SXL23"/>
      <c r="SXM23"/>
      <c r="SXN23"/>
      <c r="SXO23"/>
      <c r="SXP23"/>
      <c r="SXQ23"/>
      <c r="SXR23"/>
      <c r="SXS23"/>
      <c r="SXT23"/>
      <c r="SXU23"/>
      <c r="SXV23"/>
      <c r="SXW23"/>
      <c r="SXX23"/>
      <c r="SXY23"/>
      <c r="SXZ23"/>
      <c r="SYA23"/>
      <c r="SYB23"/>
      <c r="SYC23"/>
      <c r="SYD23"/>
      <c r="SYE23"/>
      <c r="SYF23"/>
      <c r="SYG23"/>
      <c r="SYH23"/>
      <c r="SYI23"/>
      <c r="SYJ23"/>
      <c r="SYK23"/>
      <c r="SYL23"/>
      <c r="SYM23"/>
      <c r="SYN23"/>
      <c r="SYO23"/>
      <c r="SYP23"/>
      <c r="SYQ23"/>
      <c r="SYR23"/>
      <c r="SYS23"/>
      <c r="SYT23"/>
      <c r="SYU23"/>
      <c r="SYV23"/>
      <c r="SYW23"/>
      <c r="SYX23"/>
      <c r="SYY23"/>
      <c r="SYZ23"/>
      <c r="SZA23"/>
      <c r="SZB23"/>
      <c r="SZC23"/>
      <c r="SZD23"/>
      <c r="SZE23"/>
      <c r="SZF23"/>
      <c r="SZG23"/>
      <c r="SZH23"/>
      <c r="SZI23"/>
      <c r="SZJ23"/>
      <c r="SZK23"/>
      <c r="SZL23"/>
      <c r="SZM23"/>
      <c r="SZN23"/>
      <c r="SZO23"/>
      <c r="SZP23"/>
      <c r="SZQ23"/>
      <c r="SZR23"/>
      <c r="SZS23"/>
      <c r="SZT23"/>
      <c r="SZU23"/>
      <c r="SZV23"/>
      <c r="SZW23"/>
      <c r="SZX23"/>
      <c r="SZY23"/>
      <c r="SZZ23"/>
      <c r="TAA23"/>
      <c r="TAB23"/>
      <c r="TAC23"/>
      <c r="TAD23"/>
      <c r="TAE23"/>
      <c r="TAF23"/>
      <c r="TAG23"/>
      <c r="TAH23"/>
      <c r="TAI23"/>
      <c r="TAJ23"/>
      <c r="TAK23"/>
      <c r="TAL23"/>
      <c r="TAM23"/>
      <c r="TAN23"/>
      <c r="TAO23"/>
      <c r="TAP23"/>
      <c r="TAQ23"/>
      <c r="TAR23"/>
      <c r="TAS23"/>
      <c r="TAT23"/>
      <c r="TAU23"/>
      <c r="TAV23"/>
      <c r="TAW23"/>
      <c r="TAX23"/>
      <c r="TAY23"/>
      <c r="TAZ23"/>
      <c r="TBA23"/>
      <c r="TBB23"/>
      <c r="TBC23"/>
      <c r="TBD23"/>
      <c r="TBE23"/>
      <c r="TBF23"/>
      <c r="TBG23"/>
      <c r="TBH23"/>
      <c r="TBI23"/>
      <c r="TBJ23"/>
      <c r="TBK23"/>
      <c r="TBL23"/>
      <c r="TBM23"/>
      <c r="TBN23"/>
      <c r="TBO23"/>
      <c r="TBP23"/>
      <c r="TBQ23"/>
      <c r="TBR23"/>
      <c r="TBS23"/>
      <c r="TBT23"/>
      <c r="TBU23"/>
      <c r="TBV23"/>
      <c r="TBW23"/>
      <c r="TBX23"/>
      <c r="TBY23"/>
      <c r="TBZ23"/>
      <c r="TCA23"/>
      <c r="TCB23"/>
      <c r="TCC23"/>
      <c r="TCD23"/>
      <c r="TCE23"/>
      <c r="TCF23"/>
      <c r="TCG23"/>
      <c r="TCH23"/>
      <c r="TCI23"/>
      <c r="TCJ23"/>
      <c r="TCK23"/>
      <c r="TCL23"/>
      <c r="TCM23"/>
      <c r="TCN23"/>
      <c r="TCO23"/>
      <c r="TCP23"/>
      <c r="TCQ23"/>
      <c r="TCR23"/>
      <c r="TCS23"/>
      <c r="TCT23"/>
      <c r="TCU23"/>
      <c r="TCV23"/>
      <c r="TCW23"/>
      <c r="TCX23"/>
      <c r="TCY23"/>
      <c r="TCZ23"/>
      <c r="TDA23"/>
      <c r="TDB23"/>
      <c r="TDC23"/>
      <c r="TDD23"/>
      <c r="TDE23"/>
      <c r="TDF23"/>
      <c r="TDG23"/>
      <c r="TDH23"/>
      <c r="TDI23"/>
      <c r="TDJ23"/>
      <c r="TDK23"/>
      <c r="TDL23"/>
      <c r="TDM23"/>
      <c r="TDN23"/>
      <c r="TDO23"/>
      <c r="TDP23"/>
      <c r="TDQ23"/>
      <c r="TDR23"/>
      <c r="TDS23"/>
      <c r="TDT23"/>
      <c r="TDU23"/>
      <c r="TDV23"/>
      <c r="TDW23"/>
      <c r="TDX23"/>
      <c r="TDY23"/>
      <c r="TDZ23"/>
      <c r="TEA23"/>
      <c r="TEB23"/>
      <c r="TEC23"/>
      <c r="TED23"/>
      <c r="TEE23"/>
      <c r="TEF23"/>
      <c r="TEG23"/>
      <c r="TEH23"/>
      <c r="TEI23"/>
      <c r="TEJ23"/>
      <c r="TEK23"/>
      <c r="TEL23"/>
      <c r="TEM23"/>
      <c r="TEN23"/>
      <c r="TEO23"/>
      <c r="TEP23"/>
      <c r="TEQ23"/>
      <c r="TER23"/>
      <c r="TES23"/>
      <c r="TET23"/>
      <c r="TEU23"/>
      <c r="TEV23"/>
      <c r="TEW23"/>
      <c r="TEX23"/>
      <c r="TEY23"/>
      <c r="TEZ23"/>
      <c r="TFA23"/>
      <c r="TFB23"/>
      <c r="TFC23"/>
      <c r="TFD23"/>
      <c r="TFE23"/>
      <c r="TFF23"/>
      <c r="TFG23"/>
      <c r="TFH23"/>
      <c r="TFI23"/>
      <c r="TFJ23"/>
      <c r="TFK23"/>
      <c r="TFL23"/>
      <c r="TFM23"/>
      <c r="TFN23"/>
      <c r="TFO23"/>
      <c r="TFP23"/>
      <c r="TFQ23"/>
      <c r="TFR23"/>
      <c r="TFS23"/>
      <c r="TFT23"/>
      <c r="TFU23"/>
      <c r="TFV23"/>
      <c r="TFW23"/>
      <c r="TFX23"/>
      <c r="TFY23"/>
      <c r="TFZ23"/>
      <c r="TGA23"/>
      <c r="TGB23"/>
      <c r="TGC23"/>
      <c r="TGD23"/>
      <c r="TGE23"/>
      <c r="TGF23"/>
      <c r="TGG23"/>
      <c r="TGH23"/>
      <c r="TGI23"/>
      <c r="TGJ23"/>
      <c r="TGK23"/>
      <c r="TGL23"/>
      <c r="TGM23"/>
      <c r="TGN23"/>
      <c r="TGO23"/>
      <c r="TGP23"/>
      <c r="TGQ23"/>
      <c r="TGR23"/>
      <c r="TGS23"/>
      <c r="TGT23"/>
      <c r="TGU23"/>
      <c r="TGV23"/>
      <c r="TGW23"/>
      <c r="TGX23"/>
      <c r="TGY23"/>
      <c r="TGZ23"/>
      <c r="THA23"/>
      <c r="THB23"/>
      <c r="THC23"/>
      <c r="THD23"/>
      <c r="THE23"/>
      <c r="THF23"/>
      <c r="THG23"/>
      <c r="THH23"/>
      <c r="THI23"/>
      <c r="THJ23"/>
      <c r="THK23"/>
      <c r="THL23"/>
      <c r="THM23"/>
      <c r="THN23"/>
      <c r="THO23"/>
      <c r="THP23"/>
      <c r="THQ23"/>
      <c r="THR23"/>
      <c r="THS23"/>
      <c r="THT23"/>
      <c r="THU23"/>
      <c r="THV23"/>
      <c r="THW23"/>
      <c r="THX23"/>
      <c r="THY23"/>
      <c r="THZ23"/>
      <c r="TIA23"/>
      <c r="TIB23"/>
      <c r="TIC23"/>
      <c r="TID23"/>
      <c r="TIE23"/>
      <c r="TIF23"/>
      <c r="TIG23"/>
      <c r="TIH23"/>
      <c r="TII23"/>
      <c r="TIJ23"/>
      <c r="TIK23"/>
      <c r="TIL23"/>
      <c r="TIM23"/>
      <c r="TIN23"/>
      <c r="TIO23"/>
      <c r="TIP23"/>
      <c r="TIQ23"/>
      <c r="TIR23"/>
      <c r="TIS23"/>
      <c r="TIT23"/>
      <c r="TIU23"/>
      <c r="TIV23"/>
      <c r="TIW23"/>
      <c r="TIX23"/>
      <c r="TIY23"/>
      <c r="TIZ23"/>
      <c r="TJA23"/>
      <c r="TJB23"/>
      <c r="TJC23"/>
      <c r="TJD23"/>
      <c r="TJE23"/>
      <c r="TJF23"/>
      <c r="TJG23"/>
      <c r="TJH23"/>
      <c r="TJI23"/>
      <c r="TJJ23"/>
      <c r="TJK23"/>
      <c r="TJL23"/>
      <c r="TJM23"/>
      <c r="TJN23"/>
      <c r="TJO23"/>
      <c r="TJP23"/>
      <c r="TJQ23"/>
      <c r="TJR23"/>
      <c r="TJS23"/>
      <c r="TJT23"/>
      <c r="TJU23"/>
      <c r="TJV23"/>
      <c r="TJW23"/>
      <c r="TJX23"/>
      <c r="TJY23"/>
      <c r="TJZ23"/>
      <c r="TKA23"/>
      <c r="TKB23"/>
      <c r="TKC23"/>
      <c r="TKD23"/>
      <c r="TKE23"/>
      <c r="TKF23"/>
      <c r="TKG23"/>
      <c r="TKH23"/>
      <c r="TKI23"/>
      <c r="TKJ23"/>
      <c r="TKK23"/>
      <c r="TKL23"/>
      <c r="TKM23"/>
      <c r="TKN23"/>
      <c r="TKO23"/>
      <c r="TKP23"/>
      <c r="TKQ23"/>
      <c r="TKR23"/>
      <c r="TKS23"/>
      <c r="TKT23"/>
      <c r="TKU23"/>
      <c r="TKV23"/>
      <c r="TKW23"/>
      <c r="TKX23"/>
      <c r="TKY23"/>
      <c r="TKZ23"/>
      <c r="TLA23"/>
      <c r="TLB23"/>
      <c r="TLC23"/>
      <c r="TLD23"/>
      <c r="TLE23"/>
      <c r="TLF23"/>
      <c r="TLG23"/>
      <c r="TLH23"/>
      <c r="TLI23"/>
      <c r="TLJ23"/>
      <c r="TLK23"/>
      <c r="TLL23"/>
      <c r="TLM23"/>
      <c r="TLN23"/>
      <c r="TLO23"/>
      <c r="TLP23"/>
      <c r="TLQ23"/>
      <c r="TLR23"/>
      <c r="TLS23"/>
      <c r="TLT23"/>
      <c r="TLU23"/>
      <c r="TLV23"/>
      <c r="TLW23"/>
      <c r="TLX23"/>
      <c r="TLY23"/>
      <c r="TLZ23"/>
      <c r="TMA23"/>
      <c r="TMB23"/>
      <c r="TMC23"/>
      <c r="TMD23"/>
      <c r="TME23"/>
      <c r="TMF23"/>
      <c r="TMG23"/>
      <c r="TMH23"/>
      <c r="TMI23"/>
      <c r="TMJ23"/>
      <c r="TMK23"/>
      <c r="TML23"/>
      <c r="TMM23"/>
      <c r="TMN23"/>
      <c r="TMO23"/>
      <c r="TMP23"/>
      <c r="TMQ23"/>
      <c r="TMR23"/>
      <c r="TMS23"/>
      <c r="TMT23"/>
      <c r="TMU23"/>
      <c r="TMV23"/>
      <c r="TMW23"/>
      <c r="TMX23"/>
      <c r="TMY23"/>
      <c r="TMZ23"/>
      <c r="TNA23"/>
      <c r="TNB23"/>
      <c r="TNC23"/>
      <c r="TND23"/>
      <c r="TNE23"/>
      <c r="TNF23"/>
      <c r="TNG23"/>
      <c r="TNH23"/>
      <c r="TNI23"/>
      <c r="TNJ23"/>
      <c r="TNK23"/>
      <c r="TNL23"/>
      <c r="TNM23"/>
      <c r="TNN23"/>
      <c r="TNO23"/>
      <c r="TNP23"/>
      <c r="TNQ23"/>
      <c r="TNR23"/>
      <c r="TNS23"/>
      <c r="TNT23"/>
      <c r="TNU23"/>
      <c r="TNV23"/>
      <c r="TNW23"/>
      <c r="TNX23"/>
      <c r="TNY23"/>
      <c r="TNZ23"/>
      <c r="TOA23"/>
      <c r="TOB23"/>
      <c r="TOC23"/>
      <c r="TOD23"/>
      <c r="TOE23"/>
      <c r="TOF23"/>
      <c r="TOG23"/>
      <c r="TOH23"/>
      <c r="TOI23"/>
      <c r="TOJ23"/>
      <c r="TOK23"/>
      <c r="TOL23"/>
      <c r="TOM23"/>
      <c r="TON23"/>
      <c r="TOO23"/>
      <c r="TOP23"/>
      <c r="TOQ23"/>
      <c r="TOR23"/>
      <c r="TOS23"/>
      <c r="TOT23"/>
      <c r="TOU23"/>
      <c r="TOV23"/>
      <c r="TOW23"/>
      <c r="TOX23"/>
      <c r="TOY23"/>
      <c r="TOZ23"/>
      <c r="TPA23"/>
      <c r="TPB23"/>
      <c r="TPC23"/>
      <c r="TPD23"/>
      <c r="TPE23"/>
      <c r="TPF23"/>
      <c r="TPG23"/>
      <c r="TPH23"/>
      <c r="TPI23"/>
      <c r="TPJ23"/>
      <c r="TPK23"/>
      <c r="TPL23"/>
      <c r="TPM23"/>
      <c r="TPN23"/>
      <c r="TPO23"/>
      <c r="TPP23"/>
      <c r="TPQ23"/>
      <c r="TPR23"/>
      <c r="TPS23"/>
      <c r="TPT23"/>
      <c r="TPU23"/>
      <c r="TPV23"/>
      <c r="TPW23"/>
      <c r="TPX23"/>
      <c r="TPY23"/>
      <c r="TPZ23"/>
      <c r="TQA23"/>
      <c r="TQB23"/>
      <c r="TQC23"/>
      <c r="TQD23"/>
      <c r="TQE23"/>
      <c r="TQF23"/>
      <c r="TQG23"/>
      <c r="TQH23"/>
      <c r="TQI23"/>
      <c r="TQJ23"/>
      <c r="TQK23"/>
      <c r="TQL23"/>
      <c r="TQM23"/>
      <c r="TQN23"/>
      <c r="TQO23"/>
      <c r="TQP23"/>
      <c r="TQQ23"/>
      <c r="TQR23"/>
      <c r="TQS23"/>
      <c r="TQT23"/>
      <c r="TQU23"/>
      <c r="TQV23"/>
      <c r="TQW23"/>
      <c r="TQX23"/>
      <c r="TQY23"/>
      <c r="TQZ23"/>
      <c r="TRA23"/>
      <c r="TRB23"/>
      <c r="TRC23"/>
      <c r="TRD23"/>
      <c r="TRE23"/>
      <c r="TRF23"/>
      <c r="TRG23"/>
      <c r="TRH23"/>
      <c r="TRI23"/>
      <c r="TRJ23"/>
      <c r="TRK23"/>
      <c r="TRL23"/>
      <c r="TRM23"/>
      <c r="TRN23"/>
      <c r="TRO23"/>
      <c r="TRP23"/>
      <c r="TRQ23"/>
      <c r="TRR23"/>
      <c r="TRS23"/>
      <c r="TRT23"/>
      <c r="TRU23"/>
      <c r="TRV23"/>
      <c r="TRW23"/>
      <c r="TRX23"/>
      <c r="TRY23"/>
      <c r="TRZ23"/>
      <c r="TSA23"/>
      <c r="TSB23"/>
      <c r="TSC23"/>
      <c r="TSD23"/>
      <c r="TSE23"/>
      <c r="TSF23"/>
      <c r="TSG23"/>
      <c r="TSH23"/>
      <c r="TSI23"/>
      <c r="TSJ23"/>
      <c r="TSK23"/>
      <c r="TSL23"/>
      <c r="TSM23"/>
      <c r="TSN23"/>
      <c r="TSO23"/>
      <c r="TSP23"/>
      <c r="TSQ23"/>
      <c r="TSR23"/>
      <c r="TSS23"/>
      <c r="TST23"/>
      <c r="TSU23"/>
      <c r="TSV23"/>
      <c r="TSW23"/>
      <c r="TSX23"/>
      <c r="TSY23"/>
      <c r="TSZ23"/>
      <c r="TTA23"/>
      <c r="TTB23"/>
      <c r="TTC23"/>
      <c r="TTD23"/>
      <c r="TTE23"/>
      <c r="TTF23"/>
      <c r="TTG23"/>
      <c r="TTH23"/>
      <c r="TTI23"/>
      <c r="TTJ23"/>
      <c r="TTK23"/>
      <c r="TTL23"/>
      <c r="TTM23"/>
      <c r="TTN23"/>
      <c r="TTO23"/>
      <c r="TTP23"/>
      <c r="TTQ23"/>
      <c r="TTR23"/>
      <c r="TTS23"/>
      <c r="TTT23"/>
      <c r="TTU23"/>
      <c r="TTV23"/>
      <c r="TTW23"/>
      <c r="TTX23"/>
      <c r="TTY23"/>
      <c r="TTZ23"/>
      <c r="TUA23"/>
      <c r="TUB23"/>
      <c r="TUC23"/>
      <c r="TUD23"/>
      <c r="TUE23"/>
      <c r="TUF23"/>
      <c r="TUG23"/>
      <c r="TUH23"/>
      <c r="TUI23"/>
      <c r="TUJ23"/>
      <c r="TUK23"/>
      <c r="TUL23"/>
      <c r="TUM23"/>
      <c r="TUN23"/>
      <c r="TUO23"/>
      <c r="TUP23"/>
      <c r="TUQ23"/>
      <c r="TUR23"/>
      <c r="TUS23"/>
      <c r="TUT23"/>
      <c r="TUU23"/>
      <c r="TUV23"/>
      <c r="TUW23"/>
      <c r="TUX23"/>
      <c r="TUY23"/>
      <c r="TUZ23"/>
      <c r="TVA23"/>
      <c r="TVB23"/>
      <c r="TVC23"/>
      <c r="TVD23"/>
      <c r="TVE23"/>
      <c r="TVF23"/>
      <c r="TVG23"/>
      <c r="TVH23"/>
      <c r="TVI23"/>
      <c r="TVJ23"/>
      <c r="TVK23"/>
      <c r="TVL23"/>
      <c r="TVM23"/>
      <c r="TVN23"/>
      <c r="TVO23"/>
      <c r="TVP23"/>
      <c r="TVQ23"/>
      <c r="TVR23"/>
      <c r="TVS23"/>
      <c r="TVT23"/>
      <c r="TVU23"/>
      <c r="TVV23"/>
      <c r="TVW23"/>
      <c r="TVX23"/>
      <c r="TVY23"/>
      <c r="TVZ23"/>
      <c r="TWA23"/>
      <c r="TWB23"/>
      <c r="TWC23"/>
      <c r="TWD23"/>
      <c r="TWE23"/>
      <c r="TWF23"/>
      <c r="TWG23"/>
      <c r="TWH23"/>
      <c r="TWI23"/>
      <c r="TWJ23"/>
      <c r="TWK23"/>
      <c r="TWL23"/>
      <c r="TWM23"/>
      <c r="TWN23"/>
      <c r="TWO23"/>
      <c r="TWP23"/>
      <c r="TWQ23"/>
      <c r="TWR23"/>
      <c r="TWS23"/>
      <c r="TWT23"/>
      <c r="TWU23"/>
      <c r="TWV23"/>
      <c r="TWW23"/>
      <c r="TWX23"/>
      <c r="TWY23"/>
      <c r="TWZ23"/>
      <c r="TXA23"/>
      <c r="TXB23"/>
      <c r="TXC23"/>
      <c r="TXD23"/>
      <c r="TXE23"/>
      <c r="TXF23"/>
      <c r="TXG23"/>
      <c r="TXH23"/>
      <c r="TXI23"/>
      <c r="TXJ23"/>
      <c r="TXK23"/>
      <c r="TXL23"/>
      <c r="TXM23"/>
      <c r="TXN23"/>
      <c r="TXO23"/>
      <c r="TXP23"/>
      <c r="TXQ23"/>
      <c r="TXR23"/>
      <c r="TXS23"/>
      <c r="TXT23"/>
      <c r="TXU23"/>
      <c r="TXV23"/>
      <c r="TXW23"/>
      <c r="TXX23"/>
      <c r="TXY23"/>
      <c r="TXZ23"/>
      <c r="TYA23"/>
      <c r="TYB23"/>
      <c r="TYC23"/>
      <c r="TYD23"/>
      <c r="TYE23"/>
      <c r="TYF23"/>
      <c r="TYG23"/>
      <c r="TYH23"/>
      <c r="TYI23"/>
      <c r="TYJ23"/>
      <c r="TYK23"/>
      <c r="TYL23"/>
      <c r="TYM23"/>
      <c r="TYN23"/>
      <c r="TYO23"/>
      <c r="TYP23"/>
      <c r="TYQ23"/>
      <c r="TYR23"/>
      <c r="TYS23"/>
      <c r="TYT23"/>
      <c r="TYU23"/>
      <c r="TYV23"/>
      <c r="TYW23"/>
      <c r="TYX23"/>
      <c r="TYY23"/>
      <c r="TYZ23"/>
      <c r="TZA23"/>
      <c r="TZB23"/>
      <c r="TZC23"/>
      <c r="TZD23"/>
      <c r="TZE23"/>
      <c r="TZF23"/>
      <c r="TZG23"/>
      <c r="TZH23"/>
      <c r="TZI23"/>
      <c r="TZJ23"/>
      <c r="TZK23"/>
      <c r="TZL23"/>
      <c r="TZM23"/>
      <c r="TZN23"/>
      <c r="TZO23"/>
      <c r="TZP23"/>
      <c r="TZQ23"/>
      <c r="TZR23"/>
      <c r="TZS23"/>
      <c r="TZT23"/>
      <c r="TZU23"/>
      <c r="TZV23"/>
      <c r="TZW23"/>
      <c r="TZX23"/>
      <c r="TZY23"/>
      <c r="TZZ23"/>
      <c r="UAA23"/>
      <c r="UAB23"/>
      <c r="UAC23"/>
      <c r="UAD23"/>
      <c r="UAE23"/>
      <c r="UAF23"/>
      <c r="UAG23"/>
      <c r="UAH23"/>
      <c r="UAI23"/>
      <c r="UAJ23"/>
      <c r="UAK23"/>
      <c r="UAL23"/>
      <c r="UAM23"/>
      <c r="UAN23"/>
      <c r="UAO23"/>
      <c r="UAP23"/>
      <c r="UAQ23"/>
      <c r="UAR23"/>
      <c r="UAS23"/>
      <c r="UAT23"/>
      <c r="UAU23"/>
      <c r="UAV23"/>
      <c r="UAW23"/>
      <c r="UAX23"/>
      <c r="UAY23"/>
      <c r="UAZ23"/>
      <c r="UBA23"/>
      <c r="UBB23"/>
      <c r="UBC23"/>
      <c r="UBD23"/>
      <c r="UBE23"/>
      <c r="UBF23"/>
      <c r="UBG23"/>
      <c r="UBH23"/>
      <c r="UBI23"/>
      <c r="UBJ23"/>
      <c r="UBK23"/>
      <c r="UBL23"/>
      <c r="UBM23"/>
      <c r="UBN23"/>
      <c r="UBO23"/>
      <c r="UBP23"/>
      <c r="UBQ23"/>
      <c r="UBR23"/>
      <c r="UBS23"/>
      <c r="UBT23"/>
      <c r="UBU23"/>
      <c r="UBV23"/>
      <c r="UBW23"/>
      <c r="UBX23"/>
      <c r="UBY23"/>
      <c r="UBZ23"/>
      <c r="UCA23"/>
      <c r="UCB23"/>
      <c r="UCC23"/>
      <c r="UCD23"/>
      <c r="UCE23"/>
      <c r="UCF23"/>
      <c r="UCG23"/>
      <c r="UCH23"/>
      <c r="UCI23"/>
      <c r="UCJ23"/>
      <c r="UCK23"/>
      <c r="UCL23"/>
      <c r="UCM23"/>
      <c r="UCN23"/>
      <c r="UCO23"/>
      <c r="UCP23"/>
      <c r="UCQ23"/>
      <c r="UCR23"/>
      <c r="UCS23"/>
      <c r="UCT23"/>
      <c r="UCU23"/>
      <c r="UCV23"/>
      <c r="UCW23"/>
      <c r="UCX23"/>
      <c r="UCY23"/>
      <c r="UCZ23"/>
      <c r="UDA23"/>
      <c r="UDB23"/>
      <c r="UDC23"/>
      <c r="UDD23"/>
      <c r="UDE23"/>
      <c r="UDF23"/>
      <c r="UDG23"/>
      <c r="UDH23"/>
      <c r="UDI23"/>
      <c r="UDJ23"/>
      <c r="UDK23"/>
      <c r="UDL23"/>
      <c r="UDM23"/>
      <c r="UDN23"/>
      <c r="UDO23"/>
      <c r="UDP23"/>
      <c r="UDQ23"/>
      <c r="UDR23"/>
      <c r="UDS23"/>
      <c r="UDT23"/>
      <c r="UDU23"/>
      <c r="UDV23"/>
      <c r="UDW23"/>
      <c r="UDX23"/>
      <c r="UDY23"/>
      <c r="UDZ23"/>
      <c r="UEA23"/>
      <c r="UEB23"/>
      <c r="UEC23"/>
      <c r="UED23"/>
      <c r="UEE23"/>
      <c r="UEF23"/>
      <c r="UEG23"/>
      <c r="UEH23"/>
      <c r="UEI23"/>
      <c r="UEJ23"/>
      <c r="UEK23"/>
      <c r="UEL23"/>
      <c r="UEM23"/>
      <c r="UEN23"/>
      <c r="UEO23"/>
      <c r="UEP23"/>
      <c r="UEQ23"/>
      <c r="UER23"/>
      <c r="UES23"/>
      <c r="UET23"/>
      <c r="UEU23"/>
      <c r="UEV23"/>
      <c r="UEW23"/>
      <c r="UEX23"/>
      <c r="UEY23"/>
      <c r="UEZ23"/>
      <c r="UFA23"/>
      <c r="UFB23"/>
      <c r="UFC23"/>
      <c r="UFD23"/>
      <c r="UFE23"/>
      <c r="UFF23"/>
      <c r="UFG23"/>
      <c r="UFH23"/>
      <c r="UFI23"/>
      <c r="UFJ23"/>
      <c r="UFK23"/>
      <c r="UFL23"/>
      <c r="UFM23"/>
      <c r="UFN23"/>
      <c r="UFO23"/>
      <c r="UFP23"/>
      <c r="UFQ23"/>
      <c r="UFR23"/>
      <c r="UFS23"/>
      <c r="UFT23"/>
      <c r="UFU23"/>
      <c r="UFV23"/>
      <c r="UFW23"/>
      <c r="UFX23"/>
      <c r="UFY23"/>
      <c r="UFZ23"/>
      <c r="UGA23"/>
      <c r="UGB23"/>
      <c r="UGC23"/>
      <c r="UGD23"/>
      <c r="UGE23"/>
      <c r="UGF23"/>
      <c r="UGG23"/>
      <c r="UGH23"/>
      <c r="UGI23"/>
      <c r="UGJ23"/>
      <c r="UGK23"/>
      <c r="UGL23"/>
      <c r="UGM23"/>
      <c r="UGN23"/>
      <c r="UGO23"/>
      <c r="UGP23"/>
      <c r="UGQ23"/>
      <c r="UGR23"/>
      <c r="UGS23"/>
      <c r="UGT23"/>
      <c r="UGU23"/>
      <c r="UGV23"/>
      <c r="UGW23"/>
      <c r="UGX23"/>
      <c r="UGY23"/>
      <c r="UGZ23"/>
      <c r="UHA23"/>
      <c r="UHB23"/>
      <c r="UHC23"/>
      <c r="UHD23"/>
      <c r="UHE23"/>
      <c r="UHF23"/>
      <c r="UHG23"/>
      <c r="UHH23"/>
      <c r="UHI23"/>
      <c r="UHJ23"/>
      <c r="UHK23"/>
      <c r="UHL23"/>
      <c r="UHM23"/>
      <c r="UHN23"/>
      <c r="UHO23"/>
      <c r="UHP23"/>
      <c r="UHQ23"/>
      <c r="UHR23"/>
      <c r="UHS23"/>
      <c r="UHT23"/>
      <c r="UHU23"/>
      <c r="UHV23"/>
      <c r="UHW23"/>
      <c r="UHX23"/>
      <c r="UHY23"/>
      <c r="UHZ23"/>
      <c r="UIA23"/>
      <c r="UIB23"/>
      <c r="UIC23"/>
      <c r="UID23"/>
      <c r="UIE23"/>
      <c r="UIF23"/>
      <c r="UIG23"/>
      <c r="UIH23"/>
      <c r="UII23"/>
      <c r="UIJ23"/>
      <c r="UIK23"/>
      <c r="UIL23"/>
      <c r="UIM23"/>
      <c r="UIN23"/>
      <c r="UIO23"/>
      <c r="UIP23"/>
      <c r="UIQ23"/>
      <c r="UIR23"/>
      <c r="UIS23"/>
      <c r="UIT23"/>
      <c r="UIU23"/>
      <c r="UIV23"/>
      <c r="UIW23"/>
      <c r="UIX23"/>
      <c r="UIY23"/>
      <c r="UIZ23"/>
      <c r="UJA23"/>
      <c r="UJB23"/>
      <c r="UJC23"/>
      <c r="UJD23"/>
      <c r="UJE23"/>
      <c r="UJF23"/>
      <c r="UJG23"/>
      <c r="UJH23"/>
      <c r="UJI23"/>
      <c r="UJJ23"/>
      <c r="UJK23"/>
      <c r="UJL23"/>
      <c r="UJM23"/>
      <c r="UJN23"/>
      <c r="UJO23"/>
      <c r="UJP23"/>
      <c r="UJQ23"/>
      <c r="UJR23"/>
      <c r="UJS23"/>
      <c r="UJT23"/>
      <c r="UJU23"/>
      <c r="UJV23"/>
      <c r="UJW23"/>
      <c r="UJX23"/>
      <c r="UJY23"/>
      <c r="UJZ23"/>
      <c r="UKA23"/>
      <c r="UKB23"/>
      <c r="UKC23"/>
      <c r="UKD23"/>
      <c r="UKE23"/>
      <c r="UKF23"/>
      <c r="UKG23"/>
      <c r="UKH23"/>
      <c r="UKI23"/>
      <c r="UKJ23"/>
      <c r="UKK23"/>
      <c r="UKL23"/>
      <c r="UKM23"/>
      <c r="UKN23"/>
      <c r="UKO23"/>
      <c r="UKP23"/>
      <c r="UKQ23"/>
      <c r="UKR23"/>
      <c r="UKS23"/>
      <c r="UKT23"/>
      <c r="UKU23"/>
      <c r="UKV23"/>
      <c r="UKW23"/>
      <c r="UKX23"/>
      <c r="UKY23"/>
      <c r="UKZ23"/>
      <c r="ULA23"/>
      <c r="ULB23"/>
      <c r="ULC23"/>
      <c r="ULD23"/>
      <c r="ULE23"/>
      <c r="ULF23"/>
      <c r="ULG23"/>
      <c r="ULH23"/>
      <c r="ULI23"/>
      <c r="ULJ23"/>
      <c r="ULK23"/>
      <c r="ULL23"/>
      <c r="ULM23"/>
      <c r="ULN23"/>
      <c r="ULO23"/>
      <c r="ULP23"/>
      <c r="ULQ23"/>
      <c r="ULR23"/>
      <c r="ULS23"/>
      <c r="ULT23"/>
      <c r="ULU23"/>
      <c r="ULV23"/>
      <c r="ULW23"/>
      <c r="ULX23"/>
      <c r="ULY23"/>
      <c r="ULZ23"/>
      <c r="UMA23"/>
      <c r="UMB23"/>
      <c r="UMC23"/>
      <c r="UMD23"/>
      <c r="UME23"/>
      <c r="UMF23"/>
      <c r="UMG23"/>
      <c r="UMH23"/>
      <c r="UMI23"/>
      <c r="UMJ23"/>
      <c r="UMK23"/>
      <c r="UML23"/>
      <c r="UMM23"/>
      <c r="UMN23"/>
      <c r="UMO23"/>
      <c r="UMP23"/>
      <c r="UMQ23"/>
      <c r="UMR23"/>
      <c r="UMS23"/>
      <c r="UMT23"/>
      <c r="UMU23"/>
      <c r="UMV23"/>
      <c r="UMW23"/>
      <c r="UMX23"/>
      <c r="UMY23"/>
      <c r="UMZ23"/>
      <c r="UNA23"/>
      <c r="UNB23"/>
      <c r="UNC23"/>
      <c r="UND23"/>
      <c r="UNE23"/>
      <c r="UNF23"/>
      <c r="UNG23"/>
      <c r="UNH23"/>
      <c r="UNI23"/>
      <c r="UNJ23"/>
      <c r="UNK23"/>
      <c r="UNL23"/>
      <c r="UNM23"/>
      <c r="UNN23"/>
      <c r="UNO23"/>
      <c r="UNP23"/>
      <c r="UNQ23"/>
      <c r="UNR23"/>
      <c r="UNS23"/>
      <c r="UNT23"/>
      <c r="UNU23"/>
      <c r="UNV23"/>
      <c r="UNW23"/>
      <c r="UNX23"/>
      <c r="UNY23"/>
      <c r="UNZ23"/>
      <c r="UOA23"/>
      <c r="UOB23"/>
      <c r="UOC23"/>
      <c r="UOD23"/>
      <c r="UOE23"/>
      <c r="UOF23"/>
      <c r="UOG23"/>
      <c r="UOH23"/>
      <c r="UOI23"/>
      <c r="UOJ23"/>
      <c r="UOK23"/>
      <c r="UOL23"/>
      <c r="UOM23"/>
      <c r="UON23"/>
      <c r="UOO23"/>
      <c r="UOP23"/>
      <c r="UOQ23"/>
      <c r="UOR23"/>
      <c r="UOS23"/>
      <c r="UOT23"/>
      <c r="UOU23"/>
      <c r="UOV23"/>
      <c r="UOW23"/>
      <c r="UOX23"/>
      <c r="UOY23"/>
      <c r="UOZ23"/>
      <c r="UPA23"/>
      <c r="UPB23"/>
      <c r="UPC23"/>
      <c r="UPD23"/>
      <c r="UPE23"/>
      <c r="UPF23"/>
      <c r="UPG23"/>
      <c r="UPH23"/>
      <c r="UPI23"/>
      <c r="UPJ23"/>
      <c r="UPK23"/>
      <c r="UPL23"/>
      <c r="UPM23"/>
      <c r="UPN23"/>
      <c r="UPO23"/>
      <c r="UPP23"/>
      <c r="UPQ23"/>
      <c r="UPR23"/>
      <c r="UPS23"/>
      <c r="UPT23"/>
      <c r="UPU23"/>
      <c r="UPV23"/>
      <c r="UPW23"/>
      <c r="UPX23"/>
      <c r="UPY23"/>
      <c r="UPZ23"/>
      <c r="UQA23"/>
      <c r="UQB23"/>
      <c r="UQC23"/>
      <c r="UQD23"/>
      <c r="UQE23"/>
      <c r="UQF23"/>
      <c r="UQG23"/>
      <c r="UQH23"/>
      <c r="UQI23"/>
      <c r="UQJ23"/>
      <c r="UQK23"/>
      <c r="UQL23"/>
      <c r="UQM23"/>
      <c r="UQN23"/>
      <c r="UQO23"/>
      <c r="UQP23"/>
      <c r="UQQ23"/>
      <c r="UQR23"/>
      <c r="UQS23"/>
      <c r="UQT23"/>
      <c r="UQU23"/>
      <c r="UQV23"/>
      <c r="UQW23"/>
      <c r="UQX23"/>
      <c r="UQY23"/>
      <c r="UQZ23"/>
      <c r="URA23"/>
      <c r="URB23"/>
      <c r="URC23"/>
      <c r="URD23"/>
      <c r="URE23"/>
      <c r="URF23"/>
      <c r="URG23"/>
      <c r="URH23"/>
      <c r="URI23"/>
      <c r="URJ23"/>
      <c r="URK23"/>
      <c r="URL23"/>
      <c r="URM23"/>
      <c r="URN23"/>
      <c r="URO23"/>
      <c r="URP23"/>
      <c r="URQ23"/>
      <c r="URR23"/>
      <c r="URS23"/>
      <c r="URT23"/>
      <c r="URU23"/>
      <c r="URV23"/>
      <c r="URW23"/>
      <c r="URX23"/>
      <c r="URY23"/>
      <c r="URZ23"/>
      <c r="USA23"/>
      <c r="USB23"/>
      <c r="USC23"/>
      <c r="USD23"/>
      <c r="USE23"/>
      <c r="USF23"/>
      <c r="USG23"/>
      <c r="USH23"/>
      <c r="USI23"/>
      <c r="USJ23"/>
      <c r="USK23"/>
      <c r="USL23"/>
      <c r="USM23"/>
      <c r="USN23"/>
      <c r="USO23"/>
      <c r="USP23"/>
      <c r="USQ23"/>
      <c r="USR23"/>
      <c r="USS23"/>
      <c r="UST23"/>
      <c r="USU23"/>
      <c r="USV23"/>
      <c r="USW23"/>
      <c r="USX23"/>
      <c r="USY23"/>
      <c r="USZ23"/>
      <c r="UTA23"/>
      <c r="UTB23"/>
      <c r="UTC23"/>
      <c r="UTD23"/>
      <c r="UTE23"/>
      <c r="UTF23"/>
      <c r="UTG23"/>
      <c r="UTH23"/>
      <c r="UTI23"/>
      <c r="UTJ23"/>
      <c r="UTK23"/>
      <c r="UTL23"/>
      <c r="UTM23"/>
      <c r="UTN23"/>
      <c r="UTO23"/>
      <c r="UTP23"/>
      <c r="UTQ23"/>
      <c r="UTR23"/>
      <c r="UTS23"/>
      <c r="UTT23"/>
      <c r="UTU23"/>
      <c r="UTV23"/>
      <c r="UTW23"/>
      <c r="UTX23"/>
      <c r="UTY23"/>
      <c r="UTZ23"/>
      <c r="UUA23"/>
      <c r="UUB23"/>
      <c r="UUC23"/>
      <c r="UUD23"/>
      <c r="UUE23"/>
      <c r="UUF23"/>
      <c r="UUG23"/>
      <c r="UUH23"/>
      <c r="UUI23"/>
      <c r="UUJ23"/>
      <c r="UUK23"/>
      <c r="UUL23"/>
      <c r="UUM23"/>
      <c r="UUN23"/>
      <c r="UUO23"/>
      <c r="UUP23"/>
      <c r="UUQ23"/>
      <c r="UUR23"/>
      <c r="UUS23"/>
      <c r="UUT23"/>
      <c r="UUU23"/>
      <c r="UUV23"/>
      <c r="UUW23"/>
      <c r="UUX23"/>
      <c r="UUY23"/>
      <c r="UUZ23"/>
      <c r="UVA23"/>
      <c r="UVB23"/>
      <c r="UVC23"/>
      <c r="UVD23"/>
      <c r="UVE23"/>
      <c r="UVF23"/>
      <c r="UVG23"/>
      <c r="UVH23"/>
      <c r="UVI23"/>
      <c r="UVJ23"/>
      <c r="UVK23"/>
      <c r="UVL23"/>
      <c r="UVM23"/>
      <c r="UVN23"/>
      <c r="UVO23"/>
      <c r="UVP23"/>
      <c r="UVQ23"/>
      <c r="UVR23"/>
      <c r="UVS23"/>
      <c r="UVT23"/>
      <c r="UVU23"/>
      <c r="UVV23"/>
      <c r="UVW23"/>
      <c r="UVX23"/>
      <c r="UVY23"/>
      <c r="UVZ23"/>
      <c r="UWA23"/>
      <c r="UWB23"/>
      <c r="UWC23"/>
      <c r="UWD23"/>
      <c r="UWE23"/>
      <c r="UWF23"/>
      <c r="UWG23"/>
      <c r="UWH23"/>
      <c r="UWI23"/>
      <c r="UWJ23"/>
      <c r="UWK23"/>
      <c r="UWL23"/>
      <c r="UWM23"/>
      <c r="UWN23"/>
      <c r="UWO23"/>
      <c r="UWP23"/>
      <c r="UWQ23"/>
      <c r="UWR23"/>
      <c r="UWS23"/>
      <c r="UWT23"/>
      <c r="UWU23"/>
      <c r="UWV23"/>
      <c r="UWW23"/>
      <c r="UWX23"/>
      <c r="UWY23"/>
      <c r="UWZ23"/>
      <c r="UXA23"/>
      <c r="UXB23"/>
      <c r="UXC23"/>
      <c r="UXD23"/>
      <c r="UXE23"/>
      <c r="UXF23"/>
      <c r="UXG23"/>
      <c r="UXH23"/>
      <c r="UXI23"/>
      <c r="UXJ23"/>
      <c r="UXK23"/>
      <c r="UXL23"/>
      <c r="UXM23"/>
      <c r="UXN23"/>
      <c r="UXO23"/>
      <c r="UXP23"/>
      <c r="UXQ23"/>
      <c r="UXR23"/>
      <c r="UXS23"/>
      <c r="UXT23"/>
      <c r="UXU23"/>
      <c r="UXV23"/>
      <c r="UXW23"/>
      <c r="UXX23"/>
      <c r="UXY23"/>
      <c r="UXZ23"/>
      <c r="UYA23"/>
      <c r="UYB23"/>
      <c r="UYC23"/>
      <c r="UYD23"/>
      <c r="UYE23"/>
      <c r="UYF23"/>
      <c r="UYG23"/>
      <c r="UYH23"/>
      <c r="UYI23"/>
      <c r="UYJ23"/>
      <c r="UYK23"/>
      <c r="UYL23"/>
      <c r="UYM23"/>
      <c r="UYN23"/>
      <c r="UYO23"/>
      <c r="UYP23"/>
      <c r="UYQ23"/>
      <c r="UYR23"/>
      <c r="UYS23"/>
      <c r="UYT23"/>
      <c r="UYU23"/>
      <c r="UYV23"/>
      <c r="UYW23"/>
      <c r="UYX23"/>
      <c r="UYY23"/>
      <c r="UYZ23"/>
      <c r="UZA23"/>
      <c r="UZB23"/>
      <c r="UZC23"/>
      <c r="UZD23"/>
      <c r="UZE23"/>
      <c r="UZF23"/>
      <c r="UZG23"/>
      <c r="UZH23"/>
      <c r="UZI23"/>
      <c r="UZJ23"/>
      <c r="UZK23"/>
      <c r="UZL23"/>
      <c r="UZM23"/>
      <c r="UZN23"/>
      <c r="UZO23"/>
      <c r="UZP23"/>
      <c r="UZQ23"/>
      <c r="UZR23"/>
      <c r="UZS23"/>
      <c r="UZT23"/>
      <c r="UZU23"/>
      <c r="UZV23"/>
      <c r="UZW23"/>
      <c r="UZX23"/>
      <c r="UZY23"/>
      <c r="UZZ23"/>
      <c r="VAA23"/>
      <c r="VAB23"/>
      <c r="VAC23"/>
      <c r="VAD23"/>
      <c r="VAE23"/>
      <c r="VAF23"/>
      <c r="VAG23"/>
      <c r="VAH23"/>
      <c r="VAI23"/>
      <c r="VAJ23"/>
      <c r="VAK23"/>
      <c r="VAL23"/>
      <c r="VAM23"/>
      <c r="VAN23"/>
      <c r="VAO23"/>
      <c r="VAP23"/>
      <c r="VAQ23"/>
      <c r="VAR23"/>
      <c r="VAS23"/>
      <c r="VAT23"/>
      <c r="VAU23"/>
      <c r="VAV23"/>
      <c r="VAW23"/>
      <c r="VAX23"/>
      <c r="VAY23"/>
      <c r="VAZ23"/>
      <c r="VBA23"/>
      <c r="VBB23"/>
      <c r="VBC23"/>
      <c r="VBD23"/>
      <c r="VBE23"/>
      <c r="VBF23"/>
      <c r="VBG23"/>
      <c r="VBH23"/>
      <c r="VBI23"/>
      <c r="VBJ23"/>
      <c r="VBK23"/>
      <c r="VBL23"/>
      <c r="VBM23"/>
      <c r="VBN23"/>
      <c r="VBO23"/>
      <c r="VBP23"/>
      <c r="VBQ23"/>
      <c r="VBR23"/>
      <c r="VBS23"/>
      <c r="VBT23"/>
      <c r="VBU23"/>
      <c r="VBV23"/>
      <c r="VBW23"/>
      <c r="VBX23"/>
      <c r="VBY23"/>
      <c r="VBZ23"/>
      <c r="VCA23"/>
      <c r="VCB23"/>
      <c r="VCC23"/>
      <c r="VCD23"/>
      <c r="VCE23"/>
      <c r="VCF23"/>
      <c r="VCG23"/>
      <c r="VCH23"/>
      <c r="VCI23"/>
      <c r="VCJ23"/>
      <c r="VCK23"/>
      <c r="VCL23"/>
      <c r="VCM23"/>
      <c r="VCN23"/>
      <c r="VCO23"/>
      <c r="VCP23"/>
      <c r="VCQ23"/>
      <c r="VCR23"/>
      <c r="VCS23"/>
      <c r="VCT23"/>
      <c r="VCU23"/>
      <c r="VCV23"/>
      <c r="VCW23"/>
      <c r="VCX23"/>
      <c r="VCY23"/>
      <c r="VCZ23"/>
      <c r="VDA23"/>
      <c r="VDB23"/>
      <c r="VDC23"/>
      <c r="VDD23"/>
      <c r="VDE23"/>
      <c r="VDF23"/>
      <c r="VDG23"/>
      <c r="VDH23"/>
      <c r="VDI23"/>
      <c r="VDJ23"/>
      <c r="VDK23"/>
      <c r="VDL23"/>
      <c r="VDM23"/>
      <c r="VDN23"/>
      <c r="VDO23"/>
      <c r="VDP23"/>
      <c r="VDQ23"/>
      <c r="VDR23"/>
      <c r="VDS23"/>
      <c r="VDT23"/>
      <c r="VDU23"/>
      <c r="VDV23"/>
      <c r="VDW23"/>
      <c r="VDX23"/>
      <c r="VDY23"/>
      <c r="VDZ23"/>
      <c r="VEA23"/>
      <c r="VEB23"/>
      <c r="VEC23"/>
      <c r="VED23"/>
      <c r="VEE23"/>
      <c r="VEF23"/>
      <c r="VEG23"/>
      <c r="VEH23"/>
      <c r="VEI23"/>
      <c r="VEJ23"/>
      <c r="VEK23"/>
      <c r="VEL23"/>
      <c r="VEM23"/>
      <c r="VEN23"/>
      <c r="VEO23"/>
      <c r="VEP23"/>
      <c r="VEQ23"/>
      <c r="VER23"/>
      <c r="VES23"/>
      <c r="VET23"/>
      <c r="VEU23"/>
      <c r="VEV23"/>
      <c r="VEW23"/>
      <c r="VEX23"/>
      <c r="VEY23"/>
      <c r="VEZ23"/>
      <c r="VFA23"/>
      <c r="VFB23"/>
      <c r="VFC23"/>
      <c r="VFD23"/>
      <c r="VFE23"/>
      <c r="VFF23"/>
      <c r="VFG23"/>
      <c r="VFH23"/>
      <c r="VFI23"/>
      <c r="VFJ23"/>
      <c r="VFK23"/>
      <c r="VFL23"/>
      <c r="VFM23"/>
      <c r="VFN23"/>
      <c r="VFO23"/>
      <c r="VFP23"/>
      <c r="VFQ23"/>
      <c r="VFR23"/>
      <c r="VFS23"/>
      <c r="VFT23"/>
      <c r="VFU23"/>
      <c r="VFV23"/>
      <c r="VFW23"/>
      <c r="VFX23"/>
      <c r="VFY23"/>
      <c r="VFZ23"/>
      <c r="VGA23"/>
      <c r="VGB23"/>
      <c r="VGC23"/>
      <c r="VGD23"/>
      <c r="VGE23"/>
      <c r="VGF23"/>
      <c r="VGG23"/>
      <c r="VGH23"/>
      <c r="VGI23"/>
      <c r="VGJ23"/>
      <c r="VGK23"/>
      <c r="VGL23"/>
      <c r="VGM23"/>
      <c r="VGN23"/>
      <c r="VGO23"/>
      <c r="VGP23"/>
      <c r="VGQ23"/>
      <c r="VGR23"/>
      <c r="VGS23"/>
      <c r="VGT23"/>
      <c r="VGU23"/>
      <c r="VGV23"/>
      <c r="VGW23"/>
      <c r="VGX23"/>
      <c r="VGY23"/>
      <c r="VGZ23"/>
      <c r="VHA23"/>
      <c r="VHB23"/>
      <c r="VHC23"/>
      <c r="VHD23"/>
      <c r="VHE23"/>
      <c r="VHF23"/>
      <c r="VHG23"/>
      <c r="VHH23"/>
      <c r="VHI23"/>
      <c r="VHJ23"/>
      <c r="VHK23"/>
      <c r="VHL23"/>
      <c r="VHM23"/>
      <c r="VHN23"/>
      <c r="VHO23"/>
      <c r="VHP23"/>
      <c r="VHQ23"/>
      <c r="VHR23"/>
      <c r="VHS23"/>
      <c r="VHT23"/>
      <c r="VHU23"/>
      <c r="VHV23"/>
      <c r="VHW23"/>
      <c r="VHX23"/>
      <c r="VHY23"/>
      <c r="VHZ23"/>
      <c r="VIA23"/>
      <c r="VIB23"/>
      <c r="VIC23"/>
      <c r="VID23"/>
      <c r="VIE23"/>
      <c r="VIF23"/>
      <c r="VIG23"/>
      <c r="VIH23"/>
      <c r="VII23"/>
      <c r="VIJ23"/>
      <c r="VIK23"/>
      <c r="VIL23"/>
      <c r="VIM23"/>
      <c r="VIN23"/>
      <c r="VIO23"/>
      <c r="VIP23"/>
      <c r="VIQ23"/>
      <c r="VIR23"/>
      <c r="VIS23"/>
      <c r="VIT23"/>
      <c r="VIU23"/>
      <c r="VIV23"/>
      <c r="VIW23"/>
      <c r="VIX23"/>
      <c r="VIY23"/>
      <c r="VIZ23"/>
      <c r="VJA23"/>
      <c r="VJB23"/>
      <c r="VJC23"/>
      <c r="VJD23"/>
      <c r="VJE23"/>
      <c r="VJF23"/>
      <c r="VJG23"/>
      <c r="VJH23"/>
      <c r="VJI23"/>
      <c r="VJJ23"/>
      <c r="VJK23"/>
      <c r="VJL23"/>
      <c r="VJM23"/>
      <c r="VJN23"/>
      <c r="VJO23"/>
      <c r="VJP23"/>
      <c r="VJQ23"/>
      <c r="VJR23"/>
      <c r="VJS23"/>
      <c r="VJT23"/>
      <c r="VJU23"/>
      <c r="VJV23"/>
      <c r="VJW23"/>
      <c r="VJX23"/>
      <c r="VJY23"/>
      <c r="VJZ23"/>
      <c r="VKA23"/>
      <c r="VKB23"/>
      <c r="VKC23"/>
      <c r="VKD23"/>
      <c r="VKE23"/>
      <c r="VKF23"/>
      <c r="VKG23"/>
      <c r="VKH23"/>
      <c r="VKI23"/>
      <c r="VKJ23"/>
      <c r="VKK23"/>
      <c r="VKL23"/>
      <c r="VKM23"/>
      <c r="VKN23"/>
      <c r="VKO23"/>
      <c r="VKP23"/>
      <c r="VKQ23"/>
      <c r="VKR23"/>
      <c r="VKS23"/>
      <c r="VKT23"/>
      <c r="VKU23"/>
      <c r="VKV23"/>
      <c r="VKW23"/>
      <c r="VKX23"/>
      <c r="VKY23"/>
      <c r="VKZ23"/>
      <c r="VLA23"/>
      <c r="VLB23"/>
      <c r="VLC23"/>
      <c r="VLD23"/>
      <c r="VLE23"/>
      <c r="VLF23"/>
      <c r="VLG23"/>
      <c r="VLH23"/>
      <c r="VLI23"/>
      <c r="VLJ23"/>
      <c r="VLK23"/>
      <c r="VLL23"/>
      <c r="VLM23"/>
      <c r="VLN23"/>
      <c r="VLO23"/>
      <c r="VLP23"/>
      <c r="VLQ23"/>
      <c r="VLR23"/>
      <c r="VLS23"/>
      <c r="VLT23"/>
      <c r="VLU23"/>
      <c r="VLV23"/>
      <c r="VLW23"/>
      <c r="VLX23"/>
      <c r="VLY23"/>
      <c r="VLZ23"/>
      <c r="VMA23"/>
      <c r="VMB23"/>
      <c r="VMC23"/>
      <c r="VMD23"/>
      <c r="VME23"/>
      <c r="VMF23"/>
      <c r="VMG23"/>
      <c r="VMH23"/>
      <c r="VMI23"/>
      <c r="VMJ23"/>
      <c r="VMK23"/>
      <c r="VML23"/>
      <c r="VMM23"/>
      <c r="VMN23"/>
      <c r="VMO23"/>
      <c r="VMP23"/>
      <c r="VMQ23"/>
      <c r="VMR23"/>
      <c r="VMS23"/>
      <c r="VMT23"/>
      <c r="VMU23"/>
      <c r="VMV23"/>
      <c r="VMW23"/>
      <c r="VMX23"/>
      <c r="VMY23"/>
      <c r="VMZ23"/>
      <c r="VNA23"/>
      <c r="VNB23"/>
      <c r="VNC23"/>
      <c r="VND23"/>
      <c r="VNE23"/>
      <c r="VNF23"/>
      <c r="VNG23"/>
      <c r="VNH23"/>
      <c r="VNI23"/>
      <c r="VNJ23"/>
      <c r="VNK23"/>
      <c r="VNL23"/>
      <c r="VNM23"/>
      <c r="VNN23"/>
      <c r="VNO23"/>
      <c r="VNP23"/>
      <c r="VNQ23"/>
      <c r="VNR23"/>
      <c r="VNS23"/>
      <c r="VNT23"/>
      <c r="VNU23"/>
      <c r="VNV23"/>
      <c r="VNW23"/>
      <c r="VNX23"/>
      <c r="VNY23"/>
      <c r="VNZ23"/>
      <c r="VOA23"/>
      <c r="VOB23"/>
      <c r="VOC23"/>
      <c r="VOD23"/>
      <c r="VOE23"/>
      <c r="VOF23"/>
      <c r="VOG23"/>
      <c r="VOH23"/>
      <c r="VOI23"/>
      <c r="VOJ23"/>
      <c r="VOK23"/>
      <c r="VOL23"/>
      <c r="VOM23"/>
      <c r="VON23"/>
      <c r="VOO23"/>
      <c r="VOP23"/>
      <c r="VOQ23"/>
      <c r="VOR23"/>
      <c r="VOS23"/>
      <c r="VOT23"/>
      <c r="VOU23"/>
      <c r="VOV23"/>
      <c r="VOW23"/>
      <c r="VOX23"/>
      <c r="VOY23"/>
      <c r="VOZ23"/>
      <c r="VPA23"/>
      <c r="VPB23"/>
      <c r="VPC23"/>
      <c r="VPD23"/>
      <c r="VPE23"/>
      <c r="VPF23"/>
      <c r="VPG23"/>
      <c r="VPH23"/>
      <c r="VPI23"/>
      <c r="VPJ23"/>
      <c r="VPK23"/>
      <c r="VPL23"/>
      <c r="VPM23"/>
      <c r="VPN23"/>
      <c r="VPO23"/>
      <c r="VPP23"/>
      <c r="VPQ23"/>
      <c r="VPR23"/>
      <c r="VPS23"/>
      <c r="VPT23"/>
      <c r="VPU23"/>
      <c r="VPV23"/>
      <c r="VPW23"/>
      <c r="VPX23"/>
      <c r="VPY23"/>
      <c r="VPZ23"/>
      <c r="VQA23"/>
      <c r="VQB23"/>
      <c r="VQC23"/>
      <c r="VQD23"/>
      <c r="VQE23"/>
      <c r="VQF23"/>
      <c r="VQG23"/>
      <c r="VQH23"/>
      <c r="VQI23"/>
      <c r="VQJ23"/>
      <c r="VQK23"/>
      <c r="VQL23"/>
      <c r="VQM23"/>
      <c r="VQN23"/>
      <c r="VQO23"/>
      <c r="VQP23"/>
      <c r="VQQ23"/>
      <c r="VQR23"/>
      <c r="VQS23"/>
      <c r="VQT23"/>
      <c r="VQU23"/>
      <c r="VQV23"/>
      <c r="VQW23"/>
      <c r="VQX23"/>
      <c r="VQY23"/>
      <c r="VQZ23"/>
      <c r="VRA23"/>
      <c r="VRB23"/>
      <c r="VRC23"/>
      <c r="VRD23"/>
      <c r="VRE23"/>
      <c r="VRF23"/>
      <c r="VRG23"/>
      <c r="VRH23"/>
      <c r="VRI23"/>
      <c r="VRJ23"/>
      <c r="VRK23"/>
      <c r="VRL23"/>
      <c r="VRM23"/>
      <c r="VRN23"/>
      <c r="VRO23"/>
      <c r="VRP23"/>
      <c r="VRQ23"/>
      <c r="VRR23"/>
      <c r="VRS23"/>
      <c r="VRT23"/>
      <c r="VRU23"/>
      <c r="VRV23"/>
      <c r="VRW23"/>
      <c r="VRX23"/>
      <c r="VRY23"/>
      <c r="VRZ23"/>
      <c r="VSA23"/>
      <c r="VSB23"/>
      <c r="VSC23"/>
      <c r="VSD23"/>
      <c r="VSE23"/>
      <c r="VSF23"/>
      <c r="VSG23"/>
      <c r="VSH23"/>
      <c r="VSI23"/>
      <c r="VSJ23"/>
      <c r="VSK23"/>
      <c r="VSL23"/>
      <c r="VSM23"/>
      <c r="VSN23"/>
      <c r="VSO23"/>
      <c r="VSP23"/>
      <c r="VSQ23"/>
      <c r="VSR23"/>
      <c r="VSS23"/>
      <c r="VST23"/>
      <c r="VSU23"/>
      <c r="VSV23"/>
      <c r="VSW23"/>
      <c r="VSX23"/>
      <c r="VSY23"/>
      <c r="VSZ23"/>
      <c r="VTA23"/>
      <c r="VTB23"/>
      <c r="VTC23"/>
      <c r="VTD23"/>
      <c r="VTE23"/>
      <c r="VTF23"/>
      <c r="VTG23"/>
      <c r="VTH23"/>
      <c r="VTI23"/>
      <c r="VTJ23"/>
      <c r="VTK23"/>
      <c r="VTL23"/>
      <c r="VTM23"/>
      <c r="VTN23"/>
      <c r="VTO23"/>
      <c r="VTP23"/>
      <c r="VTQ23"/>
      <c r="VTR23"/>
      <c r="VTS23"/>
      <c r="VTT23"/>
      <c r="VTU23"/>
      <c r="VTV23"/>
      <c r="VTW23"/>
      <c r="VTX23"/>
      <c r="VTY23"/>
      <c r="VTZ23"/>
      <c r="VUA23"/>
      <c r="VUB23"/>
      <c r="VUC23"/>
      <c r="VUD23"/>
      <c r="VUE23"/>
      <c r="VUF23"/>
      <c r="VUG23"/>
      <c r="VUH23"/>
      <c r="VUI23"/>
      <c r="VUJ23"/>
      <c r="VUK23"/>
      <c r="VUL23"/>
      <c r="VUM23"/>
      <c r="VUN23"/>
      <c r="VUO23"/>
      <c r="VUP23"/>
      <c r="VUQ23"/>
      <c r="VUR23"/>
      <c r="VUS23"/>
      <c r="VUT23"/>
      <c r="VUU23"/>
      <c r="VUV23"/>
      <c r="VUW23"/>
      <c r="VUX23"/>
      <c r="VUY23"/>
      <c r="VUZ23"/>
      <c r="VVA23"/>
      <c r="VVB23"/>
      <c r="VVC23"/>
      <c r="VVD23"/>
      <c r="VVE23"/>
      <c r="VVF23"/>
      <c r="VVG23"/>
      <c r="VVH23"/>
      <c r="VVI23"/>
      <c r="VVJ23"/>
      <c r="VVK23"/>
      <c r="VVL23"/>
      <c r="VVM23"/>
      <c r="VVN23"/>
      <c r="VVO23"/>
      <c r="VVP23"/>
      <c r="VVQ23"/>
      <c r="VVR23"/>
      <c r="VVS23"/>
      <c r="VVT23"/>
      <c r="VVU23"/>
      <c r="VVV23"/>
      <c r="VVW23"/>
      <c r="VVX23"/>
      <c r="VVY23"/>
      <c r="VVZ23"/>
      <c r="VWA23"/>
      <c r="VWB23"/>
      <c r="VWC23"/>
      <c r="VWD23"/>
      <c r="VWE23"/>
      <c r="VWF23"/>
      <c r="VWG23"/>
      <c r="VWH23"/>
      <c r="VWI23"/>
      <c r="VWJ23"/>
      <c r="VWK23"/>
      <c r="VWL23"/>
      <c r="VWM23"/>
      <c r="VWN23"/>
      <c r="VWO23"/>
      <c r="VWP23"/>
      <c r="VWQ23"/>
      <c r="VWR23"/>
      <c r="VWS23"/>
      <c r="VWT23"/>
      <c r="VWU23"/>
      <c r="VWV23"/>
      <c r="VWW23"/>
      <c r="VWX23"/>
      <c r="VWY23"/>
      <c r="VWZ23"/>
      <c r="VXA23"/>
      <c r="VXB23"/>
      <c r="VXC23"/>
      <c r="VXD23"/>
      <c r="VXE23"/>
      <c r="VXF23"/>
      <c r="VXG23"/>
      <c r="VXH23"/>
      <c r="VXI23"/>
      <c r="VXJ23"/>
      <c r="VXK23"/>
      <c r="VXL23"/>
      <c r="VXM23"/>
      <c r="VXN23"/>
      <c r="VXO23"/>
      <c r="VXP23"/>
      <c r="VXQ23"/>
      <c r="VXR23"/>
      <c r="VXS23"/>
      <c r="VXT23"/>
      <c r="VXU23"/>
      <c r="VXV23"/>
      <c r="VXW23"/>
      <c r="VXX23"/>
      <c r="VXY23"/>
      <c r="VXZ23"/>
      <c r="VYA23"/>
      <c r="VYB23"/>
      <c r="VYC23"/>
      <c r="VYD23"/>
      <c r="VYE23"/>
      <c r="VYF23"/>
      <c r="VYG23"/>
      <c r="VYH23"/>
      <c r="VYI23"/>
      <c r="VYJ23"/>
      <c r="VYK23"/>
      <c r="VYL23"/>
      <c r="VYM23"/>
      <c r="VYN23"/>
      <c r="VYO23"/>
      <c r="VYP23"/>
      <c r="VYQ23"/>
      <c r="VYR23"/>
      <c r="VYS23"/>
      <c r="VYT23"/>
      <c r="VYU23"/>
      <c r="VYV23"/>
      <c r="VYW23"/>
      <c r="VYX23"/>
      <c r="VYY23"/>
      <c r="VYZ23"/>
      <c r="VZA23"/>
      <c r="VZB23"/>
      <c r="VZC23"/>
      <c r="VZD23"/>
      <c r="VZE23"/>
      <c r="VZF23"/>
      <c r="VZG23"/>
      <c r="VZH23"/>
      <c r="VZI23"/>
      <c r="VZJ23"/>
      <c r="VZK23"/>
      <c r="VZL23"/>
      <c r="VZM23"/>
      <c r="VZN23"/>
      <c r="VZO23"/>
      <c r="VZP23"/>
      <c r="VZQ23"/>
      <c r="VZR23"/>
      <c r="VZS23"/>
      <c r="VZT23"/>
      <c r="VZU23"/>
      <c r="VZV23"/>
      <c r="VZW23"/>
      <c r="VZX23"/>
      <c r="VZY23"/>
      <c r="VZZ23"/>
      <c r="WAA23"/>
      <c r="WAB23"/>
      <c r="WAC23"/>
      <c r="WAD23"/>
      <c r="WAE23"/>
      <c r="WAF23"/>
      <c r="WAG23"/>
      <c r="WAH23"/>
      <c r="WAI23"/>
      <c r="WAJ23"/>
      <c r="WAK23"/>
      <c r="WAL23"/>
      <c r="WAM23"/>
      <c r="WAN23"/>
      <c r="WAO23"/>
      <c r="WAP23"/>
      <c r="WAQ23"/>
      <c r="WAR23"/>
      <c r="WAS23"/>
      <c r="WAT23"/>
      <c r="WAU23"/>
      <c r="WAV23"/>
      <c r="WAW23"/>
      <c r="WAX23"/>
      <c r="WAY23"/>
      <c r="WAZ23"/>
      <c r="WBA23"/>
      <c r="WBB23"/>
      <c r="WBC23"/>
      <c r="WBD23"/>
      <c r="WBE23"/>
      <c r="WBF23"/>
      <c r="WBG23"/>
      <c r="WBH23"/>
      <c r="WBI23"/>
      <c r="WBJ23"/>
      <c r="WBK23"/>
      <c r="WBL23"/>
      <c r="WBM23"/>
      <c r="WBN23"/>
      <c r="WBO23"/>
      <c r="WBP23"/>
      <c r="WBQ23"/>
      <c r="WBR23"/>
      <c r="WBS23"/>
      <c r="WBT23"/>
      <c r="WBU23"/>
      <c r="WBV23"/>
      <c r="WBW23"/>
      <c r="WBX23"/>
      <c r="WBY23"/>
      <c r="WBZ23"/>
      <c r="WCA23"/>
      <c r="WCB23"/>
      <c r="WCC23"/>
      <c r="WCD23"/>
      <c r="WCE23"/>
      <c r="WCF23"/>
      <c r="WCG23"/>
      <c r="WCH23"/>
      <c r="WCI23"/>
      <c r="WCJ23"/>
      <c r="WCK23"/>
      <c r="WCL23"/>
      <c r="WCM23"/>
      <c r="WCN23"/>
      <c r="WCO23"/>
      <c r="WCP23"/>
      <c r="WCQ23"/>
      <c r="WCR23"/>
      <c r="WCS23"/>
      <c r="WCT23"/>
      <c r="WCU23"/>
      <c r="WCV23"/>
      <c r="WCW23"/>
      <c r="WCX23"/>
      <c r="WCY23"/>
      <c r="WCZ23"/>
      <c r="WDA23"/>
      <c r="WDB23"/>
      <c r="WDC23"/>
      <c r="WDD23"/>
      <c r="WDE23"/>
      <c r="WDF23"/>
      <c r="WDG23"/>
      <c r="WDH23"/>
      <c r="WDI23"/>
      <c r="WDJ23"/>
      <c r="WDK23"/>
      <c r="WDL23"/>
      <c r="WDM23"/>
      <c r="WDN23"/>
      <c r="WDO23"/>
      <c r="WDP23"/>
      <c r="WDQ23"/>
      <c r="WDR23"/>
      <c r="WDS23"/>
      <c r="WDT23"/>
      <c r="WDU23"/>
      <c r="WDV23"/>
      <c r="WDW23"/>
      <c r="WDX23"/>
      <c r="WDY23"/>
      <c r="WDZ23"/>
      <c r="WEA23"/>
      <c r="WEB23"/>
      <c r="WEC23"/>
      <c r="WED23"/>
      <c r="WEE23"/>
      <c r="WEF23"/>
      <c r="WEG23"/>
      <c r="WEH23"/>
      <c r="WEI23"/>
      <c r="WEJ23"/>
      <c r="WEK23"/>
      <c r="WEL23"/>
      <c r="WEM23"/>
      <c r="WEN23"/>
      <c r="WEO23"/>
      <c r="WEP23"/>
      <c r="WEQ23"/>
      <c r="WER23"/>
      <c r="WES23"/>
      <c r="WET23"/>
      <c r="WEU23"/>
      <c r="WEV23"/>
      <c r="WEW23"/>
      <c r="WEX23"/>
      <c r="WEY23"/>
      <c r="WEZ23"/>
      <c r="WFA23"/>
      <c r="WFB23"/>
      <c r="WFC23"/>
      <c r="WFD23"/>
      <c r="WFE23"/>
      <c r="WFF23"/>
      <c r="WFG23"/>
      <c r="WFH23"/>
      <c r="WFI23"/>
      <c r="WFJ23"/>
      <c r="WFK23"/>
      <c r="WFL23"/>
      <c r="WFM23"/>
      <c r="WFN23"/>
      <c r="WFO23"/>
      <c r="WFP23"/>
      <c r="WFQ23"/>
      <c r="WFR23"/>
      <c r="WFS23"/>
      <c r="WFT23"/>
      <c r="WFU23"/>
      <c r="WFV23"/>
      <c r="WFW23"/>
      <c r="WFX23"/>
      <c r="WFY23"/>
      <c r="WFZ23"/>
      <c r="WGA23"/>
      <c r="WGB23"/>
      <c r="WGC23"/>
      <c r="WGD23"/>
      <c r="WGE23"/>
      <c r="WGF23"/>
      <c r="WGG23"/>
      <c r="WGH23"/>
      <c r="WGI23"/>
      <c r="WGJ23"/>
      <c r="WGK23"/>
      <c r="WGL23"/>
      <c r="WGM23"/>
      <c r="WGN23"/>
      <c r="WGO23"/>
      <c r="WGP23"/>
      <c r="WGQ23"/>
      <c r="WGR23"/>
      <c r="WGS23"/>
      <c r="WGT23"/>
      <c r="WGU23"/>
      <c r="WGV23"/>
      <c r="WGW23"/>
      <c r="WGX23"/>
      <c r="WGY23"/>
      <c r="WGZ23"/>
      <c r="WHA23"/>
      <c r="WHB23"/>
      <c r="WHC23"/>
      <c r="WHD23"/>
      <c r="WHE23"/>
      <c r="WHF23"/>
      <c r="WHG23"/>
      <c r="WHH23"/>
      <c r="WHI23"/>
      <c r="WHJ23"/>
      <c r="WHK23"/>
      <c r="WHL23"/>
      <c r="WHM23"/>
      <c r="WHN23"/>
      <c r="WHO23"/>
      <c r="WHP23"/>
      <c r="WHQ23"/>
      <c r="WHR23"/>
      <c r="WHS23"/>
      <c r="WHT23"/>
      <c r="WHU23"/>
      <c r="WHV23"/>
      <c r="WHW23"/>
      <c r="WHX23"/>
      <c r="WHY23"/>
      <c r="WHZ23"/>
      <c r="WIA23"/>
      <c r="WIB23"/>
      <c r="WIC23"/>
      <c r="WID23"/>
      <c r="WIE23"/>
      <c r="WIF23"/>
      <c r="WIG23"/>
      <c r="WIH23"/>
      <c r="WII23"/>
      <c r="WIJ23"/>
      <c r="WIK23"/>
      <c r="WIL23"/>
      <c r="WIM23"/>
      <c r="WIN23"/>
      <c r="WIO23"/>
      <c r="WIP23"/>
      <c r="WIQ23"/>
      <c r="WIR23"/>
      <c r="WIS23"/>
      <c r="WIT23"/>
      <c r="WIU23"/>
      <c r="WIV23"/>
      <c r="WIW23"/>
      <c r="WIX23"/>
      <c r="WIY23"/>
      <c r="WIZ23"/>
      <c r="WJA23"/>
      <c r="WJB23"/>
      <c r="WJC23"/>
      <c r="WJD23"/>
      <c r="WJE23"/>
      <c r="WJF23"/>
      <c r="WJG23"/>
      <c r="WJH23"/>
      <c r="WJI23"/>
      <c r="WJJ23"/>
      <c r="WJK23"/>
      <c r="WJL23"/>
      <c r="WJM23"/>
      <c r="WJN23"/>
      <c r="WJO23"/>
      <c r="WJP23"/>
      <c r="WJQ23"/>
      <c r="WJR23"/>
      <c r="WJS23"/>
      <c r="WJT23"/>
      <c r="WJU23"/>
      <c r="WJV23"/>
      <c r="WJW23"/>
      <c r="WJX23"/>
      <c r="WJY23"/>
      <c r="WJZ23"/>
      <c r="WKA23"/>
      <c r="WKB23"/>
      <c r="WKC23"/>
      <c r="WKD23"/>
      <c r="WKE23"/>
      <c r="WKF23"/>
      <c r="WKG23"/>
      <c r="WKH23"/>
      <c r="WKI23"/>
      <c r="WKJ23"/>
      <c r="WKK23"/>
      <c r="WKL23"/>
      <c r="WKM23"/>
      <c r="WKN23"/>
      <c r="WKO23"/>
      <c r="WKP23"/>
      <c r="WKQ23"/>
      <c r="WKR23"/>
      <c r="WKS23"/>
      <c r="WKT23"/>
      <c r="WKU23"/>
      <c r="WKV23"/>
      <c r="WKW23"/>
      <c r="WKX23"/>
      <c r="WKY23"/>
      <c r="WKZ23"/>
      <c r="WLA23"/>
      <c r="WLB23"/>
      <c r="WLC23"/>
      <c r="WLD23"/>
      <c r="WLE23"/>
      <c r="WLF23"/>
      <c r="WLG23"/>
      <c r="WLH23"/>
      <c r="WLI23"/>
      <c r="WLJ23"/>
      <c r="WLK23"/>
      <c r="WLL23"/>
      <c r="WLM23"/>
      <c r="WLN23"/>
      <c r="WLO23"/>
      <c r="WLP23"/>
      <c r="WLQ23"/>
      <c r="WLR23"/>
      <c r="WLS23"/>
      <c r="WLT23"/>
      <c r="WLU23"/>
      <c r="WLV23"/>
      <c r="WLW23"/>
      <c r="WLX23"/>
      <c r="WLY23"/>
      <c r="WLZ23"/>
      <c r="WMA23"/>
      <c r="WMB23"/>
      <c r="WMC23"/>
      <c r="WMD23"/>
      <c r="WME23"/>
      <c r="WMF23"/>
      <c r="WMG23"/>
      <c r="WMH23"/>
      <c r="WMI23"/>
      <c r="WMJ23"/>
      <c r="WMK23"/>
      <c r="WML23"/>
      <c r="WMM23"/>
      <c r="WMN23"/>
      <c r="WMO23"/>
      <c r="WMP23"/>
      <c r="WMQ23"/>
      <c r="WMR23"/>
      <c r="WMS23"/>
      <c r="WMT23"/>
      <c r="WMU23"/>
      <c r="WMV23"/>
      <c r="WMW23"/>
      <c r="WMX23"/>
      <c r="WMY23"/>
      <c r="WMZ23"/>
      <c r="WNA23"/>
      <c r="WNB23"/>
      <c r="WNC23"/>
      <c r="WND23"/>
      <c r="WNE23"/>
      <c r="WNF23"/>
      <c r="WNG23"/>
      <c r="WNH23"/>
      <c r="WNI23"/>
      <c r="WNJ23"/>
      <c r="WNK23"/>
      <c r="WNL23"/>
      <c r="WNM23"/>
      <c r="WNN23"/>
      <c r="WNO23"/>
      <c r="WNP23"/>
      <c r="WNQ23"/>
      <c r="WNR23"/>
      <c r="WNS23"/>
      <c r="WNT23"/>
      <c r="WNU23"/>
      <c r="WNV23"/>
      <c r="WNW23"/>
      <c r="WNX23"/>
      <c r="WNY23"/>
      <c r="WNZ23"/>
      <c r="WOA23"/>
      <c r="WOB23"/>
      <c r="WOC23"/>
      <c r="WOD23"/>
      <c r="WOE23"/>
      <c r="WOF23"/>
      <c r="WOG23"/>
      <c r="WOH23"/>
      <c r="WOI23"/>
      <c r="WOJ23"/>
      <c r="WOK23"/>
      <c r="WOL23"/>
      <c r="WOM23"/>
      <c r="WON23"/>
      <c r="WOO23"/>
      <c r="WOP23"/>
      <c r="WOQ23"/>
      <c r="WOR23"/>
      <c r="WOS23"/>
      <c r="WOT23"/>
      <c r="WOU23"/>
      <c r="WOV23"/>
      <c r="WOW23"/>
      <c r="WOX23"/>
      <c r="WOY23"/>
      <c r="WOZ23"/>
      <c r="WPA23"/>
      <c r="WPB23"/>
      <c r="WPC23"/>
      <c r="WPD23"/>
      <c r="WPE23"/>
      <c r="WPF23"/>
      <c r="WPG23"/>
      <c r="WPH23"/>
      <c r="WPI23"/>
      <c r="WPJ23"/>
      <c r="WPK23"/>
      <c r="WPL23"/>
      <c r="WPM23"/>
      <c r="WPN23"/>
      <c r="WPO23"/>
      <c r="WPP23"/>
      <c r="WPQ23"/>
      <c r="WPR23"/>
      <c r="WPS23"/>
      <c r="WPT23"/>
      <c r="WPU23"/>
      <c r="WPV23"/>
      <c r="WPW23"/>
      <c r="WPX23"/>
      <c r="WPY23"/>
      <c r="WPZ23"/>
      <c r="WQA23"/>
      <c r="WQB23"/>
      <c r="WQC23"/>
      <c r="WQD23"/>
      <c r="WQE23"/>
      <c r="WQF23"/>
      <c r="WQG23"/>
      <c r="WQH23"/>
      <c r="WQI23"/>
      <c r="WQJ23"/>
      <c r="WQK23"/>
      <c r="WQL23"/>
      <c r="WQM23"/>
      <c r="WQN23"/>
      <c r="WQO23"/>
      <c r="WQP23"/>
      <c r="WQQ23"/>
      <c r="WQR23"/>
      <c r="WQS23"/>
      <c r="WQT23"/>
      <c r="WQU23"/>
      <c r="WQV23"/>
      <c r="WQW23"/>
      <c r="WQX23"/>
      <c r="WQY23"/>
      <c r="WQZ23"/>
      <c r="WRA23"/>
      <c r="WRB23"/>
      <c r="WRC23"/>
      <c r="WRD23"/>
      <c r="WRE23"/>
      <c r="WRF23"/>
      <c r="WRG23"/>
      <c r="WRH23"/>
      <c r="WRI23"/>
      <c r="WRJ23"/>
      <c r="WRK23"/>
      <c r="WRL23"/>
      <c r="WRM23"/>
      <c r="WRN23"/>
      <c r="WRO23"/>
      <c r="WRP23"/>
      <c r="WRQ23"/>
      <c r="WRR23"/>
      <c r="WRS23"/>
      <c r="WRT23"/>
      <c r="WRU23"/>
      <c r="WRV23"/>
      <c r="WRW23"/>
      <c r="WRX23"/>
      <c r="WRY23"/>
      <c r="WRZ23"/>
      <c r="WSA23"/>
      <c r="WSB23"/>
      <c r="WSC23"/>
      <c r="WSD23"/>
      <c r="WSE23"/>
      <c r="WSF23"/>
      <c r="WSG23"/>
      <c r="WSH23"/>
      <c r="WSI23"/>
      <c r="WSJ23"/>
      <c r="WSK23"/>
      <c r="WSL23"/>
      <c r="WSM23"/>
      <c r="WSN23"/>
      <c r="WSO23"/>
      <c r="WSP23"/>
      <c r="WSQ23"/>
      <c r="WSR23"/>
      <c r="WSS23"/>
      <c r="WST23"/>
      <c r="WSU23"/>
      <c r="WSV23"/>
      <c r="WSW23"/>
      <c r="WSX23"/>
      <c r="WSY23"/>
      <c r="WSZ23"/>
      <c r="WTA23"/>
      <c r="WTB23"/>
      <c r="WTC23"/>
      <c r="WTD23"/>
      <c r="WTE23"/>
      <c r="WTF23"/>
      <c r="WTG23"/>
      <c r="WTH23"/>
      <c r="WTI23"/>
      <c r="WTJ23"/>
      <c r="WTK23"/>
      <c r="WTL23"/>
      <c r="WTM23"/>
      <c r="WTN23"/>
      <c r="WTO23"/>
      <c r="WTP23"/>
      <c r="WTQ23"/>
      <c r="WTR23"/>
      <c r="WTS23"/>
      <c r="WTT23"/>
      <c r="WTU23"/>
      <c r="WTV23"/>
      <c r="WTW23"/>
      <c r="WTX23"/>
      <c r="WTY23"/>
      <c r="WTZ23"/>
      <c r="WUA23"/>
      <c r="WUB23"/>
      <c r="WUC23"/>
      <c r="WUD23"/>
      <c r="WUE23"/>
      <c r="WUF23"/>
      <c r="WUG23"/>
      <c r="WUH23"/>
      <c r="WUI23"/>
      <c r="WUJ23"/>
      <c r="WUK23"/>
      <c r="WUL23"/>
      <c r="WUM23"/>
      <c r="WUN23"/>
      <c r="WUO23"/>
      <c r="WUP23"/>
      <c r="WUQ23"/>
      <c r="WUR23"/>
      <c r="WUS23"/>
      <c r="WUT23"/>
      <c r="WUU23"/>
      <c r="WUV23"/>
      <c r="WUW23"/>
      <c r="WUX23"/>
      <c r="WUY23"/>
      <c r="WUZ23"/>
      <c r="WVA23"/>
      <c r="WVB23"/>
      <c r="WVC23"/>
      <c r="WVD23"/>
      <c r="WVE23"/>
      <c r="WVF23"/>
      <c r="WVG23"/>
      <c r="WVH23"/>
      <c r="WVI23"/>
      <c r="WVJ23"/>
      <c r="WVK23"/>
      <c r="WVL23"/>
      <c r="WVM23"/>
      <c r="WVN23"/>
      <c r="WVO23"/>
      <c r="WVP23"/>
      <c r="WVQ23"/>
      <c r="WVR23"/>
      <c r="WVS23"/>
      <c r="WVT23"/>
      <c r="WVU23"/>
      <c r="WVV23"/>
      <c r="WVW23"/>
      <c r="WVX23"/>
      <c r="WVY23"/>
      <c r="WVZ23"/>
      <c r="WWA23"/>
      <c r="WWB23"/>
      <c r="WWC23"/>
      <c r="WWD23"/>
      <c r="WWE23"/>
      <c r="WWF23"/>
      <c r="WWG23"/>
      <c r="WWH23"/>
      <c r="WWI23"/>
      <c r="WWJ23"/>
      <c r="WWK23"/>
      <c r="WWL23"/>
      <c r="WWM23"/>
      <c r="WWN23"/>
      <c r="WWO23"/>
      <c r="WWP23"/>
      <c r="WWQ23"/>
      <c r="WWR23"/>
      <c r="WWS23"/>
      <c r="WWT23"/>
      <c r="WWU23"/>
      <c r="WWV23"/>
      <c r="WWW23"/>
      <c r="WWX23"/>
      <c r="WWY23"/>
      <c r="WWZ23"/>
      <c r="WXA23"/>
      <c r="WXB23"/>
      <c r="WXC23"/>
      <c r="WXD23"/>
      <c r="WXE23"/>
      <c r="WXF23"/>
      <c r="WXG23"/>
      <c r="WXH23"/>
      <c r="WXI23"/>
      <c r="WXJ23"/>
      <c r="WXK23"/>
      <c r="WXL23"/>
      <c r="WXM23"/>
      <c r="WXN23"/>
      <c r="WXO23"/>
      <c r="WXP23"/>
      <c r="WXQ23"/>
      <c r="WXR23"/>
      <c r="WXS23"/>
      <c r="WXT23"/>
      <c r="WXU23"/>
      <c r="WXV23"/>
      <c r="WXW23"/>
      <c r="WXX23"/>
      <c r="WXY23"/>
      <c r="WXZ23"/>
      <c r="WYA23"/>
      <c r="WYB23"/>
      <c r="WYC23"/>
      <c r="WYD23"/>
      <c r="WYE23"/>
      <c r="WYF23"/>
      <c r="WYG23"/>
      <c r="WYH23"/>
      <c r="WYI23"/>
      <c r="WYJ23"/>
      <c r="WYK23"/>
      <c r="WYL23"/>
      <c r="WYM23"/>
      <c r="WYN23"/>
      <c r="WYO23"/>
      <c r="WYP23"/>
      <c r="WYQ23"/>
      <c r="WYR23"/>
      <c r="WYS23"/>
      <c r="WYT23"/>
      <c r="WYU23"/>
      <c r="WYV23"/>
      <c r="WYW23"/>
      <c r="WYX23"/>
      <c r="WYY23"/>
      <c r="WYZ23"/>
      <c r="WZA23"/>
      <c r="WZB23"/>
      <c r="WZC23"/>
      <c r="WZD23"/>
      <c r="WZE23"/>
      <c r="WZF23"/>
      <c r="WZG23"/>
      <c r="WZH23"/>
      <c r="WZI23"/>
      <c r="WZJ23"/>
      <c r="WZK23"/>
      <c r="WZL23"/>
      <c r="WZM23"/>
      <c r="WZN23"/>
      <c r="WZO23"/>
      <c r="WZP23"/>
      <c r="WZQ23"/>
      <c r="WZR23"/>
      <c r="WZS23"/>
      <c r="WZT23"/>
      <c r="WZU23"/>
      <c r="WZV23"/>
      <c r="WZW23"/>
      <c r="WZX23"/>
      <c r="WZY23"/>
      <c r="WZZ23"/>
      <c r="XAA23"/>
      <c r="XAB23"/>
      <c r="XAC23"/>
      <c r="XAD23"/>
      <c r="XAE23"/>
      <c r="XAF23"/>
      <c r="XAG23"/>
      <c r="XAH23"/>
      <c r="XAI23"/>
      <c r="XAJ23"/>
      <c r="XAK23"/>
      <c r="XAL23"/>
      <c r="XAM23"/>
      <c r="XAN23"/>
      <c r="XAO23"/>
      <c r="XAP23"/>
      <c r="XAQ23"/>
      <c r="XAR23"/>
      <c r="XAS23"/>
      <c r="XAT23"/>
      <c r="XAU23"/>
      <c r="XAV23"/>
      <c r="XAW23"/>
      <c r="XAX23"/>
      <c r="XAY23"/>
      <c r="XAZ23"/>
      <c r="XBA23"/>
      <c r="XBB23"/>
      <c r="XBC23"/>
      <c r="XBD23"/>
      <c r="XBE23"/>
      <c r="XBF23"/>
      <c r="XBG23"/>
      <c r="XBH23"/>
      <c r="XBI23"/>
      <c r="XBJ23"/>
      <c r="XBK23"/>
      <c r="XBL23"/>
      <c r="XBM23"/>
      <c r="XBN23"/>
      <c r="XBO23"/>
      <c r="XBP23"/>
      <c r="XBQ23"/>
      <c r="XBR23"/>
      <c r="XBS23"/>
      <c r="XBT23"/>
      <c r="XBU23"/>
      <c r="XBV23"/>
      <c r="XBW23"/>
      <c r="XBX23"/>
      <c r="XBY23"/>
      <c r="XBZ23"/>
      <c r="XCA23"/>
      <c r="XCB23"/>
      <c r="XCC23"/>
      <c r="XCD23"/>
      <c r="XCE23"/>
      <c r="XCF23"/>
      <c r="XCG23"/>
      <c r="XCH23"/>
      <c r="XCI23"/>
      <c r="XCJ23"/>
      <c r="XCK23"/>
      <c r="XCL23"/>
      <c r="XCM23"/>
      <c r="XCN23"/>
      <c r="XCO23"/>
      <c r="XCP23"/>
      <c r="XCQ23"/>
      <c r="XCR23"/>
      <c r="XCS23"/>
      <c r="XCT23"/>
      <c r="XCU23"/>
      <c r="XCV23"/>
      <c r="XCW23"/>
      <c r="XCX23"/>
      <c r="XCY23"/>
      <c r="XCZ23"/>
      <c r="XDA23"/>
      <c r="XDB23"/>
      <c r="XDC23"/>
      <c r="XDD23"/>
      <c r="XDE23"/>
      <c r="XDF23"/>
      <c r="XDG23"/>
      <c r="XDH23"/>
      <c r="XDI23"/>
      <c r="XDJ23"/>
      <c r="XDK23"/>
      <c r="XDL23"/>
      <c r="XDM23"/>
      <c r="XDN23"/>
      <c r="XDO23"/>
      <c r="XDP23"/>
      <c r="XDQ23"/>
      <c r="XDR23"/>
      <c r="XDS23"/>
      <c r="XDT23"/>
      <c r="XDU23"/>
      <c r="XDV23"/>
      <c r="XDW23"/>
      <c r="XDX23"/>
      <c r="XDY23"/>
      <c r="XDZ23"/>
      <c r="XEA23"/>
      <c r="XEB23"/>
      <c r="XEC23"/>
      <c r="XED23"/>
      <c r="XEE23"/>
      <c r="XEF23"/>
      <c r="XEG23"/>
      <c r="XEH23"/>
      <c r="XEI23"/>
      <c r="XEJ23"/>
      <c r="XEK23"/>
      <c r="XEL23"/>
      <c r="XEM23"/>
      <c r="XEN23"/>
      <c r="XEO23"/>
      <c r="XEP23"/>
      <c r="XEQ23"/>
      <c r="XER23"/>
      <c r="XES23"/>
      <c r="XET23"/>
      <c r="XEU23"/>
      <c r="XEV23"/>
      <c r="XEW23"/>
      <c r="XEX23"/>
      <c r="XEY23"/>
      <c r="XEZ23"/>
      <c r="XFA23"/>
      <c r="XFB23"/>
    </row>
    <row r="24" spans="1:16382" x14ac:dyDescent="0.35">
      <c r="B24" t="s">
        <v>914</v>
      </c>
      <c r="C24" s="25" t="s">
        <v>605</v>
      </c>
      <c r="D24" s="26" t="s">
        <v>606</v>
      </c>
      <c r="E24" s="26" t="s">
        <v>607</v>
      </c>
      <c r="F24" s="26" t="s">
        <v>608</v>
      </c>
      <c r="G24" s="26" t="s">
        <v>609</v>
      </c>
      <c r="H24" s="26" t="s">
        <v>610</v>
      </c>
      <c r="I24" s="26" t="s">
        <v>160</v>
      </c>
      <c r="J24" s="27" t="s">
        <v>611</v>
      </c>
      <c r="K24" s="26" t="s">
        <v>82</v>
      </c>
      <c r="L24" s="34">
        <v>1000</v>
      </c>
      <c r="M24" s="34">
        <v>1000</v>
      </c>
      <c r="N24" s="16">
        <f t="shared" si="0"/>
        <v>3928.6153846153848</v>
      </c>
      <c r="O24" s="34">
        <v>1000</v>
      </c>
      <c r="P24" s="34">
        <v>1000</v>
      </c>
      <c r="Q24" s="16">
        <f t="shared" si="1"/>
        <v>1304.3478260869565</v>
      </c>
      <c r="R24" s="34">
        <v>1000</v>
      </c>
      <c r="S24" s="34">
        <v>1000</v>
      </c>
      <c r="T24" s="16">
        <f t="shared" si="2"/>
        <v>944.2622950819673</v>
      </c>
      <c r="U24" s="34">
        <v>0</v>
      </c>
      <c r="V24" s="34">
        <v>0</v>
      </c>
      <c r="W24" s="16">
        <f t="shared" si="3"/>
        <v>0</v>
      </c>
      <c r="X24" s="34">
        <v>0</v>
      </c>
      <c r="Y24" s="34">
        <v>0</v>
      </c>
      <c r="Z24" s="16">
        <f t="shared" si="4"/>
        <v>0</v>
      </c>
      <c r="AA24" s="34">
        <v>0</v>
      </c>
      <c r="AB24" s="34">
        <v>0</v>
      </c>
      <c r="AC24" s="16">
        <f t="shared" si="5"/>
        <v>0</v>
      </c>
      <c r="AD24" s="31" t="s">
        <v>82</v>
      </c>
      <c r="AE24" s="5">
        <v>1</v>
      </c>
    </row>
    <row r="25" spans="1:16382" x14ac:dyDescent="0.35">
      <c r="B25" t="s">
        <v>914</v>
      </c>
      <c r="C25" s="25" t="s">
        <v>108</v>
      </c>
      <c r="D25" s="26" t="s">
        <v>109</v>
      </c>
      <c r="E25" s="26" t="s">
        <v>110</v>
      </c>
      <c r="F25" s="26" t="s">
        <v>111</v>
      </c>
      <c r="G25" s="26" t="s">
        <v>112</v>
      </c>
      <c r="H25" s="26" t="s">
        <v>113</v>
      </c>
      <c r="I25" s="26" t="s">
        <v>114</v>
      </c>
      <c r="J25" s="27"/>
      <c r="K25" s="26" t="s">
        <v>82</v>
      </c>
      <c r="L25" s="34">
        <v>500</v>
      </c>
      <c r="M25" s="34">
        <v>500</v>
      </c>
      <c r="N25" s="16">
        <f t="shared" si="0"/>
        <v>1964.3076923076924</v>
      </c>
      <c r="O25" s="34">
        <v>1000</v>
      </c>
      <c r="P25" s="34">
        <v>1000</v>
      </c>
      <c r="Q25" s="16">
        <f t="shared" si="1"/>
        <v>1304.3478260869565</v>
      </c>
      <c r="R25" s="34">
        <v>500</v>
      </c>
      <c r="S25" s="34">
        <v>500</v>
      </c>
      <c r="T25" s="16">
        <f t="shared" si="2"/>
        <v>472.13114754098365</v>
      </c>
      <c r="U25" s="34">
        <v>0</v>
      </c>
      <c r="V25" s="34">
        <v>0</v>
      </c>
      <c r="W25" s="16">
        <f t="shared" si="3"/>
        <v>0</v>
      </c>
      <c r="X25" s="34">
        <v>500</v>
      </c>
      <c r="Y25" s="34">
        <v>500</v>
      </c>
      <c r="Z25" s="16">
        <f t="shared" si="4"/>
        <v>0</v>
      </c>
      <c r="AA25" s="34">
        <v>500</v>
      </c>
      <c r="AB25" s="34">
        <v>500</v>
      </c>
      <c r="AC25" s="16">
        <f t="shared" si="5"/>
        <v>14.814814814814815</v>
      </c>
      <c r="AD25" s="31" t="s">
        <v>82</v>
      </c>
      <c r="AE25" s="5">
        <v>1</v>
      </c>
    </row>
    <row r="26" spans="1:16382" x14ac:dyDescent="0.35">
      <c r="B26" t="s">
        <v>914</v>
      </c>
      <c r="C26" s="25" t="s">
        <v>115</v>
      </c>
      <c r="D26" s="26" t="s">
        <v>116</v>
      </c>
      <c r="E26" s="26" t="s">
        <v>117</v>
      </c>
      <c r="F26" s="26" t="s">
        <v>118</v>
      </c>
      <c r="G26" s="26" t="s">
        <v>112</v>
      </c>
      <c r="H26" s="26" t="s">
        <v>119</v>
      </c>
      <c r="I26" s="26" t="s">
        <v>120</v>
      </c>
      <c r="J26" s="27" t="s">
        <v>121</v>
      </c>
      <c r="K26" s="26" t="s">
        <v>82</v>
      </c>
      <c r="L26" s="34">
        <v>500</v>
      </c>
      <c r="M26" s="34">
        <v>500</v>
      </c>
      <c r="N26" s="16">
        <f t="shared" si="0"/>
        <v>1964.3076923076924</v>
      </c>
      <c r="O26" s="34">
        <v>0</v>
      </c>
      <c r="P26" s="34">
        <v>0</v>
      </c>
      <c r="Q26" s="16">
        <f t="shared" si="1"/>
        <v>0</v>
      </c>
      <c r="R26" s="34">
        <v>0</v>
      </c>
      <c r="S26" s="34">
        <v>0</v>
      </c>
      <c r="T26" s="16">
        <f t="shared" si="2"/>
        <v>0</v>
      </c>
      <c r="U26" s="34">
        <v>0</v>
      </c>
      <c r="V26" s="34">
        <v>0</v>
      </c>
      <c r="W26" s="16">
        <f t="shared" si="3"/>
        <v>0</v>
      </c>
      <c r="X26" s="34">
        <v>0</v>
      </c>
      <c r="Y26" s="34">
        <v>0</v>
      </c>
      <c r="Z26" s="16">
        <f t="shared" si="4"/>
        <v>0</v>
      </c>
      <c r="AA26" s="34">
        <v>0</v>
      </c>
      <c r="AB26" s="34">
        <v>0</v>
      </c>
      <c r="AC26" s="16">
        <f t="shared" si="5"/>
        <v>0</v>
      </c>
      <c r="AD26" s="31" t="s">
        <v>82</v>
      </c>
      <c r="AE26" s="5">
        <v>1</v>
      </c>
    </row>
    <row r="27" spans="1:16382" x14ac:dyDescent="0.35">
      <c r="B27" t="s">
        <v>914</v>
      </c>
      <c r="C27" s="28" t="s">
        <v>122</v>
      </c>
      <c r="D27" s="29" t="s">
        <v>123</v>
      </c>
      <c r="E27" s="29" t="s">
        <v>117</v>
      </c>
      <c r="F27" s="29" t="s">
        <v>118</v>
      </c>
      <c r="G27" s="29" t="s">
        <v>112</v>
      </c>
      <c r="H27" s="29" t="s">
        <v>119</v>
      </c>
      <c r="I27" s="29" t="s">
        <v>114</v>
      </c>
      <c r="J27" s="30" t="s">
        <v>121</v>
      </c>
      <c r="K27" s="29" t="s">
        <v>82</v>
      </c>
      <c r="L27" s="35">
        <v>500</v>
      </c>
      <c r="M27" s="35">
        <v>500</v>
      </c>
      <c r="N27" s="16">
        <f t="shared" si="0"/>
        <v>1964.3076923076924</v>
      </c>
      <c r="O27" s="35">
        <v>0</v>
      </c>
      <c r="P27" s="35">
        <v>0</v>
      </c>
      <c r="Q27" s="16">
        <f t="shared" si="1"/>
        <v>0</v>
      </c>
      <c r="R27" s="35">
        <v>0</v>
      </c>
      <c r="S27" s="35">
        <v>0</v>
      </c>
      <c r="T27" s="16">
        <f t="shared" si="2"/>
        <v>0</v>
      </c>
      <c r="U27" s="35">
        <v>0</v>
      </c>
      <c r="V27" s="35">
        <v>0</v>
      </c>
      <c r="W27" s="16">
        <f t="shared" si="3"/>
        <v>0</v>
      </c>
      <c r="X27" s="35">
        <v>500</v>
      </c>
      <c r="Y27" s="35">
        <v>500</v>
      </c>
      <c r="Z27" s="16">
        <f t="shared" si="4"/>
        <v>0</v>
      </c>
      <c r="AA27" s="35">
        <v>0</v>
      </c>
      <c r="AB27" s="35">
        <v>0</v>
      </c>
      <c r="AC27" s="16">
        <f t="shared" si="5"/>
        <v>0</v>
      </c>
      <c r="AD27" s="32" t="s">
        <v>82</v>
      </c>
      <c r="AE27" s="5">
        <v>1</v>
      </c>
    </row>
    <row r="28" spans="1:16382" x14ac:dyDescent="0.35">
      <c r="B28" t="s">
        <v>914</v>
      </c>
      <c r="C28" s="28" t="s">
        <v>124</v>
      </c>
      <c r="D28" s="29" t="s">
        <v>125</v>
      </c>
      <c r="E28" s="29" t="s">
        <v>126</v>
      </c>
      <c r="F28" s="29" t="s">
        <v>127</v>
      </c>
      <c r="G28" s="29" t="s">
        <v>128</v>
      </c>
      <c r="H28" s="29" t="s">
        <v>129</v>
      </c>
      <c r="I28" s="29" t="s">
        <v>114</v>
      </c>
      <c r="J28" s="30" t="s">
        <v>130</v>
      </c>
      <c r="K28" s="29" t="s">
        <v>82</v>
      </c>
      <c r="L28" s="35">
        <v>0</v>
      </c>
      <c r="M28" s="35">
        <v>0</v>
      </c>
      <c r="N28" s="16">
        <f t="shared" si="0"/>
        <v>0</v>
      </c>
      <c r="O28" s="35">
        <v>500</v>
      </c>
      <c r="P28" s="35">
        <v>500</v>
      </c>
      <c r="Q28" s="16">
        <f t="shared" si="1"/>
        <v>652.17391304347825</v>
      </c>
      <c r="R28" s="35">
        <v>0</v>
      </c>
      <c r="S28" s="35">
        <v>0</v>
      </c>
      <c r="T28" s="16">
        <f t="shared" si="2"/>
        <v>0</v>
      </c>
      <c r="U28" s="35">
        <v>0</v>
      </c>
      <c r="V28" s="35">
        <v>0</v>
      </c>
      <c r="W28" s="16">
        <f t="shared" si="3"/>
        <v>0</v>
      </c>
      <c r="X28" s="35">
        <v>0</v>
      </c>
      <c r="Y28" s="35">
        <v>0</v>
      </c>
      <c r="Z28" s="16">
        <f t="shared" si="4"/>
        <v>0</v>
      </c>
      <c r="AA28" s="35">
        <v>0</v>
      </c>
      <c r="AB28" s="35">
        <v>0</v>
      </c>
      <c r="AC28" s="16">
        <f t="shared" si="5"/>
        <v>0</v>
      </c>
      <c r="AD28" s="32" t="s">
        <v>82</v>
      </c>
      <c r="AE28" s="5">
        <v>1</v>
      </c>
    </row>
    <row r="29" spans="1:16382" x14ac:dyDescent="0.35">
      <c r="B29" t="s">
        <v>914</v>
      </c>
      <c r="C29" s="28" t="s">
        <v>131</v>
      </c>
      <c r="D29" s="29" t="s">
        <v>125</v>
      </c>
      <c r="E29" s="29" t="s">
        <v>126</v>
      </c>
      <c r="F29" s="29" t="s">
        <v>132</v>
      </c>
      <c r="G29" s="29" t="s">
        <v>112</v>
      </c>
      <c r="H29" s="29" t="s">
        <v>133</v>
      </c>
      <c r="I29" s="29" t="s">
        <v>114</v>
      </c>
      <c r="J29" s="30" t="s">
        <v>134</v>
      </c>
      <c r="K29" s="29" t="s">
        <v>82</v>
      </c>
      <c r="L29" s="35">
        <v>500</v>
      </c>
      <c r="M29" s="35">
        <v>500</v>
      </c>
      <c r="N29" s="16">
        <f>SUM($L$39/(SUM($M$4:$M$111)))*M29</f>
        <v>1964.3076923076924</v>
      </c>
      <c r="O29" s="35">
        <v>500</v>
      </c>
      <c r="P29" s="35">
        <v>500</v>
      </c>
      <c r="Q29" s="16">
        <f t="shared" si="1"/>
        <v>652.17391304347825</v>
      </c>
      <c r="R29" s="35">
        <v>500</v>
      </c>
      <c r="S29" s="35">
        <v>500</v>
      </c>
      <c r="T29" s="16">
        <f t="shared" si="2"/>
        <v>472.13114754098365</v>
      </c>
      <c r="U29" s="35">
        <v>0</v>
      </c>
      <c r="V29" s="35">
        <v>0</v>
      </c>
      <c r="W29" s="16">
        <f t="shared" si="3"/>
        <v>0</v>
      </c>
      <c r="X29" s="35">
        <v>0</v>
      </c>
      <c r="Y29" s="35">
        <v>0</v>
      </c>
      <c r="Z29" s="16">
        <f t="shared" si="4"/>
        <v>0</v>
      </c>
      <c r="AA29" s="35">
        <v>0</v>
      </c>
      <c r="AB29" s="35">
        <v>0</v>
      </c>
      <c r="AC29" s="16">
        <f t="shared" si="5"/>
        <v>0</v>
      </c>
      <c r="AD29" s="32" t="s">
        <v>82</v>
      </c>
      <c r="AE29" s="5">
        <v>1</v>
      </c>
    </row>
    <row r="30" spans="1:16382" x14ac:dyDescent="0.35">
      <c r="B30" t="s">
        <v>914</v>
      </c>
      <c r="C30" s="25" t="s">
        <v>135</v>
      </c>
      <c r="D30" s="26" t="s">
        <v>136</v>
      </c>
      <c r="E30" s="26" t="s">
        <v>126</v>
      </c>
      <c r="F30" s="26" t="s">
        <v>137</v>
      </c>
      <c r="G30" s="26" t="s">
        <v>138</v>
      </c>
      <c r="H30" s="26" t="s">
        <v>139</v>
      </c>
      <c r="I30" s="26" t="s">
        <v>114</v>
      </c>
      <c r="J30" s="27" t="s">
        <v>140</v>
      </c>
      <c r="K30" s="26" t="s">
        <v>82</v>
      </c>
      <c r="L30" s="34">
        <v>500</v>
      </c>
      <c r="M30" s="34">
        <v>500</v>
      </c>
      <c r="N30" s="16">
        <f t="shared" si="0"/>
        <v>1964.3076923076924</v>
      </c>
      <c r="O30" s="34">
        <v>500</v>
      </c>
      <c r="P30" s="34">
        <v>500</v>
      </c>
      <c r="Q30" s="16">
        <f t="shared" si="1"/>
        <v>652.17391304347825</v>
      </c>
      <c r="R30" s="34">
        <v>500</v>
      </c>
      <c r="S30" s="34">
        <v>500</v>
      </c>
      <c r="T30" s="16">
        <f t="shared" si="2"/>
        <v>472.13114754098365</v>
      </c>
      <c r="U30" s="34">
        <v>500</v>
      </c>
      <c r="V30" s="34">
        <v>500</v>
      </c>
      <c r="W30" s="16">
        <f t="shared" si="3"/>
        <v>3.3333333333333335</v>
      </c>
      <c r="X30" s="34">
        <v>0</v>
      </c>
      <c r="Y30" s="34">
        <v>0</v>
      </c>
      <c r="Z30" s="16">
        <f t="shared" si="4"/>
        <v>0</v>
      </c>
      <c r="AA30" s="34">
        <v>0</v>
      </c>
      <c r="AB30" s="34">
        <v>0</v>
      </c>
      <c r="AC30" s="16">
        <f t="shared" si="5"/>
        <v>0</v>
      </c>
      <c r="AD30" s="31" t="s">
        <v>82</v>
      </c>
      <c r="AE30" s="5">
        <v>1</v>
      </c>
    </row>
    <row r="31" spans="1:16382" x14ac:dyDescent="0.35">
      <c r="B31" t="s">
        <v>914</v>
      </c>
      <c r="C31" s="25" t="s">
        <v>141</v>
      </c>
      <c r="D31" s="26" t="s">
        <v>125</v>
      </c>
      <c r="E31" s="26" t="s">
        <v>142</v>
      </c>
      <c r="F31" s="26" t="s">
        <v>143</v>
      </c>
      <c r="G31" s="26" t="s">
        <v>144</v>
      </c>
      <c r="H31" s="26" t="s">
        <v>145</v>
      </c>
      <c r="I31" s="26" t="s">
        <v>120</v>
      </c>
      <c r="J31" s="27" t="s">
        <v>146</v>
      </c>
      <c r="K31" s="26" t="s">
        <v>82</v>
      </c>
      <c r="L31" s="34">
        <v>1500</v>
      </c>
      <c r="M31" s="34">
        <v>1500</v>
      </c>
      <c r="N31" s="16">
        <f t="shared" si="0"/>
        <v>5892.9230769230771</v>
      </c>
      <c r="O31" s="34">
        <v>1000</v>
      </c>
      <c r="P31" s="34">
        <v>1000</v>
      </c>
      <c r="Q31" s="16">
        <f t="shared" si="1"/>
        <v>1304.3478260869565</v>
      </c>
      <c r="R31" s="34">
        <v>1000</v>
      </c>
      <c r="S31" s="34">
        <v>1000</v>
      </c>
      <c r="T31" s="16">
        <f t="shared" si="2"/>
        <v>944.2622950819673</v>
      </c>
      <c r="U31" s="34">
        <v>500</v>
      </c>
      <c r="V31" s="34">
        <v>500</v>
      </c>
      <c r="W31" s="16">
        <f t="shared" si="3"/>
        <v>3.3333333333333335</v>
      </c>
      <c r="X31" s="34">
        <v>1000</v>
      </c>
      <c r="Y31" s="34">
        <v>1000</v>
      </c>
      <c r="Z31" s="16">
        <f t="shared" si="4"/>
        <v>0</v>
      </c>
      <c r="AA31" s="34">
        <v>1000</v>
      </c>
      <c r="AB31" s="34">
        <v>1000</v>
      </c>
      <c r="AC31" s="16">
        <f t="shared" si="5"/>
        <v>29.62962962962963</v>
      </c>
      <c r="AD31" s="31" t="s">
        <v>82</v>
      </c>
      <c r="AE31" s="5">
        <v>1</v>
      </c>
    </row>
    <row r="32" spans="1:16382" x14ac:dyDescent="0.35">
      <c r="B32" t="s">
        <v>914</v>
      </c>
      <c r="C32" s="28" t="s">
        <v>147</v>
      </c>
      <c r="D32" s="29" t="s">
        <v>148</v>
      </c>
      <c r="E32" s="29" t="s">
        <v>149</v>
      </c>
      <c r="F32" s="29" t="s">
        <v>150</v>
      </c>
      <c r="G32" s="29" t="s">
        <v>151</v>
      </c>
      <c r="H32" s="29" t="s">
        <v>152</v>
      </c>
      <c r="I32" s="29" t="s">
        <v>114</v>
      </c>
      <c r="J32" s="30" t="s">
        <v>153</v>
      </c>
      <c r="K32" s="29" t="s">
        <v>82</v>
      </c>
      <c r="L32" s="35">
        <v>2250</v>
      </c>
      <c r="M32" s="35">
        <v>2250</v>
      </c>
      <c r="N32" s="16">
        <f t="shared" si="0"/>
        <v>8839.3846153846152</v>
      </c>
      <c r="O32" s="35">
        <v>2250</v>
      </c>
      <c r="P32" s="35">
        <v>2250</v>
      </c>
      <c r="Q32" s="16">
        <f t="shared" si="1"/>
        <v>2934.782608695652</v>
      </c>
      <c r="R32" s="35">
        <v>1000</v>
      </c>
      <c r="S32" s="35">
        <v>1000</v>
      </c>
      <c r="T32" s="16">
        <f t="shared" si="2"/>
        <v>944.2622950819673</v>
      </c>
      <c r="U32" s="35">
        <v>500</v>
      </c>
      <c r="V32" s="35">
        <v>500</v>
      </c>
      <c r="W32" s="16">
        <f t="shared" si="3"/>
        <v>3.3333333333333335</v>
      </c>
      <c r="X32" s="35">
        <v>500</v>
      </c>
      <c r="Y32" s="35">
        <v>500</v>
      </c>
      <c r="Z32" s="16">
        <f t="shared" si="4"/>
        <v>0</v>
      </c>
      <c r="AA32" s="35">
        <v>500</v>
      </c>
      <c r="AB32" s="35">
        <v>500</v>
      </c>
      <c r="AC32" s="16">
        <f t="shared" si="5"/>
        <v>14.814814814814815</v>
      </c>
      <c r="AD32" s="32" t="s">
        <v>82</v>
      </c>
      <c r="AE32" s="5">
        <v>1</v>
      </c>
    </row>
    <row r="33" spans="1:31" ht="16.5" x14ac:dyDescent="0.45">
      <c r="C33" t="s">
        <v>836</v>
      </c>
      <c r="D33" t="s">
        <v>917</v>
      </c>
      <c r="E33" t="s">
        <v>918</v>
      </c>
      <c r="F33" s="79" t="s">
        <v>919</v>
      </c>
      <c r="G33" s="78" t="s">
        <v>920</v>
      </c>
      <c r="H33" s="78" t="s">
        <v>921</v>
      </c>
      <c r="I33" t="s">
        <v>212</v>
      </c>
      <c r="J33" s="79" t="s">
        <v>922</v>
      </c>
      <c r="M33" s="5"/>
      <c r="N33" s="16">
        <f>SUM($L$39/(SUM($M$4:$M$111)))*M33</f>
        <v>0</v>
      </c>
    </row>
    <row r="34" spans="1:31" ht="16.5" x14ac:dyDescent="0.45">
      <c r="F34" s="79"/>
      <c r="G34" s="78"/>
      <c r="H34" s="78"/>
      <c r="J34" s="79"/>
    </row>
    <row r="35" spans="1:31" ht="16.5" x14ac:dyDescent="0.45">
      <c r="F35" s="79"/>
      <c r="G35" s="78"/>
      <c r="H35" s="78"/>
      <c r="J35" s="79"/>
    </row>
    <row r="36" spans="1:31" ht="16.5" x14ac:dyDescent="0.45">
      <c r="F36" s="79"/>
      <c r="G36" s="78"/>
      <c r="H36" s="78"/>
      <c r="J36" s="79"/>
      <c r="L36" s="5"/>
    </row>
    <row r="37" spans="1:31" ht="16.5" x14ac:dyDescent="0.45">
      <c r="F37" s="79"/>
      <c r="G37" s="78"/>
      <c r="H37" s="78"/>
      <c r="J37" s="79"/>
    </row>
    <row r="38" spans="1:31" x14ac:dyDescent="0.35">
      <c r="S38" s="5"/>
    </row>
    <row r="39" spans="1:31" x14ac:dyDescent="0.35">
      <c r="A39" t="s">
        <v>632</v>
      </c>
      <c r="C39" s="4"/>
      <c r="D39" s="4"/>
      <c r="E39" s="4"/>
      <c r="F39" s="4"/>
      <c r="G39" s="4"/>
      <c r="H39" s="4"/>
      <c r="I39" s="4"/>
      <c r="J39" s="13" t="s">
        <v>633</v>
      </c>
      <c r="K39" s="5"/>
      <c r="L39" s="55">
        <f>F49</f>
        <v>153216</v>
      </c>
      <c r="M39" s="16"/>
      <c r="N39" s="5"/>
      <c r="O39" s="55">
        <f>G49</f>
        <v>45000</v>
      </c>
      <c r="P39" s="16"/>
      <c r="Q39" s="5"/>
      <c r="R39" s="55">
        <f>H49</f>
        <v>28800</v>
      </c>
      <c r="S39" s="16"/>
      <c r="T39" s="5"/>
      <c r="U39" s="55">
        <f>I49</f>
        <v>65</v>
      </c>
      <c r="V39" s="16"/>
      <c r="W39" s="5"/>
      <c r="X39" s="55">
        <f>J49</f>
        <v>0</v>
      </c>
      <c r="Y39" s="16"/>
      <c r="Z39" s="5"/>
      <c r="AA39" s="55">
        <f>K49</f>
        <v>200</v>
      </c>
      <c r="AB39" s="16"/>
      <c r="AC39" s="4"/>
      <c r="AD39" s="4"/>
      <c r="AE39" s="4"/>
    </row>
    <row r="40" spans="1:31" x14ac:dyDescent="0.35">
      <c r="C40" s="4"/>
      <c r="D40" s="4"/>
      <c r="E40" s="4"/>
      <c r="F40" s="4"/>
      <c r="G40" s="4"/>
      <c r="H40" s="4"/>
      <c r="I40" s="4"/>
      <c r="J40" s="13" t="s">
        <v>908</v>
      </c>
      <c r="K40" s="5"/>
      <c r="L40" s="18">
        <f>SUM(L7:L32)</f>
        <v>35750</v>
      </c>
      <c r="M40" s="16"/>
      <c r="N40" s="5"/>
      <c r="O40" s="18">
        <f>SUM(O7:O32)</f>
        <v>29750</v>
      </c>
      <c r="P40" s="16"/>
      <c r="Q40" s="5"/>
      <c r="R40" s="18">
        <f>SUM(R7:R32)</f>
        <v>26750</v>
      </c>
      <c r="S40" s="16"/>
      <c r="T40" s="5"/>
      <c r="U40" s="18">
        <f>SUM(U7:U32)</f>
        <v>9750</v>
      </c>
      <c r="V40" s="16"/>
      <c r="W40" s="5"/>
      <c r="X40" s="18">
        <f>SUM(X7:X32)</f>
        <v>7750</v>
      </c>
      <c r="Y40" s="16"/>
      <c r="Z40" s="5"/>
      <c r="AA40" s="18">
        <f>SUM(AA7:AA32)</f>
        <v>5250</v>
      </c>
      <c r="AB40" s="16"/>
      <c r="AC40" s="4"/>
      <c r="AD40" s="4"/>
      <c r="AE40" s="4"/>
    </row>
    <row r="41" spans="1:31" x14ac:dyDescent="0.35">
      <c r="C41" s="4"/>
      <c r="D41" s="4"/>
      <c r="E41" s="4"/>
      <c r="F41" s="4"/>
      <c r="G41" s="4"/>
      <c r="H41" s="4"/>
      <c r="I41" s="4"/>
      <c r="J41" s="13" t="s">
        <v>909</v>
      </c>
      <c r="K41" s="5"/>
      <c r="L41" s="18">
        <f>SUM(L39-L40)</f>
        <v>117466</v>
      </c>
      <c r="M41" s="17"/>
      <c r="N41" s="17"/>
      <c r="O41" s="18">
        <f>SUM(O39-O40)</f>
        <v>15250</v>
      </c>
      <c r="P41" s="17"/>
      <c r="Q41" s="17"/>
      <c r="R41" s="18">
        <f>SUM(R39-R40)</f>
        <v>2050</v>
      </c>
      <c r="S41" s="17"/>
      <c r="T41" s="17"/>
      <c r="U41" s="18">
        <f>SUM(U39-U40)</f>
        <v>-9685</v>
      </c>
      <c r="V41" s="17"/>
      <c r="W41" s="17"/>
      <c r="X41" s="18">
        <f>SUM(X39-X40)</f>
        <v>-7750</v>
      </c>
      <c r="Y41" s="17"/>
      <c r="Z41" s="17"/>
      <c r="AA41" s="18">
        <f>SUM(AA39-AA40)</f>
        <v>-5050</v>
      </c>
      <c r="AB41" s="17"/>
      <c r="AC41" s="17"/>
      <c r="AD41" s="4"/>
      <c r="AE41" s="4"/>
    </row>
    <row r="42" spans="1:31" x14ac:dyDescent="0.35">
      <c r="J42" s="13" t="s">
        <v>923</v>
      </c>
      <c r="L42" s="5">
        <f>SUM(N11:N32)</f>
        <v>105090.46153846152</v>
      </c>
      <c r="O42" s="5">
        <f>SUM(Q11:Q32)</f>
        <v>29347.826086956524</v>
      </c>
      <c r="R42" s="5">
        <f>SUM(T11:T32)</f>
        <v>18885.245901639348</v>
      </c>
      <c r="U42" s="5">
        <f>SUM(W11:W32)</f>
        <v>31.666666666666664</v>
      </c>
      <c r="X42" s="5">
        <f>SUM(Z11:Z32)</f>
        <v>0</v>
      </c>
      <c r="AA42" s="5">
        <f>SUM(AC11:AC32)</f>
        <v>59.25925925925926</v>
      </c>
    </row>
    <row r="44" spans="1:31" x14ac:dyDescent="0.35">
      <c r="D44" s="50" t="s">
        <v>3</v>
      </c>
      <c r="E44" s="51" t="s">
        <v>4</v>
      </c>
      <c r="F44" s="51" t="s">
        <v>7</v>
      </c>
      <c r="G44" s="51" t="s">
        <v>8</v>
      </c>
      <c r="H44" s="51" t="s">
        <v>9</v>
      </c>
      <c r="I44" s="51" t="s">
        <v>829</v>
      </c>
      <c r="J44" s="51" t="s">
        <v>11</v>
      </c>
      <c r="K44" s="51" t="s">
        <v>12</v>
      </c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</row>
    <row r="45" spans="1:31" x14ac:dyDescent="0.35">
      <c r="D45" s="52"/>
      <c r="E45" s="52" t="s">
        <v>924</v>
      </c>
      <c r="F45" s="53">
        <v>120960</v>
      </c>
      <c r="G45" s="53">
        <v>45000</v>
      </c>
      <c r="H45" s="53"/>
      <c r="I45" s="53"/>
      <c r="J45" s="53"/>
      <c r="K45" s="53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</row>
    <row r="46" spans="1:31" x14ac:dyDescent="0.35">
      <c r="D46" s="52"/>
      <c r="E46" s="52" t="s">
        <v>925</v>
      </c>
      <c r="F46" s="52">
        <v>32256</v>
      </c>
      <c r="G46" s="52"/>
      <c r="H46" s="52">
        <v>28800</v>
      </c>
      <c r="I46" s="52"/>
      <c r="J46" s="52"/>
      <c r="K46" s="52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Z46" s="19"/>
    </row>
    <row r="47" spans="1:31" x14ac:dyDescent="0.35">
      <c r="D47" s="51"/>
      <c r="E47" s="51" t="s">
        <v>926</v>
      </c>
      <c r="F47" s="51"/>
      <c r="G47" s="51"/>
      <c r="H47" s="51"/>
      <c r="I47" s="51">
        <v>65</v>
      </c>
      <c r="J47" s="51"/>
      <c r="K47" s="51">
        <v>200</v>
      </c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Z47" s="19"/>
    </row>
    <row r="48" spans="1:31" x14ac:dyDescent="0.35">
      <c r="D48" s="51"/>
      <c r="E48" s="51"/>
      <c r="F48" s="51"/>
      <c r="G48" s="51"/>
      <c r="H48" s="51"/>
      <c r="I48" s="51"/>
      <c r="J48" s="51"/>
      <c r="K48" s="51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Z48" s="19"/>
    </row>
    <row r="49" spans="5:26" x14ac:dyDescent="0.35">
      <c r="E49" t="s">
        <v>13</v>
      </c>
      <c r="F49" s="54">
        <f t="shared" ref="F49:K49" si="6">SUM(F45:F47)</f>
        <v>153216</v>
      </c>
      <c r="G49" s="54">
        <f t="shared" si="6"/>
        <v>45000</v>
      </c>
      <c r="H49" s="54">
        <f t="shared" si="6"/>
        <v>28800</v>
      </c>
      <c r="I49" s="54">
        <f t="shared" si="6"/>
        <v>65</v>
      </c>
      <c r="J49" s="54">
        <f t="shared" si="6"/>
        <v>0</v>
      </c>
      <c r="K49" s="54">
        <f t="shared" si="6"/>
        <v>200</v>
      </c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Z49" s="19"/>
    </row>
    <row r="50" spans="5:26" x14ac:dyDescent="0.35">
      <c r="R50" s="19"/>
      <c r="S50" s="19"/>
      <c r="T50" s="19"/>
      <c r="U50" s="19"/>
      <c r="V50" s="19"/>
      <c r="W50" s="19"/>
      <c r="X50" s="19"/>
      <c r="Y50" s="19"/>
      <c r="Z50" s="19"/>
    </row>
    <row r="51" spans="5:26" x14ac:dyDescent="0.35">
      <c r="P51" s="19"/>
      <c r="R51" s="19"/>
      <c r="S51" s="19"/>
      <c r="T51" s="19"/>
      <c r="U51" s="19"/>
      <c r="V51" s="19"/>
      <c r="W51" s="19"/>
      <c r="X51" s="19"/>
      <c r="Y51" s="19"/>
      <c r="Z51" s="19"/>
    </row>
    <row r="52" spans="5:26" x14ac:dyDescent="0.35">
      <c r="R52" s="19"/>
      <c r="S52" s="19"/>
      <c r="T52" s="19"/>
      <c r="U52" s="19"/>
      <c r="V52" s="19"/>
      <c r="W52" s="19"/>
      <c r="X52" s="19"/>
      <c r="Y52" s="19"/>
      <c r="Z52" s="19"/>
    </row>
    <row r="53" spans="5:26" x14ac:dyDescent="0.35">
      <c r="R53" s="19"/>
      <c r="S53" s="19"/>
      <c r="T53" s="19"/>
      <c r="U53" s="19"/>
      <c r="V53" s="19"/>
      <c r="W53" s="19"/>
      <c r="X53" s="19"/>
      <c r="Y53" s="19"/>
      <c r="Z53" s="19"/>
    </row>
    <row r="54" spans="5:26" x14ac:dyDescent="0.35">
      <c r="R54" s="19"/>
      <c r="S54" s="19"/>
      <c r="T54" s="19"/>
      <c r="U54" s="19"/>
      <c r="V54" s="19"/>
      <c r="W54" s="19"/>
      <c r="X54" s="19"/>
      <c r="Y54" s="19"/>
      <c r="Z54" s="19"/>
    </row>
    <row r="55" spans="5:26" x14ac:dyDescent="0.35">
      <c r="R55" s="19"/>
      <c r="S55" s="19"/>
      <c r="T55" s="19"/>
      <c r="U55" s="19"/>
      <c r="V55" s="19"/>
      <c r="W55" s="19"/>
      <c r="X55" s="19"/>
      <c r="Y55" s="19"/>
      <c r="Z55" s="19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5ADAF-D6BF-4DAC-AD7E-B50311D59E9E}">
  <sheetPr codeName="Sheet12"/>
  <dimension ref="A1:XFB58"/>
  <sheetViews>
    <sheetView topLeftCell="D1" workbookViewId="0">
      <pane ySplit="3" topLeftCell="A4" activePane="bottomLeft" state="frozen"/>
      <selection pane="bottomLeft" activeCell="J33" sqref="J4:J33"/>
    </sheetView>
  </sheetViews>
  <sheetFormatPr defaultRowHeight="14.5" x14ac:dyDescent="0.35"/>
  <cols>
    <col min="2" max="2" width="10.453125" bestFit="1" customWidth="1"/>
    <col min="3" max="3" width="77.1796875" bestFit="1" customWidth="1"/>
    <col min="6" max="6" width="24.1796875" customWidth="1"/>
  </cols>
  <sheetData>
    <row r="1" spans="1:16382" x14ac:dyDescent="0.35">
      <c r="A1" s="3" t="s">
        <v>0</v>
      </c>
      <c r="B1" s="43">
        <v>44522</v>
      </c>
      <c r="C1" s="3"/>
      <c r="D1" s="1"/>
      <c r="N1" s="3"/>
      <c r="O1" s="14"/>
      <c r="Q1" s="3"/>
      <c r="R1" s="14"/>
      <c r="T1" s="3"/>
      <c r="U1" s="14"/>
      <c r="W1" s="3"/>
      <c r="X1" s="14"/>
      <c r="Z1" s="3"/>
      <c r="AA1" s="14"/>
      <c r="AC1" s="3"/>
      <c r="AD1" s="14"/>
    </row>
    <row r="2" spans="1:16382" x14ac:dyDescent="0.35">
      <c r="M2" t="s">
        <v>638</v>
      </c>
      <c r="N2" s="3" t="s">
        <v>639</v>
      </c>
      <c r="O2" s="14"/>
      <c r="P2" t="s">
        <v>638</v>
      </c>
      <c r="Q2" s="3" t="s">
        <v>639</v>
      </c>
      <c r="R2" s="14"/>
      <c r="S2" t="s">
        <v>638</v>
      </c>
      <c r="T2" s="3" t="s">
        <v>639</v>
      </c>
      <c r="U2" s="14"/>
      <c r="V2" t="s">
        <v>638</v>
      </c>
      <c r="W2" s="3" t="s">
        <v>639</v>
      </c>
      <c r="X2" s="14"/>
      <c r="Y2" t="s">
        <v>638</v>
      </c>
      <c r="Z2" s="3" t="s">
        <v>639</v>
      </c>
      <c r="AA2" s="14"/>
      <c r="AB2" t="s">
        <v>638</v>
      </c>
      <c r="AC2" s="3" t="s">
        <v>639</v>
      </c>
      <c r="AD2" s="14"/>
    </row>
    <row r="3" spans="1:16382" x14ac:dyDescent="0.35">
      <c r="A3" t="s">
        <v>904</v>
      </c>
      <c r="B3" t="s">
        <v>905</v>
      </c>
      <c r="C3" t="s">
        <v>55</v>
      </c>
      <c r="D3" t="s">
        <v>56</v>
      </c>
      <c r="E3" t="s">
        <v>57</v>
      </c>
      <c r="F3" t="s">
        <v>58</v>
      </c>
      <c r="G3" t="s">
        <v>59</v>
      </c>
      <c r="H3" t="s">
        <v>60</v>
      </c>
      <c r="I3" t="s">
        <v>61</v>
      </c>
      <c r="J3" t="s">
        <v>62</v>
      </c>
      <c r="K3" t="s">
        <v>63</v>
      </c>
      <c r="L3" t="s">
        <v>64</v>
      </c>
      <c r="M3" s="3" t="s">
        <v>64</v>
      </c>
      <c r="N3" s="14" t="s">
        <v>65</v>
      </c>
      <c r="O3" t="s">
        <v>66</v>
      </c>
      <c r="P3" s="3" t="s">
        <v>66</v>
      </c>
      <c r="Q3" s="14" t="s">
        <v>65</v>
      </c>
      <c r="R3" t="s">
        <v>67</v>
      </c>
      <c r="S3" s="3" t="s">
        <v>67</v>
      </c>
      <c r="T3" s="14" t="s">
        <v>65</v>
      </c>
      <c r="U3" t="s">
        <v>10</v>
      </c>
      <c r="V3" s="3" t="s">
        <v>10</v>
      </c>
      <c r="W3" s="14" t="s">
        <v>65</v>
      </c>
      <c r="X3" t="s">
        <v>68</v>
      </c>
      <c r="Y3" s="3" t="s">
        <v>68</v>
      </c>
      <c r="Z3" s="14" t="s">
        <v>65</v>
      </c>
      <c r="AA3" t="s">
        <v>69</v>
      </c>
      <c r="AB3" s="3" t="s">
        <v>69</v>
      </c>
      <c r="AC3" s="14" t="s">
        <v>65</v>
      </c>
      <c r="AD3" t="s">
        <v>73</v>
      </c>
    </row>
    <row r="4" spans="1:16382" x14ac:dyDescent="0.35">
      <c r="B4" t="s">
        <v>914</v>
      </c>
      <c r="C4" s="76" t="s">
        <v>108</v>
      </c>
      <c r="D4" s="26" t="s">
        <v>109</v>
      </c>
      <c r="E4" s="26" t="s">
        <v>110</v>
      </c>
      <c r="F4" s="26"/>
      <c r="G4" s="26"/>
      <c r="H4" s="26"/>
      <c r="I4" s="26" t="s">
        <v>114</v>
      </c>
      <c r="J4" s="26"/>
      <c r="K4" s="26" t="s">
        <v>82</v>
      </c>
      <c r="L4" s="37">
        <v>500</v>
      </c>
      <c r="M4" s="37">
        <v>500</v>
      </c>
      <c r="N4" s="16">
        <f t="shared" ref="N4:N33" si="0">SUM($L$41/(SUM($M$4:$M$114)))*M4</f>
        <v>-980.9367088607595</v>
      </c>
      <c r="O4" s="37">
        <v>1000</v>
      </c>
      <c r="P4" s="37">
        <v>1000</v>
      </c>
      <c r="Q4" s="16">
        <f t="shared" ref="Q4:Q33" si="1">SUM($O$41/(SUM($P$4:$P$114)))*P4</f>
        <v>-211.77142857142857</v>
      </c>
      <c r="R4" s="37">
        <v>500</v>
      </c>
      <c r="S4" s="37">
        <v>500</v>
      </c>
      <c r="T4" s="16">
        <f t="shared" ref="T4:T33" si="2">SUM($R$41/(SUM($S$4:$S$114)))*S4</f>
        <v>-76.344262295081975</v>
      </c>
      <c r="U4" s="37">
        <v>0</v>
      </c>
      <c r="V4" s="37">
        <v>0</v>
      </c>
      <c r="W4" s="16">
        <f t="shared" ref="W4:W33" si="3">SUM($U$41/(SUM($V$4:$V$114)))*V4</f>
        <v>0</v>
      </c>
      <c r="X4" s="37">
        <v>500</v>
      </c>
      <c r="Y4" s="37">
        <v>500</v>
      </c>
      <c r="Z4" s="16">
        <f t="shared" ref="Z4:Z33" si="4">SUM($X$41/(SUM($Y$4:$Y$130)))*Y4</f>
        <v>0</v>
      </c>
      <c r="AA4" s="37">
        <v>500</v>
      </c>
      <c r="AB4" s="37">
        <v>500</v>
      </c>
      <c r="AC4" s="16">
        <f t="shared" ref="AC4:AC33" si="5">SUM($AA$41/(SUM($AB$4:$AB$114)))*AB4</f>
        <v>-17.172413793103448</v>
      </c>
      <c r="AD4" s="31" t="s">
        <v>82</v>
      </c>
      <c r="AE4" s="5">
        <v>1</v>
      </c>
    </row>
    <row r="5" spans="1:16382" x14ac:dyDescent="0.35">
      <c r="B5" t="s">
        <v>914</v>
      </c>
      <c r="C5" s="91" t="s">
        <v>115</v>
      </c>
      <c r="D5" s="26" t="s">
        <v>116</v>
      </c>
      <c r="E5" s="26" t="s">
        <v>117</v>
      </c>
      <c r="F5" s="26"/>
      <c r="G5" s="26"/>
      <c r="H5" s="26"/>
      <c r="I5" s="26" t="s">
        <v>120</v>
      </c>
      <c r="J5" s="27"/>
      <c r="K5" s="26" t="s">
        <v>82</v>
      </c>
      <c r="L5" s="37">
        <v>500</v>
      </c>
      <c r="M5" s="37">
        <v>500</v>
      </c>
      <c r="N5" s="16">
        <f t="shared" si="0"/>
        <v>-980.9367088607595</v>
      </c>
      <c r="O5" s="37">
        <v>0</v>
      </c>
      <c r="P5" s="37">
        <v>0</v>
      </c>
      <c r="Q5" s="16">
        <f t="shared" si="1"/>
        <v>0</v>
      </c>
      <c r="R5" s="37">
        <v>0</v>
      </c>
      <c r="S5" s="37">
        <v>0</v>
      </c>
      <c r="T5" s="16">
        <f t="shared" si="2"/>
        <v>0</v>
      </c>
      <c r="U5" s="37">
        <v>0</v>
      </c>
      <c r="V5" s="37">
        <v>0</v>
      </c>
      <c r="W5" s="16">
        <f t="shared" si="3"/>
        <v>0</v>
      </c>
      <c r="X5" s="37">
        <v>0</v>
      </c>
      <c r="Y5" s="37">
        <v>0</v>
      </c>
      <c r="Z5" s="16">
        <f t="shared" si="4"/>
        <v>0</v>
      </c>
      <c r="AA5" s="37">
        <v>0</v>
      </c>
      <c r="AB5" s="37">
        <v>0</v>
      </c>
      <c r="AC5" s="16">
        <f t="shared" si="5"/>
        <v>0</v>
      </c>
      <c r="AD5" s="31" t="s">
        <v>82</v>
      </c>
      <c r="AE5" s="5">
        <v>1</v>
      </c>
    </row>
    <row r="6" spans="1:16382" x14ac:dyDescent="0.35">
      <c r="B6" t="s">
        <v>914</v>
      </c>
      <c r="C6" s="91" t="s">
        <v>122</v>
      </c>
      <c r="D6" s="29" t="s">
        <v>123</v>
      </c>
      <c r="E6" s="29" t="s">
        <v>117</v>
      </c>
      <c r="F6" s="29"/>
      <c r="G6" s="29"/>
      <c r="H6" s="29"/>
      <c r="I6" s="29" t="s">
        <v>114</v>
      </c>
      <c r="J6" s="30"/>
      <c r="K6" s="29" t="s">
        <v>82</v>
      </c>
      <c r="L6" s="81">
        <v>500</v>
      </c>
      <c r="M6" s="81">
        <v>500</v>
      </c>
      <c r="N6" s="16">
        <f t="shared" si="0"/>
        <v>-980.9367088607595</v>
      </c>
      <c r="O6" s="81">
        <v>0</v>
      </c>
      <c r="P6" s="81">
        <v>0</v>
      </c>
      <c r="Q6" s="16">
        <f t="shared" si="1"/>
        <v>0</v>
      </c>
      <c r="R6" s="81">
        <v>0</v>
      </c>
      <c r="S6" s="81">
        <v>0</v>
      </c>
      <c r="T6" s="16">
        <f t="shared" si="2"/>
        <v>0</v>
      </c>
      <c r="U6" s="81">
        <v>0</v>
      </c>
      <c r="V6" s="81">
        <v>0</v>
      </c>
      <c r="W6" s="16">
        <f t="shared" si="3"/>
        <v>0</v>
      </c>
      <c r="X6" s="81">
        <v>500</v>
      </c>
      <c r="Y6" s="81">
        <v>500</v>
      </c>
      <c r="Z6" s="16">
        <f t="shared" si="4"/>
        <v>0</v>
      </c>
      <c r="AA6" s="81">
        <v>0</v>
      </c>
      <c r="AB6" s="81">
        <v>0</v>
      </c>
      <c r="AC6" s="16">
        <f t="shared" si="5"/>
        <v>0</v>
      </c>
      <c r="AD6" s="32" t="s">
        <v>82</v>
      </c>
      <c r="AE6" s="5">
        <v>1</v>
      </c>
    </row>
    <row r="7" spans="1:16382" x14ac:dyDescent="0.35">
      <c r="B7" t="s">
        <v>914</v>
      </c>
      <c r="C7" s="91" t="s">
        <v>124</v>
      </c>
      <c r="D7" s="29" t="s">
        <v>125</v>
      </c>
      <c r="E7" s="29" t="s">
        <v>126</v>
      </c>
      <c r="F7" s="29"/>
      <c r="G7" s="29"/>
      <c r="H7" s="29"/>
      <c r="I7" s="29" t="s">
        <v>114</v>
      </c>
      <c r="J7" s="30"/>
      <c r="K7" s="29" t="s">
        <v>82</v>
      </c>
      <c r="L7" s="81">
        <v>0</v>
      </c>
      <c r="M7" s="81">
        <v>0</v>
      </c>
      <c r="N7" s="16">
        <f t="shared" si="0"/>
        <v>0</v>
      </c>
      <c r="O7" s="81">
        <v>500</v>
      </c>
      <c r="P7" s="81">
        <v>500</v>
      </c>
      <c r="Q7" s="16">
        <f t="shared" si="1"/>
        <v>-105.88571428571429</v>
      </c>
      <c r="R7" s="81">
        <v>0</v>
      </c>
      <c r="S7" s="81">
        <v>0</v>
      </c>
      <c r="T7" s="16">
        <f t="shared" si="2"/>
        <v>0</v>
      </c>
      <c r="U7" s="81">
        <v>0</v>
      </c>
      <c r="V7" s="81">
        <v>0</v>
      </c>
      <c r="W7" s="16">
        <f t="shared" si="3"/>
        <v>0</v>
      </c>
      <c r="X7" s="81">
        <v>0</v>
      </c>
      <c r="Y7" s="81">
        <v>0</v>
      </c>
      <c r="Z7" s="16">
        <f t="shared" si="4"/>
        <v>0</v>
      </c>
      <c r="AA7" s="81">
        <v>0</v>
      </c>
      <c r="AB7" s="81">
        <v>0</v>
      </c>
      <c r="AC7" s="16">
        <f t="shared" si="5"/>
        <v>0</v>
      </c>
      <c r="AD7" s="32" t="s">
        <v>82</v>
      </c>
      <c r="AE7" s="5">
        <v>1</v>
      </c>
    </row>
    <row r="8" spans="1:16382" x14ac:dyDescent="0.35">
      <c r="B8" t="s">
        <v>914</v>
      </c>
      <c r="C8" s="28" t="s">
        <v>131</v>
      </c>
      <c r="D8" s="29" t="s">
        <v>125</v>
      </c>
      <c r="E8" s="29" t="s">
        <v>126</v>
      </c>
      <c r="F8" s="29"/>
      <c r="G8" s="29"/>
      <c r="H8" s="29"/>
      <c r="I8" s="29" t="s">
        <v>114</v>
      </c>
      <c r="J8" s="30"/>
      <c r="K8" s="29" t="s">
        <v>82</v>
      </c>
      <c r="L8" s="81">
        <v>500</v>
      </c>
      <c r="M8" s="81">
        <v>500</v>
      </c>
      <c r="N8" s="16">
        <f t="shared" si="0"/>
        <v>-980.9367088607595</v>
      </c>
      <c r="O8" s="81">
        <v>500</v>
      </c>
      <c r="P8" s="81">
        <v>500</v>
      </c>
      <c r="Q8" s="16">
        <f t="shared" si="1"/>
        <v>-105.88571428571429</v>
      </c>
      <c r="R8" s="81">
        <v>500</v>
      </c>
      <c r="S8" s="81">
        <v>500</v>
      </c>
      <c r="T8" s="16">
        <f t="shared" si="2"/>
        <v>-76.344262295081975</v>
      </c>
      <c r="U8" s="81">
        <v>0</v>
      </c>
      <c r="V8" s="81">
        <v>0</v>
      </c>
      <c r="W8" s="16">
        <f t="shared" si="3"/>
        <v>0</v>
      </c>
      <c r="X8" s="81">
        <v>0</v>
      </c>
      <c r="Y8" s="81">
        <v>0</v>
      </c>
      <c r="Z8" s="16">
        <f t="shared" si="4"/>
        <v>0</v>
      </c>
      <c r="AA8" s="81">
        <v>0</v>
      </c>
      <c r="AB8" s="81">
        <v>0</v>
      </c>
      <c r="AC8" s="16">
        <f t="shared" si="5"/>
        <v>0</v>
      </c>
      <c r="AD8" s="32" t="s">
        <v>82</v>
      </c>
      <c r="AE8" s="5">
        <v>1</v>
      </c>
    </row>
    <row r="9" spans="1:16382" x14ac:dyDescent="0.35">
      <c r="B9" t="s">
        <v>914</v>
      </c>
      <c r="C9" s="91" t="s">
        <v>135</v>
      </c>
      <c r="D9" s="26" t="s">
        <v>136</v>
      </c>
      <c r="E9" s="26" t="s">
        <v>126</v>
      </c>
      <c r="F9" s="26"/>
      <c r="G9" s="26"/>
      <c r="H9" s="26"/>
      <c r="I9" s="26" t="s">
        <v>114</v>
      </c>
      <c r="J9" s="27"/>
      <c r="K9" s="26" t="s">
        <v>82</v>
      </c>
      <c r="L9" s="37">
        <v>500</v>
      </c>
      <c r="M9" s="37">
        <v>500</v>
      </c>
      <c r="N9" s="16">
        <f t="shared" si="0"/>
        <v>-980.9367088607595</v>
      </c>
      <c r="O9" s="37">
        <v>500</v>
      </c>
      <c r="P9" s="37">
        <v>500</v>
      </c>
      <c r="Q9" s="16">
        <f t="shared" si="1"/>
        <v>-105.88571428571429</v>
      </c>
      <c r="R9" s="37">
        <v>500</v>
      </c>
      <c r="S9" s="37">
        <v>500</v>
      </c>
      <c r="T9" s="16">
        <f t="shared" si="2"/>
        <v>-76.344262295081975</v>
      </c>
      <c r="U9" s="37">
        <v>500</v>
      </c>
      <c r="V9" s="37">
        <v>500</v>
      </c>
      <c r="W9" s="16">
        <f t="shared" si="3"/>
        <v>-2.8292682926829267</v>
      </c>
      <c r="X9" s="37">
        <v>0</v>
      </c>
      <c r="Y9" s="37">
        <v>0</v>
      </c>
      <c r="Z9" s="16">
        <f t="shared" si="4"/>
        <v>0</v>
      </c>
      <c r="AA9" s="37">
        <v>0</v>
      </c>
      <c r="AB9" s="37">
        <v>0</v>
      </c>
      <c r="AC9" s="16">
        <f t="shared" si="5"/>
        <v>0</v>
      </c>
      <c r="AD9" s="31" t="s">
        <v>82</v>
      </c>
      <c r="AE9" s="5">
        <v>1</v>
      </c>
    </row>
    <row r="10" spans="1:16382" x14ac:dyDescent="0.35">
      <c r="B10" t="s">
        <v>914</v>
      </c>
      <c r="C10" s="76" t="s">
        <v>141</v>
      </c>
      <c r="D10" s="26" t="s">
        <v>125</v>
      </c>
      <c r="E10" s="26" t="s">
        <v>142</v>
      </c>
      <c r="F10" s="26"/>
      <c r="G10" s="26"/>
      <c r="H10" s="26"/>
      <c r="I10" s="26" t="s">
        <v>120</v>
      </c>
      <c r="J10" s="27"/>
      <c r="K10" s="26" t="s">
        <v>82</v>
      </c>
      <c r="L10" s="37">
        <v>1500</v>
      </c>
      <c r="M10" s="37">
        <v>1500</v>
      </c>
      <c r="N10" s="16">
        <f t="shared" si="0"/>
        <v>-2942.8101265822784</v>
      </c>
      <c r="O10" s="37">
        <v>1000</v>
      </c>
      <c r="P10" s="37">
        <v>1000</v>
      </c>
      <c r="Q10" s="16">
        <f t="shared" si="1"/>
        <v>-211.77142857142857</v>
      </c>
      <c r="R10" s="37">
        <v>1000</v>
      </c>
      <c r="S10" s="37">
        <v>1000</v>
      </c>
      <c r="T10" s="16">
        <f t="shared" si="2"/>
        <v>-152.68852459016395</v>
      </c>
      <c r="U10" s="37">
        <v>500</v>
      </c>
      <c r="V10" s="37">
        <v>500</v>
      </c>
      <c r="W10" s="16">
        <f t="shared" si="3"/>
        <v>-2.8292682926829267</v>
      </c>
      <c r="X10" s="37">
        <v>1000</v>
      </c>
      <c r="Y10" s="37">
        <v>1000</v>
      </c>
      <c r="Z10" s="16">
        <f t="shared" si="4"/>
        <v>0</v>
      </c>
      <c r="AA10" s="37">
        <v>1000</v>
      </c>
      <c r="AB10" s="37">
        <v>1000</v>
      </c>
      <c r="AC10" s="16">
        <f t="shared" si="5"/>
        <v>-34.344827586206897</v>
      </c>
      <c r="AD10" s="31" t="s">
        <v>82</v>
      </c>
      <c r="AE10" s="5">
        <v>1</v>
      </c>
    </row>
    <row r="11" spans="1:16382" x14ac:dyDescent="0.35">
      <c r="B11" t="s">
        <v>914</v>
      </c>
      <c r="C11" s="91" t="s">
        <v>147</v>
      </c>
      <c r="D11" s="29" t="s">
        <v>148</v>
      </c>
      <c r="E11" s="29" t="s">
        <v>149</v>
      </c>
      <c r="F11" s="29"/>
      <c r="G11" s="29"/>
      <c r="H11" s="29"/>
      <c r="I11" s="29" t="s">
        <v>114</v>
      </c>
      <c r="J11" s="30"/>
      <c r="K11" s="29" t="s">
        <v>82</v>
      </c>
      <c r="L11" s="81">
        <v>2250</v>
      </c>
      <c r="M11" s="81">
        <v>2250</v>
      </c>
      <c r="N11" s="16">
        <f t="shared" si="0"/>
        <v>-4414.2151898734173</v>
      </c>
      <c r="O11" s="81">
        <v>2250</v>
      </c>
      <c r="P11" s="81">
        <v>2250</v>
      </c>
      <c r="Q11" s="16">
        <f t="shared" si="1"/>
        <v>-476.48571428571432</v>
      </c>
      <c r="R11" s="81">
        <v>1000</v>
      </c>
      <c r="S11" s="81">
        <v>1000</v>
      </c>
      <c r="T11" s="16">
        <f t="shared" si="2"/>
        <v>-152.68852459016395</v>
      </c>
      <c r="U11" s="81">
        <v>500</v>
      </c>
      <c r="V11" s="81">
        <v>500</v>
      </c>
      <c r="W11" s="16">
        <f t="shared" si="3"/>
        <v>-2.8292682926829267</v>
      </c>
      <c r="X11" s="81">
        <v>500</v>
      </c>
      <c r="Y11" s="81">
        <v>500</v>
      </c>
      <c r="Z11" s="16">
        <f t="shared" si="4"/>
        <v>0</v>
      </c>
      <c r="AA11" s="81">
        <v>500</v>
      </c>
      <c r="AB11" s="81">
        <v>500</v>
      </c>
      <c r="AC11" s="16">
        <f t="shared" si="5"/>
        <v>-17.172413793103448</v>
      </c>
      <c r="AD11" s="32" t="s">
        <v>82</v>
      </c>
      <c r="AE11" s="5">
        <v>1</v>
      </c>
    </row>
    <row r="12" spans="1:16382" x14ac:dyDescent="0.35">
      <c r="C12" s="28" t="s">
        <v>162</v>
      </c>
      <c r="D12" s="29" t="s">
        <v>163</v>
      </c>
      <c r="E12" s="29" t="s">
        <v>164</v>
      </c>
      <c r="F12" s="29"/>
      <c r="G12" s="29"/>
      <c r="H12" s="29"/>
      <c r="I12" s="29" t="s">
        <v>168</v>
      </c>
      <c r="J12" s="30"/>
      <c r="K12" s="29" t="s">
        <v>82</v>
      </c>
      <c r="L12" s="81">
        <v>500</v>
      </c>
      <c r="M12" s="81">
        <v>500</v>
      </c>
      <c r="N12" s="16">
        <f t="shared" si="0"/>
        <v>-980.9367088607595</v>
      </c>
      <c r="O12" s="81">
        <v>1000</v>
      </c>
      <c r="P12" s="81">
        <v>1000</v>
      </c>
      <c r="Q12" s="16">
        <f t="shared" si="1"/>
        <v>-211.77142857142857</v>
      </c>
      <c r="R12" s="81">
        <v>500</v>
      </c>
      <c r="S12" s="81">
        <v>500</v>
      </c>
      <c r="T12" s="16">
        <f t="shared" si="2"/>
        <v>-76.344262295081975</v>
      </c>
      <c r="U12" s="81">
        <v>0</v>
      </c>
      <c r="V12" s="81">
        <v>0</v>
      </c>
      <c r="W12" s="16">
        <f t="shared" si="3"/>
        <v>0</v>
      </c>
      <c r="X12" s="81">
        <v>500</v>
      </c>
      <c r="Y12" s="81">
        <v>500</v>
      </c>
      <c r="Z12" s="16">
        <f t="shared" si="4"/>
        <v>0</v>
      </c>
      <c r="AA12" s="81">
        <v>500</v>
      </c>
      <c r="AB12" s="81">
        <v>500</v>
      </c>
      <c r="AC12" s="16">
        <f t="shared" si="5"/>
        <v>-17.172413793103448</v>
      </c>
      <c r="AD12" s="32" t="s">
        <v>82</v>
      </c>
      <c r="AE12" s="5">
        <v>1</v>
      </c>
    </row>
    <row r="13" spans="1:16382" s="44" customFormat="1" x14ac:dyDescent="0.35">
      <c r="A13"/>
      <c r="B13"/>
      <c r="C13" s="25" t="s">
        <v>170</v>
      </c>
      <c r="D13" s="26" t="s">
        <v>163</v>
      </c>
      <c r="E13" s="26" t="s">
        <v>171</v>
      </c>
      <c r="F13" s="26"/>
      <c r="G13" s="26"/>
      <c r="H13" s="26"/>
      <c r="I13" s="26" t="s">
        <v>168</v>
      </c>
      <c r="J13" s="27"/>
      <c r="K13" s="26" t="s">
        <v>82</v>
      </c>
      <c r="L13" s="37">
        <v>500</v>
      </c>
      <c r="M13" s="37">
        <v>500</v>
      </c>
      <c r="N13" s="16">
        <f t="shared" si="0"/>
        <v>-980.9367088607595</v>
      </c>
      <c r="O13" s="37">
        <v>1500</v>
      </c>
      <c r="P13" s="37">
        <v>1500</v>
      </c>
      <c r="Q13" s="16">
        <f t="shared" si="1"/>
        <v>-317.6571428571429</v>
      </c>
      <c r="R13" s="37">
        <v>1000</v>
      </c>
      <c r="S13" s="37">
        <v>1000</v>
      </c>
      <c r="T13" s="16">
        <f t="shared" si="2"/>
        <v>-152.68852459016395</v>
      </c>
      <c r="U13" s="37">
        <v>0</v>
      </c>
      <c r="V13" s="37">
        <v>0</v>
      </c>
      <c r="W13" s="16">
        <f t="shared" si="3"/>
        <v>0</v>
      </c>
      <c r="X13" s="37">
        <v>500</v>
      </c>
      <c r="Y13" s="37">
        <v>500</v>
      </c>
      <c r="Z13" s="16">
        <f t="shared" si="4"/>
        <v>0</v>
      </c>
      <c r="AA13" s="37">
        <v>500</v>
      </c>
      <c r="AB13" s="37">
        <v>500</v>
      </c>
      <c r="AC13" s="16">
        <f t="shared" si="5"/>
        <v>-17.172413793103448</v>
      </c>
      <c r="AD13" s="31" t="s">
        <v>82</v>
      </c>
      <c r="AE13" s="5">
        <v>1</v>
      </c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  <c r="AJY13"/>
      <c r="AJZ13"/>
      <c r="AKA13"/>
      <c r="AKB13"/>
      <c r="AKC13"/>
      <c r="AKD13"/>
      <c r="AKE13"/>
      <c r="AKF13"/>
      <c r="AKG13"/>
      <c r="AKH13"/>
      <c r="AKI13"/>
      <c r="AKJ13"/>
      <c r="AKK13"/>
      <c r="AKL13"/>
      <c r="AKM13"/>
      <c r="AKN13"/>
      <c r="AKO13"/>
      <c r="AKP13"/>
      <c r="AKQ13"/>
      <c r="AKR13"/>
      <c r="AKS13"/>
      <c r="AKT13"/>
      <c r="AKU13"/>
      <c r="AKV13"/>
      <c r="AKW13"/>
      <c r="AKX13"/>
      <c r="AKY13"/>
      <c r="AKZ13"/>
      <c r="ALA13"/>
      <c r="ALB13"/>
      <c r="ALC13"/>
      <c r="ALD13"/>
      <c r="ALE13"/>
      <c r="ALF13"/>
      <c r="ALG13"/>
      <c r="ALH13"/>
      <c r="ALI13"/>
      <c r="ALJ13"/>
      <c r="ALK13"/>
      <c r="ALL13"/>
      <c r="ALM13"/>
      <c r="ALN13"/>
      <c r="ALO13"/>
      <c r="ALP13"/>
      <c r="ALQ13"/>
      <c r="ALR13"/>
      <c r="ALS13"/>
      <c r="ALT13"/>
      <c r="ALU13"/>
      <c r="ALV13"/>
      <c r="ALW13"/>
      <c r="ALX13"/>
      <c r="ALY13"/>
      <c r="ALZ13"/>
      <c r="AMA13"/>
      <c r="AMB13"/>
      <c r="AMC13"/>
      <c r="AMD13"/>
      <c r="AME13"/>
      <c r="AMF13"/>
      <c r="AMG13"/>
      <c r="AMH13"/>
      <c r="AMI13"/>
      <c r="AMJ13"/>
      <c r="AMK13"/>
      <c r="AML13"/>
      <c r="AMM13"/>
      <c r="AMN13"/>
      <c r="AMO13"/>
      <c r="AMP13"/>
      <c r="AMQ13"/>
      <c r="AMR13"/>
      <c r="AMS13"/>
      <c r="AMT13"/>
      <c r="AMU13"/>
      <c r="AMV13"/>
      <c r="AMW13"/>
      <c r="AMX13"/>
      <c r="AMY13"/>
      <c r="AMZ13"/>
      <c r="ANA13"/>
      <c r="ANB13"/>
      <c r="ANC13"/>
      <c r="AND13"/>
      <c r="ANE13"/>
      <c r="ANF13"/>
      <c r="ANG13"/>
      <c r="ANH13"/>
      <c r="ANI13"/>
      <c r="ANJ13"/>
      <c r="ANK13"/>
      <c r="ANL13"/>
      <c r="ANM13"/>
      <c r="ANN13"/>
      <c r="ANO13"/>
      <c r="ANP13"/>
      <c r="ANQ13"/>
      <c r="ANR13"/>
      <c r="ANS13"/>
      <c r="ANT13"/>
      <c r="ANU13"/>
      <c r="ANV13"/>
      <c r="ANW13"/>
      <c r="ANX13"/>
      <c r="ANY13"/>
      <c r="ANZ13"/>
      <c r="AOA13"/>
      <c r="AOB13"/>
      <c r="AOC13"/>
      <c r="AOD13"/>
      <c r="AOE13"/>
      <c r="AOF13"/>
      <c r="AOG13"/>
      <c r="AOH13"/>
      <c r="AOI13"/>
      <c r="AOJ13"/>
      <c r="AOK13"/>
      <c r="AOL13"/>
      <c r="AOM13"/>
      <c r="AON13"/>
      <c r="AOO13"/>
      <c r="AOP13"/>
      <c r="AOQ13"/>
      <c r="AOR13"/>
      <c r="AOS13"/>
      <c r="AOT13"/>
      <c r="AOU13"/>
      <c r="AOV13"/>
      <c r="AOW13"/>
      <c r="AOX13"/>
      <c r="AOY13"/>
      <c r="AOZ13"/>
      <c r="APA13"/>
      <c r="APB13"/>
      <c r="APC13"/>
      <c r="APD13"/>
      <c r="APE13"/>
      <c r="APF13"/>
      <c r="APG13"/>
      <c r="APH13"/>
      <c r="API13"/>
      <c r="APJ13"/>
      <c r="APK13"/>
      <c r="APL13"/>
      <c r="APM13"/>
      <c r="APN13"/>
      <c r="APO13"/>
      <c r="APP13"/>
      <c r="APQ13"/>
      <c r="APR13"/>
      <c r="APS13"/>
      <c r="APT13"/>
      <c r="APU13"/>
      <c r="APV13"/>
      <c r="APW13"/>
      <c r="APX13"/>
      <c r="APY13"/>
      <c r="APZ13"/>
      <c r="AQA13"/>
      <c r="AQB13"/>
      <c r="AQC13"/>
      <c r="AQD13"/>
      <c r="AQE13"/>
      <c r="AQF13"/>
      <c r="AQG13"/>
      <c r="AQH13"/>
      <c r="AQI13"/>
      <c r="AQJ13"/>
      <c r="AQK13"/>
      <c r="AQL13"/>
      <c r="AQM13"/>
      <c r="AQN13"/>
      <c r="AQO13"/>
      <c r="AQP13"/>
      <c r="AQQ13"/>
      <c r="AQR13"/>
      <c r="AQS13"/>
      <c r="AQT13"/>
      <c r="AQU13"/>
      <c r="AQV13"/>
      <c r="AQW13"/>
      <c r="AQX13"/>
      <c r="AQY13"/>
      <c r="AQZ13"/>
      <c r="ARA13"/>
      <c r="ARB13"/>
      <c r="ARC13"/>
      <c r="ARD13"/>
      <c r="ARE13"/>
      <c r="ARF13"/>
      <c r="ARG13"/>
      <c r="ARH13"/>
      <c r="ARI13"/>
      <c r="ARJ13"/>
      <c r="ARK13"/>
      <c r="ARL13"/>
      <c r="ARM13"/>
      <c r="ARN13"/>
      <c r="ARO13"/>
      <c r="ARP13"/>
      <c r="ARQ13"/>
      <c r="ARR13"/>
      <c r="ARS13"/>
      <c r="ART13"/>
      <c r="ARU13"/>
      <c r="ARV13"/>
      <c r="ARW13"/>
      <c r="ARX13"/>
      <c r="ARY13"/>
      <c r="ARZ13"/>
      <c r="ASA13"/>
      <c r="ASB13"/>
      <c r="ASC13"/>
      <c r="ASD13"/>
      <c r="ASE13"/>
      <c r="ASF13"/>
      <c r="ASG13"/>
      <c r="ASH13"/>
      <c r="ASI13"/>
      <c r="ASJ13"/>
      <c r="ASK13"/>
      <c r="ASL13"/>
      <c r="ASM13"/>
      <c r="ASN13"/>
      <c r="ASO13"/>
      <c r="ASP13"/>
      <c r="ASQ13"/>
      <c r="ASR13"/>
      <c r="ASS13"/>
      <c r="AST13"/>
      <c r="ASU13"/>
      <c r="ASV13"/>
      <c r="ASW13"/>
      <c r="ASX13"/>
      <c r="ASY13"/>
      <c r="ASZ13"/>
      <c r="ATA13"/>
      <c r="ATB13"/>
      <c r="ATC13"/>
      <c r="ATD13"/>
      <c r="ATE13"/>
      <c r="ATF13"/>
      <c r="ATG13"/>
      <c r="ATH13"/>
      <c r="ATI13"/>
      <c r="ATJ13"/>
      <c r="ATK13"/>
      <c r="ATL13"/>
      <c r="ATM13"/>
      <c r="ATN13"/>
      <c r="ATO13"/>
      <c r="ATP13"/>
      <c r="ATQ13"/>
      <c r="ATR13"/>
      <c r="ATS13"/>
      <c r="ATT13"/>
      <c r="ATU13"/>
      <c r="ATV13"/>
      <c r="ATW13"/>
      <c r="ATX13"/>
      <c r="ATY13"/>
      <c r="ATZ13"/>
      <c r="AUA13"/>
      <c r="AUB13"/>
      <c r="AUC13"/>
      <c r="AUD13"/>
      <c r="AUE13"/>
      <c r="AUF13"/>
      <c r="AUG13"/>
      <c r="AUH13"/>
      <c r="AUI13"/>
      <c r="AUJ13"/>
      <c r="AUK13"/>
      <c r="AUL13"/>
      <c r="AUM13"/>
      <c r="AUN13"/>
      <c r="AUO13"/>
      <c r="AUP13"/>
      <c r="AUQ13"/>
      <c r="AUR13"/>
      <c r="AUS13"/>
      <c r="AUT13"/>
      <c r="AUU13"/>
      <c r="AUV13"/>
      <c r="AUW13"/>
      <c r="AUX13"/>
      <c r="AUY13"/>
      <c r="AUZ13"/>
      <c r="AVA13"/>
      <c r="AVB13"/>
      <c r="AVC13"/>
      <c r="AVD13"/>
      <c r="AVE13"/>
      <c r="AVF13"/>
      <c r="AVG13"/>
      <c r="AVH13"/>
      <c r="AVI13"/>
      <c r="AVJ13"/>
      <c r="AVK13"/>
      <c r="AVL13"/>
      <c r="AVM13"/>
      <c r="AVN13"/>
      <c r="AVO13"/>
      <c r="AVP13"/>
      <c r="AVQ13"/>
      <c r="AVR13"/>
      <c r="AVS13"/>
      <c r="AVT13"/>
      <c r="AVU13"/>
      <c r="AVV13"/>
      <c r="AVW13"/>
      <c r="AVX13"/>
      <c r="AVY13"/>
      <c r="AVZ13"/>
      <c r="AWA13"/>
      <c r="AWB13"/>
      <c r="AWC13"/>
      <c r="AWD13"/>
      <c r="AWE13"/>
      <c r="AWF13"/>
      <c r="AWG13"/>
      <c r="AWH13"/>
      <c r="AWI13"/>
      <c r="AWJ13"/>
      <c r="AWK13"/>
      <c r="AWL13"/>
      <c r="AWM13"/>
      <c r="AWN13"/>
      <c r="AWO13"/>
      <c r="AWP13"/>
      <c r="AWQ13"/>
      <c r="AWR13"/>
      <c r="AWS13"/>
      <c r="AWT13"/>
      <c r="AWU13"/>
      <c r="AWV13"/>
      <c r="AWW13"/>
      <c r="AWX13"/>
      <c r="AWY13"/>
      <c r="AWZ13"/>
      <c r="AXA13"/>
      <c r="AXB13"/>
      <c r="AXC13"/>
      <c r="AXD13"/>
      <c r="AXE13"/>
      <c r="AXF13"/>
      <c r="AXG13"/>
      <c r="AXH13"/>
      <c r="AXI13"/>
      <c r="AXJ13"/>
      <c r="AXK13"/>
      <c r="AXL13"/>
      <c r="AXM13"/>
      <c r="AXN13"/>
      <c r="AXO13"/>
      <c r="AXP13"/>
      <c r="AXQ13"/>
      <c r="AXR13"/>
      <c r="AXS13"/>
      <c r="AXT13"/>
      <c r="AXU13"/>
      <c r="AXV13"/>
      <c r="AXW13"/>
      <c r="AXX13"/>
      <c r="AXY13"/>
      <c r="AXZ13"/>
      <c r="AYA13"/>
      <c r="AYB13"/>
      <c r="AYC13"/>
      <c r="AYD13"/>
      <c r="AYE13"/>
      <c r="AYF13"/>
      <c r="AYG13"/>
      <c r="AYH13"/>
      <c r="AYI13"/>
      <c r="AYJ13"/>
      <c r="AYK13"/>
      <c r="AYL13"/>
      <c r="AYM13"/>
      <c r="AYN13"/>
      <c r="AYO13"/>
      <c r="AYP13"/>
      <c r="AYQ13"/>
      <c r="AYR13"/>
      <c r="AYS13"/>
      <c r="AYT13"/>
      <c r="AYU13"/>
      <c r="AYV13"/>
      <c r="AYW13"/>
      <c r="AYX13"/>
      <c r="AYY13"/>
      <c r="AYZ13"/>
      <c r="AZA13"/>
      <c r="AZB13"/>
      <c r="AZC13"/>
      <c r="AZD13"/>
      <c r="AZE13"/>
      <c r="AZF13"/>
      <c r="AZG13"/>
      <c r="AZH13"/>
      <c r="AZI13"/>
      <c r="AZJ13"/>
      <c r="AZK13"/>
      <c r="AZL13"/>
      <c r="AZM13"/>
      <c r="AZN13"/>
      <c r="AZO13"/>
      <c r="AZP13"/>
      <c r="AZQ13"/>
      <c r="AZR13"/>
      <c r="AZS13"/>
      <c r="AZT13"/>
      <c r="AZU13"/>
      <c r="AZV13"/>
      <c r="AZW13"/>
      <c r="AZX13"/>
      <c r="AZY13"/>
      <c r="AZZ13"/>
      <c r="BAA13"/>
      <c r="BAB13"/>
      <c r="BAC13"/>
      <c r="BAD13"/>
      <c r="BAE13"/>
      <c r="BAF13"/>
      <c r="BAG13"/>
      <c r="BAH13"/>
      <c r="BAI13"/>
      <c r="BAJ13"/>
      <c r="BAK13"/>
      <c r="BAL13"/>
      <c r="BAM13"/>
      <c r="BAN13"/>
      <c r="BAO13"/>
      <c r="BAP13"/>
      <c r="BAQ13"/>
      <c r="BAR13"/>
      <c r="BAS13"/>
      <c r="BAT13"/>
      <c r="BAU13"/>
      <c r="BAV13"/>
      <c r="BAW13"/>
      <c r="BAX13"/>
      <c r="BAY13"/>
      <c r="BAZ13"/>
      <c r="BBA13"/>
      <c r="BBB13"/>
      <c r="BBC13"/>
      <c r="BBD13"/>
      <c r="BBE13"/>
      <c r="BBF13"/>
      <c r="BBG13"/>
      <c r="BBH13"/>
      <c r="BBI13"/>
      <c r="BBJ13"/>
      <c r="BBK13"/>
      <c r="BBL13"/>
      <c r="BBM13"/>
      <c r="BBN13"/>
      <c r="BBO13"/>
      <c r="BBP13"/>
      <c r="BBQ13"/>
      <c r="BBR13"/>
      <c r="BBS13"/>
      <c r="BBT13"/>
      <c r="BBU13"/>
      <c r="BBV13"/>
      <c r="BBW13"/>
      <c r="BBX13"/>
      <c r="BBY13"/>
      <c r="BBZ13"/>
      <c r="BCA13"/>
      <c r="BCB13"/>
      <c r="BCC13"/>
      <c r="BCD13"/>
      <c r="BCE13"/>
      <c r="BCF13"/>
      <c r="BCG13"/>
      <c r="BCH13"/>
      <c r="BCI13"/>
      <c r="BCJ13"/>
      <c r="BCK13"/>
      <c r="BCL13"/>
      <c r="BCM13"/>
      <c r="BCN13"/>
      <c r="BCO13"/>
      <c r="BCP13"/>
      <c r="BCQ13"/>
      <c r="BCR13"/>
      <c r="BCS13"/>
      <c r="BCT13"/>
      <c r="BCU13"/>
      <c r="BCV13"/>
      <c r="BCW13"/>
      <c r="BCX13"/>
      <c r="BCY13"/>
      <c r="BCZ13"/>
      <c r="BDA13"/>
      <c r="BDB13"/>
      <c r="BDC13"/>
      <c r="BDD13"/>
      <c r="BDE13"/>
      <c r="BDF13"/>
      <c r="BDG13"/>
      <c r="BDH13"/>
      <c r="BDI13"/>
      <c r="BDJ13"/>
      <c r="BDK13"/>
      <c r="BDL13"/>
      <c r="BDM13"/>
      <c r="BDN13"/>
      <c r="BDO13"/>
      <c r="BDP13"/>
      <c r="BDQ13"/>
      <c r="BDR13"/>
      <c r="BDS13"/>
      <c r="BDT13"/>
      <c r="BDU13"/>
      <c r="BDV13"/>
      <c r="BDW13"/>
      <c r="BDX13"/>
      <c r="BDY13"/>
      <c r="BDZ13"/>
      <c r="BEA13"/>
      <c r="BEB13"/>
      <c r="BEC13"/>
      <c r="BED13"/>
      <c r="BEE13"/>
      <c r="BEF13"/>
      <c r="BEG13"/>
      <c r="BEH13"/>
      <c r="BEI13"/>
      <c r="BEJ13"/>
      <c r="BEK13"/>
      <c r="BEL13"/>
      <c r="BEM13"/>
      <c r="BEN13"/>
      <c r="BEO13"/>
      <c r="BEP13"/>
      <c r="BEQ13"/>
      <c r="BER13"/>
      <c r="BES13"/>
      <c r="BET13"/>
      <c r="BEU13"/>
      <c r="BEV13"/>
      <c r="BEW13"/>
      <c r="BEX13"/>
      <c r="BEY13"/>
      <c r="BEZ13"/>
      <c r="BFA13"/>
      <c r="BFB13"/>
      <c r="BFC13"/>
      <c r="BFD13"/>
      <c r="BFE13"/>
      <c r="BFF13"/>
      <c r="BFG13"/>
      <c r="BFH13"/>
      <c r="BFI13"/>
      <c r="BFJ13"/>
      <c r="BFK13"/>
      <c r="BFL13"/>
      <c r="BFM13"/>
      <c r="BFN13"/>
      <c r="BFO13"/>
      <c r="BFP13"/>
      <c r="BFQ13"/>
      <c r="BFR13"/>
      <c r="BFS13"/>
      <c r="BFT13"/>
      <c r="BFU13"/>
      <c r="BFV13"/>
      <c r="BFW13"/>
      <c r="BFX13"/>
      <c r="BFY13"/>
      <c r="BFZ13"/>
      <c r="BGA13"/>
      <c r="BGB13"/>
      <c r="BGC13"/>
      <c r="BGD13"/>
      <c r="BGE13"/>
      <c r="BGF13"/>
      <c r="BGG13"/>
      <c r="BGH13"/>
      <c r="BGI13"/>
      <c r="BGJ13"/>
      <c r="BGK13"/>
      <c r="BGL13"/>
      <c r="BGM13"/>
      <c r="BGN13"/>
      <c r="BGO13"/>
      <c r="BGP13"/>
      <c r="BGQ13"/>
      <c r="BGR13"/>
      <c r="BGS13"/>
      <c r="BGT13"/>
      <c r="BGU13"/>
      <c r="BGV13"/>
      <c r="BGW13"/>
      <c r="BGX13"/>
      <c r="BGY13"/>
      <c r="BGZ13"/>
      <c r="BHA13"/>
      <c r="BHB13"/>
      <c r="BHC13"/>
      <c r="BHD13"/>
      <c r="BHE13"/>
      <c r="BHF13"/>
      <c r="BHG13"/>
      <c r="BHH13"/>
      <c r="BHI13"/>
      <c r="BHJ13"/>
      <c r="BHK13"/>
      <c r="BHL13"/>
      <c r="BHM13"/>
      <c r="BHN13"/>
      <c r="BHO13"/>
      <c r="BHP13"/>
      <c r="BHQ13"/>
      <c r="BHR13"/>
      <c r="BHS13"/>
      <c r="BHT13"/>
      <c r="BHU13"/>
      <c r="BHV13"/>
      <c r="BHW13"/>
      <c r="BHX13"/>
      <c r="BHY13"/>
      <c r="BHZ13"/>
      <c r="BIA13"/>
      <c r="BIB13"/>
      <c r="BIC13"/>
      <c r="BID13"/>
      <c r="BIE13"/>
      <c r="BIF13"/>
      <c r="BIG13"/>
      <c r="BIH13"/>
      <c r="BII13"/>
      <c r="BIJ13"/>
      <c r="BIK13"/>
      <c r="BIL13"/>
      <c r="BIM13"/>
      <c r="BIN13"/>
      <c r="BIO13"/>
      <c r="BIP13"/>
      <c r="BIQ13"/>
      <c r="BIR13"/>
      <c r="BIS13"/>
      <c r="BIT13"/>
      <c r="BIU13"/>
      <c r="BIV13"/>
      <c r="BIW13"/>
      <c r="BIX13"/>
      <c r="BIY13"/>
      <c r="BIZ13"/>
      <c r="BJA13"/>
      <c r="BJB13"/>
      <c r="BJC13"/>
      <c r="BJD13"/>
      <c r="BJE13"/>
      <c r="BJF13"/>
      <c r="BJG13"/>
      <c r="BJH13"/>
      <c r="BJI13"/>
      <c r="BJJ13"/>
      <c r="BJK13"/>
      <c r="BJL13"/>
      <c r="BJM13"/>
      <c r="BJN13"/>
      <c r="BJO13"/>
      <c r="BJP13"/>
      <c r="BJQ13"/>
      <c r="BJR13"/>
      <c r="BJS13"/>
      <c r="BJT13"/>
      <c r="BJU13"/>
      <c r="BJV13"/>
      <c r="BJW13"/>
      <c r="BJX13"/>
      <c r="BJY13"/>
      <c r="BJZ13"/>
      <c r="BKA13"/>
      <c r="BKB13"/>
      <c r="BKC13"/>
      <c r="BKD13"/>
      <c r="BKE13"/>
      <c r="BKF13"/>
      <c r="BKG13"/>
      <c r="BKH13"/>
      <c r="BKI13"/>
      <c r="BKJ13"/>
      <c r="BKK13"/>
      <c r="BKL13"/>
      <c r="BKM13"/>
      <c r="BKN13"/>
      <c r="BKO13"/>
      <c r="BKP13"/>
      <c r="BKQ13"/>
      <c r="BKR13"/>
      <c r="BKS13"/>
      <c r="BKT13"/>
      <c r="BKU13"/>
      <c r="BKV13"/>
      <c r="BKW13"/>
      <c r="BKX13"/>
      <c r="BKY13"/>
      <c r="BKZ13"/>
      <c r="BLA13"/>
      <c r="BLB13"/>
      <c r="BLC13"/>
      <c r="BLD13"/>
      <c r="BLE13"/>
      <c r="BLF13"/>
      <c r="BLG13"/>
      <c r="BLH13"/>
      <c r="BLI13"/>
      <c r="BLJ13"/>
      <c r="BLK13"/>
      <c r="BLL13"/>
      <c r="BLM13"/>
      <c r="BLN13"/>
      <c r="BLO13"/>
      <c r="BLP13"/>
      <c r="BLQ13"/>
      <c r="BLR13"/>
      <c r="BLS13"/>
      <c r="BLT13"/>
      <c r="BLU13"/>
      <c r="BLV13"/>
      <c r="BLW13"/>
      <c r="BLX13"/>
      <c r="BLY13"/>
      <c r="BLZ13"/>
      <c r="BMA13"/>
      <c r="BMB13"/>
      <c r="BMC13"/>
      <c r="BMD13"/>
      <c r="BME13"/>
      <c r="BMF13"/>
      <c r="BMG13"/>
      <c r="BMH13"/>
      <c r="BMI13"/>
      <c r="BMJ13"/>
      <c r="BMK13"/>
      <c r="BML13"/>
      <c r="BMM13"/>
      <c r="BMN13"/>
      <c r="BMO13"/>
      <c r="BMP13"/>
      <c r="BMQ13"/>
      <c r="BMR13"/>
      <c r="BMS13"/>
      <c r="BMT13"/>
      <c r="BMU13"/>
      <c r="BMV13"/>
      <c r="BMW13"/>
      <c r="BMX13"/>
      <c r="BMY13"/>
      <c r="BMZ13"/>
      <c r="BNA13"/>
      <c r="BNB13"/>
      <c r="BNC13"/>
      <c r="BND13"/>
      <c r="BNE13"/>
      <c r="BNF13"/>
      <c r="BNG13"/>
      <c r="BNH13"/>
      <c r="BNI13"/>
      <c r="BNJ13"/>
      <c r="BNK13"/>
      <c r="BNL13"/>
      <c r="BNM13"/>
      <c r="BNN13"/>
      <c r="BNO13"/>
      <c r="BNP13"/>
      <c r="BNQ13"/>
      <c r="BNR13"/>
      <c r="BNS13"/>
      <c r="BNT13"/>
      <c r="BNU13"/>
      <c r="BNV13"/>
      <c r="BNW13"/>
      <c r="BNX13"/>
      <c r="BNY13"/>
      <c r="BNZ13"/>
      <c r="BOA13"/>
      <c r="BOB13"/>
      <c r="BOC13"/>
      <c r="BOD13"/>
      <c r="BOE13"/>
      <c r="BOF13"/>
      <c r="BOG13"/>
      <c r="BOH13"/>
      <c r="BOI13"/>
      <c r="BOJ13"/>
      <c r="BOK13"/>
      <c r="BOL13"/>
      <c r="BOM13"/>
      <c r="BON13"/>
      <c r="BOO13"/>
      <c r="BOP13"/>
      <c r="BOQ13"/>
      <c r="BOR13"/>
      <c r="BOS13"/>
      <c r="BOT13"/>
      <c r="BOU13"/>
      <c r="BOV13"/>
      <c r="BOW13"/>
      <c r="BOX13"/>
      <c r="BOY13"/>
      <c r="BOZ13"/>
      <c r="BPA13"/>
      <c r="BPB13"/>
      <c r="BPC13"/>
      <c r="BPD13"/>
      <c r="BPE13"/>
      <c r="BPF13"/>
      <c r="BPG13"/>
      <c r="BPH13"/>
      <c r="BPI13"/>
      <c r="BPJ13"/>
      <c r="BPK13"/>
      <c r="BPL13"/>
      <c r="BPM13"/>
      <c r="BPN13"/>
      <c r="BPO13"/>
      <c r="BPP13"/>
      <c r="BPQ13"/>
      <c r="BPR13"/>
      <c r="BPS13"/>
      <c r="BPT13"/>
      <c r="BPU13"/>
      <c r="BPV13"/>
      <c r="BPW13"/>
      <c r="BPX13"/>
      <c r="BPY13"/>
      <c r="BPZ13"/>
      <c r="BQA13"/>
      <c r="BQB13"/>
      <c r="BQC13"/>
      <c r="BQD13"/>
      <c r="BQE13"/>
      <c r="BQF13"/>
      <c r="BQG13"/>
      <c r="BQH13"/>
      <c r="BQI13"/>
      <c r="BQJ13"/>
      <c r="BQK13"/>
      <c r="BQL13"/>
      <c r="BQM13"/>
      <c r="BQN13"/>
      <c r="BQO13"/>
      <c r="BQP13"/>
      <c r="BQQ13"/>
      <c r="BQR13"/>
      <c r="BQS13"/>
      <c r="BQT13"/>
      <c r="BQU13"/>
      <c r="BQV13"/>
      <c r="BQW13"/>
      <c r="BQX13"/>
      <c r="BQY13"/>
      <c r="BQZ13"/>
      <c r="BRA13"/>
      <c r="BRB13"/>
      <c r="BRC13"/>
      <c r="BRD13"/>
      <c r="BRE13"/>
      <c r="BRF13"/>
      <c r="BRG13"/>
      <c r="BRH13"/>
      <c r="BRI13"/>
      <c r="BRJ13"/>
      <c r="BRK13"/>
      <c r="BRL13"/>
      <c r="BRM13"/>
      <c r="BRN13"/>
      <c r="BRO13"/>
      <c r="BRP13"/>
      <c r="BRQ13"/>
      <c r="BRR13"/>
      <c r="BRS13"/>
      <c r="BRT13"/>
      <c r="BRU13"/>
      <c r="BRV13"/>
      <c r="BRW13"/>
      <c r="BRX13"/>
      <c r="BRY13"/>
      <c r="BRZ13"/>
      <c r="BSA13"/>
      <c r="BSB13"/>
      <c r="BSC13"/>
      <c r="BSD13"/>
      <c r="BSE13"/>
      <c r="BSF13"/>
      <c r="BSG13"/>
      <c r="BSH13"/>
      <c r="BSI13"/>
      <c r="BSJ13"/>
      <c r="BSK13"/>
      <c r="BSL13"/>
      <c r="BSM13"/>
      <c r="BSN13"/>
      <c r="BSO13"/>
      <c r="BSP13"/>
      <c r="BSQ13"/>
      <c r="BSR13"/>
      <c r="BSS13"/>
      <c r="BST13"/>
      <c r="BSU13"/>
      <c r="BSV13"/>
      <c r="BSW13"/>
      <c r="BSX13"/>
      <c r="BSY13"/>
      <c r="BSZ13"/>
      <c r="BTA13"/>
      <c r="BTB13"/>
      <c r="BTC13"/>
      <c r="BTD13"/>
      <c r="BTE13"/>
      <c r="BTF13"/>
      <c r="BTG13"/>
      <c r="BTH13"/>
      <c r="BTI13"/>
      <c r="BTJ13"/>
      <c r="BTK13"/>
      <c r="BTL13"/>
      <c r="BTM13"/>
      <c r="BTN13"/>
      <c r="BTO13"/>
      <c r="BTP13"/>
      <c r="BTQ13"/>
      <c r="BTR13"/>
      <c r="BTS13"/>
      <c r="BTT13"/>
      <c r="BTU13"/>
      <c r="BTV13"/>
      <c r="BTW13"/>
      <c r="BTX13"/>
      <c r="BTY13"/>
      <c r="BTZ13"/>
      <c r="BUA13"/>
      <c r="BUB13"/>
      <c r="BUC13"/>
      <c r="BUD13"/>
      <c r="BUE13"/>
      <c r="BUF13"/>
      <c r="BUG13"/>
      <c r="BUH13"/>
      <c r="BUI13"/>
      <c r="BUJ13"/>
      <c r="BUK13"/>
      <c r="BUL13"/>
      <c r="BUM13"/>
      <c r="BUN13"/>
      <c r="BUO13"/>
      <c r="BUP13"/>
      <c r="BUQ13"/>
      <c r="BUR13"/>
      <c r="BUS13"/>
      <c r="BUT13"/>
      <c r="BUU13"/>
      <c r="BUV13"/>
      <c r="BUW13"/>
      <c r="BUX13"/>
      <c r="BUY13"/>
      <c r="BUZ13"/>
      <c r="BVA13"/>
      <c r="BVB13"/>
      <c r="BVC13"/>
      <c r="BVD13"/>
      <c r="BVE13"/>
      <c r="BVF13"/>
      <c r="BVG13"/>
      <c r="BVH13"/>
      <c r="BVI13"/>
      <c r="BVJ13"/>
      <c r="BVK13"/>
      <c r="BVL13"/>
      <c r="BVM13"/>
      <c r="BVN13"/>
      <c r="BVO13"/>
      <c r="BVP13"/>
      <c r="BVQ13"/>
      <c r="BVR13"/>
      <c r="BVS13"/>
      <c r="BVT13"/>
      <c r="BVU13"/>
      <c r="BVV13"/>
      <c r="BVW13"/>
      <c r="BVX13"/>
      <c r="BVY13"/>
      <c r="BVZ13"/>
      <c r="BWA13"/>
      <c r="BWB13"/>
      <c r="BWC13"/>
      <c r="BWD13"/>
      <c r="BWE13"/>
      <c r="BWF13"/>
      <c r="BWG13"/>
      <c r="BWH13"/>
      <c r="BWI13"/>
      <c r="BWJ13"/>
      <c r="BWK13"/>
      <c r="BWL13"/>
      <c r="BWM13"/>
      <c r="BWN13"/>
      <c r="BWO13"/>
      <c r="BWP13"/>
      <c r="BWQ13"/>
      <c r="BWR13"/>
      <c r="BWS13"/>
      <c r="BWT13"/>
      <c r="BWU13"/>
      <c r="BWV13"/>
      <c r="BWW13"/>
      <c r="BWX13"/>
      <c r="BWY13"/>
      <c r="BWZ13"/>
      <c r="BXA13"/>
      <c r="BXB13"/>
      <c r="BXC13"/>
      <c r="BXD13"/>
      <c r="BXE13"/>
      <c r="BXF13"/>
      <c r="BXG13"/>
      <c r="BXH13"/>
      <c r="BXI13"/>
      <c r="BXJ13"/>
      <c r="BXK13"/>
      <c r="BXL13"/>
      <c r="BXM13"/>
      <c r="BXN13"/>
      <c r="BXO13"/>
      <c r="BXP13"/>
      <c r="BXQ13"/>
      <c r="BXR13"/>
      <c r="BXS13"/>
      <c r="BXT13"/>
      <c r="BXU13"/>
      <c r="BXV13"/>
      <c r="BXW13"/>
      <c r="BXX13"/>
      <c r="BXY13"/>
      <c r="BXZ13"/>
      <c r="BYA13"/>
      <c r="BYB13"/>
      <c r="BYC13"/>
      <c r="BYD13"/>
      <c r="BYE13"/>
      <c r="BYF13"/>
      <c r="BYG13"/>
      <c r="BYH13"/>
      <c r="BYI13"/>
      <c r="BYJ13"/>
      <c r="BYK13"/>
      <c r="BYL13"/>
      <c r="BYM13"/>
      <c r="BYN13"/>
      <c r="BYO13"/>
      <c r="BYP13"/>
      <c r="BYQ13"/>
      <c r="BYR13"/>
      <c r="BYS13"/>
      <c r="BYT13"/>
      <c r="BYU13"/>
      <c r="BYV13"/>
      <c r="BYW13"/>
      <c r="BYX13"/>
      <c r="BYY13"/>
      <c r="BYZ13"/>
      <c r="BZA13"/>
      <c r="BZB13"/>
      <c r="BZC13"/>
      <c r="BZD13"/>
      <c r="BZE13"/>
      <c r="BZF13"/>
      <c r="BZG13"/>
      <c r="BZH13"/>
      <c r="BZI13"/>
      <c r="BZJ13"/>
      <c r="BZK13"/>
      <c r="BZL13"/>
      <c r="BZM13"/>
      <c r="BZN13"/>
      <c r="BZO13"/>
      <c r="BZP13"/>
      <c r="BZQ13"/>
      <c r="BZR13"/>
      <c r="BZS13"/>
      <c r="BZT13"/>
      <c r="BZU13"/>
      <c r="BZV13"/>
      <c r="BZW13"/>
      <c r="BZX13"/>
      <c r="BZY13"/>
      <c r="BZZ13"/>
      <c r="CAA13"/>
      <c r="CAB13"/>
      <c r="CAC13"/>
      <c r="CAD13"/>
      <c r="CAE13"/>
      <c r="CAF13"/>
      <c r="CAG13"/>
      <c r="CAH13"/>
      <c r="CAI13"/>
      <c r="CAJ13"/>
      <c r="CAK13"/>
      <c r="CAL13"/>
      <c r="CAM13"/>
      <c r="CAN13"/>
      <c r="CAO13"/>
      <c r="CAP13"/>
      <c r="CAQ13"/>
      <c r="CAR13"/>
      <c r="CAS13"/>
      <c r="CAT13"/>
      <c r="CAU13"/>
      <c r="CAV13"/>
      <c r="CAW13"/>
      <c r="CAX13"/>
      <c r="CAY13"/>
      <c r="CAZ13"/>
      <c r="CBA13"/>
      <c r="CBB13"/>
      <c r="CBC13"/>
      <c r="CBD13"/>
      <c r="CBE13"/>
      <c r="CBF13"/>
      <c r="CBG13"/>
      <c r="CBH13"/>
      <c r="CBI13"/>
      <c r="CBJ13"/>
      <c r="CBK13"/>
      <c r="CBL13"/>
      <c r="CBM13"/>
      <c r="CBN13"/>
      <c r="CBO13"/>
      <c r="CBP13"/>
      <c r="CBQ13"/>
      <c r="CBR13"/>
      <c r="CBS13"/>
      <c r="CBT13"/>
      <c r="CBU13"/>
      <c r="CBV13"/>
      <c r="CBW13"/>
      <c r="CBX13"/>
      <c r="CBY13"/>
      <c r="CBZ13"/>
      <c r="CCA13"/>
      <c r="CCB13"/>
      <c r="CCC13"/>
      <c r="CCD13"/>
      <c r="CCE13"/>
      <c r="CCF13"/>
      <c r="CCG13"/>
      <c r="CCH13"/>
      <c r="CCI13"/>
      <c r="CCJ13"/>
      <c r="CCK13"/>
      <c r="CCL13"/>
      <c r="CCM13"/>
      <c r="CCN13"/>
      <c r="CCO13"/>
      <c r="CCP13"/>
      <c r="CCQ13"/>
      <c r="CCR13"/>
      <c r="CCS13"/>
      <c r="CCT13"/>
      <c r="CCU13"/>
      <c r="CCV13"/>
      <c r="CCW13"/>
      <c r="CCX13"/>
      <c r="CCY13"/>
      <c r="CCZ13"/>
      <c r="CDA13"/>
      <c r="CDB13"/>
      <c r="CDC13"/>
      <c r="CDD13"/>
      <c r="CDE13"/>
      <c r="CDF13"/>
      <c r="CDG13"/>
      <c r="CDH13"/>
      <c r="CDI13"/>
      <c r="CDJ13"/>
      <c r="CDK13"/>
      <c r="CDL13"/>
      <c r="CDM13"/>
      <c r="CDN13"/>
      <c r="CDO13"/>
      <c r="CDP13"/>
      <c r="CDQ13"/>
      <c r="CDR13"/>
      <c r="CDS13"/>
      <c r="CDT13"/>
      <c r="CDU13"/>
      <c r="CDV13"/>
      <c r="CDW13"/>
      <c r="CDX13"/>
      <c r="CDY13"/>
      <c r="CDZ13"/>
      <c r="CEA13"/>
      <c r="CEB13"/>
      <c r="CEC13"/>
      <c r="CED13"/>
      <c r="CEE13"/>
      <c r="CEF13"/>
      <c r="CEG13"/>
      <c r="CEH13"/>
      <c r="CEI13"/>
      <c r="CEJ13"/>
      <c r="CEK13"/>
      <c r="CEL13"/>
      <c r="CEM13"/>
      <c r="CEN13"/>
      <c r="CEO13"/>
      <c r="CEP13"/>
      <c r="CEQ13"/>
      <c r="CER13"/>
      <c r="CES13"/>
      <c r="CET13"/>
      <c r="CEU13"/>
      <c r="CEV13"/>
      <c r="CEW13"/>
      <c r="CEX13"/>
      <c r="CEY13"/>
      <c r="CEZ13"/>
      <c r="CFA13"/>
      <c r="CFB13"/>
      <c r="CFC13"/>
      <c r="CFD13"/>
      <c r="CFE13"/>
      <c r="CFF13"/>
      <c r="CFG13"/>
      <c r="CFH13"/>
      <c r="CFI13"/>
      <c r="CFJ13"/>
      <c r="CFK13"/>
      <c r="CFL13"/>
      <c r="CFM13"/>
      <c r="CFN13"/>
      <c r="CFO13"/>
      <c r="CFP13"/>
      <c r="CFQ13"/>
      <c r="CFR13"/>
      <c r="CFS13"/>
      <c r="CFT13"/>
      <c r="CFU13"/>
      <c r="CFV13"/>
      <c r="CFW13"/>
      <c r="CFX13"/>
      <c r="CFY13"/>
      <c r="CFZ13"/>
      <c r="CGA13"/>
      <c r="CGB13"/>
      <c r="CGC13"/>
      <c r="CGD13"/>
      <c r="CGE13"/>
      <c r="CGF13"/>
      <c r="CGG13"/>
      <c r="CGH13"/>
      <c r="CGI13"/>
      <c r="CGJ13"/>
      <c r="CGK13"/>
      <c r="CGL13"/>
      <c r="CGM13"/>
      <c r="CGN13"/>
      <c r="CGO13"/>
      <c r="CGP13"/>
      <c r="CGQ13"/>
      <c r="CGR13"/>
      <c r="CGS13"/>
      <c r="CGT13"/>
      <c r="CGU13"/>
      <c r="CGV13"/>
      <c r="CGW13"/>
      <c r="CGX13"/>
      <c r="CGY13"/>
      <c r="CGZ13"/>
      <c r="CHA13"/>
      <c r="CHB13"/>
      <c r="CHC13"/>
      <c r="CHD13"/>
      <c r="CHE13"/>
      <c r="CHF13"/>
      <c r="CHG13"/>
      <c r="CHH13"/>
      <c r="CHI13"/>
      <c r="CHJ13"/>
      <c r="CHK13"/>
      <c r="CHL13"/>
      <c r="CHM13"/>
      <c r="CHN13"/>
      <c r="CHO13"/>
      <c r="CHP13"/>
      <c r="CHQ13"/>
      <c r="CHR13"/>
      <c r="CHS13"/>
      <c r="CHT13"/>
      <c r="CHU13"/>
      <c r="CHV13"/>
      <c r="CHW13"/>
      <c r="CHX13"/>
      <c r="CHY13"/>
      <c r="CHZ13"/>
      <c r="CIA13"/>
      <c r="CIB13"/>
      <c r="CIC13"/>
      <c r="CID13"/>
      <c r="CIE13"/>
      <c r="CIF13"/>
      <c r="CIG13"/>
      <c r="CIH13"/>
      <c r="CII13"/>
      <c r="CIJ13"/>
      <c r="CIK13"/>
      <c r="CIL13"/>
      <c r="CIM13"/>
      <c r="CIN13"/>
      <c r="CIO13"/>
      <c r="CIP13"/>
      <c r="CIQ13"/>
      <c r="CIR13"/>
      <c r="CIS13"/>
      <c r="CIT13"/>
      <c r="CIU13"/>
      <c r="CIV13"/>
      <c r="CIW13"/>
      <c r="CIX13"/>
      <c r="CIY13"/>
      <c r="CIZ13"/>
      <c r="CJA13"/>
      <c r="CJB13"/>
      <c r="CJC13"/>
      <c r="CJD13"/>
      <c r="CJE13"/>
      <c r="CJF13"/>
      <c r="CJG13"/>
      <c r="CJH13"/>
      <c r="CJI13"/>
      <c r="CJJ13"/>
      <c r="CJK13"/>
      <c r="CJL13"/>
      <c r="CJM13"/>
      <c r="CJN13"/>
      <c r="CJO13"/>
      <c r="CJP13"/>
      <c r="CJQ13"/>
      <c r="CJR13"/>
      <c r="CJS13"/>
      <c r="CJT13"/>
      <c r="CJU13"/>
      <c r="CJV13"/>
      <c r="CJW13"/>
      <c r="CJX13"/>
      <c r="CJY13"/>
      <c r="CJZ13"/>
      <c r="CKA13"/>
      <c r="CKB13"/>
      <c r="CKC13"/>
      <c r="CKD13"/>
      <c r="CKE13"/>
      <c r="CKF13"/>
      <c r="CKG13"/>
      <c r="CKH13"/>
      <c r="CKI13"/>
      <c r="CKJ13"/>
      <c r="CKK13"/>
      <c r="CKL13"/>
      <c r="CKM13"/>
      <c r="CKN13"/>
      <c r="CKO13"/>
      <c r="CKP13"/>
      <c r="CKQ13"/>
      <c r="CKR13"/>
      <c r="CKS13"/>
      <c r="CKT13"/>
      <c r="CKU13"/>
      <c r="CKV13"/>
      <c r="CKW13"/>
      <c r="CKX13"/>
      <c r="CKY13"/>
      <c r="CKZ13"/>
      <c r="CLA13"/>
      <c r="CLB13"/>
      <c r="CLC13"/>
      <c r="CLD13"/>
      <c r="CLE13"/>
      <c r="CLF13"/>
      <c r="CLG13"/>
      <c r="CLH13"/>
      <c r="CLI13"/>
      <c r="CLJ13"/>
      <c r="CLK13"/>
      <c r="CLL13"/>
      <c r="CLM13"/>
      <c r="CLN13"/>
      <c r="CLO13"/>
      <c r="CLP13"/>
      <c r="CLQ13"/>
      <c r="CLR13"/>
      <c r="CLS13"/>
      <c r="CLT13"/>
      <c r="CLU13"/>
      <c r="CLV13"/>
      <c r="CLW13"/>
      <c r="CLX13"/>
      <c r="CLY13"/>
      <c r="CLZ13"/>
      <c r="CMA13"/>
      <c r="CMB13"/>
      <c r="CMC13"/>
      <c r="CMD13"/>
      <c r="CME13"/>
      <c r="CMF13"/>
      <c r="CMG13"/>
      <c r="CMH13"/>
      <c r="CMI13"/>
      <c r="CMJ13"/>
      <c r="CMK13"/>
      <c r="CML13"/>
      <c r="CMM13"/>
      <c r="CMN13"/>
      <c r="CMO13"/>
      <c r="CMP13"/>
      <c r="CMQ13"/>
      <c r="CMR13"/>
      <c r="CMS13"/>
      <c r="CMT13"/>
      <c r="CMU13"/>
      <c r="CMV13"/>
      <c r="CMW13"/>
      <c r="CMX13"/>
      <c r="CMY13"/>
      <c r="CMZ13"/>
      <c r="CNA13"/>
      <c r="CNB13"/>
      <c r="CNC13"/>
      <c r="CND13"/>
      <c r="CNE13"/>
      <c r="CNF13"/>
      <c r="CNG13"/>
      <c r="CNH13"/>
      <c r="CNI13"/>
      <c r="CNJ13"/>
      <c r="CNK13"/>
      <c r="CNL13"/>
      <c r="CNM13"/>
      <c r="CNN13"/>
      <c r="CNO13"/>
      <c r="CNP13"/>
      <c r="CNQ13"/>
      <c r="CNR13"/>
      <c r="CNS13"/>
      <c r="CNT13"/>
      <c r="CNU13"/>
      <c r="CNV13"/>
      <c r="CNW13"/>
      <c r="CNX13"/>
      <c r="CNY13"/>
      <c r="CNZ13"/>
      <c r="COA13"/>
      <c r="COB13"/>
      <c r="COC13"/>
      <c r="COD13"/>
      <c r="COE13"/>
      <c r="COF13"/>
      <c r="COG13"/>
      <c r="COH13"/>
      <c r="COI13"/>
      <c r="COJ13"/>
      <c r="COK13"/>
      <c r="COL13"/>
      <c r="COM13"/>
      <c r="CON13"/>
      <c r="COO13"/>
      <c r="COP13"/>
      <c r="COQ13"/>
      <c r="COR13"/>
      <c r="COS13"/>
      <c r="COT13"/>
      <c r="COU13"/>
      <c r="COV13"/>
      <c r="COW13"/>
      <c r="COX13"/>
      <c r="COY13"/>
      <c r="COZ13"/>
      <c r="CPA13"/>
      <c r="CPB13"/>
      <c r="CPC13"/>
      <c r="CPD13"/>
      <c r="CPE13"/>
      <c r="CPF13"/>
      <c r="CPG13"/>
      <c r="CPH13"/>
      <c r="CPI13"/>
      <c r="CPJ13"/>
      <c r="CPK13"/>
      <c r="CPL13"/>
      <c r="CPM13"/>
      <c r="CPN13"/>
      <c r="CPO13"/>
      <c r="CPP13"/>
      <c r="CPQ13"/>
      <c r="CPR13"/>
      <c r="CPS13"/>
      <c r="CPT13"/>
      <c r="CPU13"/>
      <c r="CPV13"/>
      <c r="CPW13"/>
      <c r="CPX13"/>
      <c r="CPY13"/>
      <c r="CPZ13"/>
      <c r="CQA13"/>
      <c r="CQB13"/>
      <c r="CQC13"/>
      <c r="CQD13"/>
      <c r="CQE13"/>
      <c r="CQF13"/>
      <c r="CQG13"/>
      <c r="CQH13"/>
      <c r="CQI13"/>
      <c r="CQJ13"/>
      <c r="CQK13"/>
      <c r="CQL13"/>
      <c r="CQM13"/>
      <c r="CQN13"/>
      <c r="CQO13"/>
      <c r="CQP13"/>
      <c r="CQQ13"/>
      <c r="CQR13"/>
      <c r="CQS13"/>
      <c r="CQT13"/>
      <c r="CQU13"/>
      <c r="CQV13"/>
      <c r="CQW13"/>
      <c r="CQX13"/>
      <c r="CQY13"/>
      <c r="CQZ13"/>
      <c r="CRA13"/>
      <c r="CRB13"/>
      <c r="CRC13"/>
      <c r="CRD13"/>
      <c r="CRE13"/>
      <c r="CRF13"/>
      <c r="CRG13"/>
      <c r="CRH13"/>
      <c r="CRI13"/>
      <c r="CRJ13"/>
      <c r="CRK13"/>
      <c r="CRL13"/>
      <c r="CRM13"/>
      <c r="CRN13"/>
      <c r="CRO13"/>
      <c r="CRP13"/>
      <c r="CRQ13"/>
      <c r="CRR13"/>
      <c r="CRS13"/>
      <c r="CRT13"/>
      <c r="CRU13"/>
      <c r="CRV13"/>
      <c r="CRW13"/>
      <c r="CRX13"/>
      <c r="CRY13"/>
      <c r="CRZ13"/>
      <c r="CSA13"/>
      <c r="CSB13"/>
      <c r="CSC13"/>
      <c r="CSD13"/>
      <c r="CSE13"/>
      <c r="CSF13"/>
      <c r="CSG13"/>
      <c r="CSH13"/>
      <c r="CSI13"/>
      <c r="CSJ13"/>
      <c r="CSK13"/>
      <c r="CSL13"/>
      <c r="CSM13"/>
      <c r="CSN13"/>
      <c r="CSO13"/>
      <c r="CSP13"/>
      <c r="CSQ13"/>
      <c r="CSR13"/>
      <c r="CSS13"/>
      <c r="CST13"/>
      <c r="CSU13"/>
      <c r="CSV13"/>
      <c r="CSW13"/>
      <c r="CSX13"/>
      <c r="CSY13"/>
      <c r="CSZ13"/>
      <c r="CTA13"/>
      <c r="CTB13"/>
      <c r="CTC13"/>
      <c r="CTD13"/>
      <c r="CTE13"/>
      <c r="CTF13"/>
      <c r="CTG13"/>
      <c r="CTH13"/>
      <c r="CTI13"/>
      <c r="CTJ13"/>
      <c r="CTK13"/>
      <c r="CTL13"/>
      <c r="CTM13"/>
      <c r="CTN13"/>
      <c r="CTO13"/>
      <c r="CTP13"/>
      <c r="CTQ13"/>
      <c r="CTR13"/>
      <c r="CTS13"/>
      <c r="CTT13"/>
      <c r="CTU13"/>
      <c r="CTV13"/>
      <c r="CTW13"/>
      <c r="CTX13"/>
      <c r="CTY13"/>
      <c r="CTZ13"/>
      <c r="CUA13"/>
      <c r="CUB13"/>
      <c r="CUC13"/>
      <c r="CUD13"/>
      <c r="CUE13"/>
      <c r="CUF13"/>
      <c r="CUG13"/>
      <c r="CUH13"/>
      <c r="CUI13"/>
      <c r="CUJ13"/>
      <c r="CUK13"/>
      <c r="CUL13"/>
      <c r="CUM13"/>
      <c r="CUN13"/>
      <c r="CUO13"/>
      <c r="CUP13"/>
      <c r="CUQ13"/>
      <c r="CUR13"/>
      <c r="CUS13"/>
      <c r="CUT13"/>
      <c r="CUU13"/>
      <c r="CUV13"/>
      <c r="CUW13"/>
      <c r="CUX13"/>
      <c r="CUY13"/>
      <c r="CUZ13"/>
      <c r="CVA13"/>
      <c r="CVB13"/>
      <c r="CVC13"/>
      <c r="CVD13"/>
      <c r="CVE13"/>
      <c r="CVF13"/>
      <c r="CVG13"/>
      <c r="CVH13"/>
      <c r="CVI13"/>
      <c r="CVJ13"/>
      <c r="CVK13"/>
      <c r="CVL13"/>
      <c r="CVM13"/>
      <c r="CVN13"/>
      <c r="CVO13"/>
      <c r="CVP13"/>
      <c r="CVQ13"/>
      <c r="CVR13"/>
      <c r="CVS13"/>
      <c r="CVT13"/>
      <c r="CVU13"/>
      <c r="CVV13"/>
      <c r="CVW13"/>
      <c r="CVX13"/>
      <c r="CVY13"/>
      <c r="CVZ13"/>
      <c r="CWA13"/>
      <c r="CWB13"/>
      <c r="CWC13"/>
      <c r="CWD13"/>
      <c r="CWE13"/>
      <c r="CWF13"/>
      <c r="CWG13"/>
      <c r="CWH13"/>
      <c r="CWI13"/>
      <c r="CWJ13"/>
      <c r="CWK13"/>
      <c r="CWL13"/>
      <c r="CWM13"/>
      <c r="CWN13"/>
      <c r="CWO13"/>
      <c r="CWP13"/>
      <c r="CWQ13"/>
      <c r="CWR13"/>
      <c r="CWS13"/>
      <c r="CWT13"/>
      <c r="CWU13"/>
      <c r="CWV13"/>
      <c r="CWW13"/>
      <c r="CWX13"/>
      <c r="CWY13"/>
      <c r="CWZ13"/>
      <c r="CXA13"/>
      <c r="CXB13"/>
      <c r="CXC13"/>
      <c r="CXD13"/>
      <c r="CXE13"/>
      <c r="CXF13"/>
      <c r="CXG13"/>
      <c r="CXH13"/>
      <c r="CXI13"/>
      <c r="CXJ13"/>
      <c r="CXK13"/>
      <c r="CXL13"/>
      <c r="CXM13"/>
      <c r="CXN13"/>
      <c r="CXO13"/>
      <c r="CXP13"/>
      <c r="CXQ13"/>
      <c r="CXR13"/>
      <c r="CXS13"/>
      <c r="CXT13"/>
      <c r="CXU13"/>
      <c r="CXV13"/>
      <c r="CXW13"/>
      <c r="CXX13"/>
      <c r="CXY13"/>
      <c r="CXZ13"/>
      <c r="CYA13"/>
      <c r="CYB13"/>
      <c r="CYC13"/>
      <c r="CYD13"/>
      <c r="CYE13"/>
      <c r="CYF13"/>
      <c r="CYG13"/>
      <c r="CYH13"/>
      <c r="CYI13"/>
      <c r="CYJ13"/>
      <c r="CYK13"/>
      <c r="CYL13"/>
      <c r="CYM13"/>
      <c r="CYN13"/>
      <c r="CYO13"/>
      <c r="CYP13"/>
      <c r="CYQ13"/>
      <c r="CYR13"/>
      <c r="CYS13"/>
      <c r="CYT13"/>
      <c r="CYU13"/>
      <c r="CYV13"/>
      <c r="CYW13"/>
      <c r="CYX13"/>
      <c r="CYY13"/>
      <c r="CYZ13"/>
      <c r="CZA13"/>
      <c r="CZB13"/>
      <c r="CZC13"/>
      <c r="CZD13"/>
      <c r="CZE13"/>
      <c r="CZF13"/>
      <c r="CZG13"/>
      <c r="CZH13"/>
      <c r="CZI13"/>
      <c r="CZJ13"/>
      <c r="CZK13"/>
      <c r="CZL13"/>
      <c r="CZM13"/>
      <c r="CZN13"/>
      <c r="CZO13"/>
      <c r="CZP13"/>
      <c r="CZQ13"/>
      <c r="CZR13"/>
      <c r="CZS13"/>
      <c r="CZT13"/>
      <c r="CZU13"/>
      <c r="CZV13"/>
      <c r="CZW13"/>
      <c r="CZX13"/>
      <c r="CZY13"/>
      <c r="CZZ13"/>
      <c r="DAA13"/>
      <c r="DAB13"/>
      <c r="DAC13"/>
      <c r="DAD13"/>
      <c r="DAE13"/>
      <c r="DAF13"/>
      <c r="DAG13"/>
      <c r="DAH13"/>
      <c r="DAI13"/>
      <c r="DAJ13"/>
      <c r="DAK13"/>
      <c r="DAL13"/>
      <c r="DAM13"/>
      <c r="DAN13"/>
      <c r="DAO13"/>
      <c r="DAP13"/>
      <c r="DAQ13"/>
      <c r="DAR13"/>
      <c r="DAS13"/>
      <c r="DAT13"/>
      <c r="DAU13"/>
      <c r="DAV13"/>
      <c r="DAW13"/>
      <c r="DAX13"/>
      <c r="DAY13"/>
      <c r="DAZ13"/>
      <c r="DBA13"/>
      <c r="DBB13"/>
      <c r="DBC13"/>
      <c r="DBD13"/>
      <c r="DBE13"/>
      <c r="DBF13"/>
      <c r="DBG13"/>
      <c r="DBH13"/>
      <c r="DBI13"/>
      <c r="DBJ13"/>
      <c r="DBK13"/>
      <c r="DBL13"/>
      <c r="DBM13"/>
      <c r="DBN13"/>
      <c r="DBO13"/>
      <c r="DBP13"/>
      <c r="DBQ13"/>
      <c r="DBR13"/>
      <c r="DBS13"/>
      <c r="DBT13"/>
      <c r="DBU13"/>
      <c r="DBV13"/>
      <c r="DBW13"/>
      <c r="DBX13"/>
      <c r="DBY13"/>
      <c r="DBZ13"/>
      <c r="DCA13"/>
      <c r="DCB13"/>
      <c r="DCC13"/>
      <c r="DCD13"/>
      <c r="DCE13"/>
      <c r="DCF13"/>
      <c r="DCG13"/>
      <c r="DCH13"/>
      <c r="DCI13"/>
      <c r="DCJ13"/>
      <c r="DCK13"/>
      <c r="DCL13"/>
      <c r="DCM13"/>
      <c r="DCN13"/>
      <c r="DCO13"/>
      <c r="DCP13"/>
      <c r="DCQ13"/>
      <c r="DCR13"/>
      <c r="DCS13"/>
      <c r="DCT13"/>
      <c r="DCU13"/>
      <c r="DCV13"/>
      <c r="DCW13"/>
      <c r="DCX13"/>
      <c r="DCY13"/>
      <c r="DCZ13"/>
      <c r="DDA13"/>
      <c r="DDB13"/>
      <c r="DDC13"/>
      <c r="DDD13"/>
      <c r="DDE13"/>
      <c r="DDF13"/>
      <c r="DDG13"/>
      <c r="DDH13"/>
      <c r="DDI13"/>
      <c r="DDJ13"/>
      <c r="DDK13"/>
      <c r="DDL13"/>
      <c r="DDM13"/>
      <c r="DDN13"/>
      <c r="DDO13"/>
      <c r="DDP13"/>
      <c r="DDQ13"/>
      <c r="DDR13"/>
      <c r="DDS13"/>
      <c r="DDT13"/>
      <c r="DDU13"/>
      <c r="DDV13"/>
      <c r="DDW13"/>
      <c r="DDX13"/>
      <c r="DDY13"/>
      <c r="DDZ13"/>
      <c r="DEA13"/>
      <c r="DEB13"/>
      <c r="DEC13"/>
      <c r="DED13"/>
      <c r="DEE13"/>
      <c r="DEF13"/>
      <c r="DEG13"/>
      <c r="DEH13"/>
      <c r="DEI13"/>
      <c r="DEJ13"/>
      <c r="DEK13"/>
      <c r="DEL13"/>
      <c r="DEM13"/>
      <c r="DEN13"/>
      <c r="DEO13"/>
      <c r="DEP13"/>
      <c r="DEQ13"/>
      <c r="DER13"/>
      <c r="DES13"/>
      <c r="DET13"/>
      <c r="DEU13"/>
      <c r="DEV13"/>
      <c r="DEW13"/>
      <c r="DEX13"/>
      <c r="DEY13"/>
      <c r="DEZ13"/>
      <c r="DFA13"/>
      <c r="DFB13"/>
      <c r="DFC13"/>
      <c r="DFD13"/>
      <c r="DFE13"/>
      <c r="DFF13"/>
      <c r="DFG13"/>
      <c r="DFH13"/>
      <c r="DFI13"/>
      <c r="DFJ13"/>
      <c r="DFK13"/>
      <c r="DFL13"/>
      <c r="DFM13"/>
      <c r="DFN13"/>
      <c r="DFO13"/>
      <c r="DFP13"/>
      <c r="DFQ13"/>
      <c r="DFR13"/>
      <c r="DFS13"/>
      <c r="DFT13"/>
      <c r="DFU13"/>
      <c r="DFV13"/>
      <c r="DFW13"/>
      <c r="DFX13"/>
      <c r="DFY13"/>
      <c r="DFZ13"/>
      <c r="DGA13"/>
      <c r="DGB13"/>
      <c r="DGC13"/>
      <c r="DGD13"/>
      <c r="DGE13"/>
      <c r="DGF13"/>
      <c r="DGG13"/>
      <c r="DGH13"/>
      <c r="DGI13"/>
      <c r="DGJ13"/>
      <c r="DGK13"/>
      <c r="DGL13"/>
      <c r="DGM13"/>
      <c r="DGN13"/>
      <c r="DGO13"/>
      <c r="DGP13"/>
      <c r="DGQ13"/>
      <c r="DGR13"/>
      <c r="DGS13"/>
      <c r="DGT13"/>
      <c r="DGU13"/>
      <c r="DGV13"/>
      <c r="DGW13"/>
      <c r="DGX13"/>
      <c r="DGY13"/>
      <c r="DGZ13"/>
      <c r="DHA13"/>
      <c r="DHB13"/>
      <c r="DHC13"/>
      <c r="DHD13"/>
      <c r="DHE13"/>
      <c r="DHF13"/>
      <c r="DHG13"/>
      <c r="DHH13"/>
      <c r="DHI13"/>
      <c r="DHJ13"/>
      <c r="DHK13"/>
      <c r="DHL13"/>
      <c r="DHM13"/>
      <c r="DHN13"/>
      <c r="DHO13"/>
      <c r="DHP13"/>
      <c r="DHQ13"/>
      <c r="DHR13"/>
      <c r="DHS13"/>
      <c r="DHT13"/>
      <c r="DHU13"/>
      <c r="DHV13"/>
      <c r="DHW13"/>
      <c r="DHX13"/>
      <c r="DHY13"/>
      <c r="DHZ13"/>
      <c r="DIA13"/>
      <c r="DIB13"/>
      <c r="DIC13"/>
      <c r="DID13"/>
      <c r="DIE13"/>
      <c r="DIF13"/>
      <c r="DIG13"/>
      <c r="DIH13"/>
      <c r="DII13"/>
      <c r="DIJ13"/>
      <c r="DIK13"/>
      <c r="DIL13"/>
      <c r="DIM13"/>
      <c r="DIN13"/>
      <c r="DIO13"/>
      <c r="DIP13"/>
      <c r="DIQ13"/>
      <c r="DIR13"/>
      <c r="DIS13"/>
      <c r="DIT13"/>
      <c r="DIU13"/>
      <c r="DIV13"/>
      <c r="DIW13"/>
      <c r="DIX13"/>
      <c r="DIY13"/>
      <c r="DIZ13"/>
      <c r="DJA13"/>
      <c r="DJB13"/>
      <c r="DJC13"/>
      <c r="DJD13"/>
      <c r="DJE13"/>
      <c r="DJF13"/>
      <c r="DJG13"/>
      <c r="DJH13"/>
      <c r="DJI13"/>
      <c r="DJJ13"/>
      <c r="DJK13"/>
      <c r="DJL13"/>
      <c r="DJM13"/>
      <c r="DJN13"/>
      <c r="DJO13"/>
      <c r="DJP13"/>
      <c r="DJQ13"/>
      <c r="DJR13"/>
      <c r="DJS13"/>
      <c r="DJT13"/>
      <c r="DJU13"/>
      <c r="DJV13"/>
      <c r="DJW13"/>
      <c r="DJX13"/>
      <c r="DJY13"/>
      <c r="DJZ13"/>
      <c r="DKA13"/>
      <c r="DKB13"/>
      <c r="DKC13"/>
      <c r="DKD13"/>
      <c r="DKE13"/>
      <c r="DKF13"/>
      <c r="DKG13"/>
      <c r="DKH13"/>
      <c r="DKI13"/>
      <c r="DKJ13"/>
      <c r="DKK13"/>
      <c r="DKL13"/>
      <c r="DKM13"/>
      <c r="DKN13"/>
      <c r="DKO13"/>
      <c r="DKP13"/>
      <c r="DKQ13"/>
      <c r="DKR13"/>
      <c r="DKS13"/>
      <c r="DKT13"/>
      <c r="DKU13"/>
      <c r="DKV13"/>
      <c r="DKW13"/>
      <c r="DKX13"/>
      <c r="DKY13"/>
      <c r="DKZ13"/>
      <c r="DLA13"/>
      <c r="DLB13"/>
      <c r="DLC13"/>
      <c r="DLD13"/>
      <c r="DLE13"/>
      <c r="DLF13"/>
      <c r="DLG13"/>
      <c r="DLH13"/>
      <c r="DLI13"/>
      <c r="DLJ13"/>
      <c r="DLK13"/>
      <c r="DLL13"/>
      <c r="DLM13"/>
      <c r="DLN13"/>
      <c r="DLO13"/>
      <c r="DLP13"/>
      <c r="DLQ13"/>
      <c r="DLR13"/>
      <c r="DLS13"/>
      <c r="DLT13"/>
      <c r="DLU13"/>
      <c r="DLV13"/>
      <c r="DLW13"/>
      <c r="DLX13"/>
      <c r="DLY13"/>
      <c r="DLZ13"/>
      <c r="DMA13"/>
      <c r="DMB13"/>
      <c r="DMC13"/>
      <c r="DMD13"/>
      <c r="DME13"/>
      <c r="DMF13"/>
      <c r="DMG13"/>
      <c r="DMH13"/>
      <c r="DMI13"/>
      <c r="DMJ13"/>
      <c r="DMK13"/>
      <c r="DML13"/>
      <c r="DMM13"/>
      <c r="DMN13"/>
      <c r="DMO13"/>
      <c r="DMP13"/>
      <c r="DMQ13"/>
      <c r="DMR13"/>
      <c r="DMS13"/>
      <c r="DMT13"/>
      <c r="DMU13"/>
      <c r="DMV13"/>
      <c r="DMW13"/>
      <c r="DMX13"/>
      <c r="DMY13"/>
      <c r="DMZ13"/>
      <c r="DNA13"/>
      <c r="DNB13"/>
      <c r="DNC13"/>
      <c r="DND13"/>
      <c r="DNE13"/>
      <c r="DNF13"/>
      <c r="DNG13"/>
      <c r="DNH13"/>
      <c r="DNI13"/>
      <c r="DNJ13"/>
      <c r="DNK13"/>
      <c r="DNL13"/>
      <c r="DNM13"/>
      <c r="DNN13"/>
      <c r="DNO13"/>
      <c r="DNP13"/>
      <c r="DNQ13"/>
      <c r="DNR13"/>
      <c r="DNS13"/>
      <c r="DNT13"/>
      <c r="DNU13"/>
      <c r="DNV13"/>
      <c r="DNW13"/>
      <c r="DNX13"/>
      <c r="DNY13"/>
      <c r="DNZ13"/>
      <c r="DOA13"/>
      <c r="DOB13"/>
      <c r="DOC13"/>
      <c r="DOD13"/>
      <c r="DOE13"/>
      <c r="DOF13"/>
      <c r="DOG13"/>
      <c r="DOH13"/>
      <c r="DOI13"/>
      <c r="DOJ13"/>
      <c r="DOK13"/>
      <c r="DOL13"/>
      <c r="DOM13"/>
      <c r="DON13"/>
      <c r="DOO13"/>
      <c r="DOP13"/>
      <c r="DOQ13"/>
      <c r="DOR13"/>
      <c r="DOS13"/>
      <c r="DOT13"/>
      <c r="DOU13"/>
      <c r="DOV13"/>
      <c r="DOW13"/>
      <c r="DOX13"/>
      <c r="DOY13"/>
      <c r="DOZ13"/>
      <c r="DPA13"/>
      <c r="DPB13"/>
      <c r="DPC13"/>
      <c r="DPD13"/>
      <c r="DPE13"/>
      <c r="DPF13"/>
      <c r="DPG13"/>
      <c r="DPH13"/>
      <c r="DPI13"/>
      <c r="DPJ13"/>
      <c r="DPK13"/>
      <c r="DPL13"/>
      <c r="DPM13"/>
      <c r="DPN13"/>
      <c r="DPO13"/>
      <c r="DPP13"/>
      <c r="DPQ13"/>
      <c r="DPR13"/>
      <c r="DPS13"/>
      <c r="DPT13"/>
      <c r="DPU13"/>
      <c r="DPV13"/>
      <c r="DPW13"/>
      <c r="DPX13"/>
      <c r="DPY13"/>
      <c r="DPZ13"/>
      <c r="DQA13"/>
      <c r="DQB13"/>
      <c r="DQC13"/>
      <c r="DQD13"/>
      <c r="DQE13"/>
      <c r="DQF13"/>
      <c r="DQG13"/>
      <c r="DQH13"/>
      <c r="DQI13"/>
      <c r="DQJ13"/>
      <c r="DQK13"/>
      <c r="DQL13"/>
      <c r="DQM13"/>
      <c r="DQN13"/>
      <c r="DQO13"/>
      <c r="DQP13"/>
      <c r="DQQ13"/>
      <c r="DQR13"/>
      <c r="DQS13"/>
      <c r="DQT13"/>
      <c r="DQU13"/>
      <c r="DQV13"/>
      <c r="DQW13"/>
      <c r="DQX13"/>
      <c r="DQY13"/>
      <c r="DQZ13"/>
      <c r="DRA13"/>
      <c r="DRB13"/>
      <c r="DRC13"/>
      <c r="DRD13"/>
      <c r="DRE13"/>
      <c r="DRF13"/>
      <c r="DRG13"/>
      <c r="DRH13"/>
      <c r="DRI13"/>
      <c r="DRJ13"/>
      <c r="DRK13"/>
      <c r="DRL13"/>
      <c r="DRM13"/>
      <c r="DRN13"/>
      <c r="DRO13"/>
      <c r="DRP13"/>
      <c r="DRQ13"/>
      <c r="DRR13"/>
      <c r="DRS13"/>
      <c r="DRT13"/>
      <c r="DRU13"/>
      <c r="DRV13"/>
      <c r="DRW13"/>
      <c r="DRX13"/>
      <c r="DRY13"/>
      <c r="DRZ13"/>
      <c r="DSA13"/>
      <c r="DSB13"/>
      <c r="DSC13"/>
      <c r="DSD13"/>
      <c r="DSE13"/>
      <c r="DSF13"/>
      <c r="DSG13"/>
      <c r="DSH13"/>
      <c r="DSI13"/>
      <c r="DSJ13"/>
      <c r="DSK13"/>
      <c r="DSL13"/>
      <c r="DSM13"/>
      <c r="DSN13"/>
      <c r="DSO13"/>
      <c r="DSP13"/>
      <c r="DSQ13"/>
      <c r="DSR13"/>
      <c r="DSS13"/>
      <c r="DST13"/>
      <c r="DSU13"/>
      <c r="DSV13"/>
      <c r="DSW13"/>
      <c r="DSX13"/>
      <c r="DSY13"/>
      <c r="DSZ13"/>
      <c r="DTA13"/>
      <c r="DTB13"/>
      <c r="DTC13"/>
      <c r="DTD13"/>
      <c r="DTE13"/>
      <c r="DTF13"/>
      <c r="DTG13"/>
      <c r="DTH13"/>
      <c r="DTI13"/>
      <c r="DTJ13"/>
      <c r="DTK13"/>
      <c r="DTL13"/>
      <c r="DTM13"/>
      <c r="DTN13"/>
      <c r="DTO13"/>
      <c r="DTP13"/>
      <c r="DTQ13"/>
      <c r="DTR13"/>
      <c r="DTS13"/>
      <c r="DTT13"/>
      <c r="DTU13"/>
      <c r="DTV13"/>
      <c r="DTW13"/>
      <c r="DTX13"/>
      <c r="DTY13"/>
      <c r="DTZ13"/>
      <c r="DUA13"/>
      <c r="DUB13"/>
      <c r="DUC13"/>
      <c r="DUD13"/>
      <c r="DUE13"/>
      <c r="DUF13"/>
      <c r="DUG13"/>
      <c r="DUH13"/>
      <c r="DUI13"/>
      <c r="DUJ13"/>
      <c r="DUK13"/>
      <c r="DUL13"/>
      <c r="DUM13"/>
      <c r="DUN13"/>
      <c r="DUO13"/>
      <c r="DUP13"/>
      <c r="DUQ13"/>
      <c r="DUR13"/>
      <c r="DUS13"/>
      <c r="DUT13"/>
      <c r="DUU13"/>
      <c r="DUV13"/>
      <c r="DUW13"/>
      <c r="DUX13"/>
      <c r="DUY13"/>
      <c r="DUZ13"/>
      <c r="DVA13"/>
      <c r="DVB13"/>
      <c r="DVC13"/>
      <c r="DVD13"/>
      <c r="DVE13"/>
      <c r="DVF13"/>
      <c r="DVG13"/>
      <c r="DVH13"/>
      <c r="DVI13"/>
      <c r="DVJ13"/>
      <c r="DVK13"/>
      <c r="DVL13"/>
      <c r="DVM13"/>
      <c r="DVN13"/>
      <c r="DVO13"/>
      <c r="DVP13"/>
      <c r="DVQ13"/>
      <c r="DVR13"/>
      <c r="DVS13"/>
      <c r="DVT13"/>
      <c r="DVU13"/>
      <c r="DVV13"/>
      <c r="DVW13"/>
      <c r="DVX13"/>
      <c r="DVY13"/>
      <c r="DVZ13"/>
      <c r="DWA13"/>
      <c r="DWB13"/>
      <c r="DWC13"/>
      <c r="DWD13"/>
      <c r="DWE13"/>
      <c r="DWF13"/>
      <c r="DWG13"/>
      <c r="DWH13"/>
      <c r="DWI13"/>
      <c r="DWJ13"/>
      <c r="DWK13"/>
      <c r="DWL13"/>
      <c r="DWM13"/>
      <c r="DWN13"/>
      <c r="DWO13"/>
      <c r="DWP13"/>
      <c r="DWQ13"/>
      <c r="DWR13"/>
      <c r="DWS13"/>
      <c r="DWT13"/>
      <c r="DWU13"/>
      <c r="DWV13"/>
      <c r="DWW13"/>
      <c r="DWX13"/>
      <c r="DWY13"/>
      <c r="DWZ13"/>
      <c r="DXA13"/>
      <c r="DXB13"/>
      <c r="DXC13"/>
      <c r="DXD13"/>
      <c r="DXE13"/>
      <c r="DXF13"/>
      <c r="DXG13"/>
      <c r="DXH13"/>
      <c r="DXI13"/>
      <c r="DXJ13"/>
      <c r="DXK13"/>
      <c r="DXL13"/>
      <c r="DXM13"/>
      <c r="DXN13"/>
      <c r="DXO13"/>
      <c r="DXP13"/>
      <c r="DXQ13"/>
      <c r="DXR13"/>
      <c r="DXS13"/>
      <c r="DXT13"/>
      <c r="DXU13"/>
      <c r="DXV13"/>
      <c r="DXW13"/>
      <c r="DXX13"/>
      <c r="DXY13"/>
      <c r="DXZ13"/>
      <c r="DYA13"/>
      <c r="DYB13"/>
      <c r="DYC13"/>
      <c r="DYD13"/>
      <c r="DYE13"/>
      <c r="DYF13"/>
      <c r="DYG13"/>
      <c r="DYH13"/>
      <c r="DYI13"/>
      <c r="DYJ13"/>
      <c r="DYK13"/>
      <c r="DYL13"/>
      <c r="DYM13"/>
      <c r="DYN13"/>
      <c r="DYO13"/>
      <c r="DYP13"/>
      <c r="DYQ13"/>
      <c r="DYR13"/>
      <c r="DYS13"/>
      <c r="DYT13"/>
      <c r="DYU13"/>
      <c r="DYV13"/>
      <c r="DYW13"/>
      <c r="DYX13"/>
      <c r="DYY13"/>
      <c r="DYZ13"/>
      <c r="DZA13"/>
      <c r="DZB13"/>
      <c r="DZC13"/>
      <c r="DZD13"/>
      <c r="DZE13"/>
      <c r="DZF13"/>
      <c r="DZG13"/>
      <c r="DZH13"/>
      <c r="DZI13"/>
      <c r="DZJ13"/>
      <c r="DZK13"/>
      <c r="DZL13"/>
      <c r="DZM13"/>
      <c r="DZN13"/>
      <c r="DZO13"/>
      <c r="DZP13"/>
      <c r="DZQ13"/>
      <c r="DZR13"/>
      <c r="DZS13"/>
      <c r="DZT13"/>
      <c r="DZU13"/>
      <c r="DZV13"/>
      <c r="DZW13"/>
      <c r="DZX13"/>
      <c r="DZY13"/>
      <c r="DZZ13"/>
      <c r="EAA13"/>
      <c r="EAB13"/>
      <c r="EAC13"/>
      <c r="EAD13"/>
      <c r="EAE13"/>
      <c r="EAF13"/>
      <c r="EAG13"/>
      <c r="EAH13"/>
      <c r="EAI13"/>
      <c r="EAJ13"/>
      <c r="EAK13"/>
      <c r="EAL13"/>
      <c r="EAM13"/>
      <c r="EAN13"/>
      <c r="EAO13"/>
      <c r="EAP13"/>
      <c r="EAQ13"/>
      <c r="EAR13"/>
      <c r="EAS13"/>
      <c r="EAT13"/>
      <c r="EAU13"/>
      <c r="EAV13"/>
      <c r="EAW13"/>
      <c r="EAX13"/>
      <c r="EAY13"/>
      <c r="EAZ13"/>
      <c r="EBA13"/>
      <c r="EBB13"/>
      <c r="EBC13"/>
      <c r="EBD13"/>
      <c r="EBE13"/>
      <c r="EBF13"/>
      <c r="EBG13"/>
      <c r="EBH13"/>
      <c r="EBI13"/>
      <c r="EBJ13"/>
      <c r="EBK13"/>
      <c r="EBL13"/>
      <c r="EBM13"/>
      <c r="EBN13"/>
      <c r="EBO13"/>
      <c r="EBP13"/>
      <c r="EBQ13"/>
      <c r="EBR13"/>
      <c r="EBS13"/>
      <c r="EBT13"/>
      <c r="EBU13"/>
      <c r="EBV13"/>
      <c r="EBW13"/>
      <c r="EBX13"/>
      <c r="EBY13"/>
      <c r="EBZ13"/>
      <c r="ECA13"/>
      <c r="ECB13"/>
      <c r="ECC13"/>
      <c r="ECD13"/>
      <c r="ECE13"/>
      <c r="ECF13"/>
      <c r="ECG13"/>
      <c r="ECH13"/>
      <c r="ECI13"/>
      <c r="ECJ13"/>
      <c r="ECK13"/>
      <c r="ECL13"/>
      <c r="ECM13"/>
      <c r="ECN13"/>
      <c r="ECO13"/>
      <c r="ECP13"/>
      <c r="ECQ13"/>
      <c r="ECR13"/>
      <c r="ECS13"/>
      <c r="ECT13"/>
      <c r="ECU13"/>
      <c r="ECV13"/>
      <c r="ECW13"/>
      <c r="ECX13"/>
      <c r="ECY13"/>
      <c r="ECZ13"/>
      <c r="EDA13"/>
      <c r="EDB13"/>
      <c r="EDC13"/>
      <c r="EDD13"/>
      <c r="EDE13"/>
      <c r="EDF13"/>
      <c r="EDG13"/>
      <c r="EDH13"/>
      <c r="EDI13"/>
      <c r="EDJ13"/>
      <c r="EDK13"/>
      <c r="EDL13"/>
      <c r="EDM13"/>
      <c r="EDN13"/>
      <c r="EDO13"/>
      <c r="EDP13"/>
      <c r="EDQ13"/>
      <c r="EDR13"/>
      <c r="EDS13"/>
      <c r="EDT13"/>
      <c r="EDU13"/>
      <c r="EDV13"/>
      <c r="EDW13"/>
      <c r="EDX13"/>
      <c r="EDY13"/>
      <c r="EDZ13"/>
      <c r="EEA13"/>
      <c r="EEB13"/>
      <c r="EEC13"/>
      <c r="EED13"/>
      <c r="EEE13"/>
      <c r="EEF13"/>
      <c r="EEG13"/>
      <c r="EEH13"/>
      <c r="EEI13"/>
      <c r="EEJ13"/>
      <c r="EEK13"/>
      <c r="EEL13"/>
      <c r="EEM13"/>
      <c r="EEN13"/>
      <c r="EEO13"/>
      <c r="EEP13"/>
      <c r="EEQ13"/>
      <c r="EER13"/>
      <c r="EES13"/>
      <c r="EET13"/>
      <c r="EEU13"/>
      <c r="EEV13"/>
      <c r="EEW13"/>
      <c r="EEX13"/>
      <c r="EEY13"/>
      <c r="EEZ13"/>
      <c r="EFA13"/>
      <c r="EFB13"/>
      <c r="EFC13"/>
      <c r="EFD13"/>
      <c r="EFE13"/>
      <c r="EFF13"/>
      <c r="EFG13"/>
      <c r="EFH13"/>
      <c r="EFI13"/>
      <c r="EFJ13"/>
      <c r="EFK13"/>
      <c r="EFL13"/>
      <c r="EFM13"/>
      <c r="EFN13"/>
      <c r="EFO13"/>
      <c r="EFP13"/>
      <c r="EFQ13"/>
      <c r="EFR13"/>
      <c r="EFS13"/>
      <c r="EFT13"/>
      <c r="EFU13"/>
      <c r="EFV13"/>
      <c r="EFW13"/>
      <c r="EFX13"/>
      <c r="EFY13"/>
      <c r="EFZ13"/>
      <c r="EGA13"/>
      <c r="EGB13"/>
      <c r="EGC13"/>
      <c r="EGD13"/>
      <c r="EGE13"/>
      <c r="EGF13"/>
      <c r="EGG13"/>
      <c r="EGH13"/>
      <c r="EGI13"/>
      <c r="EGJ13"/>
      <c r="EGK13"/>
      <c r="EGL13"/>
      <c r="EGM13"/>
      <c r="EGN13"/>
      <c r="EGO13"/>
      <c r="EGP13"/>
      <c r="EGQ13"/>
      <c r="EGR13"/>
      <c r="EGS13"/>
      <c r="EGT13"/>
      <c r="EGU13"/>
      <c r="EGV13"/>
      <c r="EGW13"/>
      <c r="EGX13"/>
      <c r="EGY13"/>
      <c r="EGZ13"/>
      <c r="EHA13"/>
      <c r="EHB13"/>
      <c r="EHC13"/>
      <c r="EHD13"/>
      <c r="EHE13"/>
      <c r="EHF13"/>
      <c r="EHG13"/>
      <c r="EHH13"/>
      <c r="EHI13"/>
      <c r="EHJ13"/>
      <c r="EHK13"/>
      <c r="EHL13"/>
      <c r="EHM13"/>
      <c r="EHN13"/>
      <c r="EHO13"/>
      <c r="EHP13"/>
      <c r="EHQ13"/>
      <c r="EHR13"/>
      <c r="EHS13"/>
      <c r="EHT13"/>
      <c r="EHU13"/>
      <c r="EHV13"/>
      <c r="EHW13"/>
      <c r="EHX13"/>
      <c r="EHY13"/>
      <c r="EHZ13"/>
      <c r="EIA13"/>
      <c r="EIB13"/>
      <c r="EIC13"/>
      <c r="EID13"/>
      <c r="EIE13"/>
      <c r="EIF13"/>
      <c r="EIG13"/>
      <c r="EIH13"/>
      <c r="EII13"/>
      <c r="EIJ13"/>
      <c r="EIK13"/>
      <c r="EIL13"/>
      <c r="EIM13"/>
      <c r="EIN13"/>
      <c r="EIO13"/>
      <c r="EIP13"/>
      <c r="EIQ13"/>
      <c r="EIR13"/>
      <c r="EIS13"/>
      <c r="EIT13"/>
      <c r="EIU13"/>
      <c r="EIV13"/>
      <c r="EIW13"/>
      <c r="EIX13"/>
      <c r="EIY13"/>
      <c r="EIZ13"/>
      <c r="EJA13"/>
      <c r="EJB13"/>
      <c r="EJC13"/>
      <c r="EJD13"/>
      <c r="EJE13"/>
      <c r="EJF13"/>
      <c r="EJG13"/>
      <c r="EJH13"/>
      <c r="EJI13"/>
      <c r="EJJ13"/>
      <c r="EJK13"/>
      <c r="EJL13"/>
      <c r="EJM13"/>
      <c r="EJN13"/>
      <c r="EJO13"/>
      <c r="EJP13"/>
      <c r="EJQ13"/>
      <c r="EJR13"/>
      <c r="EJS13"/>
      <c r="EJT13"/>
      <c r="EJU13"/>
      <c r="EJV13"/>
      <c r="EJW13"/>
      <c r="EJX13"/>
      <c r="EJY13"/>
      <c r="EJZ13"/>
      <c r="EKA13"/>
      <c r="EKB13"/>
      <c r="EKC13"/>
      <c r="EKD13"/>
      <c r="EKE13"/>
      <c r="EKF13"/>
      <c r="EKG13"/>
      <c r="EKH13"/>
      <c r="EKI13"/>
      <c r="EKJ13"/>
      <c r="EKK13"/>
      <c r="EKL13"/>
      <c r="EKM13"/>
      <c r="EKN13"/>
      <c r="EKO13"/>
      <c r="EKP13"/>
      <c r="EKQ13"/>
      <c r="EKR13"/>
      <c r="EKS13"/>
      <c r="EKT13"/>
      <c r="EKU13"/>
      <c r="EKV13"/>
      <c r="EKW13"/>
      <c r="EKX13"/>
      <c r="EKY13"/>
      <c r="EKZ13"/>
      <c r="ELA13"/>
      <c r="ELB13"/>
      <c r="ELC13"/>
      <c r="ELD13"/>
      <c r="ELE13"/>
      <c r="ELF13"/>
      <c r="ELG13"/>
      <c r="ELH13"/>
      <c r="ELI13"/>
      <c r="ELJ13"/>
      <c r="ELK13"/>
      <c r="ELL13"/>
      <c r="ELM13"/>
      <c r="ELN13"/>
      <c r="ELO13"/>
      <c r="ELP13"/>
      <c r="ELQ13"/>
      <c r="ELR13"/>
      <c r="ELS13"/>
      <c r="ELT13"/>
      <c r="ELU13"/>
      <c r="ELV13"/>
      <c r="ELW13"/>
      <c r="ELX13"/>
      <c r="ELY13"/>
      <c r="ELZ13"/>
      <c r="EMA13"/>
      <c r="EMB13"/>
      <c r="EMC13"/>
      <c r="EMD13"/>
      <c r="EME13"/>
      <c r="EMF13"/>
      <c r="EMG13"/>
      <c r="EMH13"/>
      <c r="EMI13"/>
      <c r="EMJ13"/>
      <c r="EMK13"/>
      <c r="EML13"/>
      <c r="EMM13"/>
      <c r="EMN13"/>
      <c r="EMO13"/>
      <c r="EMP13"/>
      <c r="EMQ13"/>
      <c r="EMR13"/>
      <c r="EMS13"/>
      <c r="EMT13"/>
      <c r="EMU13"/>
      <c r="EMV13"/>
      <c r="EMW13"/>
      <c r="EMX13"/>
      <c r="EMY13"/>
      <c r="EMZ13"/>
      <c r="ENA13"/>
      <c r="ENB13"/>
      <c r="ENC13"/>
      <c r="END13"/>
      <c r="ENE13"/>
      <c r="ENF13"/>
      <c r="ENG13"/>
      <c r="ENH13"/>
      <c r="ENI13"/>
      <c r="ENJ13"/>
      <c r="ENK13"/>
      <c r="ENL13"/>
      <c r="ENM13"/>
      <c r="ENN13"/>
      <c r="ENO13"/>
      <c r="ENP13"/>
      <c r="ENQ13"/>
      <c r="ENR13"/>
      <c r="ENS13"/>
      <c r="ENT13"/>
      <c r="ENU13"/>
      <c r="ENV13"/>
      <c r="ENW13"/>
      <c r="ENX13"/>
      <c r="ENY13"/>
      <c r="ENZ13"/>
      <c r="EOA13"/>
      <c r="EOB13"/>
      <c r="EOC13"/>
      <c r="EOD13"/>
      <c r="EOE13"/>
      <c r="EOF13"/>
      <c r="EOG13"/>
      <c r="EOH13"/>
      <c r="EOI13"/>
      <c r="EOJ13"/>
      <c r="EOK13"/>
      <c r="EOL13"/>
      <c r="EOM13"/>
      <c r="EON13"/>
      <c r="EOO13"/>
      <c r="EOP13"/>
      <c r="EOQ13"/>
      <c r="EOR13"/>
      <c r="EOS13"/>
      <c r="EOT13"/>
      <c r="EOU13"/>
      <c r="EOV13"/>
      <c r="EOW13"/>
      <c r="EOX13"/>
      <c r="EOY13"/>
      <c r="EOZ13"/>
      <c r="EPA13"/>
      <c r="EPB13"/>
      <c r="EPC13"/>
      <c r="EPD13"/>
      <c r="EPE13"/>
      <c r="EPF13"/>
      <c r="EPG13"/>
      <c r="EPH13"/>
      <c r="EPI13"/>
      <c r="EPJ13"/>
      <c r="EPK13"/>
      <c r="EPL13"/>
      <c r="EPM13"/>
      <c r="EPN13"/>
      <c r="EPO13"/>
      <c r="EPP13"/>
      <c r="EPQ13"/>
      <c r="EPR13"/>
      <c r="EPS13"/>
      <c r="EPT13"/>
      <c r="EPU13"/>
      <c r="EPV13"/>
      <c r="EPW13"/>
      <c r="EPX13"/>
      <c r="EPY13"/>
      <c r="EPZ13"/>
      <c r="EQA13"/>
      <c r="EQB13"/>
      <c r="EQC13"/>
      <c r="EQD13"/>
      <c r="EQE13"/>
      <c r="EQF13"/>
      <c r="EQG13"/>
      <c r="EQH13"/>
      <c r="EQI13"/>
      <c r="EQJ13"/>
      <c r="EQK13"/>
      <c r="EQL13"/>
      <c r="EQM13"/>
      <c r="EQN13"/>
      <c r="EQO13"/>
      <c r="EQP13"/>
      <c r="EQQ13"/>
      <c r="EQR13"/>
      <c r="EQS13"/>
      <c r="EQT13"/>
      <c r="EQU13"/>
      <c r="EQV13"/>
      <c r="EQW13"/>
      <c r="EQX13"/>
      <c r="EQY13"/>
      <c r="EQZ13"/>
      <c r="ERA13"/>
      <c r="ERB13"/>
      <c r="ERC13"/>
      <c r="ERD13"/>
      <c r="ERE13"/>
      <c r="ERF13"/>
      <c r="ERG13"/>
      <c r="ERH13"/>
      <c r="ERI13"/>
      <c r="ERJ13"/>
      <c r="ERK13"/>
      <c r="ERL13"/>
      <c r="ERM13"/>
      <c r="ERN13"/>
      <c r="ERO13"/>
      <c r="ERP13"/>
      <c r="ERQ13"/>
      <c r="ERR13"/>
      <c r="ERS13"/>
      <c r="ERT13"/>
      <c r="ERU13"/>
      <c r="ERV13"/>
      <c r="ERW13"/>
      <c r="ERX13"/>
      <c r="ERY13"/>
      <c r="ERZ13"/>
      <c r="ESA13"/>
      <c r="ESB13"/>
      <c r="ESC13"/>
      <c r="ESD13"/>
      <c r="ESE13"/>
      <c r="ESF13"/>
      <c r="ESG13"/>
      <c r="ESH13"/>
      <c r="ESI13"/>
      <c r="ESJ13"/>
      <c r="ESK13"/>
      <c r="ESL13"/>
      <c r="ESM13"/>
      <c r="ESN13"/>
      <c r="ESO13"/>
      <c r="ESP13"/>
      <c r="ESQ13"/>
      <c r="ESR13"/>
      <c r="ESS13"/>
      <c r="EST13"/>
      <c r="ESU13"/>
      <c r="ESV13"/>
      <c r="ESW13"/>
      <c r="ESX13"/>
      <c r="ESY13"/>
      <c r="ESZ13"/>
      <c r="ETA13"/>
      <c r="ETB13"/>
      <c r="ETC13"/>
      <c r="ETD13"/>
      <c r="ETE13"/>
      <c r="ETF13"/>
      <c r="ETG13"/>
      <c r="ETH13"/>
      <c r="ETI13"/>
      <c r="ETJ13"/>
      <c r="ETK13"/>
      <c r="ETL13"/>
      <c r="ETM13"/>
      <c r="ETN13"/>
      <c r="ETO13"/>
      <c r="ETP13"/>
      <c r="ETQ13"/>
      <c r="ETR13"/>
      <c r="ETS13"/>
      <c r="ETT13"/>
      <c r="ETU13"/>
      <c r="ETV13"/>
      <c r="ETW13"/>
      <c r="ETX13"/>
      <c r="ETY13"/>
      <c r="ETZ13"/>
      <c r="EUA13"/>
      <c r="EUB13"/>
      <c r="EUC13"/>
      <c r="EUD13"/>
      <c r="EUE13"/>
      <c r="EUF13"/>
      <c r="EUG13"/>
      <c r="EUH13"/>
      <c r="EUI13"/>
      <c r="EUJ13"/>
      <c r="EUK13"/>
      <c r="EUL13"/>
      <c r="EUM13"/>
      <c r="EUN13"/>
      <c r="EUO13"/>
      <c r="EUP13"/>
      <c r="EUQ13"/>
      <c r="EUR13"/>
      <c r="EUS13"/>
      <c r="EUT13"/>
      <c r="EUU13"/>
      <c r="EUV13"/>
      <c r="EUW13"/>
      <c r="EUX13"/>
      <c r="EUY13"/>
      <c r="EUZ13"/>
      <c r="EVA13"/>
      <c r="EVB13"/>
      <c r="EVC13"/>
      <c r="EVD13"/>
      <c r="EVE13"/>
      <c r="EVF13"/>
      <c r="EVG13"/>
      <c r="EVH13"/>
      <c r="EVI13"/>
      <c r="EVJ13"/>
      <c r="EVK13"/>
      <c r="EVL13"/>
      <c r="EVM13"/>
      <c r="EVN13"/>
      <c r="EVO13"/>
      <c r="EVP13"/>
      <c r="EVQ13"/>
      <c r="EVR13"/>
      <c r="EVS13"/>
      <c r="EVT13"/>
      <c r="EVU13"/>
      <c r="EVV13"/>
      <c r="EVW13"/>
      <c r="EVX13"/>
      <c r="EVY13"/>
      <c r="EVZ13"/>
      <c r="EWA13"/>
      <c r="EWB13"/>
      <c r="EWC13"/>
      <c r="EWD13"/>
      <c r="EWE13"/>
      <c r="EWF13"/>
      <c r="EWG13"/>
      <c r="EWH13"/>
      <c r="EWI13"/>
      <c r="EWJ13"/>
      <c r="EWK13"/>
      <c r="EWL13"/>
      <c r="EWM13"/>
      <c r="EWN13"/>
      <c r="EWO13"/>
      <c r="EWP13"/>
      <c r="EWQ13"/>
      <c r="EWR13"/>
      <c r="EWS13"/>
      <c r="EWT13"/>
      <c r="EWU13"/>
      <c r="EWV13"/>
      <c r="EWW13"/>
      <c r="EWX13"/>
      <c r="EWY13"/>
      <c r="EWZ13"/>
      <c r="EXA13"/>
      <c r="EXB13"/>
      <c r="EXC13"/>
      <c r="EXD13"/>
      <c r="EXE13"/>
      <c r="EXF13"/>
      <c r="EXG13"/>
      <c r="EXH13"/>
      <c r="EXI13"/>
      <c r="EXJ13"/>
      <c r="EXK13"/>
      <c r="EXL13"/>
      <c r="EXM13"/>
      <c r="EXN13"/>
      <c r="EXO13"/>
      <c r="EXP13"/>
      <c r="EXQ13"/>
      <c r="EXR13"/>
      <c r="EXS13"/>
      <c r="EXT13"/>
      <c r="EXU13"/>
      <c r="EXV13"/>
      <c r="EXW13"/>
      <c r="EXX13"/>
      <c r="EXY13"/>
      <c r="EXZ13"/>
      <c r="EYA13"/>
      <c r="EYB13"/>
      <c r="EYC13"/>
      <c r="EYD13"/>
      <c r="EYE13"/>
      <c r="EYF13"/>
      <c r="EYG13"/>
      <c r="EYH13"/>
      <c r="EYI13"/>
      <c r="EYJ13"/>
      <c r="EYK13"/>
      <c r="EYL13"/>
      <c r="EYM13"/>
      <c r="EYN13"/>
      <c r="EYO13"/>
      <c r="EYP13"/>
      <c r="EYQ13"/>
      <c r="EYR13"/>
      <c r="EYS13"/>
      <c r="EYT13"/>
      <c r="EYU13"/>
      <c r="EYV13"/>
      <c r="EYW13"/>
      <c r="EYX13"/>
      <c r="EYY13"/>
      <c r="EYZ13"/>
      <c r="EZA13"/>
      <c r="EZB13"/>
      <c r="EZC13"/>
      <c r="EZD13"/>
      <c r="EZE13"/>
      <c r="EZF13"/>
      <c r="EZG13"/>
      <c r="EZH13"/>
      <c r="EZI13"/>
      <c r="EZJ13"/>
      <c r="EZK13"/>
      <c r="EZL13"/>
      <c r="EZM13"/>
      <c r="EZN13"/>
      <c r="EZO13"/>
      <c r="EZP13"/>
      <c r="EZQ13"/>
      <c r="EZR13"/>
      <c r="EZS13"/>
      <c r="EZT13"/>
      <c r="EZU13"/>
      <c r="EZV13"/>
      <c r="EZW13"/>
      <c r="EZX13"/>
      <c r="EZY13"/>
      <c r="EZZ13"/>
      <c r="FAA13"/>
      <c r="FAB13"/>
      <c r="FAC13"/>
      <c r="FAD13"/>
      <c r="FAE13"/>
      <c r="FAF13"/>
      <c r="FAG13"/>
      <c r="FAH13"/>
      <c r="FAI13"/>
      <c r="FAJ13"/>
      <c r="FAK13"/>
      <c r="FAL13"/>
      <c r="FAM13"/>
      <c r="FAN13"/>
      <c r="FAO13"/>
      <c r="FAP13"/>
      <c r="FAQ13"/>
      <c r="FAR13"/>
      <c r="FAS13"/>
      <c r="FAT13"/>
      <c r="FAU13"/>
      <c r="FAV13"/>
      <c r="FAW13"/>
      <c r="FAX13"/>
      <c r="FAY13"/>
      <c r="FAZ13"/>
      <c r="FBA13"/>
      <c r="FBB13"/>
      <c r="FBC13"/>
      <c r="FBD13"/>
      <c r="FBE13"/>
      <c r="FBF13"/>
      <c r="FBG13"/>
      <c r="FBH13"/>
      <c r="FBI13"/>
      <c r="FBJ13"/>
      <c r="FBK13"/>
      <c r="FBL13"/>
      <c r="FBM13"/>
      <c r="FBN13"/>
      <c r="FBO13"/>
      <c r="FBP13"/>
      <c r="FBQ13"/>
      <c r="FBR13"/>
      <c r="FBS13"/>
      <c r="FBT13"/>
      <c r="FBU13"/>
      <c r="FBV13"/>
      <c r="FBW13"/>
      <c r="FBX13"/>
      <c r="FBY13"/>
      <c r="FBZ13"/>
      <c r="FCA13"/>
      <c r="FCB13"/>
      <c r="FCC13"/>
      <c r="FCD13"/>
      <c r="FCE13"/>
      <c r="FCF13"/>
      <c r="FCG13"/>
      <c r="FCH13"/>
      <c r="FCI13"/>
      <c r="FCJ13"/>
      <c r="FCK13"/>
      <c r="FCL13"/>
      <c r="FCM13"/>
      <c r="FCN13"/>
      <c r="FCO13"/>
      <c r="FCP13"/>
      <c r="FCQ13"/>
      <c r="FCR13"/>
      <c r="FCS13"/>
      <c r="FCT13"/>
      <c r="FCU13"/>
      <c r="FCV13"/>
      <c r="FCW13"/>
      <c r="FCX13"/>
      <c r="FCY13"/>
      <c r="FCZ13"/>
      <c r="FDA13"/>
      <c r="FDB13"/>
      <c r="FDC13"/>
      <c r="FDD13"/>
      <c r="FDE13"/>
      <c r="FDF13"/>
      <c r="FDG13"/>
      <c r="FDH13"/>
      <c r="FDI13"/>
      <c r="FDJ13"/>
      <c r="FDK13"/>
      <c r="FDL13"/>
      <c r="FDM13"/>
      <c r="FDN13"/>
      <c r="FDO13"/>
      <c r="FDP13"/>
      <c r="FDQ13"/>
      <c r="FDR13"/>
      <c r="FDS13"/>
      <c r="FDT13"/>
      <c r="FDU13"/>
      <c r="FDV13"/>
      <c r="FDW13"/>
      <c r="FDX13"/>
      <c r="FDY13"/>
      <c r="FDZ13"/>
      <c r="FEA13"/>
      <c r="FEB13"/>
      <c r="FEC13"/>
      <c r="FED13"/>
      <c r="FEE13"/>
      <c r="FEF13"/>
      <c r="FEG13"/>
      <c r="FEH13"/>
      <c r="FEI13"/>
      <c r="FEJ13"/>
      <c r="FEK13"/>
      <c r="FEL13"/>
      <c r="FEM13"/>
      <c r="FEN13"/>
      <c r="FEO13"/>
      <c r="FEP13"/>
      <c r="FEQ13"/>
      <c r="FER13"/>
      <c r="FES13"/>
      <c r="FET13"/>
      <c r="FEU13"/>
      <c r="FEV13"/>
      <c r="FEW13"/>
      <c r="FEX13"/>
      <c r="FEY13"/>
      <c r="FEZ13"/>
      <c r="FFA13"/>
      <c r="FFB13"/>
      <c r="FFC13"/>
      <c r="FFD13"/>
      <c r="FFE13"/>
      <c r="FFF13"/>
      <c r="FFG13"/>
      <c r="FFH13"/>
      <c r="FFI13"/>
      <c r="FFJ13"/>
      <c r="FFK13"/>
      <c r="FFL13"/>
      <c r="FFM13"/>
      <c r="FFN13"/>
      <c r="FFO13"/>
      <c r="FFP13"/>
      <c r="FFQ13"/>
      <c r="FFR13"/>
      <c r="FFS13"/>
      <c r="FFT13"/>
      <c r="FFU13"/>
      <c r="FFV13"/>
      <c r="FFW13"/>
      <c r="FFX13"/>
      <c r="FFY13"/>
      <c r="FFZ13"/>
      <c r="FGA13"/>
      <c r="FGB13"/>
      <c r="FGC13"/>
      <c r="FGD13"/>
      <c r="FGE13"/>
      <c r="FGF13"/>
      <c r="FGG13"/>
      <c r="FGH13"/>
      <c r="FGI13"/>
      <c r="FGJ13"/>
      <c r="FGK13"/>
      <c r="FGL13"/>
      <c r="FGM13"/>
      <c r="FGN13"/>
      <c r="FGO13"/>
      <c r="FGP13"/>
      <c r="FGQ13"/>
      <c r="FGR13"/>
      <c r="FGS13"/>
      <c r="FGT13"/>
      <c r="FGU13"/>
      <c r="FGV13"/>
      <c r="FGW13"/>
      <c r="FGX13"/>
      <c r="FGY13"/>
      <c r="FGZ13"/>
      <c r="FHA13"/>
      <c r="FHB13"/>
      <c r="FHC13"/>
      <c r="FHD13"/>
      <c r="FHE13"/>
      <c r="FHF13"/>
      <c r="FHG13"/>
      <c r="FHH13"/>
      <c r="FHI13"/>
      <c r="FHJ13"/>
      <c r="FHK13"/>
      <c r="FHL13"/>
      <c r="FHM13"/>
      <c r="FHN13"/>
      <c r="FHO13"/>
      <c r="FHP13"/>
      <c r="FHQ13"/>
      <c r="FHR13"/>
      <c r="FHS13"/>
      <c r="FHT13"/>
      <c r="FHU13"/>
      <c r="FHV13"/>
      <c r="FHW13"/>
      <c r="FHX13"/>
      <c r="FHY13"/>
      <c r="FHZ13"/>
      <c r="FIA13"/>
      <c r="FIB13"/>
      <c r="FIC13"/>
      <c r="FID13"/>
      <c r="FIE13"/>
      <c r="FIF13"/>
      <c r="FIG13"/>
      <c r="FIH13"/>
      <c r="FII13"/>
      <c r="FIJ13"/>
      <c r="FIK13"/>
      <c r="FIL13"/>
      <c r="FIM13"/>
      <c r="FIN13"/>
      <c r="FIO13"/>
      <c r="FIP13"/>
      <c r="FIQ13"/>
      <c r="FIR13"/>
      <c r="FIS13"/>
      <c r="FIT13"/>
      <c r="FIU13"/>
      <c r="FIV13"/>
      <c r="FIW13"/>
      <c r="FIX13"/>
      <c r="FIY13"/>
      <c r="FIZ13"/>
      <c r="FJA13"/>
      <c r="FJB13"/>
      <c r="FJC13"/>
      <c r="FJD13"/>
      <c r="FJE13"/>
      <c r="FJF13"/>
      <c r="FJG13"/>
      <c r="FJH13"/>
      <c r="FJI13"/>
      <c r="FJJ13"/>
      <c r="FJK13"/>
      <c r="FJL13"/>
      <c r="FJM13"/>
      <c r="FJN13"/>
      <c r="FJO13"/>
      <c r="FJP13"/>
      <c r="FJQ13"/>
      <c r="FJR13"/>
      <c r="FJS13"/>
      <c r="FJT13"/>
      <c r="FJU13"/>
      <c r="FJV13"/>
      <c r="FJW13"/>
      <c r="FJX13"/>
      <c r="FJY13"/>
      <c r="FJZ13"/>
      <c r="FKA13"/>
      <c r="FKB13"/>
      <c r="FKC13"/>
      <c r="FKD13"/>
      <c r="FKE13"/>
      <c r="FKF13"/>
      <c r="FKG13"/>
      <c r="FKH13"/>
      <c r="FKI13"/>
      <c r="FKJ13"/>
      <c r="FKK13"/>
      <c r="FKL13"/>
      <c r="FKM13"/>
      <c r="FKN13"/>
      <c r="FKO13"/>
      <c r="FKP13"/>
      <c r="FKQ13"/>
      <c r="FKR13"/>
      <c r="FKS13"/>
      <c r="FKT13"/>
      <c r="FKU13"/>
      <c r="FKV13"/>
      <c r="FKW13"/>
      <c r="FKX13"/>
      <c r="FKY13"/>
      <c r="FKZ13"/>
      <c r="FLA13"/>
      <c r="FLB13"/>
      <c r="FLC13"/>
      <c r="FLD13"/>
      <c r="FLE13"/>
      <c r="FLF13"/>
      <c r="FLG13"/>
      <c r="FLH13"/>
      <c r="FLI13"/>
      <c r="FLJ13"/>
      <c r="FLK13"/>
      <c r="FLL13"/>
      <c r="FLM13"/>
      <c r="FLN13"/>
      <c r="FLO13"/>
      <c r="FLP13"/>
      <c r="FLQ13"/>
      <c r="FLR13"/>
      <c r="FLS13"/>
      <c r="FLT13"/>
      <c r="FLU13"/>
      <c r="FLV13"/>
      <c r="FLW13"/>
      <c r="FLX13"/>
      <c r="FLY13"/>
      <c r="FLZ13"/>
      <c r="FMA13"/>
      <c r="FMB13"/>
      <c r="FMC13"/>
      <c r="FMD13"/>
      <c r="FME13"/>
      <c r="FMF13"/>
      <c r="FMG13"/>
      <c r="FMH13"/>
      <c r="FMI13"/>
      <c r="FMJ13"/>
      <c r="FMK13"/>
      <c r="FML13"/>
      <c r="FMM13"/>
      <c r="FMN13"/>
      <c r="FMO13"/>
      <c r="FMP13"/>
      <c r="FMQ13"/>
      <c r="FMR13"/>
      <c r="FMS13"/>
      <c r="FMT13"/>
      <c r="FMU13"/>
      <c r="FMV13"/>
      <c r="FMW13"/>
      <c r="FMX13"/>
      <c r="FMY13"/>
      <c r="FMZ13"/>
      <c r="FNA13"/>
      <c r="FNB13"/>
      <c r="FNC13"/>
      <c r="FND13"/>
      <c r="FNE13"/>
      <c r="FNF13"/>
      <c r="FNG13"/>
      <c r="FNH13"/>
      <c r="FNI13"/>
      <c r="FNJ13"/>
      <c r="FNK13"/>
      <c r="FNL13"/>
      <c r="FNM13"/>
      <c r="FNN13"/>
      <c r="FNO13"/>
      <c r="FNP13"/>
      <c r="FNQ13"/>
      <c r="FNR13"/>
      <c r="FNS13"/>
      <c r="FNT13"/>
      <c r="FNU13"/>
      <c r="FNV13"/>
      <c r="FNW13"/>
      <c r="FNX13"/>
      <c r="FNY13"/>
      <c r="FNZ13"/>
      <c r="FOA13"/>
      <c r="FOB13"/>
      <c r="FOC13"/>
      <c r="FOD13"/>
      <c r="FOE13"/>
      <c r="FOF13"/>
      <c r="FOG13"/>
      <c r="FOH13"/>
      <c r="FOI13"/>
      <c r="FOJ13"/>
      <c r="FOK13"/>
      <c r="FOL13"/>
      <c r="FOM13"/>
      <c r="FON13"/>
      <c r="FOO13"/>
      <c r="FOP13"/>
      <c r="FOQ13"/>
      <c r="FOR13"/>
      <c r="FOS13"/>
      <c r="FOT13"/>
      <c r="FOU13"/>
      <c r="FOV13"/>
      <c r="FOW13"/>
      <c r="FOX13"/>
      <c r="FOY13"/>
      <c r="FOZ13"/>
      <c r="FPA13"/>
      <c r="FPB13"/>
      <c r="FPC13"/>
      <c r="FPD13"/>
      <c r="FPE13"/>
      <c r="FPF13"/>
      <c r="FPG13"/>
      <c r="FPH13"/>
      <c r="FPI13"/>
      <c r="FPJ13"/>
      <c r="FPK13"/>
      <c r="FPL13"/>
      <c r="FPM13"/>
      <c r="FPN13"/>
      <c r="FPO13"/>
      <c r="FPP13"/>
      <c r="FPQ13"/>
      <c r="FPR13"/>
      <c r="FPS13"/>
      <c r="FPT13"/>
      <c r="FPU13"/>
      <c r="FPV13"/>
      <c r="FPW13"/>
      <c r="FPX13"/>
      <c r="FPY13"/>
      <c r="FPZ13"/>
      <c r="FQA13"/>
      <c r="FQB13"/>
      <c r="FQC13"/>
      <c r="FQD13"/>
      <c r="FQE13"/>
      <c r="FQF13"/>
      <c r="FQG13"/>
      <c r="FQH13"/>
      <c r="FQI13"/>
      <c r="FQJ13"/>
      <c r="FQK13"/>
      <c r="FQL13"/>
      <c r="FQM13"/>
      <c r="FQN13"/>
      <c r="FQO13"/>
      <c r="FQP13"/>
      <c r="FQQ13"/>
      <c r="FQR13"/>
      <c r="FQS13"/>
      <c r="FQT13"/>
      <c r="FQU13"/>
      <c r="FQV13"/>
      <c r="FQW13"/>
      <c r="FQX13"/>
      <c r="FQY13"/>
      <c r="FQZ13"/>
      <c r="FRA13"/>
      <c r="FRB13"/>
      <c r="FRC13"/>
      <c r="FRD13"/>
      <c r="FRE13"/>
      <c r="FRF13"/>
      <c r="FRG13"/>
      <c r="FRH13"/>
      <c r="FRI13"/>
      <c r="FRJ13"/>
      <c r="FRK13"/>
      <c r="FRL13"/>
      <c r="FRM13"/>
      <c r="FRN13"/>
      <c r="FRO13"/>
      <c r="FRP13"/>
      <c r="FRQ13"/>
      <c r="FRR13"/>
      <c r="FRS13"/>
      <c r="FRT13"/>
      <c r="FRU13"/>
      <c r="FRV13"/>
      <c r="FRW13"/>
      <c r="FRX13"/>
      <c r="FRY13"/>
      <c r="FRZ13"/>
      <c r="FSA13"/>
      <c r="FSB13"/>
      <c r="FSC13"/>
      <c r="FSD13"/>
      <c r="FSE13"/>
      <c r="FSF13"/>
      <c r="FSG13"/>
      <c r="FSH13"/>
      <c r="FSI13"/>
      <c r="FSJ13"/>
      <c r="FSK13"/>
      <c r="FSL13"/>
      <c r="FSM13"/>
      <c r="FSN13"/>
      <c r="FSO13"/>
      <c r="FSP13"/>
      <c r="FSQ13"/>
      <c r="FSR13"/>
      <c r="FSS13"/>
      <c r="FST13"/>
      <c r="FSU13"/>
      <c r="FSV13"/>
      <c r="FSW13"/>
      <c r="FSX13"/>
      <c r="FSY13"/>
      <c r="FSZ13"/>
      <c r="FTA13"/>
      <c r="FTB13"/>
      <c r="FTC13"/>
      <c r="FTD13"/>
      <c r="FTE13"/>
      <c r="FTF13"/>
      <c r="FTG13"/>
      <c r="FTH13"/>
      <c r="FTI13"/>
      <c r="FTJ13"/>
      <c r="FTK13"/>
      <c r="FTL13"/>
      <c r="FTM13"/>
      <c r="FTN13"/>
      <c r="FTO13"/>
      <c r="FTP13"/>
      <c r="FTQ13"/>
      <c r="FTR13"/>
      <c r="FTS13"/>
      <c r="FTT13"/>
      <c r="FTU13"/>
      <c r="FTV13"/>
      <c r="FTW13"/>
      <c r="FTX13"/>
      <c r="FTY13"/>
      <c r="FTZ13"/>
      <c r="FUA13"/>
      <c r="FUB13"/>
      <c r="FUC13"/>
      <c r="FUD13"/>
      <c r="FUE13"/>
      <c r="FUF13"/>
      <c r="FUG13"/>
      <c r="FUH13"/>
      <c r="FUI13"/>
      <c r="FUJ13"/>
      <c r="FUK13"/>
      <c r="FUL13"/>
      <c r="FUM13"/>
      <c r="FUN13"/>
      <c r="FUO13"/>
      <c r="FUP13"/>
      <c r="FUQ13"/>
      <c r="FUR13"/>
      <c r="FUS13"/>
      <c r="FUT13"/>
      <c r="FUU13"/>
      <c r="FUV13"/>
      <c r="FUW13"/>
      <c r="FUX13"/>
      <c r="FUY13"/>
      <c r="FUZ13"/>
      <c r="FVA13"/>
      <c r="FVB13"/>
      <c r="FVC13"/>
      <c r="FVD13"/>
      <c r="FVE13"/>
      <c r="FVF13"/>
      <c r="FVG13"/>
      <c r="FVH13"/>
      <c r="FVI13"/>
      <c r="FVJ13"/>
      <c r="FVK13"/>
      <c r="FVL13"/>
      <c r="FVM13"/>
      <c r="FVN13"/>
      <c r="FVO13"/>
      <c r="FVP13"/>
      <c r="FVQ13"/>
      <c r="FVR13"/>
      <c r="FVS13"/>
      <c r="FVT13"/>
      <c r="FVU13"/>
      <c r="FVV13"/>
      <c r="FVW13"/>
      <c r="FVX13"/>
      <c r="FVY13"/>
      <c r="FVZ13"/>
      <c r="FWA13"/>
      <c r="FWB13"/>
      <c r="FWC13"/>
      <c r="FWD13"/>
      <c r="FWE13"/>
      <c r="FWF13"/>
      <c r="FWG13"/>
      <c r="FWH13"/>
      <c r="FWI13"/>
      <c r="FWJ13"/>
      <c r="FWK13"/>
      <c r="FWL13"/>
      <c r="FWM13"/>
      <c r="FWN13"/>
      <c r="FWO13"/>
      <c r="FWP13"/>
      <c r="FWQ13"/>
      <c r="FWR13"/>
      <c r="FWS13"/>
      <c r="FWT13"/>
      <c r="FWU13"/>
      <c r="FWV13"/>
      <c r="FWW13"/>
      <c r="FWX13"/>
      <c r="FWY13"/>
      <c r="FWZ13"/>
      <c r="FXA13"/>
      <c r="FXB13"/>
      <c r="FXC13"/>
      <c r="FXD13"/>
      <c r="FXE13"/>
      <c r="FXF13"/>
      <c r="FXG13"/>
      <c r="FXH13"/>
      <c r="FXI13"/>
      <c r="FXJ13"/>
      <c r="FXK13"/>
      <c r="FXL13"/>
      <c r="FXM13"/>
      <c r="FXN13"/>
      <c r="FXO13"/>
      <c r="FXP13"/>
      <c r="FXQ13"/>
      <c r="FXR13"/>
      <c r="FXS13"/>
      <c r="FXT13"/>
      <c r="FXU13"/>
      <c r="FXV13"/>
      <c r="FXW13"/>
      <c r="FXX13"/>
      <c r="FXY13"/>
      <c r="FXZ13"/>
      <c r="FYA13"/>
      <c r="FYB13"/>
      <c r="FYC13"/>
      <c r="FYD13"/>
      <c r="FYE13"/>
      <c r="FYF13"/>
      <c r="FYG13"/>
      <c r="FYH13"/>
      <c r="FYI13"/>
      <c r="FYJ13"/>
      <c r="FYK13"/>
      <c r="FYL13"/>
      <c r="FYM13"/>
      <c r="FYN13"/>
      <c r="FYO13"/>
      <c r="FYP13"/>
      <c r="FYQ13"/>
      <c r="FYR13"/>
      <c r="FYS13"/>
      <c r="FYT13"/>
      <c r="FYU13"/>
      <c r="FYV13"/>
      <c r="FYW13"/>
      <c r="FYX13"/>
      <c r="FYY13"/>
      <c r="FYZ13"/>
      <c r="FZA13"/>
      <c r="FZB13"/>
      <c r="FZC13"/>
      <c r="FZD13"/>
      <c r="FZE13"/>
      <c r="FZF13"/>
      <c r="FZG13"/>
      <c r="FZH13"/>
      <c r="FZI13"/>
      <c r="FZJ13"/>
      <c r="FZK13"/>
      <c r="FZL13"/>
      <c r="FZM13"/>
      <c r="FZN13"/>
      <c r="FZO13"/>
      <c r="FZP13"/>
      <c r="FZQ13"/>
      <c r="FZR13"/>
      <c r="FZS13"/>
      <c r="FZT13"/>
      <c r="FZU13"/>
      <c r="FZV13"/>
      <c r="FZW13"/>
      <c r="FZX13"/>
      <c r="FZY13"/>
      <c r="FZZ13"/>
      <c r="GAA13"/>
      <c r="GAB13"/>
      <c r="GAC13"/>
      <c r="GAD13"/>
      <c r="GAE13"/>
      <c r="GAF13"/>
      <c r="GAG13"/>
      <c r="GAH13"/>
      <c r="GAI13"/>
      <c r="GAJ13"/>
      <c r="GAK13"/>
      <c r="GAL13"/>
      <c r="GAM13"/>
      <c r="GAN13"/>
      <c r="GAO13"/>
      <c r="GAP13"/>
      <c r="GAQ13"/>
      <c r="GAR13"/>
      <c r="GAS13"/>
      <c r="GAT13"/>
      <c r="GAU13"/>
      <c r="GAV13"/>
      <c r="GAW13"/>
      <c r="GAX13"/>
      <c r="GAY13"/>
      <c r="GAZ13"/>
      <c r="GBA13"/>
      <c r="GBB13"/>
      <c r="GBC13"/>
      <c r="GBD13"/>
      <c r="GBE13"/>
      <c r="GBF13"/>
      <c r="GBG13"/>
      <c r="GBH13"/>
      <c r="GBI13"/>
      <c r="GBJ13"/>
      <c r="GBK13"/>
      <c r="GBL13"/>
      <c r="GBM13"/>
      <c r="GBN13"/>
      <c r="GBO13"/>
      <c r="GBP13"/>
      <c r="GBQ13"/>
      <c r="GBR13"/>
      <c r="GBS13"/>
      <c r="GBT13"/>
      <c r="GBU13"/>
      <c r="GBV13"/>
      <c r="GBW13"/>
      <c r="GBX13"/>
      <c r="GBY13"/>
      <c r="GBZ13"/>
      <c r="GCA13"/>
      <c r="GCB13"/>
      <c r="GCC13"/>
      <c r="GCD13"/>
      <c r="GCE13"/>
      <c r="GCF13"/>
      <c r="GCG13"/>
      <c r="GCH13"/>
      <c r="GCI13"/>
      <c r="GCJ13"/>
      <c r="GCK13"/>
      <c r="GCL13"/>
      <c r="GCM13"/>
      <c r="GCN13"/>
      <c r="GCO13"/>
      <c r="GCP13"/>
      <c r="GCQ13"/>
      <c r="GCR13"/>
      <c r="GCS13"/>
      <c r="GCT13"/>
      <c r="GCU13"/>
      <c r="GCV13"/>
      <c r="GCW13"/>
      <c r="GCX13"/>
      <c r="GCY13"/>
      <c r="GCZ13"/>
      <c r="GDA13"/>
      <c r="GDB13"/>
      <c r="GDC13"/>
      <c r="GDD13"/>
      <c r="GDE13"/>
      <c r="GDF13"/>
      <c r="GDG13"/>
      <c r="GDH13"/>
      <c r="GDI13"/>
      <c r="GDJ13"/>
      <c r="GDK13"/>
      <c r="GDL13"/>
      <c r="GDM13"/>
      <c r="GDN13"/>
      <c r="GDO13"/>
      <c r="GDP13"/>
      <c r="GDQ13"/>
      <c r="GDR13"/>
      <c r="GDS13"/>
      <c r="GDT13"/>
      <c r="GDU13"/>
      <c r="GDV13"/>
      <c r="GDW13"/>
      <c r="GDX13"/>
      <c r="GDY13"/>
      <c r="GDZ13"/>
      <c r="GEA13"/>
      <c r="GEB13"/>
      <c r="GEC13"/>
      <c r="GED13"/>
      <c r="GEE13"/>
      <c r="GEF13"/>
      <c r="GEG13"/>
      <c r="GEH13"/>
      <c r="GEI13"/>
      <c r="GEJ13"/>
      <c r="GEK13"/>
      <c r="GEL13"/>
      <c r="GEM13"/>
      <c r="GEN13"/>
      <c r="GEO13"/>
      <c r="GEP13"/>
      <c r="GEQ13"/>
      <c r="GER13"/>
      <c r="GES13"/>
      <c r="GET13"/>
      <c r="GEU13"/>
      <c r="GEV13"/>
      <c r="GEW13"/>
      <c r="GEX13"/>
      <c r="GEY13"/>
      <c r="GEZ13"/>
      <c r="GFA13"/>
      <c r="GFB13"/>
      <c r="GFC13"/>
      <c r="GFD13"/>
      <c r="GFE13"/>
      <c r="GFF13"/>
      <c r="GFG13"/>
      <c r="GFH13"/>
      <c r="GFI13"/>
      <c r="GFJ13"/>
      <c r="GFK13"/>
      <c r="GFL13"/>
      <c r="GFM13"/>
      <c r="GFN13"/>
      <c r="GFO13"/>
      <c r="GFP13"/>
      <c r="GFQ13"/>
      <c r="GFR13"/>
      <c r="GFS13"/>
      <c r="GFT13"/>
      <c r="GFU13"/>
      <c r="GFV13"/>
      <c r="GFW13"/>
      <c r="GFX13"/>
      <c r="GFY13"/>
      <c r="GFZ13"/>
      <c r="GGA13"/>
      <c r="GGB13"/>
      <c r="GGC13"/>
      <c r="GGD13"/>
      <c r="GGE13"/>
      <c r="GGF13"/>
      <c r="GGG13"/>
      <c r="GGH13"/>
      <c r="GGI13"/>
      <c r="GGJ13"/>
      <c r="GGK13"/>
      <c r="GGL13"/>
      <c r="GGM13"/>
      <c r="GGN13"/>
      <c r="GGO13"/>
      <c r="GGP13"/>
      <c r="GGQ13"/>
      <c r="GGR13"/>
      <c r="GGS13"/>
      <c r="GGT13"/>
      <c r="GGU13"/>
      <c r="GGV13"/>
      <c r="GGW13"/>
      <c r="GGX13"/>
      <c r="GGY13"/>
      <c r="GGZ13"/>
      <c r="GHA13"/>
      <c r="GHB13"/>
      <c r="GHC13"/>
      <c r="GHD13"/>
      <c r="GHE13"/>
      <c r="GHF13"/>
      <c r="GHG13"/>
      <c r="GHH13"/>
      <c r="GHI13"/>
      <c r="GHJ13"/>
      <c r="GHK13"/>
      <c r="GHL13"/>
      <c r="GHM13"/>
      <c r="GHN13"/>
      <c r="GHO13"/>
      <c r="GHP13"/>
      <c r="GHQ13"/>
      <c r="GHR13"/>
      <c r="GHS13"/>
      <c r="GHT13"/>
      <c r="GHU13"/>
      <c r="GHV13"/>
      <c r="GHW13"/>
      <c r="GHX13"/>
      <c r="GHY13"/>
      <c r="GHZ13"/>
      <c r="GIA13"/>
      <c r="GIB13"/>
      <c r="GIC13"/>
      <c r="GID13"/>
      <c r="GIE13"/>
      <c r="GIF13"/>
      <c r="GIG13"/>
      <c r="GIH13"/>
      <c r="GII13"/>
      <c r="GIJ13"/>
      <c r="GIK13"/>
      <c r="GIL13"/>
      <c r="GIM13"/>
      <c r="GIN13"/>
      <c r="GIO13"/>
      <c r="GIP13"/>
      <c r="GIQ13"/>
      <c r="GIR13"/>
      <c r="GIS13"/>
      <c r="GIT13"/>
      <c r="GIU13"/>
      <c r="GIV13"/>
      <c r="GIW13"/>
      <c r="GIX13"/>
      <c r="GIY13"/>
      <c r="GIZ13"/>
      <c r="GJA13"/>
      <c r="GJB13"/>
      <c r="GJC13"/>
      <c r="GJD13"/>
      <c r="GJE13"/>
      <c r="GJF13"/>
      <c r="GJG13"/>
      <c r="GJH13"/>
      <c r="GJI13"/>
      <c r="GJJ13"/>
      <c r="GJK13"/>
      <c r="GJL13"/>
      <c r="GJM13"/>
      <c r="GJN13"/>
      <c r="GJO13"/>
      <c r="GJP13"/>
      <c r="GJQ13"/>
      <c r="GJR13"/>
      <c r="GJS13"/>
      <c r="GJT13"/>
      <c r="GJU13"/>
      <c r="GJV13"/>
      <c r="GJW13"/>
      <c r="GJX13"/>
      <c r="GJY13"/>
      <c r="GJZ13"/>
      <c r="GKA13"/>
      <c r="GKB13"/>
      <c r="GKC13"/>
      <c r="GKD13"/>
      <c r="GKE13"/>
      <c r="GKF13"/>
      <c r="GKG13"/>
      <c r="GKH13"/>
      <c r="GKI13"/>
      <c r="GKJ13"/>
      <c r="GKK13"/>
      <c r="GKL13"/>
      <c r="GKM13"/>
      <c r="GKN13"/>
      <c r="GKO13"/>
      <c r="GKP13"/>
      <c r="GKQ13"/>
      <c r="GKR13"/>
      <c r="GKS13"/>
      <c r="GKT13"/>
      <c r="GKU13"/>
      <c r="GKV13"/>
      <c r="GKW13"/>
      <c r="GKX13"/>
      <c r="GKY13"/>
      <c r="GKZ13"/>
      <c r="GLA13"/>
      <c r="GLB13"/>
      <c r="GLC13"/>
      <c r="GLD13"/>
      <c r="GLE13"/>
      <c r="GLF13"/>
      <c r="GLG13"/>
      <c r="GLH13"/>
      <c r="GLI13"/>
      <c r="GLJ13"/>
      <c r="GLK13"/>
      <c r="GLL13"/>
      <c r="GLM13"/>
      <c r="GLN13"/>
      <c r="GLO13"/>
      <c r="GLP13"/>
      <c r="GLQ13"/>
      <c r="GLR13"/>
      <c r="GLS13"/>
      <c r="GLT13"/>
      <c r="GLU13"/>
      <c r="GLV13"/>
      <c r="GLW13"/>
      <c r="GLX13"/>
      <c r="GLY13"/>
      <c r="GLZ13"/>
      <c r="GMA13"/>
      <c r="GMB13"/>
      <c r="GMC13"/>
      <c r="GMD13"/>
      <c r="GME13"/>
      <c r="GMF13"/>
      <c r="GMG13"/>
      <c r="GMH13"/>
      <c r="GMI13"/>
      <c r="GMJ13"/>
      <c r="GMK13"/>
      <c r="GML13"/>
      <c r="GMM13"/>
      <c r="GMN13"/>
      <c r="GMO13"/>
      <c r="GMP13"/>
      <c r="GMQ13"/>
      <c r="GMR13"/>
      <c r="GMS13"/>
      <c r="GMT13"/>
      <c r="GMU13"/>
      <c r="GMV13"/>
      <c r="GMW13"/>
      <c r="GMX13"/>
      <c r="GMY13"/>
      <c r="GMZ13"/>
      <c r="GNA13"/>
      <c r="GNB13"/>
      <c r="GNC13"/>
      <c r="GND13"/>
      <c r="GNE13"/>
      <c r="GNF13"/>
      <c r="GNG13"/>
      <c r="GNH13"/>
      <c r="GNI13"/>
      <c r="GNJ13"/>
      <c r="GNK13"/>
      <c r="GNL13"/>
      <c r="GNM13"/>
      <c r="GNN13"/>
      <c r="GNO13"/>
      <c r="GNP13"/>
      <c r="GNQ13"/>
      <c r="GNR13"/>
      <c r="GNS13"/>
      <c r="GNT13"/>
      <c r="GNU13"/>
      <c r="GNV13"/>
      <c r="GNW13"/>
      <c r="GNX13"/>
      <c r="GNY13"/>
      <c r="GNZ13"/>
      <c r="GOA13"/>
      <c r="GOB13"/>
      <c r="GOC13"/>
      <c r="GOD13"/>
      <c r="GOE13"/>
      <c r="GOF13"/>
      <c r="GOG13"/>
      <c r="GOH13"/>
      <c r="GOI13"/>
      <c r="GOJ13"/>
      <c r="GOK13"/>
      <c r="GOL13"/>
      <c r="GOM13"/>
      <c r="GON13"/>
      <c r="GOO13"/>
      <c r="GOP13"/>
      <c r="GOQ13"/>
      <c r="GOR13"/>
      <c r="GOS13"/>
      <c r="GOT13"/>
      <c r="GOU13"/>
      <c r="GOV13"/>
      <c r="GOW13"/>
      <c r="GOX13"/>
      <c r="GOY13"/>
      <c r="GOZ13"/>
      <c r="GPA13"/>
      <c r="GPB13"/>
      <c r="GPC13"/>
      <c r="GPD13"/>
      <c r="GPE13"/>
      <c r="GPF13"/>
      <c r="GPG13"/>
      <c r="GPH13"/>
      <c r="GPI13"/>
      <c r="GPJ13"/>
      <c r="GPK13"/>
      <c r="GPL13"/>
      <c r="GPM13"/>
      <c r="GPN13"/>
      <c r="GPO13"/>
      <c r="GPP13"/>
      <c r="GPQ13"/>
      <c r="GPR13"/>
      <c r="GPS13"/>
      <c r="GPT13"/>
      <c r="GPU13"/>
      <c r="GPV13"/>
      <c r="GPW13"/>
      <c r="GPX13"/>
      <c r="GPY13"/>
      <c r="GPZ13"/>
      <c r="GQA13"/>
      <c r="GQB13"/>
      <c r="GQC13"/>
      <c r="GQD13"/>
      <c r="GQE13"/>
      <c r="GQF13"/>
      <c r="GQG13"/>
      <c r="GQH13"/>
      <c r="GQI13"/>
      <c r="GQJ13"/>
      <c r="GQK13"/>
      <c r="GQL13"/>
      <c r="GQM13"/>
      <c r="GQN13"/>
      <c r="GQO13"/>
      <c r="GQP13"/>
      <c r="GQQ13"/>
      <c r="GQR13"/>
      <c r="GQS13"/>
      <c r="GQT13"/>
      <c r="GQU13"/>
      <c r="GQV13"/>
      <c r="GQW13"/>
      <c r="GQX13"/>
      <c r="GQY13"/>
      <c r="GQZ13"/>
      <c r="GRA13"/>
      <c r="GRB13"/>
      <c r="GRC13"/>
      <c r="GRD13"/>
      <c r="GRE13"/>
      <c r="GRF13"/>
      <c r="GRG13"/>
      <c r="GRH13"/>
      <c r="GRI13"/>
      <c r="GRJ13"/>
      <c r="GRK13"/>
      <c r="GRL13"/>
      <c r="GRM13"/>
      <c r="GRN13"/>
      <c r="GRO13"/>
      <c r="GRP13"/>
      <c r="GRQ13"/>
      <c r="GRR13"/>
      <c r="GRS13"/>
      <c r="GRT13"/>
      <c r="GRU13"/>
      <c r="GRV13"/>
      <c r="GRW13"/>
      <c r="GRX13"/>
      <c r="GRY13"/>
      <c r="GRZ13"/>
      <c r="GSA13"/>
      <c r="GSB13"/>
      <c r="GSC13"/>
      <c r="GSD13"/>
      <c r="GSE13"/>
      <c r="GSF13"/>
      <c r="GSG13"/>
      <c r="GSH13"/>
      <c r="GSI13"/>
      <c r="GSJ13"/>
      <c r="GSK13"/>
      <c r="GSL13"/>
      <c r="GSM13"/>
      <c r="GSN13"/>
      <c r="GSO13"/>
      <c r="GSP13"/>
      <c r="GSQ13"/>
      <c r="GSR13"/>
      <c r="GSS13"/>
      <c r="GST13"/>
      <c r="GSU13"/>
      <c r="GSV13"/>
      <c r="GSW13"/>
      <c r="GSX13"/>
      <c r="GSY13"/>
      <c r="GSZ13"/>
      <c r="GTA13"/>
      <c r="GTB13"/>
      <c r="GTC13"/>
      <c r="GTD13"/>
      <c r="GTE13"/>
      <c r="GTF13"/>
      <c r="GTG13"/>
      <c r="GTH13"/>
      <c r="GTI13"/>
      <c r="GTJ13"/>
      <c r="GTK13"/>
      <c r="GTL13"/>
      <c r="GTM13"/>
      <c r="GTN13"/>
      <c r="GTO13"/>
      <c r="GTP13"/>
      <c r="GTQ13"/>
      <c r="GTR13"/>
      <c r="GTS13"/>
      <c r="GTT13"/>
      <c r="GTU13"/>
      <c r="GTV13"/>
      <c r="GTW13"/>
      <c r="GTX13"/>
      <c r="GTY13"/>
      <c r="GTZ13"/>
      <c r="GUA13"/>
      <c r="GUB13"/>
      <c r="GUC13"/>
      <c r="GUD13"/>
      <c r="GUE13"/>
      <c r="GUF13"/>
      <c r="GUG13"/>
      <c r="GUH13"/>
      <c r="GUI13"/>
      <c r="GUJ13"/>
      <c r="GUK13"/>
      <c r="GUL13"/>
      <c r="GUM13"/>
      <c r="GUN13"/>
      <c r="GUO13"/>
      <c r="GUP13"/>
      <c r="GUQ13"/>
      <c r="GUR13"/>
      <c r="GUS13"/>
      <c r="GUT13"/>
      <c r="GUU13"/>
      <c r="GUV13"/>
      <c r="GUW13"/>
      <c r="GUX13"/>
      <c r="GUY13"/>
      <c r="GUZ13"/>
      <c r="GVA13"/>
      <c r="GVB13"/>
      <c r="GVC13"/>
      <c r="GVD13"/>
      <c r="GVE13"/>
      <c r="GVF13"/>
      <c r="GVG13"/>
      <c r="GVH13"/>
      <c r="GVI13"/>
      <c r="GVJ13"/>
      <c r="GVK13"/>
      <c r="GVL13"/>
      <c r="GVM13"/>
      <c r="GVN13"/>
      <c r="GVO13"/>
      <c r="GVP13"/>
      <c r="GVQ13"/>
      <c r="GVR13"/>
      <c r="GVS13"/>
      <c r="GVT13"/>
      <c r="GVU13"/>
      <c r="GVV13"/>
      <c r="GVW13"/>
      <c r="GVX13"/>
      <c r="GVY13"/>
      <c r="GVZ13"/>
      <c r="GWA13"/>
      <c r="GWB13"/>
      <c r="GWC13"/>
      <c r="GWD13"/>
      <c r="GWE13"/>
      <c r="GWF13"/>
      <c r="GWG13"/>
      <c r="GWH13"/>
      <c r="GWI13"/>
      <c r="GWJ13"/>
      <c r="GWK13"/>
      <c r="GWL13"/>
      <c r="GWM13"/>
      <c r="GWN13"/>
      <c r="GWO13"/>
      <c r="GWP13"/>
      <c r="GWQ13"/>
      <c r="GWR13"/>
      <c r="GWS13"/>
      <c r="GWT13"/>
      <c r="GWU13"/>
      <c r="GWV13"/>
      <c r="GWW13"/>
      <c r="GWX13"/>
      <c r="GWY13"/>
      <c r="GWZ13"/>
      <c r="GXA13"/>
      <c r="GXB13"/>
      <c r="GXC13"/>
      <c r="GXD13"/>
      <c r="GXE13"/>
      <c r="GXF13"/>
      <c r="GXG13"/>
      <c r="GXH13"/>
      <c r="GXI13"/>
      <c r="GXJ13"/>
      <c r="GXK13"/>
      <c r="GXL13"/>
      <c r="GXM13"/>
      <c r="GXN13"/>
      <c r="GXO13"/>
      <c r="GXP13"/>
      <c r="GXQ13"/>
      <c r="GXR13"/>
      <c r="GXS13"/>
      <c r="GXT13"/>
      <c r="GXU13"/>
      <c r="GXV13"/>
      <c r="GXW13"/>
      <c r="GXX13"/>
      <c r="GXY13"/>
      <c r="GXZ13"/>
      <c r="GYA13"/>
      <c r="GYB13"/>
      <c r="GYC13"/>
      <c r="GYD13"/>
      <c r="GYE13"/>
      <c r="GYF13"/>
      <c r="GYG13"/>
      <c r="GYH13"/>
      <c r="GYI13"/>
      <c r="GYJ13"/>
      <c r="GYK13"/>
      <c r="GYL13"/>
      <c r="GYM13"/>
      <c r="GYN13"/>
      <c r="GYO13"/>
      <c r="GYP13"/>
      <c r="GYQ13"/>
      <c r="GYR13"/>
      <c r="GYS13"/>
      <c r="GYT13"/>
      <c r="GYU13"/>
      <c r="GYV13"/>
      <c r="GYW13"/>
      <c r="GYX13"/>
      <c r="GYY13"/>
      <c r="GYZ13"/>
      <c r="GZA13"/>
      <c r="GZB13"/>
      <c r="GZC13"/>
      <c r="GZD13"/>
      <c r="GZE13"/>
      <c r="GZF13"/>
      <c r="GZG13"/>
      <c r="GZH13"/>
      <c r="GZI13"/>
      <c r="GZJ13"/>
      <c r="GZK13"/>
      <c r="GZL13"/>
      <c r="GZM13"/>
      <c r="GZN13"/>
      <c r="GZO13"/>
      <c r="GZP13"/>
      <c r="GZQ13"/>
      <c r="GZR13"/>
      <c r="GZS13"/>
      <c r="GZT13"/>
      <c r="GZU13"/>
      <c r="GZV13"/>
      <c r="GZW13"/>
      <c r="GZX13"/>
      <c r="GZY13"/>
      <c r="GZZ13"/>
      <c r="HAA13"/>
      <c r="HAB13"/>
      <c r="HAC13"/>
      <c r="HAD13"/>
      <c r="HAE13"/>
      <c r="HAF13"/>
      <c r="HAG13"/>
      <c r="HAH13"/>
      <c r="HAI13"/>
      <c r="HAJ13"/>
      <c r="HAK13"/>
      <c r="HAL13"/>
      <c r="HAM13"/>
      <c r="HAN13"/>
      <c r="HAO13"/>
      <c r="HAP13"/>
      <c r="HAQ13"/>
      <c r="HAR13"/>
      <c r="HAS13"/>
      <c r="HAT13"/>
      <c r="HAU13"/>
      <c r="HAV13"/>
      <c r="HAW13"/>
      <c r="HAX13"/>
      <c r="HAY13"/>
      <c r="HAZ13"/>
      <c r="HBA13"/>
      <c r="HBB13"/>
      <c r="HBC13"/>
      <c r="HBD13"/>
      <c r="HBE13"/>
      <c r="HBF13"/>
      <c r="HBG13"/>
      <c r="HBH13"/>
      <c r="HBI13"/>
      <c r="HBJ13"/>
      <c r="HBK13"/>
      <c r="HBL13"/>
      <c r="HBM13"/>
      <c r="HBN13"/>
      <c r="HBO13"/>
      <c r="HBP13"/>
      <c r="HBQ13"/>
      <c r="HBR13"/>
      <c r="HBS13"/>
      <c r="HBT13"/>
      <c r="HBU13"/>
      <c r="HBV13"/>
      <c r="HBW13"/>
      <c r="HBX13"/>
      <c r="HBY13"/>
      <c r="HBZ13"/>
      <c r="HCA13"/>
      <c r="HCB13"/>
      <c r="HCC13"/>
      <c r="HCD13"/>
      <c r="HCE13"/>
      <c r="HCF13"/>
      <c r="HCG13"/>
      <c r="HCH13"/>
      <c r="HCI13"/>
      <c r="HCJ13"/>
      <c r="HCK13"/>
      <c r="HCL13"/>
      <c r="HCM13"/>
      <c r="HCN13"/>
      <c r="HCO13"/>
      <c r="HCP13"/>
      <c r="HCQ13"/>
      <c r="HCR13"/>
      <c r="HCS13"/>
      <c r="HCT13"/>
      <c r="HCU13"/>
      <c r="HCV13"/>
      <c r="HCW13"/>
      <c r="HCX13"/>
      <c r="HCY13"/>
      <c r="HCZ13"/>
      <c r="HDA13"/>
      <c r="HDB13"/>
      <c r="HDC13"/>
      <c r="HDD13"/>
      <c r="HDE13"/>
      <c r="HDF13"/>
      <c r="HDG13"/>
      <c r="HDH13"/>
      <c r="HDI13"/>
      <c r="HDJ13"/>
      <c r="HDK13"/>
      <c r="HDL13"/>
      <c r="HDM13"/>
      <c r="HDN13"/>
      <c r="HDO13"/>
      <c r="HDP13"/>
      <c r="HDQ13"/>
      <c r="HDR13"/>
      <c r="HDS13"/>
      <c r="HDT13"/>
      <c r="HDU13"/>
      <c r="HDV13"/>
      <c r="HDW13"/>
      <c r="HDX13"/>
      <c r="HDY13"/>
      <c r="HDZ13"/>
      <c r="HEA13"/>
      <c r="HEB13"/>
      <c r="HEC13"/>
      <c r="HED13"/>
      <c r="HEE13"/>
      <c r="HEF13"/>
      <c r="HEG13"/>
      <c r="HEH13"/>
      <c r="HEI13"/>
      <c r="HEJ13"/>
      <c r="HEK13"/>
      <c r="HEL13"/>
      <c r="HEM13"/>
      <c r="HEN13"/>
      <c r="HEO13"/>
      <c r="HEP13"/>
      <c r="HEQ13"/>
      <c r="HER13"/>
      <c r="HES13"/>
      <c r="HET13"/>
      <c r="HEU13"/>
      <c r="HEV13"/>
      <c r="HEW13"/>
      <c r="HEX13"/>
      <c r="HEY13"/>
      <c r="HEZ13"/>
      <c r="HFA13"/>
      <c r="HFB13"/>
      <c r="HFC13"/>
      <c r="HFD13"/>
      <c r="HFE13"/>
      <c r="HFF13"/>
      <c r="HFG13"/>
      <c r="HFH13"/>
      <c r="HFI13"/>
      <c r="HFJ13"/>
      <c r="HFK13"/>
      <c r="HFL13"/>
      <c r="HFM13"/>
      <c r="HFN13"/>
      <c r="HFO13"/>
      <c r="HFP13"/>
      <c r="HFQ13"/>
      <c r="HFR13"/>
      <c r="HFS13"/>
      <c r="HFT13"/>
      <c r="HFU13"/>
      <c r="HFV13"/>
      <c r="HFW13"/>
      <c r="HFX13"/>
      <c r="HFY13"/>
      <c r="HFZ13"/>
      <c r="HGA13"/>
      <c r="HGB13"/>
      <c r="HGC13"/>
      <c r="HGD13"/>
      <c r="HGE13"/>
      <c r="HGF13"/>
      <c r="HGG13"/>
      <c r="HGH13"/>
      <c r="HGI13"/>
      <c r="HGJ13"/>
      <c r="HGK13"/>
      <c r="HGL13"/>
      <c r="HGM13"/>
      <c r="HGN13"/>
      <c r="HGO13"/>
      <c r="HGP13"/>
      <c r="HGQ13"/>
      <c r="HGR13"/>
      <c r="HGS13"/>
      <c r="HGT13"/>
      <c r="HGU13"/>
      <c r="HGV13"/>
      <c r="HGW13"/>
      <c r="HGX13"/>
      <c r="HGY13"/>
      <c r="HGZ13"/>
      <c r="HHA13"/>
      <c r="HHB13"/>
      <c r="HHC13"/>
      <c r="HHD13"/>
      <c r="HHE13"/>
      <c r="HHF13"/>
      <c r="HHG13"/>
      <c r="HHH13"/>
      <c r="HHI13"/>
      <c r="HHJ13"/>
      <c r="HHK13"/>
      <c r="HHL13"/>
      <c r="HHM13"/>
      <c r="HHN13"/>
      <c r="HHO13"/>
      <c r="HHP13"/>
      <c r="HHQ13"/>
      <c r="HHR13"/>
      <c r="HHS13"/>
      <c r="HHT13"/>
      <c r="HHU13"/>
      <c r="HHV13"/>
      <c r="HHW13"/>
      <c r="HHX13"/>
      <c r="HHY13"/>
      <c r="HHZ13"/>
      <c r="HIA13"/>
      <c r="HIB13"/>
      <c r="HIC13"/>
      <c r="HID13"/>
      <c r="HIE13"/>
      <c r="HIF13"/>
      <c r="HIG13"/>
      <c r="HIH13"/>
      <c r="HII13"/>
      <c r="HIJ13"/>
      <c r="HIK13"/>
      <c r="HIL13"/>
      <c r="HIM13"/>
      <c r="HIN13"/>
      <c r="HIO13"/>
      <c r="HIP13"/>
      <c r="HIQ13"/>
      <c r="HIR13"/>
      <c r="HIS13"/>
      <c r="HIT13"/>
      <c r="HIU13"/>
      <c r="HIV13"/>
      <c r="HIW13"/>
      <c r="HIX13"/>
      <c r="HIY13"/>
      <c r="HIZ13"/>
      <c r="HJA13"/>
      <c r="HJB13"/>
      <c r="HJC13"/>
      <c r="HJD13"/>
      <c r="HJE13"/>
      <c r="HJF13"/>
      <c r="HJG13"/>
      <c r="HJH13"/>
      <c r="HJI13"/>
      <c r="HJJ13"/>
      <c r="HJK13"/>
      <c r="HJL13"/>
      <c r="HJM13"/>
      <c r="HJN13"/>
      <c r="HJO13"/>
      <c r="HJP13"/>
      <c r="HJQ13"/>
      <c r="HJR13"/>
      <c r="HJS13"/>
      <c r="HJT13"/>
      <c r="HJU13"/>
      <c r="HJV13"/>
      <c r="HJW13"/>
      <c r="HJX13"/>
      <c r="HJY13"/>
      <c r="HJZ13"/>
      <c r="HKA13"/>
      <c r="HKB13"/>
      <c r="HKC13"/>
      <c r="HKD13"/>
      <c r="HKE13"/>
      <c r="HKF13"/>
      <c r="HKG13"/>
      <c r="HKH13"/>
      <c r="HKI13"/>
      <c r="HKJ13"/>
      <c r="HKK13"/>
      <c r="HKL13"/>
      <c r="HKM13"/>
      <c r="HKN13"/>
      <c r="HKO13"/>
      <c r="HKP13"/>
      <c r="HKQ13"/>
      <c r="HKR13"/>
      <c r="HKS13"/>
      <c r="HKT13"/>
      <c r="HKU13"/>
      <c r="HKV13"/>
      <c r="HKW13"/>
      <c r="HKX13"/>
      <c r="HKY13"/>
      <c r="HKZ13"/>
      <c r="HLA13"/>
      <c r="HLB13"/>
      <c r="HLC13"/>
      <c r="HLD13"/>
      <c r="HLE13"/>
      <c r="HLF13"/>
      <c r="HLG13"/>
      <c r="HLH13"/>
      <c r="HLI13"/>
      <c r="HLJ13"/>
      <c r="HLK13"/>
      <c r="HLL13"/>
      <c r="HLM13"/>
      <c r="HLN13"/>
      <c r="HLO13"/>
      <c r="HLP13"/>
      <c r="HLQ13"/>
      <c r="HLR13"/>
      <c r="HLS13"/>
      <c r="HLT13"/>
      <c r="HLU13"/>
      <c r="HLV13"/>
      <c r="HLW13"/>
      <c r="HLX13"/>
      <c r="HLY13"/>
      <c r="HLZ13"/>
      <c r="HMA13"/>
      <c r="HMB13"/>
      <c r="HMC13"/>
      <c r="HMD13"/>
      <c r="HME13"/>
      <c r="HMF13"/>
      <c r="HMG13"/>
      <c r="HMH13"/>
      <c r="HMI13"/>
      <c r="HMJ13"/>
      <c r="HMK13"/>
      <c r="HML13"/>
      <c r="HMM13"/>
      <c r="HMN13"/>
      <c r="HMO13"/>
      <c r="HMP13"/>
      <c r="HMQ13"/>
      <c r="HMR13"/>
      <c r="HMS13"/>
      <c r="HMT13"/>
      <c r="HMU13"/>
      <c r="HMV13"/>
      <c r="HMW13"/>
      <c r="HMX13"/>
      <c r="HMY13"/>
      <c r="HMZ13"/>
      <c r="HNA13"/>
      <c r="HNB13"/>
      <c r="HNC13"/>
      <c r="HND13"/>
      <c r="HNE13"/>
      <c r="HNF13"/>
      <c r="HNG13"/>
      <c r="HNH13"/>
      <c r="HNI13"/>
      <c r="HNJ13"/>
      <c r="HNK13"/>
      <c r="HNL13"/>
      <c r="HNM13"/>
      <c r="HNN13"/>
      <c r="HNO13"/>
      <c r="HNP13"/>
      <c r="HNQ13"/>
      <c r="HNR13"/>
      <c r="HNS13"/>
      <c r="HNT13"/>
      <c r="HNU13"/>
      <c r="HNV13"/>
      <c r="HNW13"/>
      <c r="HNX13"/>
      <c r="HNY13"/>
      <c r="HNZ13"/>
      <c r="HOA13"/>
      <c r="HOB13"/>
      <c r="HOC13"/>
      <c r="HOD13"/>
      <c r="HOE13"/>
      <c r="HOF13"/>
      <c r="HOG13"/>
      <c r="HOH13"/>
      <c r="HOI13"/>
      <c r="HOJ13"/>
      <c r="HOK13"/>
      <c r="HOL13"/>
      <c r="HOM13"/>
      <c r="HON13"/>
      <c r="HOO13"/>
      <c r="HOP13"/>
      <c r="HOQ13"/>
      <c r="HOR13"/>
      <c r="HOS13"/>
      <c r="HOT13"/>
      <c r="HOU13"/>
      <c r="HOV13"/>
      <c r="HOW13"/>
      <c r="HOX13"/>
      <c r="HOY13"/>
      <c r="HOZ13"/>
      <c r="HPA13"/>
      <c r="HPB13"/>
      <c r="HPC13"/>
      <c r="HPD13"/>
      <c r="HPE13"/>
      <c r="HPF13"/>
      <c r="HPG13"/>
      <c r="HPH13"/>
      <c r="HPI13"/>
      <c r="HPJ13"/>
      <c r="HPK13"/>
      <c r="HPL13"/>
      <c r="HPM13"/>
      <c r="HPN13"/>
      <c r="HPO13"/>
      <c r="HPP13"/>
      <c r="HPQ13"/>
      <c r="HPR13"/>
      <c r="HPS13"/>
      <c r="HPT13"/>
      <c r="HPU13"/>
      <c r="HPV13"/>
      <c r="HPW13"/>
      <c r="HPX13"/>
      <c r="HPY13"/>
      <c r="HPZ13"/>
      <c r="HQA13"/>
      <c r="HQB13"/>
      <c r="HQC13"/>
      <c r="HQD13"/>
      <c r="HQE13"/>
      <c r="HQF13"/>
      <c r="HQG13"/>
      <c r="HQH13"/>
      <c r="HQI13"/>
      <c r="HQJ13"/>
      <c r="HQK13"/>
      <c r="HQL13"/>
      <c r="HQM13"/>
      <c r="HQN13"/>
      <c r="HQO13"/>
      <c r="HQP13"/>
      <c r="HQQ13"/>
      <c r="HQR13"/>
      <c r="HQS13"/>
      <c r="HQT13"/>
      <c r="HQU13"/>
      <c r="HQV13"/>
      <c r="HQW13"/>
      <c r="HQX13"/>
      <c r="HQY13"/>
      <c r="HQZ13"/>
      <c r="HRA13"/>
      <c r="HRB13"/>
      <c r="HRC13"/>
      <c r="HRD13"/>
      <c r="HRE13"/>
      <c r="HRF13"/>
      <c r="HRG13"/>
      <c r="HRH13"/>
      <c r="HRI13"/>
      <c r="HRJ13"/>
      <c r="HRK13"/>
      <c r="HRL13"/>
      <c r="HRM13"/>
      <c r="HRN13"/>
      <c r="HRO13"/>
      <c r="HRP13"/>
      <c r="HRQ13"/>
      <c r="HRR13"/>
      <c r="HRS13"/>
      <c r="HRT13"/>
      <c r="HRU13"/>
      <c r="HRV13"/>
      <c r="HRW13"/>
      <c r="HRX13"/>
      <c r="HRY13"/>
      <c r="HRZ13"/>
      <c r="HSA13"/>
      <c r="HSB13"/>
      <c r="HSC13"/>
      <c r="HSD13"/>
      <c r="HSE13"/>
      <c r="HSF13"/>
      <c r="HSG13"/>
      <c r="HSH13"/>
      <c r="HSI13"/>
      <c r="HSJ13"/>
      <c r="HSK13"/>
      <c r="HSL13"/>
      <c r="HSM13"/>
      <c r="HSN13"/>
      <c r="HSO13"/>
      <c r="HSP13"/>
      <c r="HSQ13"/>
      <c r="HSR13"/>
      <c r="HSS13"/>
      <c r="HST13"/>
      <c r="HSU13"/>
      <c r="HSV13"/>
      <c r="HSW13"/>
      <c r="HSX13"/>
      <c r="HSY13"/>
      <c r="HSZ13"/>
      <c r="HTA13"/>
      <c r="HTB13"/>
      <c r="HTC13"/>
      <c r="HTD13"/>
      <c r="HTE13"/>
      <c r="HTF13"/>
      <c r="HTG13"/>
      <c r="HTH13"/>
      <c r="HTI13"/>
      <c r="HTJ13"/>
      <c r="HTK13"/>
      <c r="HTL13"/>
      <c r="HTM13"/>
      <c r="HTN13"/>
      <c r="HTO13"/>
      <c r="HTP13"/>
      <c r="HTQ13"/>
      <c r="HTR13"/>
      <c r="HTS13"/>
      <c r="HTT13"/>
      <c r="HTU13"/>
      <c r="HTV13"/>
      <c r="HTW13"/>
      <c r="HTX13"/>
      <c r="HTY13"/>
      <c r="HTZ13"/>
      <c r="HUA13"/>
      <c r="HUB13"/>
      <c r="HUC13"/>
      <c r="HUD13"/>
      <c r="HUE13"/>
      <c r="HUF13"/>
      <c r="HUG13"/>
      <c r="HUH13"/>
      <c r="HUI13"/>
      <c r="HUJ13"/>
      <c r="HUK13"/>
      <c r="HUL13"/>
      <c r="HUM13"/>
      <c r="HUN13"/>
      <c r="HUO13"/>
      <c r="HUP13"/>
      <c r="HUQ13"/>
      <c r="HUR13"/>
      <c r="HUS13"/>
      <c r="HUT13"/>
      <c r="HUU13"/>
      <c r="HUV13"/>
      <c r="HUW13"/>
      <c r="HUX13"/>
      <c r="HUY13"/>
      <c r="HUZ13"/>
      <c r="HVA13"/>
      <c r="HVB13"/>
      <c r="HVC13"/>
      <c r="HVD13"/>
      <c r="HVE13"/>
      <c r="HVF13"/>
      <c r="HVG13"/>
      <c r="HVH13"/>
      <c r="HVI13"/>
      <c r="HVJ13"/>
      <c r="HVK13"/>
      <c r="HVL13"/>
      <c r="HVM13"/>
      <c r="HVN13"/>
      <c r="HVO13"/>
      <c r="HVP13"/>
      <c r="HVQ13"/>
      <c r="HVR13"/>
      <c r="HVS13"/>
      <c r="HVT13"/>
      <c r="HVU13"/>
      <c r="HVV13"/>
      <c r="HVW13"/>
      <c r="HVX13"/>
      <c r="HVY13"/>
      <c r="HVZ13"/>
      <c r="HWA13"/>
      <c r="HWB13"/>
      <c r="HWC13"/>
      <c r="HWD13"/>
      <c r="HWE13"/>
      <c r="HWF13"/>
      <c r="HWG13"/>
      <c r="HWH13"/>
      <c r="HWI13"/>
      <c r="HWJ13"/>
      <c r="HWK13"/>
      <c r="HWL13"/>
      <c r="HWM13"/>
      <c r="HWN13"/>
      <c r="HWO13"/>
      <c r="HWP13"/>
      <c r="HWQ13"/>
      <c r="HWR13"/>
      <c r="HWS13"/>
      <c r="HWT13"/>
      <c r="HWU13"/>
      <c r="HWV13"/>
      <c r="HWW13"/>
      <c r="HWX13"/>
      <c r="HWY13"/>
      <c r="HWZ13"/>
      <c r="HXA13"/>
      <c r="HXB13"/>
      <c r="HXC13"/>
      <c r="HXD13"/>
      <c r="HXE13"/>
      <c r="HXF13"/>
      <c r="HXG13"/>
      <c r="HXH13"/>
      <c r="HXI13"/>
      <c r="HXJ13"/>
      <c r="HXK13"/>
      <c r="HXL13"/>
      <c r="HXM13"/>
      <c r="HXN13"/>
      <c r="HXO13"/>
      <c r="HXP13"/>
      <c r="HXQ13"/>
      <c r="HXR13"/>
      <c r="HXS13"/>
      <c r="HXT13"/>
      <c r="HXU13"/>
      <c r="HXV13"/>
      <c r="HXW13"/>
      <c r="HXX13"/>
      <c r="HXY13"/>
      <c r="HXZ13"/>
      <c r="HYA13"/>
      <c r="HYB13"/>
      <c r="HYC13"/>
      <c r="HYD13"/>
      <c r="HYE13"/>
      <c r="HYF13"/>
      <c r="HYG13"/>
      <c r="HYH13"/>
      <c r="HYI13"/>
      <c r="HYJ13"/>
      <c r="HYK13"/>
      <c r="HYL13"/>
      <c r="HYM13"/>
      <c r="HYN13"/>
      <c r="HYO13"/>
      <c r="HYP13"/>
      <c r="HYQ13"/>
      <c r="HYR13"/>
      <c r="HYS13"/>
      <c r="HYT13"/>
      <c r="HYU13"/>
      <c r="HYV13"/>
      <c r="HYW13"/>
      <c r="HYX13"/>
      <c r="HYY13"/>
      <c r="HYZ13"/>
      <c r="HZA13"/>
      <c r="HZB13"/>
      <c r="HZC13"/>
      <c r="HZD13"/>
      <c r="HZE13"/>
      <c r="HZF13"/>
      <c r="HZG13"/>
      <c r="HZH13"/>
      <c r="HZI13"/>
      <c r="HZJ13"/>
      <c r="HZK13"/>
      <c r="HZL13"/>
      <c r="HZM13"/>
      <c r="HZN13"/>
      <c r="HZO13"/>
      <c r="HZP13"/>
      <c r="HZQ13"/>
      <c r="HZR13"/>
      <c r="HZS13"/>
      <c r="HZT13"/>
      <c r="HZU13"/>
      <c r="HZV13"/>
      <c r="HZW13"/>
      <c r="HZX13"/>
      <c r="HZY13"/>
      <c r="HZZ13"/>
      <c r="IAA13"/>
      <c r="IAB13"/>
      <c r="IAC13"/>
      <c r="IAD13"/>
      <c r="IAE13"/>
      <c r="IAF13"/>
      <c r="IAG13"/>
      <c r="IAH13"/>
      <c r="IAI13"/>
      <c r="IAJ13"/>
      <c r="IAK13"/>
      <c r="IAL13"/>
      <c r="IAM13"/>
      <c r="IAN13"/>
      <c r="IAO13"/>
      <c r="IAP13"/>
      <c r="IAQ13"/>
      <c r="IAR13"/>
      <c r="IAS13"/>
      <c r="IAT13"/>
      <c r="IAU13"/>
      <c r="IAV13"/>
      <c r="IAW13"/>
      <c r="IAX13"/>
      <c r="IAY13"/>
      <c r="IAZ13"/>
      <c r="IBA13"/>
      <c r="IBB13"/>
      <c r="IBC13"/>
      <c r="IBD13"/>
      <c r="IBE13"/>
      <c r="IBF13"/>
      <c r="IBG13"/>
      <c r="IBH13"/>
      <c r="IBI13"/>
      <c r="IBJ13"/>
      <c r="IBK13"/>
      <c r="IBL13"/>
      <c r="IBM13"/>
      <c r="IBN13"/>
      <c r="IBO13"/>
      <c r="IBP13"/>
      <c r="IBQ13"/>
      <c r="IBR13"/>
      <c r="IBS13"/>
      <c r="IBT13"/>
      <c r="IBU13"/>
      <c r="IBV13"/>
      <c r="IBW13"/>
      <c r="IBX13"/>
      <c r="IBY13"/>
      <c r="IBZ13"/>
      <c r="ICA13"/>
      <c r="ICB13"/>
      <c r="ICC13"/>
      <c r="ICD13"/>
      <c r="ICE13"/>
      <c r="ICF13"/>
      <c r="ICG13"/>
      <c r="ICH13"/>
      <c r="ICI13"/>
      <c r="ICJ13"/>
      <c r="ICK13"/>
      <c r="ICL13"/>
      <c r="ICM13"/>
      <c r="ICN13"/>
      <c r="ICO13"/>
      <c r="ICP13"/>
      <c r="ICQ13"/>
      <c r="ICR13"/>
      <c r="ICS13"/>
      <c r="ICT13"/>
      <c r="ICU13"/>
      <c r="ICV13"/>
      <c r="ICW13"/>
      <c r="ICX13"/>
      <c r="ICY13"/>
      <c r="ICZ13"/>
      <c r="IDA13"/>
      <c r="IDB13"/>
      <c r="IDC13"/>
      <c r="IDD13"/>
      <c r="IDE13"/>
      <c r="IDF13"/>
      <c r="IDG13"/>
      <c r="IDH13"/>
      <c r="IDI13"/>
      <c r="IDJ13"/>
      <c r="IDK13"/>
      <c r="IDL13"/>
      <c r="IDM13"/>
      <c r="IDN13"/>
      <c r="IDO13"/>
      <c r="IDP13"/>
      <c r="IDQ13"/>
      <c r="IDR13"/>
      <c r="IDS13"/>
      <c r="IDT13"/>
      <c r="IDU13"/>
      <c r="IDV13"/>
      <c r="IDW13"/>
      <c r="IDX13"/>
      <c r="IDY13"/>
      <c r="IDZ13"/>
      <c r="IEA13"/>
      <c r="IEB13"/>
      <c r="IEC13"/>
      <c r="IED13"/>
      <c r="IEE13"/>
      <c r="IEF13"/>
      <c r="IEG13"/>
      <c r="IEH13"/>
      <c r="IEI13"/>
      <c r="IEJ13"/>
      <c r="IEK13"/>
      <c r="IEL13"/>
      <c r="IEM13"/>
      <c r="IEN13"/>
      <c r="IEO13"/>
      <c r="IEP13"/>
      <c r="IEQ13"/>
      <c r="IER13"/>
      <c r="IES13"/>
      <c r="IET13"/>
      <c r="IEU13"/>
      <c r="IEV13"/>
      <c r="IEW13"/>
      <c r="IEX13"/>
      <c r="IEY13"/>
      <c r="IEZ13"/>
      <c r="IFA13"/>
      <c r="IFB13"/>
      <c r="IFC13"/>
      <c r="IFD13"/>
      <c r="IFE13"/>
      <c r="IFF13"/>
      <c r="IFG13"/>
      <c r="IFH13"/>
      <c r="IFI13"/>
      <c r="IFJ13"/>
      <c r="IFK13"/>
      <c r="IFL13"/>
      <c r="IFM13"/>
      <c r="IFN13"/>
      <c r="IFO13"/>
      <c r="IFP13"/>
      <c r="IFQ13"/>
      <c r="IFR13"/>
      <c r="IFS13"/>
      <c r="IFT13"/>
      <c r="IFU13"/>
      <c r="IFV13"/>
      <c r="IFW13"/>
      <c r="IFX13"/>
      <c r="IFY13"/>
      <c r="IFZ13"/>
      <c r="IGA13"/>
      <c r="IGB13"/>
      <c r="IGC13"/>
      <c r="IGD13"/>
      <c r="IGE13"/>
      <c r="IGF13"/>
      <c r="IGG13"/>
      <c r="IGH13"/>
      <c r="IGI13"/>
      <c r="IGJ13"/>
      <c r="IGK13"/>
      <c r="IGL13"/>
      <c r="IGM13"/>
      <c r="IGN13"/>
      <c r="IGO13"/>
      <c r="IGP13"/>
      <c r="IGQ13"/>
      <c r="IGR13"/>
      <c r="IGS13"/>
      <c r="IGT13"/>
      <c r="IGU13"/>
      <c r="IGV13"/>
      <c r="IGW13"/>
      <c r="IGX13"/>
      <c r="IGY13"/>
      <c r="IGZ13"/>
      <c r="IHA13"/>
      <c r="IHB13"/>
      <c r="IHC13"/>
      <c r="IHD13"/>
      <c r="IHE13"/>
      <c r="IHF13"/>
      <c r="IHG13"/>
      <c r="IHH13"/>
      <c r="IHI13"/>
      <c r="IHJ13"/>
      <c r="IHK13"/>
      <c r="IHL13"/>
      <c r="IHM13"/>
      <c r="IHN13"/>
      <c r="IHO13"/>
      <c r="IHP13"/>
      <c r="IHQ13"/>
      <c r="IHR13"/>
      <c r="IHS13"/>
      <c r="IHT13"/>
      <c r="IHU13"/>
      <c r="IHV13"/>
      <c r="IHW13"/>
      <c r="IHX13"/>
      <c r="IHY13"/>
      <c r="IHZ13"/>
      <c r="IIA13"/>
      <c r="IIB13"/>
      <c r="IIC13"/>
      <c r="IID13"/>
      <c r="IIE13"/>
      <c r="IIF13"/>
      <c r="IIG13"/>
      <c r="IIH13"/>
      <c r="III13"/>
      <c r="IIJ13"/>
      <c r="IIK13"/>
      <c r="IIL13"/>
      <c r="IIM13"/>
      <c r="IIN13"/>
      <c r="IIO13"/>
      <c r="IIP13"/>
      <c r="IIQ13"/>
      <c r="IIR13"/>
      <c r="IIS13"/>
      <c r="IIT13"/>
      <c r="IIU13"/>
      <c r="IIV13"/>
      <c r="IIW13"/>
      <c r="IIX13"/>
      <c r="IIY13"/>
      <c r="IIZ13"/>
      <c r="IJA13"/>
      <c r="IJB13"/>
      <c r="IJC13"/>
      <c r="IJD13"/>
      <c r="IJE13"/>
      <c r="IJF13"/>
      <c r="IJG13"/>
      <c r="IJH13"/>
      <c r="IJI13"/>
      <c r="IJJ13"/>
      <c r="IJK13"/>
      <c r="IJL13"/>
      <c r="IJM13"/>
      <c r="IJN13"/>
      <c r="IJO13"/>
      <c r="IJP13"/>
      <c r="IJQ13"/>
      <c r="IJR13"/>
      <c r="IJS13"/>
      <c r="IJT13"/>
      <c r="IJU13"/>
      <c r="IJV13"/>
      <c r="IJW13"/>
      <c r="IJX13"/>
      <c r="IJY13"/>
      <c r="IJZ13"/>
      <c r="IKA13"/>
      <c r="IKB13"/>
      <c r="IKC13"/>
      <c r="IKD13"/>
      <c r="IKE13"/>
      <c r="IKF13"/>
      <c r="IKG13"/>
      <c r="IKH13"/>
      <c r="IKI13"/>
      <c r="IKJ13"/>
      <c r="IKK13"/>
      <c r="IKL13"/>
      <c r="IKM13"/>
      <c r="IKN13"/>
      <c r="IKO13"/>
      <c r="IKP13"/>
      <c r="IKQ13"/>
      <c r="IKR13"/>
      <c r="IKS13"/>
      <c r="IKT13"/>
      <c r="IKU13"/>
      <c r="IKV13"/>
      <c r="IKW13"/>
      <c r="IKX13"/>
      <c r="IKY13"/>
      <c r="IKZ13"/>
      <c r="ILA13"/>
      <c r="ILB13"/>
      <c r="ILC13"/>
      <c r="ILD13"/>
      <c r="ILE13"/>
      <c r="ILF13"/>
      <c r="ILG13"/>
      <c r="ILH13"/>
      <c r="ILI13"/>
      <c r="ILJ13"/>
      <c r="ILK13"/>
      <c r="ILL13"/>
      <c r="ILM13"/>
      <c r="ILN13"/>
      <c r="ILO13"/>
      <c r="ILP13"/>
      <c r="ILQ13"/>
      <c r="ILR13"/>
      <c r="ILS13"/>
      <c r="ILT13"/>
      <c r="ILU13"/>
      <c r="ILV13"/>
      <c r="ILW13"/>
      <c r="ILX13"/>
      <c r="ILY13"/>
      <c r="ILZ13"/>
      <c r="IMA13"/>
      <c r="IMB13"/>
      <c r="IMC13"/>
      <c r="IMD13"/>
      <c r="IME13"/>
      <c r="IMF13"/>
      <c r="IMG13"/>
      <c r="IMH13"/>
      <c r="IMI13"/>
      <c r="IMJ13"/>
      <c r="IMK13"/>
      <c r="IML13"/>
      <c r="IMM13"/>
      <c r="IMN13"/>
      <c r="IMO13"/>
      <c r="IMP13"/>
      <c r="IMQ13"/>
      <c r="IMR13"/>
      <c r="IMS13"/>
      <c r="IMT13"/>
      <c r="IMU13"/>
      <c r="IMV13"/>
      <c r="IMW13"/>
      <c r="IMX13"/>
      <c r="IMY13"/>
      <c r="IMZ13"/>
      <c r="INA13"/>
      <c r="INB13"/>
      <c r="INC13"/>
      <c r="IND13"/>
      <c r="INE13"/>
      <c r="INF13"/>
      <c r="ING13"/>
      <c r="INH13"/>
      <c r="INI13"/>
      <c r="INJ13"/>
      <c r="INK13"/>
      <c r="INL13"/>
      <c r="INM13"/>
      <c r="INN13"/>
      <c r="INO13"/>
      <c r="INP13"/>
      <c r="INQ13"/>
      <c r="INR13"/>
      <c r="INS13"/>
      <c r="INT13"/>
      <c r="INU13"/>
      <c r="INV13"/>
      <c r="INW13"/>
      <c r="INX13"/>
      <c r="INY13"/>
      <c r="INZ13"/>
      <c r="IOA13"/>
      <c r="IOB13"/>
      <c r="IOC13"/>
      <c r="IOD13"/>
      <c r="IOE13"/>
      <c r="IOF13"/>
      <c r="IOG13"/>
      <c r="IOH13"/>
      <c r="IOI13"/>
      <c r="IOJ13"/>
      <c r="IOK13"/>
      <c r="IOL13"/>
      <c r="IOM13"/>
      <c r="ION13"/>
      <c r="IOO13"/>
      <c r="IOP13"/>
      <c r="IOQ13"/>
      <c r="IOR13"/>
      <c r="IOS13"/>
      <c r="IOT13"/>
      <c r="IOU13"/>
      <c r="IOV13"/>
      <c r="IOW13"/>
      <c r="IOX13"/>
      <c r="IOY13"/>
      <c r="IOZ13"/>
      <c r="IPA13"/>
      <c r="IPB13"/>
      <c r="IPC13"/>
      <c r="IPD13"/>
      <c r="IPE13"/>
      <c r="IPF13"/>
      <c r="IPG13"/>
      <c r="IPH13"/>
      <c r="IPI13"/>
      <c r="IPJ13"/>
      <c r="IPK13"/>
      <c r="IPL13"/>
      <c r="IPM13"/>
      <c r="IPN13"/>
      <c r="IPO13"/>
      <c r="IPP13"/>
      <c r="IPQ13"/>
      <c r="IPR13"/>
      <c r="IPS13"/>
      <c r="IPT13"/>
      <c r="IPU13"/>
      <c r="IPV13"/>
      <c r="IPW13"/>
      <c r="IPX13"/>
      <c r="IPY13"/>
      <c r="IPZ13"/>
      <c r="IQA13"/>
      <c r="IQB13"/>
      <c r="IQC13"/>
      <c r="IQD13"/>
      <c r="IQE13"/>
      <c r="IQF13"/>
      <c r="IQG13"/>
      <c r="IQH13"/>
      <c r="IQI13"/>
      <c r="IQJ13"/>
      <c r="IQK13"/>
      <c r="IQL13"/>
      <c r="IQM13"/>
      <c r="IQN13"/>
      <c r="IQO13"/>
      <c r="IQP13"/>
      <c r="IQQ13"/>
      <c r="IQR13"/>
      <c r="IQS13"/>
      <c r="IQT13"/>
      <c r="IQU13"/>
      <c r="IQV13"/>
      <c r="IQW13"/>
      <c r="IQX13"/>
      <c r="IQY13"/>
      <c r="IQZ13"/>
      <c r="IRA13"/>
      <c r="IRB13"/>
      <c r="IRC13"/>
      <c r="IRD13"/>
      <c r="IRE13"/>
      <c r="IRF13"/>
      <c r="IRG13"/>
      <c r="IRH13"/>
      <c r="IRI13"/>
      <c r="IRJ13"/>
      <c r="IRK13"/>
      <c r="IRL13"/>
      <c r="IRM13"/>
      <c r="IRN13"/>
      <c r="IRO13"/>
      <c r="IRP13"/>
      <c r="IRQ13"/>
      <c r="IRR13"/>
      <c r="IRS13"/>
      <c r="IRT13"/>
      <c r="IRU13"/>
      <c r="IRV13"/>
      <c r="IRW13"/>
      <c r="IRX13"/>
      <c r="IRY13"/>
      <c r="IRZ13"/>
      <c r="ISA13"/>
      <c r="ISB13"/>
      <c r="ISC13"/>
      <c r="ISD13"/>
      <c r="ISE13"/>
      <c r="ISF13"/>
      <c r="ISG13"/>
      <c r="ISH13"/>
      <c r="ISI13"/>
      <c r="ISJ13"/>
      <c r="ISK13"/>
      <c r="ISL13"/>
      <c r="ISM13"/>
      <c r="ISN13"/>
      <c r="ISO13"/>
      <c r="ISP13"/>
      <c r="ISQ13"/>
      <c r="ISR13"/>
      <c r="ISS13"/>
      <c r="IST13"/>
      <c r="ISU13"/>
      <c r="ISV13"/>
      <c r="ISW13"/>
      <c r="ISX13"/>
      <c r="ISY13"/>
      <c r="ISZ13"/>
      <c r="ITA13"/>
      <c r="ITB13"/>
      <c r="ITC13"/>
      <c r="ITD13"/>
      <c r="ITE13"/>
      <c r="ITF13"/>
      <c r="ITG13"/>
      <c r="ITH13"/>
      <c r="ITI13"/>
      <c r="ITJ13"/>
      <c r="ITK13"/>
      <c r="ITL13"/>
      <c r="ITM13"/>
      <c r="ITN13"/>
      <c r="ITO13"/>
      <c r="ITP13"/>
      <c r="ITQ13"/>
      <c r="ITR13"/>
      <c r="ITS13"/>
      <c r="ITT13"/>
      <c r="ITU13"/>
      <c r="ITV13"/>
      <c r="ITW13"/>
      <c r="ITX13"/>
      <c r="ITY13"/>
      <c r="ITZ13"/>
      <c r="IUA13"/>
      <c r="IUB13"/>
      <c r="IUC13"/>
      <c r="IUD13"/>
      <c r="IUE13"/>
      <c r="IUF13"/>
      <c r="IUG13"/>
      <c r="IUH13"/>
      <c r="IUI13"/>
      <c r="IUJ13"/>
      <c r="IUK13"/>
      <c r="IUL13"/>
      <c r="IUM13"/>
      <c r="IUN13"/>
      <c r="IUO13"/>
      <c r="IUP13"/>
      <c r="IUQ13"/>
      <c r="IUR13"/>
      <c r="IUS13"/>
      <c r="IUT13"/>
      <c r="IUU13"/>
      <c r="IUV13"/>
      <c r="IUW13"/>
      <c r="IUX13"/>
      <c r="IUY13"/>
      <c r="IUZ13"/>
      <c r="IVA13"/>
      <c r="IVB13"/>
      <c r="IVC13"/>
      <c r="IVD13"/>
      <c r="IVE13"/>
      <c r="IVF13"/>
      <c r="IVG13"/>
      <c r="IVH13"/>
      <c r="IVI13"/>
      <c r="IVJ13"/>
      <c r="IVK13"/>
      <c r="IVL13"/>
      <c r="IVM13"/>
      <c r="IVN13"/>
      <c r="IVO13"/>
      <c r="IVP13"/>
      <c r="IVQ13"/>
      <c r="IVR13"/>
      <c r="IVS13"/>
      <c r="IVT13"/>
      <c r="IVU13"/>
      <c r="IVV13"/>
      <c r="IVW13"/>
      <c r="IVX13"/>
      <c r="IVY13"/>
      <c r="IVZ13"/>
      <c r="IWA13"/>
      <c r="IWB13"/>
      <c r="IWC13"/>
      <c r="IWD13"/>
      <c r="IWE13"/>
      <c r="IWF13"/>
      <c r="IWG13"/>
      <c r="IWH13"/>
      <c r="IWI13"/>
      <c r="IWJ13"/>
      <c r="IWK13"/>
      <c r="IWL13"/>
      <c r="IWM13"/>
      <c r="IWN13"/>
      <c r="IWO13"/>
      <c r="IWP13"/>
      <c r="IWQ13"/>
      <c r="IWR13"/>
      <c r="IWS13"/>
      <c r="IWT13"/>
      <c r="IWU13"/>
      <c r="IWV13"/>
      <c r="IWW13"/>
      <c r="IWX13"/>
      <c r="IWY13"/>
      <c r="IWZ13"/>
      <c r="IXA13"/>
      <c r="IXB13"/>
      <c r="IXC13"/>
      <c r="IXD13"/>
      <c r="IXE13"/>
      <c r="IXF13"/>
      <c r="IXG13"/>
      <c r="IXH13"/>
      <c r="IXI13"/>
      <c r="IXJ13"/>
      <c r="IXK13"/>
      <c r="IXL13"/>
      <c r="IXM13"/>
      <c r="IXN13"/>
      <c r="IXO13"/>
      <c r="IXP13"/>
      <c r="IXQ13"/>
      <c r="IXR13"/>
      <c r="IXS13"/>
      <c r="IXT13"/>
      <c r="IXU13"/>
      <c r="IXV13"/>
      <c r="IXW13"/>
      <c r="IXX13"/>
      <c r="IXY13"/>
      <c r="IXZ13"/>
      <c r="IYA13"/>
      <c r="IYB13"/>
      <c r="IYC13"/>
      <c r="IYD13"/>
      <c r="IYE13"/>
      <c r="IYF13"/>
      <c r="IYG13"/>
      <c r="IYH13"/>
      <c r="IYI13"/>
      <c r="IYJ13"/>
      <c r="IYK13"/>
      <c r="IYL13"/>
      <c r="IYM13"/>
      <c r="IYN13"/>
      <c r="IYO13"/>
      <c r="IYP13"/>
      <c r="IYQ13"/>
      <c r="IYR13"/>
      <c r="IYS13"/>
      <c r="IYT13"/>
      <c r="IYU13"/>
      <c r="IYV13"/>
      <c r="IYW13"/>
      <c r="IYX13"/>
      <c r="IYY13"/>
      <c r="IYZ13"/>
      <c r="IZA13"/>
      <c r="IZB13"/>
      <c r="IZC13"/>
      <c r="IZD13"/>
      <c r="IZE13"/>
      <c r="IZF13"/>
      <c r="IZG13"/>
      <c r="IZH13"/>
      <c r="IZI13"/>
      <c r="IZJ13"/>
      <c r="IZK13"/>
      <c r="IZL13"/>
      <c r="IZM13"/>
      <c r="IZN13"/>
      <c r="IZO13"/>
      <c r="IZP13"/>
      <c r="IZQ13"/>
      <c r="IZR13"/>
      <c r="IZS13"/>
      <c r="IZT13"/>
      <c r="IZU13"/>
      <c r="IZV13"/>
      <c r="IZW13"/>
      <c r="IZX13"/>
      <c r="IZY13"/>
      <c r="IZZ13"/>
      <c r="JAA13"/>
      <c r="JAB13"/>
      <c r="JAC13"/>
      <c r="JAD13"/>
      <c r="JAE13"/>
      <c r="JAF13"/>
      <c r="JAG13"/>
      <c r="JAH13"/>
      <c r="JAI13"/>
      <c r="JAJ13"/>
      <c r="JAK13"/>
      <c r="JAL13"/>
      <c r="JAM13"/>
      <c r="JAN13"/>
      <c r="JAO13"/>
      <c r="JAP13"/>
      <c r="JAQ13"/>
      <c r="JAR13"/>
      <c r="JAS13"/>
      <c r="JAT13"/>
      <c r="JAU13"/>
      <c r="JAV13"/>
      <c r="JAW13"/>
      <c r="JAX13"/>
      <c r="JAY13"/>
      <c r="JAZ13"/>
      <c r="JBA13"/>
      <c r="JBB13"/>
      <c r="JBC13"/>
      <c r="JBD13"/>
      <c r="JBE13"/>
      <c r="JBF13"/>
      <c r="JBG13"/>
      <c r="JBH13"/>
      <c r="JBI13"/>
      <c r="JBJ13"/>
      <c r="JBK13"/>
      <c r="JBL13"/>
      <c r="JBM13"/>
      <c r="JBN13"/>
      <c r="JBO13"/>
      <c r="JBP13"/>
      <c r="JBQ13"/>
      <c r="JBR13"/>
      <c r="JBS13"/>
      <c r="JBT13"/>
      <c r="JBU13"/>
      <c r="JBV13"/>
      <c r="JBW13"/>
      <c r="JBX13"/>
      <c r="JBY13"/>
      <c r="JBZ13"/>
      <c r="JCA13"/>
      <c r="JCB13"/>
      <c r="JCC13"/>
      <c r="JCD13"/>
      <c r="JCE13"/>
      <c r="JCF13"/>
      <c r="JCG13"/>
      <c r="JCH13"/>
      <c r="JCI13"/>
      <c r="JCJ13"/>
      <c r="JCK13"/>
      <c r="JCL13"/>
      <c r="JCM13"/>
      <c r="JCN13"/>
      <c r="JCO13"/>
      <c r="JCP13"/>
      <c r="JCQ13"/>
      <c r="JCR13"/>
      <c r="JCS13"/>
      <c r="JCT13"/>
      <c r="JCU13"/>
      <c r="JCV13"/>
      <c r="JCW13"/>
      <c r="JCX13"/>
      <c r="JCY13"/>
      <c r="JCZ13"/>
      <c r="JDA13"/>
      <c r="JDB13"/>
      <c r="JDC13"/>
      <c r="JDD13"/>
      <c r="JDE13"/>
      <c r="JDF13"/>
      <c r="JDG13"/>
      <c r="JDH13"/>
      <c r="JDI13"/>
      <c r="JDJ13"/>
      <c r="JDK13"/>
      <c r="JDL13"/>
      <c r="JDM13"/>
      <c r="JDN13"/>
      <c r="JDO13"/>
      <c r="JDP13"/>
      <c r="JDQ13"/>
      <c r="JDR13"/>
      <c r="JDS13"/>
      <c r="JDT13"/>
      <c r="JDU13"/>
      <c r="JDV13"/>
      <c r="JDW13"/>
      <c r="JDX13"/>
      <c r="JDY13"/>
      <c r="JDZ13"/>
      <c r="JEA13"/>
      <c r="JEB13"/>
      <c r="JEC13"/>
      <c r="JED13"/>
      <c r="JEE13"/>
      <c r="JEF13"/>
      <c r="JEG13"/>
      <c r="JEH13"/>
      <c r="JEI13"/>
      <c r="JEJ13"/>
      <c r="JEK13"/>
      <c r="JEL13"/>
      <c r="JEM13"/>
      <c r="JEN13"/>
      <c r="JEO13"/>
      <c r="JEP13"/>
      <c r="JEQ13"/>
      <c r="JER13"/>
      <c r="JES13"/>
      <c r="JET13"/>
      <c r="JEU13"/>
      <c r="JEV13"/>
      <c r="JEW13"/>
      <c r="JEX13"/>
      <c r="JEY13"/>
      <c r="JEZ13"/>
      <c r="JFA13"/>
      <c r="JFB13"/>
      <c r="JFC13"/>
      <c r="JFD13"/>
      <c r="JFE13"/>
      <c r="JFF13"/>
      <c r="JFG13"/>
      <c r="JFH13"/>
      <c r="JFI13"/>
      <c r="JFJ13"/>
      <c r="JFK13"/>
      <c r="JFL13"/>
      <c r="JFM13"/>
      <c r="JFN13"/>
      <c r="JFO13"/>
      <c r="JFP13"/>
      <c r="JFQ13"/>
      <c r="JFR13"/>
      <c r="JFS13"/>
      <c r="JFT13"/>
      <c r="JFU13"/>
      <c r="JFV13"/>
      <c r="JFW13"/>
      <c r="JFX13"/>
      <c r="JFY13"/>
      <c r="JFZ13"/>
      <c r="JGA13"/>
      <c r="JGB13"/>
      <c r="JGC13"/>
      <c r="JGD13"/>
      <c r="JGE13"/>
      <c r="JGF13"/>
      <c r="JGG13"/>
      <c r="JGH13"/>
      <c r="JGI13"/>
      <c r="JGJ13"/>
      <c r="JGK13"/>
      <c r="JGL13"/>
      <c r="JGM13"/>
      <c r="JGN13"/>
      <c r="JGO13"/>
      <c r="JGP13"/>
      <c r="JGQ13"/>
      <c r="JGR13"/>
      <c r="JGS13"/>
      <c r="JGT13"/>
      <c r="JGU13"/>
      <c r="JGV13"/>
      <c r="JGW13"/>
      <c r="JGX13"/>
      <c r="JGY13"/>
      <c r="JGZ13"/>
      <c r="JHA13"/>
      <c r="JHB13"/>
      <c r="JHC13"/>
      <c r="JHD13"/>
      <c r="JHE13"/>
      <c r="JHF13"/>
      <c r="JHG13"/>
      <c r="JHH13"/>
      <c r="JHI13"/>
      <c r="JHJ13"/>
      <c r="JHK13"/>
      <c r="JHL13"/>
      <c r="JHM13"/>
      <c r="JHN13"/>
      <c r="JHO13"/>
      <c r="JHP13"/>
      <c r="JHQ13"/>
      <c r="JHR13"/>
      <c r="JHS13"/>
      <c r="JHT13"/>
      <c r="JHU13"/>
      <c r="JHV13"/>
      <c r="JHW13"/>
      <c r="JHX13"/>
      <c r="JHY13"/>
      <c r="JHZ13"/>
      <c r="JIA13"/>
      <c r="JIB13"/>
      <c r="JIC13"/>
      <c r="JID13"/>
      <c r="JIE13"/>
      <c r="JIF13"/>
      <c r="JIG13"/>
      <c r="JIH13"/>
      <c r="JII13"/>
      <c r="JIJ13"/>
      <c r="JIK13"/>
      <c r="JIL13"/>
      <c r="JIM13"/>
      <c r="JIN13"/>
      <c r="JIO13"/>
      <c r="JIP13"/>
      <c r="JIQ13"/>
      <c r="JIR13"/>
      <c r="JIS13"/>
      <c r="JIT13"/>
      <c r="JIU13"/>
      <c r="JIV13"/>
      <c r="JIW13"/>
      <c r="JIX13"/>
      <c r="JIY13"/>
      <c r="JIZ13"/>
      <c r="JJA13"/>
      <c r="JJB13"/>
      <c r="JJC13"/>
      <c r="JJD13"/>
      <c r="JJE13"/>
      <c r="JJF13"/>
      <c r="JJG13"/>
      <c r="JJH13"/>
      <c r="JJI13"/>
      <c r="JJJ13"/>
      <c r="JJK13"/>
      <c r="JJL13"/>
      <c r="JJM13"/>
      <c r="JJN13"/>
      <c r="JJO13"/>
      <c r="JJP13"/>
      <c r="JJQ13"/>
      <c r="JJR13"/>
      <c r="JJS13"/>
      <c r="JJT13"/>
      <c r="JJU13"/>
      <c r="JJV13"/>
      <c r="JJW13"/>
      <c r="JJX13"/>
      <c r="JJY13"/>
      <c r="JJZ13"/>
      <c r="JKA13"/>
      <c r="JKB13"/>
      <c r="JKC13"/>
      <c r="JKD13"/>
      <c r="JKE13"/>
      <c r="JKF13"/>
      <c r="JKG13"/>
      <c r="JKH13"/>
      <c r="JKI13"/>
      <c r="JKJ13"/>
      <c r="JKK13"/>
      <c r="JKL13"/>
      <c r="JKM13"/>
      <c r="JKN13"/>
      <c r="JKO13"/>
      <c r="JKP13"/>
      <c r="JKQ13"/>
      <c r="JKR13"/>
      <c r="JKS13"/>
      <c r="JKT13"/>
      <c r="JKU13"/>
      <c r="JKV13"/>
      <c r="JKW13"/>
      <c r="JKX13"/>
      <c r="JKY13"/>
      <c r="JKZ13"/>
      <c r="JLA13"/>
      <c r="JLB13"/>
      <c r="JLC13"/>
      <c r="JLD13"/>
      <c r="JLE13"/>
      <c r="JLF13"/>
      <c r="JLG13"/>
      <c r="JLH13"/>
      <c r="JLI13"/>
      <c r="JLJ13"/>
      <c r="JLK13"/>
      <c r="JLL13"/>
      <c r="JLM13"/>
      <c r="JLN13"/>
      <c r="JLO13"/>
      <c r="JLP13"/>
      <c r="JLQ13"/>
      <c r="JLR13"/>
      <c r="JLS13"/>
      <c r="JLT13"/>
      <c r="JLU13"/>
      <c r="JLV13"/>
      <c r="JLW13"/>
      <c r="JLX13"/>
      <c r="JLY13"/>
      <c r="JLZ13"/>
      <c r="JMA13"/>
      <c r="JMB13"/>
      <c r="JMC13"/>
      <c r="JMD13"/>
      <c r="JME13"/>
      <c r="JMF13"/>
      <c r="JMG13"/>
      <c r="JMH13"/>
      <c r="JMI13"/>
      <c r="JMJ13"/>
      <c r="JMK13"/>
      <c r="JML13"/>
      <c r="JMM13"/>
      <c r="JMN13"/>
      <c r="JMO13"/>
      <c r="JMP13"/>
      <c r="JMQ13"/>
      <c r="JMR13"/>
      <c r="JMS13"/>
      <c r="JMT13"/>
      <c r="JMU13"/>
      <c r="JMV13"/>
      <c r="JMW13"/>
      <c r="JMX13"/>
      <c r="JMY13"/>
      <c r="JMZ13"/>
      <c r="JNA13"/>
      <c r="JNB13"/>
      <c r="JNC13"/>
      <c r="JND13"/>
      <c r="JNE13"/>
      <c r="JNF13"/>
      <c r="JNG13"/>
      <c r="JNH13"/>
      <c r="JNI13"/>
      <c r="JNJ13"/>
      <c r="JNK13"/>
      <c r="JNL13"/>
      <c r="JNM13"/>
      <c r="JNN13"/>
      <c r="JNO13"/>
      <c r="JNP13"/>
      <c r="JNQ13"/>
      <c r="JNR13"/>
      <c r="JNS13"/>
      <c r="JNT13"/>
      <c r="JNU13"/>
      <c r="JNV13"/>
      <c r="JNW13"/>
      <c r="JNX13"/>
      <c r="JNY13"/>
      <c r="JNZ13"/>
      <c r="JOA13"/>
      <c r="JOB13"/>
      <c r="JOC13"/>
      <c r="JOD13"/>
      <c r="JOE13"/>
      <c r="JOF13"/>
      <c r="JOG13"/>
      <c r="JOH13"/>
      <c r="JOI13"/>
      <c r="JOJ13"/>
      <c r="JOK13"/>
      <c r="JOL13"/>
      <c r="JOM13"/>
      <c r="JON13"/>
      <c r="JOO13"/>
      <c r="JOP13"/>
      <c r="JOQ13"/>
      <c r="JOR13"/>
      <c r="JOS13"/>
      <c r="JOT13"/>
      <c r="JOU13"/>
      <c r="JOV13"/>
      <c r="JOW13"/>
      <c r="JOX13"/>
      <c r="JOY13"/>
      <c r="JOZ13"/>
      <c r="JPA13"/>
      <c r="JPB13"/>
      <c r="JPC13"/>
      <c r="JPD13"/>
      <c r="JPE13"/>
      <c r="JPF13"/>
      <c r="JPG13"/>
      <c r="JPH13"/>
      <c r="JPI13"/>
      <c r="JPJ13"/>
      <c r="JPK13"/>
      <c r="JPL13"/>
      <c r="JPM13"/>
      <c r="JPN13"/>
      <c r="JPO13"/>
      <c r="JPP13"/>
      <c r="JPQ13"/>
      <c r="JPR13"/>
      <c r="JPS13"/>
      <c r="JPT13"/>
      <c r="JPU13"/>
      <c r="JPV13"/>
      <c r="JPW13"/>
      <c r="JPX13"/>
      <c r="JPY13"/>
      <c r="JPZ13"/>
      <c r="JQA13"/>
      <c r="JQB13"/>
      <c r="JQC13"/>
      <c r="JQD13"/>
      <c r="JQE13"/>
      <c r="JQF13"/>
      <c r="JQG13"/>
      <c r="JQH13"/>
      <c r="JQI13"/>
      <c r="JQJ13"/>
      <c r="JQK13"/>
      <c r="JQL13"/>
      <c r="JQM13"/>
      <c r="JQN13"/>
      <c r="JQO13"/>
      <c r="JQP13"/>
      <c r="JQQ13"/>
      <c r="JQR13"/>
      <c r="JQS13"/>
      <c r="JQT13"/>
      <c r="JQU13"/>
      <c r="JQV13"/>
      <c r="JQW13"/>
      <c r="JQX13"/>
      <c r="JQY13"/>
      <c r="JQZ13"/>
      <c r="JRA13"/>
      <c r="JRB13"/>
      <c r="JRC13"/>
      <c r="JRD13"/>
      <c r="JRE13"/>
      <c r="JRF13"/>
      <c r="JRG13"/>
      <c r="JRH13"/>
      <c r="JRI13"/>
      <c r="JRJ13"/>
      <c r="JRK13"/>
      <c r="JRL13"/>
      <c r="JRM13"/>
      <c r="JRN13"/>
      <c r="JRO13"/>
      <c r="JRP13"/>
      <c r="JRQ13"/>
      <c r="JRR13"/>
      <c r="JRS13"/>
      <c r="JRT13"/>
      <c r="JRU13"/>
      <c r="JRV13"/>
      <c r="JRW13"/>
      <c r="JRX13"/>
      <c r="JRY13"/>
      <c r="JRZ13"/>
      <c r="JSA13"/>
      <c r="JSB13"/>
      <c r="JSC13"/>
      <c r="JSD13"/>
      <c r="JSE13"/>
      <c r="JSF13"/>
      <c r="JSG13"/>
      <c r="JSH13"/>
      <c r="JSI13"/>
      <c r="JSJ13"/>
      <c r="JSK13"/>
      <c r="JSL13"/>
      <c r="JSM13"/>
      <c r="JSN13"/>
      <c r="JSO13"/>
      <c r="JSP13"/>
      <c r="JSQ13"/>
      <c r="JSR13"/>
      <c r="JSS13"/>
      <c r="JST13"/>
      <c r="JSU13"/>
      <c r="JSV13"/>
      <c r="JSW13"/>
      <c r="JSX13"/>
      <c r="JSY13"/>
      <c r="JSZ13"/>
      <c r="JTA13"/>
      <c r="JTB13"/>
      <c r="JTC13"/>
      <c r="JTD13"/>
      <c r="JTE13"/>
      <c r="JTF13"/>
      <c r="JTG13"/>
      <c r="JTH13"/>
      <c r="JTI13"/>
      <c r="JTJ13"/>
      <c r="JTK13"/>
      <c r="JTL13"/>
      <c r="JTM13"/>
      <c r="JTN13"/>
      <c r="JTO13"/>
      <c r="JTP13"/>
      <c r="JTQ13"/>
      <c r="JTR13"/>
      <c r="JTS13"/>
      <c r="JTT13"/>
      <c r="JTU13"/>
      <c r="JTV13"/>
      <c r="JTW13"/>
      <c r="JTX13"/>
      <c r="JTY13"/>
      <c r="JTZ13"/>
      <c r="JUA13"/>
      <c r="JUB13"/>
      <c r="JUC13"/>
      <c r="JUD13"/>
      <c r="JUE13"/>
      <c r="JUF13"/>
      <c r="JUG13"/>
      <c r="JUH13"/>
      <c r="JUI13"/>
      <c r="JUJ13"/>
      <c r="JUK13"/>
      <c r="JUL13"/>
      <c r="JUM13"/>
      <c r="JUN13"/>
      <c r="JUO13"/>
      <c r="JUP13"/>
      <c r="JUQ13"/>
      <c r="JUR13"/>
      <c r="JUS13"/>
      <c r="JUT13"/>
      <c r="JUU13"/>
      <c r="JUV13"/>
      <c r="JUW13"/>
      <c r="JUX13"/>
      <c r="JUY13"/>
      <c r="JUZ13"/>
      <c r="JVA13"/>
      <c r="JVB13"/>
      <c r="JVC13"/>
      <c r="JVD13"/>
      <c r="JVE13"/>
      <c r="JVF13"/>
      <c r="JVG13"/>
      <c r="JVH13"/>
      <c r="JVI13"/>
      <c r="JVJ13"/>
      <c r="JVK13"/>
      <c r="JVL13"/>
      <c r="JVM13"/>
      <c r="JVN13"/>
      <c r="JVO13"/>
      <c r="JVP13"/>
      <c r="JVQ13"/>
      <c r="JVR13"/>
      <c r="JVS13"/>
      <c r="JVT13"/>
      <c r="JVU13"/>
      <c r="JVV13"/>
      <c r="JVW13"/>
      <c r="JVX13"/>
      <c r="JVY13"/>
      <c r="JVZ13"/>
      <c r="JWA13"/>
      <c r="JWB13"/>
      <c r="JWC13"/>
      <c r="JWD13"/>
      <c r="JWE13"/>
      <c r="JWF13"/>
      <c r="JWG13"/>
      <c r="JWH13"/>
      <c r="JWI13"/>
      <c r="JWJ13"/>
      <c r="JWK13"/>
      <c r="JWL13"/>
      <c r="JWM13"/>
      <c r="JWN13"/>
      <c r="JWO13"/>
      <c r="JWP13"/>
      <c r="JWQ13"/>
      <c r="JWR13"/>
      <c r="JWS13"/>
      <c r="JWT13"/>
      <c r="JWU13"/>
      <c r="JWV13"/>
      <c r="JWW13"/>
      <c r="JWX13"/>
      <c r="JWY13"/>
      <c r="JWZ13"/>
      <c r="JXA13"/>
      <c r="JXB13"/>
      <c r="JXC13"/>
      <c r="JXD13"/>
      <c r="JXE13"/>
      <c r="JXF13"/>
      <c r="JXG13"/>
      <c r="JXH13"/>
      <c r="JXI13"/>
      <c r="JXJ13"/>
      <c r="JXK13"/>
      <c r="JXL13"/>
      <c r="JXM13"/>
      <c r="JXN13"/>
      <c r="JXO13"/>
      <c r="JXP13"/>
      <c r="JXQ13"/>
      <c r="JXR13"/>
      <c r="JXS13"/>
      <c r="JXT13"/>
      <c r="JXU13"/>
      <c r="JXV13"/>
      <c r="JXW13"/>
      <c r="JXX13"/>
      <c r="JXY13"/>
      <c r="JXZ13"/>
      <c r="JYA13"/>
      <c r="JYB13"/>
      <c r="JYC13"/>
      <c r="JYD13"/>
      <c r="JYE13"/>
      <c r="JYF13"/>
      <c r="JYG13"/>
      <c r="JYH13"/>
      <c r="JYI13"/>
      <c r="JYJ13"/>
      <c r="JYK13"/>
      <c r="JYL13"/>
      <c r="JYM13"/>
      <c r="JYN13"/>
      <c r="JYO13"/>
      <c r="JYP13"/>
      <c r="JYQ13"/>
      <c r="JYR13"/>
      <c r="JYS13"/>
      <c r="JYT13"/>
      <c r="JYU13"/>
      <c r="JYV13"/>
      <c r="JYW13"/>
      <c r="JYX13"/>
      <c r="JYY13"/>
      <c r="JYZ13"/>
      <c r="JZA13"/>
      <c r="JZB13"/>
      <c r="JZC13"/>
      <c r="JZD13"/>
      <c r="JZE13"/>
      <c r="JZF13"/>
      <c r="JZG13"/>
      <c r="JZH13"/>
      <c r="JZI13"/>
      <c r="JZJ13"/>
      <c r="JZK13"/>
      <c r="JZL13"/>
      <c r="JZM13"/>
      <c r="JZN13"/>
      <c r="JZO13"/>
      <c r="JZP13"/>
      <c r="JZQ13"/>
      <c r="JZR13"/>
      <c r="JZS13"/>
      <c r="JZT13"/>
      <c r="JZU13"/>
      <c r="JZV13"/>
      <c r="JZW13"/>
      <c r="JZX13"/>
      <c r="JZY13"/>
      <c r="JZZ13"/>
      <c r="KAA13"/>
      <c r="KAB13"/>
      <c r="KAC13"/>
      <c r="KAD13"/>
      <c r="KAE13"/>
      <c r="KAF13"/>
      <c r="KAG13"/>
      <c r="KAH13"/>
      <c r="KAI13"/>
      <c r="KAJ13"/>
      <c r="KAK13"/>
      <c r="KAL13"/>
      <c r="KAM13"/>
      <c r="KAN13"/>
      <c r="KAO13"/>
      <c r="KAP13"/>
      <c r="KAQ13"/>
      <c r="KAR13"/>
      <c r="KAS13"/>
      <c r="KAT13"/>
      <c r="KAU13"/>
      <c r="KAV13"/>
      <c r="KAW13"/>
      <c r="KAX13"/>
      <c r="KAY13"/>
      <c r="KAZ13"/>
      <c r="KBA13"/>
      <c r="KBB13"/>
      <c r="KBC13"/>
      <c r="KBD13"/>
      <c r="KBE13"/>
      <c r="KBF13"/>
      <c r="KBG13"/>
      <c r="KBH13"/>
      <c r="KBI13"/>
      <c r="KBJ13"/>
      <c r="KBK13"/>
      <c r="KBL13"/>
      <c r="KBM13"/>
      <c r="KBN13"/>
      <c r="KBO13"/>
      <c r="KBP13"/>
      <c r="KBQ13"/>
      <c r="KBR13"/>
      <c r="KBS13"/>
      <c r="KBT13"/>
      <c r="KBU13"/>
      <c r="KBV13"/>
      <c r="KBW13"/>
      <c r="KBX13"/>
      <c r="KBY13"/>
      <c r="KBZ13"/>
      <c r="KCA13"/>
      <c r="KCB13"/>
      <c r="KCC13"/>
      <c r="KCD13"/>
      <c r="KCE13"/>
      <c r="KCF13"/>
      <c r="KCG13"/>
      <c r="KCH13"/>
      <c r="KCI13"/>
      <c r="KCJ13"/>
      <c r="KCK13"/>
      <c r="KCL13"/>
      <c r="KCM13"/>
      <c r="KCN13"/>
      <c r="KCO13"/>
      <c r="KCP13"/>
      <c r="KCQ13"/>
      <c r="KCR13"/>
      <c r="KCS13"/>
      <c r="KCT13"/>
      <c r="KCU13"/>
      <c r="KCV13"/>
      <c r="KCW13"/>
      <c r="KCX13"/>
      <c r="KCY13"/>
      <c r="KCZ13"/>
      <c r="KDA13"/>
      <c r="KDB13"/>
      <c r="KDC13"/>
      <c r="KDD13"/>
      <c r="KDE13"/>
      <c r="KDF13"/>
      <c r="KDG13"/>
      <c r="KDH13"/>
      <c r="KDI13"/>
      <c r="KDJ13"/>
      <c r="KDK13"/>
      <c r="KDL13"/>
      <c r="KDM13"/>
      <c r="KDN13"/>
      <c r="KDO13"/>
      <c r="KDP13"/>
      <c r="KDQ13"/>
      <c r="KDR13"/>
      <c r="KDS13"/>
      <c r="KDT13"/>
      <c r="KDU13"/>
      <c r="KDV13"/>
      <c r="KDW13"/>
      <c r="KDX13"/>
      <c r="KDY13"/>
      <c r="KDZ13"/>
      <c r="KEA13"/>
      <c r="KEB13"/>
      <c r="KEC13"/>
      <c r="KED13"/>
      <c r="KEE13"/>
      <c r="KEF13"/>
      <c r="KEG13"/>
      <c r="KEH13"/>
      <c r="KEI13"/>
      <c r="KEJ13"/>
      <c r="KEK13"/>
      <c r="KEL13"/>
      <c r="KEM13"/>
      <c r="KEN13"/>
      <c r="KEO13"/>
      <c r="KEP13"/>
      <c r="KEQ13"/>
      <c r="KER13"/>
      <c r="KES13"/>
      <c r="KET13"/>
      <c r="KEU13"/>
      <c r="KEV13"/>
      <c r="KEW13"/>
      <c r="KEX13"/>
      <c r="KEY13"/>
      <c r="KEZ13"/>
      <c r="KFA13"/>
      <c r="KFB13"/>
      <c r="KFC13"/>
      <c r="KFD13"/>
      <c r="KFE13"/>
      <c r="KFF13"/>
      <c r="KFG13"/>
      <c r="KFH13"/>
      <c r="KFI13"/>
      <c r="KFJ13"/>
      <c r="KFK13"/>
      <c r="KFL13"/>
      <c r="KFM13"/>
      <c r="KFN13"/>
      <c r="KFO13"/>
      <c r="KFP13"/>
      <c r="KFQ13"/>
      <c r="KFR13"/>
      <c r="KFS13"/>
      <c r="KFT13"/>
      <c r="KFU13"/>
      <c r="KFV13"/>
      <c r="KFW13"/>
      <c r="KFX13"/>
      <c r="KFY13"/>
      <c r="KFZ13"/>
      <c r="KGA13"/>
      <c r="KGB13"/>
      <c r="KGC13"/>
      <c r="KGD13"/>
      <c r="KGE13"/>
      <c r="KGF13"/>
      <c r="KGG13"/>
      <c r="KGH13"/>
      <c r="KGI13"/>
      <c r="KGJ13"/>
      <c r="KGK13"/>
      <c r="KGL13"/>
      <c r="KGM13"/>
      <c r="KGN13"/>
      <c r="KGO13"/>
      <c r="KGP13"/>
      <c r="KGQ13"/>
      <c r="KGR13"/>
      <c r="KGS13"/>
      <c r="KGT13"/>
      <c r="KGU13"/>
      <c r="KGV13"/>
      <c r="KGW13"/>
      <c r="KGX13"/>
      <c r="KGY13"/>
      <c r="KGZ13"/>
      <c r="KHA13"/>
      <c r="KHB13"/>
      <c r="KHC13"/>
      <c r="KHD13"/>
      <c r="KHE13"/>
      <c r="KHF13"/>
      <c r="KHG13"/>
      <c r="KHH13"/>
      <c r="KHI13"/>
      <c r="KHJ13"/>
      <c r="KHK13"/>
      <c r="KHL13"/>
      <c r="KHM13"/>
      <c r="KHN13"/>
      <c r="KHO13"/>
      <c r="KHP13"/>
      <c r="KHQ13"/>
      <c r="KHR13"/>
      <c r="KHS13"/>
      <c r="KHT13"/>
      <c r="KHU13"/>
      <c r="KHV13"/>
      <c r="KHW13"/>
      <c r="KHX13"/>
      <c r="KHY13"/>
      <c r="KHZ13"/>
      <c r="KIA13"/>
      <c r="KIB13"/>
      <c r="KIC13"/>
      <c r="KID13"/>
      <c r="KIE13"/>
      <c r="KIF13"/>
      <c r="KIG13"/>
      <c r="KIH13"/>
      <c r="KII13"/>
      <c r="KIJ13"/>
      <c r="KIK13"/>
      <c r="KIL13"/>
      <c r="KIM13"/>
      <c r="KIN13"/>
      <c r="KIO13"/>
      <c r="KIP13"/>
      <c r="KIQ13"/>
      <c r="KIR13"/>
      <c r="KIS13"/>
      <c r="KIT13"/>
      <c r="KIU13"/>
      <c r="KIV13"/>
      <c r="KIW13"/>
      <c r="KIX13"/>
      <c r="KIY13"/>
      <c r="KIZ13"/>
      <c r="KJA13"/>
      <c r="KJB13"/>
      <c r="KJC13"/>
      <c r="KJD13"/>
      <c r="KJE13"/>
      <c r="KJF13"/>
      <c r="KJG13"/>
      <c r="KJH13"/>
      <c r="KJI13"/>
      <c r="KJJ13"/>
      <c r="KJK13"/>
      <c r="KJL13"/>
      <c r="KJM13"/>
      <c r="KJN13"/>
      <c r="KJO13"/>
      <c r="KJP13"/>
      <c r="KJQ13"/>
      <c r="KJR13"/>
      <c r="KJS13"/>
      <c r="KJT13"/>
      <c r="KJU13"/>
      <c r="KJV13"/>
      <c r="KJW13"/>
      <c r="KJX13"/>
      <c r="KJY13"/>
      <c r="KJZ13"/>
      <c r="KKA13"/>
      <c r="KKB13"/>
      <c r="KKC13"/>
      <c r="KKD13"/>
      <c r="KKE13"/>
      <c r="KKF13"/>
      <c r="KKG13"/>
      <c r="KKH13"/>
      <c r="KKI13"/>
      <c r="KKJ13"/>
      <c r="KKK13"/>
      <c r="KKL13"/>
      <c r="KKM13"/>
      <c r="KKN13"/>
      <c r="KKO13"/>
      <c r="KKP13"/>
      <c r="KKQ13"/>
      <c r="KKR13"/>
      <c r="KKS13"/>
      <c r="KKT13"/>
      <c r="KKU13"/>
      <c r="KKV13"/>
      <c r="KKW13"/>
      <c r="KKX13"/>
      <c r="KKY13"/>
      <c r="KKZ13"/>
      <c r="KLA13"/>
      <c r="KLB13"/>
      <c r="KLC13"/>
      <c r="KLD13"/>
      <c r="KLE13"/>
      <c r="KLF13"/>
      <c r="KLG13"/>
      <c r="KLH13"/>
      <c r="KLI13"/>
      <c r="KLJ13"/>
      <c r="KLK13"/>
      <c r="KLL13"/>
      <c r="KLM13"/>
      <c r="KLN13"/>
      <c r="KLO13"/>
      <c r="KLP13"/>
      <c r="KLQ13"/>
      <c r="KLR13"/>
      <c r="KLS13"/>
      <c r="KLT13"/>
      <c r="KLU13"/>
      <c r="KLV13"/>
      <c r="KLW13"/>
      <c r="KLX13"/>
      <c r="KLY13"/>
      <c r="KLZ13"/>
      <c r="KMA13"/>
      <c r="KMB13"/>
      <c r="KMC13"/>
      <c r="KMD13"/>
      <c r="KME13"/>
      <c r="KMF13"/>
      <c r="KMG13"/>
      <c r="KMH13"/>
      <c r="KMI13"/>
      <c r="KMJ13"/>
      <c r="KMK13"/>
      <c r="KML13"/>
      <c r="KMM13"/>
      <c r="KMN13"/>
      <c r="KMO13"/>
      <c r="KMP13"/>
      <c r="KMQ13"/>
      <c r="KMR13"/>
      <c r="KMS13"/>
      <c r="KMT13"/>
      <c r="KMU13"/>
      <c r="KMV13"/>
      <c r="KMW13"/>
      <c r="KMX13"/>
      <c r="KMY13"/>
      <c r="KMZ13"/>
      <c r="KNA13"/>
      <c r="KNB13"/>
      <c r="KNC13"/>
      <c r="KND13"/>
      <c r="KNE13"/>
      <c r="KNF13"/>
      <c r="KNG13"/>
      <c r="KNH13"/>
      <c r="KNI13"/>
      <c r="KNJ13"/>
      <c r="KNK13"/>
      <c r="KNL13"/>
      <c r="KNM13"/>
      <c r="KNN13"/>
      <c r="KNO13"/>
      <c r="KNP13"/>
      <c r="KNQ13"/>
      <c r="KNR13"/>
      <c r="KNS13"/>
      <c r="KNT13"/>
      <c r="KNU13"/>
      <c r="KNV13"/>
      <c r="KNW13"/>
      <c r="KNX13"/>
      <c r="KNY13"/>
      <c r="KNZ13"/>
      <c r="KOA13"/>
      <c r="KOB13"/>
      <c r="KOC13"/>
      <c r="KOD13"/>
      <c r="KOE13"/>
      <c r="KOF13"/>
      <c r="KOG13"/>
      <c r="KOH13"/>
      <c r="KOI13"/>
      <c r="KOJ13"/>
      <c r="KOK13"/>
      <c r="KOL13"/>
      <c r="KOM13"/>
      <c r="KON13"/>
      <c r="KOO13"/>
      <c r="KOP13"/>
      <c r="KOQ13"/>
      <c r="KOR13"/>
      <c r="KOS13"/>
      <c r="KOT13"/>
      <c r="KOU13"/>
      <c r="KOV13"/>
      <c r="KOW13"/>
      <c r="KOX13"/>
      <c r="KOY13"/>
      <c r="KOZ13"/>
      <c r="KPA13"/>
      <c r="KPB13"/>
      <c r="KPC13"/>
      <c r="KPD13"/>
      <c r="KPE13"/>
      <c r="KPF13"/>
      <c r="KPG13"/>
      <c r="KPH13"/>
      <c r="KPI13"/>
      <c r="KPJ13"/>
      <c r="KPK13"/>
      <c r="KPL13"/>
      <c r="KPM13"/>
      <c r="KPN13"/>
      <c r="KPO13"/>
      <c r="KPP13"/>
      <c r="KPQ13"/>
      <c r="KPR13"/>
      <c r="KPS13"/>
      <c r="KPT13"/>
      <c r="KPU13"/>
      <c r="KPV13"/>
      <c r="KPW13"/>
      <c r="KPX13"/>
      <c r="KPY13"/>
      <c r="KPZ13"/>
      <c r="KQA13"/>
      <c r="KQB13"/>
      <c r="KQC13"/>
      <c r="KQD13"/>
      <c r="KQE13"/>
      <c r="KQF13"/>
      <c r="KQG13"/>
      <c r="KQH13"/>
      <c r="KQI13"/>
      <c r="KQJ13"/>
      <c r="KQK13"/>
      <c r="KQL13"/>
      <c r="KQM13"/>
      <c r="KQN13"/>
      <c r="KQO13"/>
      <c r="KQP13"/>
      <c r="KQQ13"/>
      <c r="KQR13"/>
      <c r="KQS13"/>
      <c r="KQT13"/>
      <c r="KQU13"/>
      <c r="KQV13"/>
      <c r="KQW13"/>
      <c r="KQX13"/>
      <c r="KQY13"/>
      <c r="KQZ13"/>
      <c r="KRA13"/>
      <c r="KRB13"/>
      <c r="KRC13"/>
      <c r="KRD13"/>
      <c r="KRE13"/>
      <c r="KRF13"/>
      <c r="KRG13"/>
      <c r="KRH13"/>
      <c r="KRI13"/>
      <c r="KRJ13"/>
      <c r="KRK13"/>
      <c r="KRL13"/>
      <c r="KRM13"/>
      <c r="KRN13"/>
      <c r="KRO13"/>
      <c r="KRP13"/>
      <c r="KRQ13"/>
      <c r="KRR13"/>
      <c r="KRS13"/>
      <c r="KRT13"/>
      <c r="KRU13"/>
      <c r="KRV13"/>
      <c r="KRW13"/>
      <c r="KRX13"/>
      <c r="KRY13"/>
      <c r="KRZ13"/>
      <c r="KSA13"/>
      <c r="KSB13"/>
      <c r="KSC13"/>
      <c r="KSD13"/>
      <c r="KSE13"/>
      <c r="KSF13"/>
      <c r="KSG13"/>
      <c r="KSH13"/>
      <c r="KSI13"/>
      <c r="KSJ13"/>
      <c r="KSK13"/>
      <c r="KSL13"/>
      <c r="KSM13"/>
      <c r="KSN13"/>
      <c r="KSO13"/>
      <c r="KSP13"/>
      <c r="KSQ13"/>
      <c r="KSR13"/>
      <c r="KSS13"/>
      <c r="KST13"/>
      <c r="KSU13"/>
      <c r="KSV13"/>
      <c r="KSW13"/>
      <c r="KSX13"/>
      <c r="KSY13"/>
      <c r="KSZ13"/>
      <c r="KTA13"/>
      <c r="KTB13"/>
      <c r="KTC13"/>
      <c r="KTD13"/>
      <c r="KTE13"/>
      <c r="KTF13"/>
      <c r="KTG13"/>
      <c r="KTH13"/>
      <c r="KTI13"/>
      <c r="KTJ13"/>
      <c r="KTK13"/>
      <c r="KTL13"/>
      <c r="KTM13"/>
      <c r="KTN13"/>
      <c r="KTO13"/>
      <c r="KTP13"/>
      <c r="KTQ13"/>
      <c r="KTR13"/>
      <c r="KTS13"/>
      <c r="KTT13"/>
      <c r="KTU13"/>
      <c r="KTV13"/>
      <c r="KTW13"/>
      <c r="KTX13"/>
      <c r="KTY13"/>
      <c r="KTZ13"/>
      <c r="KUA13"/>
      <c r="KUB13"/>
      <c r="KUC13"/>
      <c r="KUD13"/>
      <c r="KUE13"/>
      <c r="KUF13"/>
      <c r="KUG13"/>
      <c r="KUH13"/>
      <c r="KUI13"/>
      <c r="KUJ13"/>
      <c r="KUK13"/>
      <c r="KUL13"/>
      <c r="KUM13"/>
      <c r="KUN13"/>
      <c r="KUO13"/>
      <c r="KUP13"/>
      <c r="KUQ13"/>
      <c r="KUR13"/>
      <c r="KUS13"/>
      <c r="KUT13"/>
      <c r="KUU13"/>
      <c r="KUV13"/>
      <c r="KUW13"/>
      <c r="KUX13"/>
      <c r="KUY13"/>
      <c r="KUZ13"/>
      <c r="KVA13"/>
      <c r="KVB13"/>
      <c r="KVC13"/>
      <c r="KVD13"/>
      <c r="KVE13"/>
      <c r="KVF13"/>
      <c r="KVG13"/>
      <c r="KVH13"/>
      <c r="KVI13"/>
      <c r="KVJ13"/>
      <c r="KVK13"/>
      <c r="KVL13"/>
      <c r="KVM13"/>
      <c r="KVN13"/>
      <c r="KVO13"/>
      <c r="KVP13"/>
      <c r="KVQ13"/>
      <c r="KVR13"/>
      <c r="KVS13"/>
      <c r="KVT13"/>
      <c r="KVU13"/>
      <c r="KVV13"/>
      <c r="KVW13"/>
      <c r="KVX13"/>
      <c r="KVY13"/>
      <c r="KVZ13"/>
      <c r="KWA13"/>
      <c r="KWB13"/>
      <c r="KWC13"/>
      <c r="KWD13"/>
      <c r="KWE13"/>
      <c r="KWF13"/>
      <c r="KWG13"/>
      <c r="KWH13"/>
      <c r="KWI13"/>
      <c r="KWJ13"/>
      <c r="KWK13"/>
      <c r="KWL13"/>
      <c r="KWM13"/>
      <c r="KWN13"/>
      <c r="KWO13"/>
      <c r="KWP13"/>
      <c r="KWQ13"/>
      <c r="KWR13"/>
      <c r="KWS13"/>
      <c r="KWT13"/>
      <c r="KWU13"/>
      <c r="KWV13"/>
      <c r="KWW13"/>
      <c r="KWX13"/>
      <c r="KWY13"/>
      <c r="KWZ13"/>
      <c r="KXA13"/>
      <c r="KXB13"/>
      <c r="KXC13"/>
      <c r="KXD13"/>
      <c r="KXE13"/>
      <c r="KXF13"/>
      <c r="KXG13"/>
      <c r="KXH13"/>
      <c r="KXI13"/>
      <c r="KXJ13"/>
      <c r="KXK13"/>
      <c r="KXL13"/>
      <c r="KXM13"/>
      <c r="KXN13"/>
      <c r="KXO13"/>
      <c r="KXP13"/>
      <c r="KXQ13"/>
      <c r="KXR13"/>
      <c r="KXS13"/>
      <c r="KXT13"/>
      <c r="KXU13"/>
      <c r="KXV13"/>
      <c r="KXW13"/>
      <c r="KXX13"/>
      <c r="KXY13"/>
      <c r="KXZ13"/>
      <c r="KYA13"/>
      <c r="KYB13"/>
      <c r="KYC13"/>
      <c r="KYD13"/>
      <c r="KYE13"/>
      <c r="KYF13"/>
      <c r="KYG13"/>
      <c r="KYH13"/>
      <c r="KYI13"/>
      <c r="KYJ13"/>
      <c r="KYK13"/>
      <c r="KYL13"/>
      <c r="KYM13"/>
      <c r="KYN13"/>
      <c r="KYO13"/>
      <c r="KYP13"/>
      <c r="KYQ13"/>
      <c r="KYR13"/>
      <c r="KYS13"/>
      <c r="KYT13"/>
      <c r="KYU13"/>
      <c r="KYV13"/>
      <c r="KYW13"/>
      <c r="KYX13"/>
      <c r="KYY13"/>
      <c r="KYZ13"/>
      <c r="KZA13"/>
      <c r="KZB13"/>
      <c r="KZC13"/>
      <c r="KZD13"/>
      <c r="KZE13"/>
      <c r="KZF13"/>
      <c r="KZG13"/>
      <c r="KZH13"/>
      <c r="KZI13"/>
      <c r="KZJ13"/>
      <c r="KZK13"/>
      <c r="KZL13"/>
      <c r="KZM13"/>
      <c r="KZN13"/>
      <c r="KZO13"/>
      <c r="KZP13"/>
      <c r="KZQ13"/>
      <c r="KZR13"/>
      <c r="KZS13"/>
      <c r="KZT13"/>
      <c r="KZU13"/>
      <c r="KZV13"/>
      <c r="KZW13"/>
      <c r="KZX13"/>
      <c r="KZY13"/>
      <c r="KZZ13"/>
      <c r="LAA13"/>
      <c r="LAB13"/>
      <c r="LAC13"/>
      <c r="LAD13"/>
      <c r="LAE13"/>
      <c r="LAF13"/>
      <c r="LAG13"/>
      <c r="LAH13"/>
      <c r="LAI13"/>
      <c r="LAJ13"/>
      <c r="LAK13"/>
      <c r="LAL13"/>
      <c r="LAM13"/>
      <c r="LAN13"/>
      <c r="LAO13"/>
      <c r="LAP13"/>
      <c r="LAQ13"/>
      <c r="LAR13"/>
      <c r="LAS13"/>
      <c r="LAT13"/>
      <c r="LAU13"/>
      <c r="LAV13"/>
      <c r="LAW13"/>
      <c r="LAX13"/>
      <c r="LAY13"/>
      <c r="LAZ13"/>
      <c r="LBA13"/>
      <c r="LBB13"/>
      <c r="LBC13"/>
      <c r="LBD13"/>
      <c r="LBE13"/>
      <c r="LBF13"/>
      <c r="LBG13"/>
      <c r="LBH13"/>
      <c r="LBI13"/>
      <c r="LBJ13"/>
      <c r="LBK13"/>
      <c r="LBL13"/>
      <c r="LBM13"/>
      <c r="LBN13"/>
      <c r="LBO13"/>
      <c r="LBP13"/>
      <c r="LBQ13"/>
      <c r="LBR13"/>
      <c r="LBS13"/>
      <c r="LBT13"/>
      <c r="LBU13"/>
      <c r="LBV13"/>
      <c r="LBW13"/>
      <c r="LBX13"/>
      <c r="LBY13"/>
      <c r="LBZ13"/>
      <c r="LCA13"/>
      <c r="LCB13"/>
      <c r="LCC13"/>
      <c r="LCD13"/>
      <c r="LCE13"/>
      <c r="LCF13"/>
      <c r="LCG13"/>
      <c r="LCH13"/>
      <c r="LCI13"/>
      <c r="LCJ13"/>
      <c r="LCK13"/>
      <c r="LCL13"/>
      <c r="LCM13"/>
      <c r="LCN13"/>
      <c r="LCO13"/>
      <c r="LCP13"/>
      <c r="LCQ13"/>
      <c r="LCR13"/>
      <c r="LCS13"/>
      <c r="LCT13"/>
      <c r="LCU13"/>
      <c r="LCV13"/>
      <c r="LCW13"/>
      <c r="LCX13"/>
      <c r="LCY13"/>
      <c r="LCZ13"/>
      <c r="LDA13"/>
      <c r="LDB13"/>
      <c r="LDC13"/>
      <c r="LDD13"/>
      <c r="LDE13"/>
      <c r="LDF13"/>
      <c r="LDG13"/>
      <c r="LDH13"/>
      <c r="LDI13"/>
      <c r="LDJ13"/>
      <c r="LDK13"/>
      <c r="LDL13"/>
      <c r="LDM13"/>
      <c r="LDN13"/>
      <c r="LDO13"/>
      <c r="LDP13"/>
      <c r="LDQ13"/>
      <c r="LDR13"/>
      <c r="LDS13"/>
      <c r="LDT13"/>
      <c r="LDU13"/>
      <c r="LDV13"/>
      <c r="LDW13"/>
      <c r="LDX13"/>
      <c r="LDY13"/>
      <c r="LDZ13"/>
      <c r="LEA13"/>
      <c r="LEB13"/>
      <c r="LEC13"/>
      <c r="LED13"/>
      <c r="LEE13"/>
      <c r="LEF13"/>
      <c r="LEG13"/>
      <c r="LEH13"/>
      <c r="LEI13"/>
      <c r="LEJ13"/>
      <c r="LEK13"/>
      <c r="LEL13"/>
      <c r="LEM13"/>
      <c r="LEN13"/>
      <c r="LEO13"/>
      <c r="LEP13"/>
      <c r="LEQ13"/>
      <c r="LER13"/>
      <c r="LES13"/>
      <c r="LET13"/>
      <c r="LEU13"/>
      <c r="LEV13"/>
      <c r="LEW13"/>
      <c r="LEX13"/>
      <c r="LEY13"/>
      <c r="LEZ13"/>
      <c r="LFA13"/>
      <c r="LFB13"/>
      <c r="LFC13"/>
      <c r="LFD13"/>
      <c r="LFE13"/>
      <c r="LFF13"/>
      <c r="LFG13"/>
      <c r="LFH13"/>
      <c r="LFI13"/>
      <c r="LFJ13"/>
      <c r="LFK13"/>
      <c r="LFL13"/>
      <c r="LFM13"/>
      <c r="LFN13"/>
      <c r="LFO13"/>
      <c r="LFP13"/>
      <c r="LFQ13"/>
      <c r="LFR13"/>
      <c r="LFS13"/>
      <c r="LFT13"/>
      <c r="LFU13"/>
      <c r="LFV13"/>
      <c r="LFW13"/>
      <c r="LFX13"/>
      <c r="LFY13"/>
      <c r="LFZ13"/>
      <c r="LGA13"/>
      <c r="LGB13"/>
      <c r="LGC13"/>
      <c r="LGD13"/>
      <c r="LGE13"/>
      <c r="LGF13"/>
      <c r="LGG13"/>
      <c r="LGH13"/>
      <c r="LGI13"/>
      <c r="LGJ13"/>
      <c r="LGK13"/>
      <c r="LGL13"/>
      <c r="LGM13"/>
      <c r="LGN13"/>
      <c r="LGO13"/>
      <c r="LGP13"/>
      <c r="LGQ13"/>
      <c r="LGR13"/>
      <c r="LGS13"/>
      <c r="LGT13"/>
      <c r="LGU13"/>
      <c r="LGV13"/>
      <c r="LGW13"/>
      <c r="LGX13"/>
      <c r="LGY13"/>
      <c r="LGZ13"/>
      <c r="LHA13"/>
      <c r="LHB13"/>
      <c r="LHC13"/>
      <c r="LHD13"/>
      <c r="LHE13"/>
      <c r="LHF13"/>
      <c r="LHG13"/>
      <c r="LHH13"/>
      <c r="LHI13"/>
      <c r="LHJ13"/>
      <c r="LHK13"/>
      <c r="LHL13"/>
      <c r="LHM13"/>
      <c r="LHN13"/>
      <c r="LHO13"/>
      <c r="LHP13"/>
      <c r="LHQ13"/>
      <c r="LHR13"/>
      <c r="LHS13"/>
      <c r="LHT13"/>
      <c r="LHU13"/>
      <c r="LHV13"/>
      <c r="LHW13"/>
      <c r="LHX13"/>
      <c r="LHY13"/>
      <c r="LHZ13"/>
      <c r="LIA13"/>
      <c r="LIB13"/>
      <c r="LIC13"/>
      <c r="LID13"/>
      <c r="LIE13"/>
      <c r="LIF13"/>
      <c r="LIG13"/>
      <c r="LIH13"/>
      <c r="LII13"/>
      <c r="LIJ13"/>
      <c r="LIK13"/>
      <c r="LIL13"/>
      <c r="LIM13"/>
      <c r="LIN13"/>
      <c r="LIO13"/>
      <c r="LIP13"/>
      <c r="LIQ13"/>
      <c r="LIR13"/>
      <c r="LIS13"/>
      <c r="LIT13"/>
      <c r="LIU13"/>
      <c r="LIV13"/>
      <c r="LIW13"/>
      <c r="LIX13"/>
      <c r="LIY13"/>
      <c r="LIZ13"/>
      <c r="LJA13"/>
      <c r="LJB13"/>
      <c r="LJC13"/>
      <c r="LJD13"/>
      <c r="LJE13"/>
      <c r="LJF13"/>
      <c r="LJG13"/>
      <c r="LJH13"/>
      <c r="LJI13"/>
      <c r="LJJ13"/>
      <c r="LJK13"/>
      <c r="LJL13"/>
      <c r="LJM13"/>
      <c r="LJN13"/>
      <c r="LJO13"/>
      <c r="LJP13"/>
      <c r="LJQ13"/>
      <c r="LJR13"/>
      <c r="LJS13"/>
      <c r="LJT13"/>
      <c r="LJU13"/>
      <c r="LJV13"/>
      <c r="LJW13"/>
      <c r="LJX13"/>
      <c r="LJY13"/>
      <c r="LJZ13"/>
      <c r="LKA13"/>
      <c r="LKB13"/>
      <c r="LKC13"/>
      <c r="LKD13"/>
      <c r="LKE13"/>
      <c r="LKF13"/>
      <c r="LKG13"/>
      <c r="LKH13"/>
      <c r="LKI13"/>
      <c r="LKJ13"/>
      <c r="LKK13"/>
      <c r="LKL13"/>
      <c r="LKM13"/>
      <c r="LKN13"/>
      <c r="LKO13"/>
      <c r="LKP13"/>
      <c r="LKQ13"/>
      <c r="LKR13"/>
      <c r="LKS13"/>
      <c r="LKT13"/>
      <c r="LKU13"/>
      <c r="LKV13"/>
      <c r="LKW13"/>
      <c r="LKX13"/>
      <c r="LKY13"/>
      <c r="LKZ13"/>
      <c r="LLA13"/>
      <c r="LLB13"/>
      <c r="LLC13"/>
      <c r="LLD13"/>
      <c r="LLE13"/>
      <c r="LLF13"/>
      <c r="LLG13"/>
      <c r="LLH13"/>
      <c r="LLI13"/>
      <c r="LLJ13"/>
      <c r="LLK13"/>
      <c r="LLL13"/>
      <c r="LLM13"/>
      <c r="LLN13"/>
      <c r="LLO13"/>
      <c r="LLP13"/>
      <c r="LLQ13"/>
      <c r="LLR13"/>
      <c r="LLS13"/>
      <c r="LLT13"/>
      <c r="LLU13"/>
      <c r="LLV13"/>
      <c r="LLW13"/>
      <c r="LLX13"/>
      <c r="LLY13"/>
      <c r="LLZ13"/>
      <c r="LMA13"/>
      <c r="LMB13"/>
      <c r="LMC13"/>
      <c r="LMD13"/>
      <c r="LME13"/>
      <c r="LMF13"/>
      <c r="LMG13"/>
      <c r="LMH13"/>
      <c r="LMI13"/>
      <c r="LMJ13"/>
      <c r="LMK13"/>
      <c r="LML13"/>
      <c r="LMM13"/>
      <c r="LMN13"/>
      <c r="LMO13"/>
      <c r="LMP13"/>
      <c r="LMQ13"/>
      <c r="LMR13"/>
      <c r="LMS13"/>
      <c r="LMT13"/>
      <c r="LMU13"/>
      <c r="LMV13"/>
      <c r="LMW13"/>
      <c r="LMX13"/>
      <c r="LMY13"/>
      <c r="LMZ13"/>
      <c r="LNA13"/>
      <c r="LNB13"/>
      <c r="LNC13"/>
      <c r="LND13"/>
      <c r="LNE13"/>
      <c r="LNF13"/>
      <c r="LNG13"/>
      <c r="LNH13"/>
      <c r="LNI13"/>
      <c r="LNJ13"/>
      <c r="LNK13"/>
      <c r="LNL13"/>
      <c r="LNM13"/>
      <c r="LNN13"/>
      <c r="LNO13"/>
      <c r="LNP13"/>
      <c r="LNQ13"/>
      <c r="LNR13"/>
      <c r="LNS13"/>
      <c r="LNT13"/>
      <c r="LNU13"/>
      <c r="LNV13"/>
      <c r="LNW13"/>
      <c r="LNX13"/>
      <c r="LNY13"/>
      <c r="LNZ13"/>
      <c r="LOA13"/>
      <c r="LOB13"/>
      <c r="LOC13"/>
      <c r="LOD13"/>
      <c r="LOE13"/>
      <c r="LOF13"/>
      <c r="LOG13"/>
      <c r="LOH13"/>
      <c r="LOI13"/>
      <c r="LOJ13"/>
      <c r="LOK13"/>
      <c r="LOL13"/>
      <c r="LOM13"/>
      <c r="LON13"/>
      <c r="LOO13"/>
      <c r="LOP13"/>
      <c r="LOQ13"/>
      <c r="LOR13"/>
      <c r="LOS13"/>
      <c r="LOT13"/>
      <c r="LOU13"/>
      <c r="LOV13"/>
      <c r="LOW13"/>
      <c r="LOX13"/>
      <c r="LOY13"/>
      <c r="LOZ13"/>
      <c r="LPA13"/>
      <c r="LPB13"/>
      <c r="LPC13"/>
      <c r="LPD13"/>
      <c r="LPE13"/>
      <c r="LPF13"/>
      <c r="LPG13"/>
      <c r="LPH13"/>
      <c r="LPI13"/>
      <c r="LPJ13"/>
      <c r="LPK13"/>
      <c r="LPL13"/>
      <c r="LPM13"/>
      <c r="LPN13"/>
      <c r="LPO13"/>
      <c r="LPP13"/>
      <c r="LPQ13"/>
      <c r="LPR13"/>
      <c r="LPS13"/>
      <c r="LPT13"/>
      <c r="LPU13"/>
      <c r="LPV13"/>
      <c r="LPW13"/>
      <c r="LPX13"/>
      <c r="LPY13"/>
      <c r="LPZ13"/>
      <c r="LQA13"/>
      <c r="LQB13"/>
      <c r="LQC13"/>
      <c r="LQD13"/>
      <c r="LQE13"/>
      <c r="LQF13"/>
      <c r="LQG13"/>
      <c r="LQH13"/>
      <c r="LQI13"/>
      <c r="LQJ13"/>
      <c r="LQK13"/>
      <c r="LQL13"/>
      <c r="LQM13"/>
      <c r="LQN13"/>
      <c r="LQO13"/>
      <c r="LQP13"/>
      <c r="LQQ13"/>
      <c r="LQR13"/>
      <c r="LQS13"/>
      <c r="LQT13"/>
      <c r="LQU13"/>
      <c r="LQV13"/>
      <c r="LQW13"/>
      <c r="LQX13"/>
      <c r="LQY13"/>
      <c r="LQZ13"/>
      <c r="LRA13"/>
      <c r="LRB13"/>
      <c r="LRC13"/>
      <c r="LRD13"/>
      <c r="LRE13"/>
      <c r="LRF13"/>
      <c r="LRG13"/>
      <c r="LRH13"/>
      <c r="LRI13"/>
      <c r="LRJ13"/>
      <c r="LRK13"/>
      <c r="LRL13"/>
      <c r="LRM13"/>
      <c r="LRN13"/>
      <c r="LRO13"/>
      <c r="LRP13"/>
      <c r="LRQ13"/>
      <c r="LRR13"/>
      <c r="LRS13"/>
      <c r="LRT13"/>
      <c r="LRU13"/>
      <c r="LRV13"/>
      <c r="LRW13"/>
      <c r="LRX13"/>
      <c r="LRY13"/>
      <c r="LRZ13"/>
      <c r="LSA13"/>
      <c r="LSB13"/>
      <c r="LSC13"/>
      <c r="LSD13"/>
      <c r="LSE13"/>
      <c r="LSF13"/>
      <c r="LSG13"/>
      <c r="LSH13"/>
      <c r="LSI13"/>
      <c r="LSJ13"/>
      <c r="LSK13"/>
      <c r="LSL13"/>
      <c r="LSM13"/>
      <c r="LSN13"/>
      <c r="LSO13"/>
      <c r="LSP13"/>
      <c r="LSQ13"/>
      <c r="LSR13"/>
      <c r="LSS13"/>
      <c r="LST13"/>
      <c r="LSU13"/>
      <c r="LSV13"/>
      <c r="LSW13"/>
      <c r="LSX13"/>
      <c r="LSY13"/>
      <c r="LSZ13"/>
      <c r="LTA13"/>
      <c r="LTB13"/>
      <c r="LTC13"/>
      <c r="LTD13"/>
      <c r="LTE13"/>
      <c r="LTF13"/>
      <c r="LTG13"/>
      <c r="LTH13"/>
      <c r="LTI13"/>
      <c r="LTJ13"/>
      <c r="LTK13"/>
      <c r="LTL13"/>
      <c r="LTM13"/>
      <c r="LTN13"/>
      <c r="LTO13"/>
      <c r="LTP13"/>
      <c r="LTQ13"/>
      <c r="LTR13"/>
      <c r="LTS13"/>
      <c r="LTT13"/>
      <c r="LTU13"/>
      <c r="LTV13"/>
      <c r="LTW13"/>
      <c r="LTX13"/>
      <c r="LTY13"/>
      <c r="LTZ13"/>
      <c r="LUA13"/>
      <c r="LUB13"/>
      <c r="LUC13"/>
      <c r="LUD13"/>
      <c r="LUE13"/>
      <c r="LUF13"/>
      <c r="LUG13"/>
      <c r="LUH13"/>
      <c r="LUI13"/>
      <c r="LUJ13"/>
      <c r="LUK13"/>
      <c r="LUL13"/>
      <c r="LUM13"/>
      <c r="LUN13"/>
      <c r="LUO13"/>
      <c r="LUP13"/>
      <c r="LUQ13"/>
      <c r="LUR13"/>
      <c r="LUS13"/>
      <c r="LUT13"/>
      <c r="LUU13"/>
      <c r="LUV13"/>
      <c r="LUW13"/>
      <c r="LUX13"/>
      <c r="LUY13"/>
      <c r="LUZ13"/>
      <c r="LVA13"/>
      <c r="LVB13"/>
      <c r="LVC13"/>
      <c r="LVD13"/>
      <c r="LVE13"/>
      <c r="LVF13"/>
      <c r="LVG13"/>
      <c r="LVH13"/>
      <c r="LVI13"/>
      <c r="LVJ13"/>
      <c r="LVK13"/>
      <c r="LVL13"/>
      <c r="LVM13"/>
      <c r="LVN13"/>
      <c r="LVO13"/>
      <c r="LVP13"/>
      <c r="LVQ13"/>
      <c r="LVR13"/>
      <c r="LVS13"/>
      <c r="LVT13"/>
      <c r="LVU13"/>
      <c r="LVV13"/>
      <c r="LVW13"/>
      <c r="LVX13"/>
      <c r="LVY13"/>
      <c r="LVZ13"/>
      <c r="LWA13"/>
      <c r="LWB13"/>
      <c r="LWC13"/>
      <c r="LWD13"/>
      <c r="LWE13"/>
      <c r="LWF13"/>
      <c r="LWG13"/>
      <c r="LWH13"/>
      <c r="LWI13"/>
      <c r="LWJ13"/>
      <c r="LWK13"/>
      <c r="LWL13"/>
      <c r="LWM13"/>
      <c r="LWN13"/>
      <c r="LWO13"/>
      <c r="LWP13"/>
      <c r="LWQ13"/>
      <c r="LWR13"/>
      <c r="LWS13"/>
      <c r="LWT13"/>
      <c r="LWU13"/>
      <c r="LWV13"/>
      <c r="LWW13"/>
      <c r="LWX13"/>
      <c r="LWY13"/>
      <c r="LWZ13"/>
      <c r="LXA13"/>
      <c r="LXB13"/>
      <c r="LXC13"/>
      <c r="LXD13"/>
      <c r="LXE13"/>
      <c r="LXF13"/>
      <c r="LXG13"/>
      <c r="LXH13"/>
      <c r="LXI13"/>
      <c r="LXJ13"/>
      <c r="LXK13"/>
      <c r="LXL13"/>
      <c r="LXM13"/>
      <c r="LXN13"/>
      <c r="LXO13"/>
      <c r="LXP13"/>
      <c r="LXQ13"/>
      <c r="LXR13"/>
      <c r="LXS13"/>
      <c r="LXT13"/>
      <c r="LXU13"/>
      <c r="LXV13"/>
      <c r="LXW13"/>
      <c r="LXX13"/>
      <c r="LXY13"/>
      <c r="LXZ13"/>
      <c r="LYA13"/>
      <c r="LYB13"/>
      <c r="LYC13"/>
      <c r="LYD13"/>
      <c r="LYE13"/>
      <c r="LYF13"/>
      <c r="LYG13"/>
      <c r="LYH13"/>
      <c r="LYI13"/>
      <c r="LYJ13"/>
      <c r="LYK13"/>
      <c r="LYL13"/>
      <c r="LYM13"/>
      <c r="LYN13"/>
      <c r="LYO13"/>
      <c r="LYP13"/>
      <c r="LYQ13"/>
      <c r="LYR13"/>
      <c r="LYS13"/>
      <c r="LYT13"/>
      <c r="LYU13"/>
      <c r="LYV13"/>
      <c r="LYW13"/>
      <c r="LYX13"/>
      <c r="LYY13"/>
      <c r="LYZ13"/>
      <c r="LZA13"/>
      <c r="LZB13"/>
      <c r="LZC13"/>
      <c r="LZD13"/>
      <c r="LZE13"/>
      <c r="LZF13"/>
      <c r="LZG13"/>
      <c r="LZH13"/>
      <c r="LZI13"/>
      <c r="LZJ13"/>
      <c r="LZK13"/>
      <c r="LZL13"/>
      <c r="LZM13"/>
      <c r="LZN13"/>
      <c r="LZO13"/>
      <c r="LZP13"/>
      <c r="LZQ13"/>
      <c r="LZR13"/>
      <c r="LZS13"/>
      <c r="LZT13"/>
      <c r="LZU13"/>
      <c r="LZV13"/>
      <c r="LZW13"/>
      <c r="LZX13"/>
      <c r="LZY13"/>
      <c r="LZZ13"/>
      <c r="MAA13"/>
      <c r="MAB13"/>
      <c r="MAC13"/>
      <c r="MAD13"/>
      <c r="MAE13"/>
      <c r="MAF13"/>
      <c r="MAG13"/>
      <c r="MAH13"/>
      <c r="MAI13"/>
      <c r="MAJ13"/>
      <c r="MAK13"/>
      <c r="MAL13"/>
      <c r="MAM13"/>
      <c r="MAN13"/>
      <c r="MAO13"/>
      <c r="MAP13"/>
      <c r="MAQ13"/>
      <c r="MAR13"/>
      <c r="MAS13"/>
      <c r="MAT13"/>
      <c r="MAU13"/>
      <c r="MAV13"/>
      <c r="MAW13"/>
      <c r="MAX13"/>
      <c r="MAY13"/>
      <c r="MAZ13"/>
      <c r="MBA13"/>
      <c r="MBB13"/>
      <c r="MBC13"/>
      <c r="MBD13"/>
      <c r="MBE13"/>
      <c r="MBF13"/>
      <c r="MBG13"/>
      <c r="MBH13"/>
      <c r="MBI13"/>
      <c r="MBJ13"/>
      <c r="MBK13"/>
      <c r="MBL13"/>
      <c r="MBM13"/>
      <c r="MBN13"/>
      <c r="MBO13"/>
      <c r="MBP13"/>
      <c r="MBQ13"/>
      <c r="MBR13"/>
      <c r="MBS13"/>
      <c r="MBT13"/>
      <c r="MBU13"/>
      <c r="MBV13"/>
      <c r="MBW13"/>
      <c r="MBX13"/>
      <c r="MBY13"/>
      <c r="MBZ13"/>
      <c r="MCA13"/>
      <c r="MCB13"/>
      <c r="MCC13"/>
      <c r="MCD13"/>
      <c r="MCE13"/>
      <c r="MCF13"/>
      <c r="MCG13"/>
      <c r="MCH13"/>
      <c r="MCI13"/>
      <c r="MCJ13"/>
      <c r="MCK13"/>
      <c r="MCL13"/>
      <c r="MCM13"/>
      <c r="MCN13"/>
      <c r="MCO13"/>
      <c r="MCP13"/>
      <c r="MCQ13"/>
      <c r="MCR13"/>
      <c r="MCS13"/>
      <c r="MCT13"/>
      <c r="MCU13"/>
      <c r="MCV13"/>
      <c r="MCW13"/>
      <c r="MCX13"/>
      <c r="MCY13"/>
      <c r="MCZ13"/>
      <c r="MDA13"/>
      <c r="MDB13"/>
      <c r="MDC13"/>
      <c r="MDD13"/>
      <c r="MDE13"/>
      <c r="MDF13"/>
      <c r="MDG13"/>
      <c r="MDH13"/>
      <c r="MDI13"/>
      <c r="MDJ13"/>
      <c r="MDK13"/>
      <c r="MDL13"/>
      <c r="MDM13"/>
      <c r="MDN13"/>
      <c r="MDO13"/>
      <c r="MDP13"/>
      <c r="MDQ13"/>
      <c r="MDR13"/>
      <c r="MDS13"/>
      <c r="MDT13"/>
      <c r="MDU13"/>
      <c r="MDV13"/>
      <c r="MDW13"/>
      <c r="MDX13"/>
      <c r="MDY13"/>
      <c r="MDZ13"/>
      <c r="MEA13"/>
      <c r="MEB13"/>
      <c r="MEC13"/>
      <c r="MED13"/>
      <c r="MEE13"/>
      <c r="MEF13"/>
      <c r="MEG13"/>
      <c r="MEH13"/>
      <c r="MEI13"/>
      <c r="MEJ13"/>
      <c r="MEK13"/>
      <c r="MEL13"/>
      <c r="MEM13"/>
      <c r="MEN13"/>
      <c r="MEO13"/>
      <c r="MEP13"/>
      <c r="MEQ13"/>
      <c r="MER13"/>
      <c r="MES13"/>
      <c r="MET13"/>
      <c r="MEU13"/>
      <c r="MEV13"/>
      <c r="MEW13"/>
      <c r="MEX13"/>
      <c r="MEY13"/>
      <c r="MEZ13"/>
      <c r="MFA13"/>
      <c r="MFB13"/>
      <c r="MFC13"/>
      <c r="MFD13"/>
      <c r="MFE13"/>
      <c r="MFF13"/>
      <c r="MFG13"/>
      <c r="MFH13"/>
      <c r="MFI13"/>
      <c r="MFJ13"/>
      <c r="MFK13"/>
      <c r="MFL13"/>
      <c r="MFM13"/>
      <c r="MFN13"/>
      <c r="MFO13"/>
      <c r="MFP13"/>
      <c r="MFQ13"/>
      <c r="MFR13"/>
      <c r="MFS13"/>
      <c r="MFT13"/>
      <c r="MFU13"/>
      <c r="MFV13"/>
      <c r="MFW13"/>
      <c r="MFX13"/>
      <c r="MFY13"/>
      <c r="MFZ13"/>
      <c r="MGA13"/>
      <c r="MGB13"/>
      <c r="MGC13"/>
      <c r="MGD13"/>
      <c r="MGE13"/>
      <c r="MGF13"/>
      <c r="MGG13"/>
      <c r="MGH13"/>
      <c r="MGI13"/>
      <c r="MGJ13"/>
      <c r="MGK13"/>
      <c r="MGL13"/>
      <c r="MGM13"/>
      <c r="MGN13"/>
      <c r="MGO13"/>
      <c r="MGP13"/>
      <c r="MGQ13"/>
      <c r="MGR13"/>
      <c r="MGS13"/>
      <c r="MGT13"/>
      <c r="MGU13"/>
      <c r="MGV13"/>
      <c r="MGW13"/>
      <c r="MGX13"/>
      <c r="MGY13"/>
      <c r="MGZ13"/>
      <c r="MHA13"/>
      <c r="MHB13"/>
      <c r="MHC13"/>
      <c r="MHD13"/>
      <c r="MHE13"/>
      <c r="MHF13"/>
      <c r="MHG13"/>
      <c r="MHH13"/>
      <c r="MHI13"/>
      <c r="MHJ13"/>
      <c r="MHK13"/>
      <c r="MHL13"/>
      <c r="MHM13"/>
      <c r="MHN13"/>
      <c r="MHO13"/>
      <c r="MHP13"/>
      <c r="MHQ13"/>
      <c r="MHR13"/>
      <c r="MHS13"/>
      <c r="MHT13"/>
      <c r="MHU13"/>
      <c r="MHV13"/>
      <c r="MHW13"/>
      <c r="MHX13"/>
      <c r="MHY13"/>
      <c r="MHZ13"/>
      <c r="MIA13"/>
      <c r="MIB13"/>
      <c r="MIC13"/>
      <c r="MID13"/>
      <c r="MIE13"/>
      <c r="MIF13"/>
      <c r="MIG13"/>
      <c r="MIH13"/>
      <c r="MII13"/>
      <c r="MIJ13"/>
      <c r="MIK13"/>
      <c r="MIL13"/>
      <c r="MIM13"/>
      <c r="MIN13"/>
      <c r="MIO13"/>
      <c r="MIP13"/>
      <c r="MIQ13"/>
      <c r="MIR13"/>
      <c r="MIS13"/>
      <c r="MIT13"/>
      <c r="MIU13"/>
      <c r="MIV13"/>
      <c r="MIW13"/>
      <c r="MIX13"/>
      <c r="MIY13"/>
      <c r="MIZ13"/>
      <c r="MJA13"/>
      <c r="MJB13"/>
      <c r="MJC13"/>
      <c r="MJD13"/>
      <c r="MJE13"/>
      <c r="MJF13"/>
      <c r="MJG13"/>
      <c r="MJH13"/>
      <c r="MJI13"/>
      <c r="MJJ13"/>
      <c r="MJK13"/>
      <c r="MJL13"/>
      <c r="MJM13"/>
      <c r="MJN13"/>
      <c r="MJO13"/>
      <c r="MJP13"/>
      <c r="MJQ13"/>
      <c r="MJR13"/>
      <c r="MJS13"/>
      <c r="MJT13"/>
      <c r="MJU13"/>
      <c r="MJV13"/>
      <c r="MJW13"/>
      <c r="MJX13"/>
      <c r="MJY13"/>
      <c r="MJZ13"/>
      <c r="MKA13"/>
      <c r="MKB13"/>
      <c r="MKC13"/>
      <c r="MKD13"/>
      <c r="MKE13"/>
      <c r="MKF13"/>
      <c r="MKG13"/>
      <c r="MKH13"/>
      <c r="MKI13"/>
      <c r="MKJ13"/>
      <c r="MKK13"/>
      <c r="MKL13"/>
      <c r="MKM13"/>
      <c r="MKN13"/>
      <c r="MKO13"/>
      <c r="MKP13"/>
      <c r="MKQ13"/>
      <c r="MKR13"/>
      <c r="MKS13"/>
      <c r="MKT13"/>
      <c r="MKU13"/>
      <c r="MKV13"/>
      <c r="MKW13"/>
      <c r="MKX13"/>
      <c r="MKY13"/>
      <c r="MKZ13"/>
      <c r="MLA13"/>
      <c r="MLB13"/>
      <c r="MLC13"/>
      <c r="MLD13"/>
      <c r="MLE13"/>
      <c r="MLF13"/>
      <c r="MLG13"/>
      <c r="MLH13"/>
      <c r="MLI13"/>
      <c r="MLJ13"/>
      <c r="MLK13"/>
      <c r="MLL13"/>
      <c r="MLM13"/>
      <c r="MLN13"/>
      <c r="MLO13"/>
      <c r="MLP13"/>
      <c r="MLQ13"/>
      <c r="MLR13"/>
      <c r="MLS13"/>
      <c r="MLT13"/>
      <c r="MLU13"/>
      <c r="MLV13"/>
      <c r="MLW13"/>
      <c r="MLX13"/>
      <c r="MLY13"/>
      <c r="MLZ13"/>
      <c r="MMA13"/>
      <c r="MMB13"/>
      <c r="MMC13"/>
      <c r="MMD13"/>
      <c r="MME13"/>
      <c r="MMF13"/>
      <c r="MMG13"/>
      <c r="MMH13"/>
      <c r="MMI13"/>
      <c r="MMJ13"/>
      <c r="MMK13"/>
      <c r="MML13"/>
      <c r="MMM13"/>
      <c r="MMN13"/>
      <c r="MMO13"/>
      <c r="MMP13"/>
      <c r="MMQ13"/>
      <c r="MMR13"/>
      <c r="MMS13"/>
      <c r="MMT13"/>
      <c r="MMU13"/>
      <c r="MMV13"/>
      <c r="MMW13"/>
      <c r="MMX13"/>
      <c r="MMY13"/>
      <c r="MMZ13"/>
      <c r="MNA13"/>
      <c r="MNB13"/>
      <c r="MNC13"/>
      <c r="MND13"/>
      <c r="MNE13"/>
      <c r="MNF13"/>
      <c r="MNG13"/>
      <c r="MNH13"/>
      <c r="MNI13"/>
      <c r="MNJ13"/>
      <c r="MNK13"/>
      <c r="MNL13"/>
      <c r="MNM13"/>
      <c r="MNN13"/>
      <c r="MNO13"/>
      <c r="MNP13"/>
      <c r="MNQ13"/>
      <c r="MNR13"/>
      <c r="MNS13"/>
      <c r="MNT13"/>
      <c r="MNU13"/>
      <c r="MNV13"/>
      <c r="MNW13"/>
      <c r="MNX13"/>
      <c r="MNY13"/>
      <c r="MNZ13"/>
      <c r="MOA13"/>
      <c r="MOB13"/>
      <c r="MOC13"/>
      <c r="MOD13"/>
      <c r="MOE13"/>
      <c r="MOF13"/>
      <c r="MOG13"/>
      <c r="MOH13"/>
      <c r="MOI13"/>
      <c r="MOJ13"/>
      <c r="MOK13"/>
      <c r="MOL13"/>
      <c r="MOM13"/>
      <c r="MON13"/>
      <c r="MOO13"/>
      <c r="MOP13"/>
      <c r="MOQ13"/>
      <c r="MOR13"/>
      <c r="MOS13"/>
      <c r="MOT13"/>
      <c r="MOU13"/>
      <c r="MOV13"/>
      <c r="MOW13"/>
      <c r="MOX13"/>
      <c r="MOY13"/>
      <c r="MOZ13"/>
      <c r="MPA13"/>
      <c r="MPB13"/>
      <c r="MPC13"/>
      <c r="MPD13"/>
      <c r="MPE13"/>
      <c r="MPF13"/>
      <c r="MPG13"/>
      <c r="MPH13"/>
      <c r="MPI13"/>
      <c r="MPJ13"/>
      <c r="MPK13"/>
      <c r="MPL13"/>
      <c r="MPM13"/>
      <c r="MPN13"/>
      <c r="MPO13"/>
      <c r="MPP13"/>
      <c r="MPQ13"/>
      <c r="MPR13"/>
      <c r="MPS13"/>
      <c r="MPT13"/>
      <c r="MPU13"/>
      <c r="MPV13"/>
      <c r="MPW13"/>
      <c r="MPX13"/>
      <c r="MPY13"/>
      <c r="MPZ13"/>
      <c r="MQA13"/>
      <c r="MQB13"/>
      <c r="MQC13"/>
      <c r="MQD13"/>
      <c r="MQE13"/>
      <c r="MQF13"/>
      <c r="MQG13"/>
      <c r="MQH13"/>
      <c r="MQI13"/>
      <c r="MQJ13"/>
      <c r="MQK13"/>
      <c r="MQL13"/>
      <c r="MQM13"/>
      <c r="MQN13"/>
      <c r="MQO13"/>
      <c r="MQP13"/>
      <c r="MQQ13"/>
      <c r="MQR13"/>
      <c r="MQS13"/>
      <c r="MQT13"/>
      <c r="MQU13"/>
      <c r="MQV13"/>
      <c r="MQW13"/>
      <c r="MQX13"/>
      <c r="MQY13"/>
      <c r="MQZ13"/>
      <c r="MRA13"/>
      <c r="MRB13"/>
      <c r="MRC13"/>
      <c r="MRD13"/>
      <c r="MRE13"/>
      <c r="MRF13"/>
      <c r="MRG13"/>
      <c r="MRH13"/>
      <c r="MRI13"/>
      <c r="MRJ13"/>
      <c r="MRK13"/>
      <c r="MRL13"/>
      <c r="MRM13"/>
      <c r="MRN13"/>
      <c r="MRO13"/>
      <c r="MRP13"/>
      <c r="MRQ13"/>
      <c r="MRR13"/>
      <c r="MRS13"/>
      <c r="MRT13"/>
      <c r="MRU13"/>
      <c r="MRV13"/>
      <c r="MRW13"/>
      <c r="MRX13"/>
      <c r="MRY13"/>
      <c r="MRZ13"/>
      <c r="MSA13"/>
      <c r="MSB13"/>
      <c r="MSC13"/>
      <c r="MSD13"/>
      <c r="MSE13"/>
      <c r="MSF13"/>
      <c r="MSG13"/>
      <c r="MSH13"/>
      <c r="MSI13"/>
      <c r="MSJ13"/>
      <c r="MSK13"/>
      <c r="MSL13"/>
      <c r="MSM13"/>
      <c r="MSN13"/>
      <c r="MSO13"/>
      <c r="MSP13"/>
      <c r="MSQ13"/>
      <c r="MSR13"/>
      <c r="MSS13"/>
      <c r="MST13"/>
      <c r="MSU13"/>
      <c r="MSV13"/>
      <c r="MSW13"/>
      <c r="MSX13"/>
      <c r="MSY13"/>
      <c r="MSZ13"/>
      <c r="MTA13"/>
      <c r="MTB13"/>
      <c r="MTC13"/>
      <c r="MTD13"/>
      <c r="MTE13"/>
      <c r="MTF13"/>
      <c r="MTG13"/>
      <c r="MTH13"/>
      <c r="MTI13"/>
      <c r="MTJ13"/>
      <c r="MTK13"/>
      <c r="MTL13"/>
      <c r="MTM13"/>
      <c r="MTN13"/>
      <c r="MTO13"/>
      <c r="MTP13"/>
      <c r="MTQ13"/>
      <c r="MTR13"/>
      <c r="MTS13"/>
      <c r="MTT13"/>
      <c r="MTU13"/>
      <c r="MTV13"/>
      <c r="MTW13"/>
      <c r="MTX13"/>
      <c r="MTY13"/>
      <c r="MTZ13"/>
      <c r="MUA13"/>
      <c r="MUB13"/>
      <c r="MUC13"/>
      <c r="MUD13"/>
      <c r="MUE13"/>
      <c r="MUF13"/>
      <c r="MUG13"/>
      <c r="MUH13"/>
      <c r="MUI13"/>
      <c r="MUJ13"/>
      <c r="MUK13"/>
      <c r="MUL13"/>
      <c r="MUM13"/>
      <c r="MUN13"/>
      <c r="MUO13"/>
      <c r="MUP13"/>
      <c r="MUQ13"/>
      <c r="MUR13"/>
      <c r="MUS13"/>
      <c r="MUT13"/>
      <c r="MUU13"/>
      <c r="MUV13"/>
      <c r="MUW13"/>
      <c r="MUX13"/>
      <c r="MUY13"/>
      <c r="MUZ13"/>
      <c r="MVA13"/>
      <c r="MVB13"/>
      <c r="MVC13"/>
      <c r="MVD13"/>
      <c r="MVE13"/>
      <c r="MVF13"/>
      <c r="MVG13"/>
      <c r="MVH13"/>
      <c r="MVI13"/>
      <c r="MVJ13"/>
      <c r="MVK13"/>
      <c r="MVL13"/>
      <c r="MVM13"/>
      <c r="MVN13"/>
      <c r="MVO13"/>
      <c r="MVP13"/>
      <c r="MVQ13"/>
      <c r="MVR13"/>
      <c r="MVS13"/>
      <c r="MVT13"/>
      <c r="MVU13"/>
      <c r="MVV13"/>
      <c r="MVW13"/>
      <c r="MVX13"/>
      <c r="MVY13"/>
      <c r="MVZ13"/>
      <c r="MWA13"/>
      <c r="MWB13"/>
      <c r="MWC13"/>
      <c r="MWD13"/>
      <c r="MWE13"/>
      <c r="MWF13"/>
      <c r="MWG13"/>
      <c r="MWH13"/>
      <c r="MWI13"/>
      <c r="MWJ13"/>
      <c r="MWK13"/>
      <c r="MWL13"/>
      <c r="MWM13"/>
      <c r="MWN13"/>
      <c r="MWO13"/>
      <c r="MWP13"/>
      <c r="MWQ13"/>
      <c r="MWR13"/>
      <c r="MWS13"/>
      <c r="MWT13"/>
      <c r="MWU13"/>
      <c r="MWV13"/>
      <c r="MWW13"/>
      <c r="MWX13"/>
      <c r="MWY13"/>
      <c r="MWZ13"/>
      <c r="MXA13"/>
      <c r="MXB13"/>
      <c r="MXC13"/>
      <c r="MXD13"/>
      <c r="MXE13"/>
      <c r="MXF13"/>
      <c r="MXG13"/>
      <c r="MXH13"/>
      <c r="MXI13"/>
      <c r="MXJ13"/>
      <c r="MXK13"/>
      <c r="MXL13"/>
      <c r="MXM13"/>
      <c r="MXN13"/>
      <c r="MXO13"/>
      <c r="MXP13"/>
      <c r="MXQ13"/>
      <c r="MXR13"/>
      <c r="MXS13"/>
      <c r="MXT13"/>
      <c r="MXU13"/>
      <c r="MXV13"/>
      <c r="MXW13"/>
      <c r="MXX13"/>
      <c r="MXY13"/>
      <c r="MXZ13"/>
      <c r="MYA13"/>
      <c r="MYB13"/>
      <c r="MYC13"/>
      <c r="MYD13"/>
      <c r="MYE13"/>
      <c r="MYF13"/>
      <c r="MYG13"/>
      <c r="MYH13"/>
      <c r="MYI13"/>
      <c r="MYJ13"/>
      <c r="MYK13"/>
      <c r="MYL13"/>
      <c r="MYM13"/>
      <c r="MYN13"/>
      <c r="MYO13"/>
      <c r="MYP13"/>
      <c r="MYQ13"/>
      <c r="MYR13"/>
      <c r="MYS13"/>
      <c r="MYT13"/>
      <c r="MYU13"/>
      <c r="MYV13"/>
      <c r="MYW13"/>
      <c r="MYX13"/>
      <c r="MYY13"/>
      <c r="MYZ13"/>
      <c r="MZA13"/>
      <c r="MZB13"/>
      <c r="MZC13"/>
      <c r="MZD13"/>
      <c r="MZE13"/>
      <c r="MZF13"/>
      <c r="MZG13"/>
      <c r="MZH13"/>
      <c r="MZI13"/>
      <c r="MZJ13"/>
      <c r="MZK13"/>
      <c r="MZL13"/>
      <c r="MZM13"/>
      <c r="MZN13"/>
      <c r="MZO13"/>
      <c r="MZP13"/>
      <c r="MZQ13"/>
      <c r="MZR13"/>
      <c r="MZS13"/>
      <c r="MZT13"/>
      <c r="MZU13"/>
      <c r="MZV13"/>
      <c r="MZW13"/>
      <c r="MZX13"/>
      <c r="MZY13"/>
      <c r="MZZ13"/>
      <c r="NAA13"/>
      <c r="NAB13"/>
      <c r="NAC13"/>
      <c r="NAD13"/>
      <c r="NAE13"/>
      <c r="NAF13"/>
      <c r="NAG13"/>
      <c r="NAH13"/>
      <c r="NAI13"/>
      <c r="NAJ13"/>
      <c r="NAK13"/>
      <c r="NAL13"/>
      <c r="NAM13"/>
      <c r="NAN13"/>
      <c r="NAO13"/>
      <c r="NAP13"/>
      <c r="NAQ13"/>
      <c r="NAR13"/>
      <c r="NAS13"/>
      <c r="NAT13"/>
      <c r="NAU13"/>
      <c r="NAV13"/>
      <c r="NAW13"/>
      <c r="NAX13"/>
      <c r="NAY13"/>
      <c r="NAZ13"/>
      <c r="NBA13"/>
      <c r="NBB13"/>
      <c r="NBC13"/>
      <c r="NBD13"/>
      <c r="NBE13"/>
      <c r="NBF13"/>
      <c r="NBG13"/>
      <c r="NBH13"/>
      <c r="NBI13"/>
      <c r="NBJ13"/>
      <c r="NBK13"/>
      <c r="NBL13"/>
      <c r="NBM13"/>
      <c r="NBN13"/>
      <c r="NBO13"/>
      <c r="NBP13"/>
      <c r="NBQ13"/>
      <c r="NBR13"/>
      <c r="NBS13"/>
      <c r="NBT13"/>
      <c r="NBU13"/>
      <c r="NBV13"/>
      <c r="NBW13"/>
      <c r="NBX13"/>
      <c r="NBY13"/>
      <c r="NBZ13"/>
      <c r="NCA13"/>
      <c r="NCB13"/>
      <c r="NCC13"/>
      <c r="NCD13"/>
      <c r="NCE13"/>
      <c r="NCF13"/>
      <c r="NCG13"/>
      <c r="NCH13"/>
      <c r="NCI13"/>
      <c r="NCJ13"/>
      <c r="NCK13"/>
      <c r="NCL13"/>
      <c r="NCM13"/>
      <c r="NCN13"/>
      <c r="NCO13"/>
      <c r="NCP13"/>
      <c r="NCQ13"/>
      <c r="NCR13"/>
      <c r="NCS13"/>
      <c r="NCT13"/>
      <c r="NCU13"/>
      <c r="NCV13"/>
      <c r="NCW13"/>
      <c r="NCX13"/>
      <c r="NCY13"/>
      <c r="NCZ13"/>
      <c r="NDA13"/>
      <c r="NDB13"/>
      <c r="NDC13"/>
      <c r="NDD13"/>
      <c r="NDE13"/>
      <c r="NDF13"/>
      <c r="NDG13"/>
      <c r="NDH13"/>
      <c r="NDI13"/>
      <c r="NDJ13"/>
      <c r="NDK13"/>
      <c r="NDL13"/>
      <c r="NDM13"/>
      <c r="NDN13"/>
      <c r="NDO13"/>
      <c r="NDP13"/>
      <c r="NDQ13"/>
      <c r="NDR13"/>
      <c r="NDS13"/>
      <c r="NDT13"/>
      <c r="NDU13"/>
      <c r="NDV13"/>
      <c r="NDW13"/>
      <c r="NDX13"/>
      <c r="NDY13"/>
      <c r="NDZ13"/>
      <c r="NEA13"/>
      <c r="NEB13"/>
      <c r="NEC13"/>
      <c r="NED13"/>
      <c r="NEE13"/>
      <c r="NEF13"/>
      <c r="NEG13"/>
      <c r="NEH13"/>
      <c r="NEI13"/>
      <c r="NEJ13"/>
      <c r="NEK13"/>
      <c r="NEL13"/>
      <c r="NEM13"/>
      <c r="NEN13"/>
      <c r="NEO13"/>
      <c r="NEP13"/>
      <c r="NEQ13"/>
      <c r="NER13"/>
      <c r="NES13"/>
      <c r="NET13"/>
      <c r="NEU13"/>
      <c r="NEV13"/>
      <c r="NEW13"/>
      <c r="NEX13"/>
      <c r="NEY13"/>
      <c r="NEZ13"/>
      <c r="NFA13"/>
      <c r="NFB13"/>
      <c r="NFC13"/>
      <c r="NFD13"/>
      <c r="NFE13"/>
      <c r="NFF13"/>
      <c r="NFG13"/>
      <c r="NFH13"/>
      <c r="NFI13"/>
      <c r="NFJ13"/>
      <c r="NFK13"/>
      <c r="NFL13"/>
      <c r="NFM13"/>
      <c r="NFN13"/>
      <c r="NFO13"/>
      <c r="NFP13"/>
      <c r="NFQ13"/>
      <c r="NFR13"/>
      <c r="NFS13"/>
      <c r="NFT13"/>
      <c r="NFU13"/>
      <c r="NFV13"/>
      <c r="NFW13"/>
      <c r="NFX13"/>
      <c r="NFY13"/>
      <c r="NFZ13"/>
      <c r="NGA13"/>
      <c r="NGB13"/>
      <c r="NGC13"/>
      <c r="NGD13"/>
      <c r="NGE13"/>
      <c r="NGF13"/>
      <c r="NGG13"/>
      <c r="NGH13"/>
      <c r="NGI13"/>
      <c r="NGJ13"/>
      <c r="NGK13"/>
      <c r="NGL13"/>
      <c r="NGM13"/>
      <c r="NGN13"/>
      <c r="NGO13"/>
      <c r="NGP13"/>
      <c r="NGQ13"/>
      <c r="NGR13"/>
      <c r="NGS13"/>
      <c r="NGT13"/>
      <c r="NGU13"/>
      <c r="NGV13"/>
      <c r="NGW13"/>
      <c r="NGX13"/>
      <c r="NGY13"/>
      <c r="NGZ13"/>
      <c r="NHA13"/>
      <c r="NHB13"/>
      <c r="NHC13"/>
      <c r="NHD13"/>
      <c r="NHE13"/>
      <c r="NHF13"/>
      <c r="NHG13"/>
      <c r="NHH13"/>
      <c r="NHI13"/>
      <c r="NHJ13"/>
      <c r="NHK13"/>
      <c r="NHL13"/>
      <c r="NHM13"/>
      <c r="NHN13"/>
      <c r="NHO13"/>
      <c r="NHP13"/>
      <c r="NHQ13"/>
      <c r="NHR13"/>
      <c r="NHS13"/>
      <c r="NHT13"/>
      <c r="NHU13"/>
      <c r="NHV13"/>
      <c r="NHW13"/>
      <c r="NHX13"/>
      <c r="NHY13"/>
      <c r="NHZ13"/>
      <c r="NIA13"/>
      <c r="NIB13"/>
      <c r="NIC13"/>
      <c r="NID13"/>
      <c r="NIE13"/>
      <c r="NIF13"/>
      <c r="NIG13"/>
      <c r="NIH13"/>
      <c r="NII13"/>
      <c r="NIJ13"/>
      <c r="NIK13"/>
      <c r="NIL13"/>
      <c r="NIM13"/>
      <c r="NIN13"/>
      <c r="NIO13"/>
      <c r="NIP13"/>
      <c r="NIQ13"/>
      <c r="NIR13"/>
      <c r="NIS13"/>
      <c r="NIT13"/>
      <c r="NIU13"/>
      <c r="NIV13"/>
      <c r="NIW13"/>
      <c r="NIX13"/>
      <c r="NIY13"/>
      <c r="NIZ13"/>
      <c r="NJA13"/>
      <c r="NJB13"/>
      <c r="NJC13"/>
      <c r="NJD13"/>
      <c r="NJE13"/>
      <c r="NJF13"/>
      <c r="NJG13"/>
      <c r="NJH13"/>
      <c r="NJI13"/>
      <c r="NJJ13"/>
      <c r="NJK13"/>
      <c r="NJL13"/>
      <c r="NJM13"/>
      <c r="NJN13"/>
      <c r="NJO13"/>
      <c r="NJP13"/>
      <c r="NJQ13"/>
      <c r="NJR13"/>
      <c r="NJS13"/>
      <c r="NJT13"/>
      <c r="NJU13"/>
      <c r="NJV13"/>
      <c r="NJW13"/>
      <c r="NJX13"/>
      <c r="NJY13"/>
      <c r="NJZ13"/>
      <c r="NKA13"/>
      <c r="NKB13"/>
      <c r="NKC13"/>
      <c r="NKD13"/>
      <c r="NKE13"/>
      <c r="NKF13"/>
      <c r="NKG13"/>
      <c r="NKH13"/>
      <c r="NKI13"/>
      <c r="NKJ13"/>
      <c r="NKK13"/>
      <c r="NKL13"/>
      <c r="NKM13"/>
      <c r="NKN13"/>
      <c r="NKO13"/>
      <c r="NKP13"/>
      <c r="NKQ13"/>
      <c r="NKR13"/>
      <c r="NKS13"/>
      <c r="NKT13"/>
      <c r="NKU13"/>
      <c r="NKV13"/>
      <c r="NKW13"/>
      <c r="NKX13"/>
      <c r="NKY13"/>
      <c r="NKZ13"/>
      <c r="NLA13"/>
      <c r="NLB13"/>
      <c r="NLC13"/>
      <c r="NLD13"/>
      <c r="NLE13"/>
      <c r="NLF13"/>
      <c r="NLG13"/>
      <c r="NLH13"/>
      <c r="NLI13"/>
      <c r="NLJ13"/>
      <c r="NLK13"/>
      <c r="NLL13"/>
      <c r="NLM13"/>
      <c r="NLN13"/>
      <c r="NLO13"/>
      <c r="NLP13"/>
      <c r="NLQ13"/>
      <c r="NLR13"/>
      <c r="NLS13"/>
      <c r="NLT13"/>
      <c r="NLU13"/>
      <c r="NLV13"/>
      <c r="NLW13"/>
      <c r="NLX13"/>
      <c r="NLY13"/>
      <c r="NLZ13"/>
      <c r="NMA13"/>
      <c r="NMB13"/>
      <c r="NMC13"/>
      <c r="NMD13"/>
      <c r="NME13"/>
      <c r="NMF13"/>
      <c r="NMG13"/>
      <c r="NMH13"/>
      <c r="NMI13"/>
      <c r="NMJ13"/>
      <c r="NMK13"/>
      <c r="NML13"/>
      <c r="NMM13"/>
      <c r="NMN13"/>
      <c r="NMO13"/>
      <c r="NMP13"/>
      <c r="NMQ13"/>
      <c r="NMR13"/>
      <c r="NMS13"/>
      <c r="NMT13"/>
      <c r="NMU13"/>
      <c r="NMV13"/>
      <c r="NMW13"/>
      <c r="NMX13"/>
      <c r="NMY13"/>
      <c r="NMZ13"/>
      <c r="NNA13"/>
      <c r="NNB13"/>
      <c r="NNC13"/>
      <c r="NND13"/>
      <c r="NNE13"/>
      <c r="NNF13"/>
      <c r="NNG13"/>
      <c r="NNH13"/>
      <c r="NNI13"/>
      <c r="NNJ13"/>
      <c r="NNK13"/>
      <c r="NNL13"/>
      <c r="NNM13"/>
      <c r="NNN13"/>
      <c r="NNO13"/>
      <c r="NNP13"/>
      <c r="NNQ13"/>
      <c r="NNR13"/>
      <c r="NNS13"/>
      <c r="NNT13"/>
      <c r="NNU13"/>
      <c r="NNV13"/>
      <c r="NNW13"/>
      <c r="NNX13"/>
      <c r="NNY13"/>
      <c r="NNZ13"/>
      <c r="NOA13"/>
      <c r="NOB13"/>
      <c r="NOC13"/>
      <c r="NOD13"/>
      <c r="NOE13"/>
      <c r="NOF13"/>
      <c r="NOG13"/>
      <c r="NOH13"/>
      <c r="NOI13"/>
      <c r="NOJ13"/>
      <c r="NOK13"/>
      <c r="NOL13"/>
      <c r="NOM13"/>
      <c r="NON13"/>
      <c r="NOO13"/>
      <c r="NOP13"/>
      <c r="NOQ13"/>
      <c r="NOR13"/>
      <c r="NOS13"/>
      <c r="NOT13"/>
      <c r="NOU13"/>
      <c r="NOV13"/>
      <c r="NOW13"/>
      <c r="NOX13"/>
      <c r="NOY13"/>
      <c r="NOZ13"/>
      <c r="NPA13"/>
      <c r="NPB13"/>
      <c r="NPC13"/>
      <c r="NPD13"/>
      <c r="NPE13"/>
      <c r="NPF13"/>
      <c r="NPG13"/>
      <c r="NPH13"/>
      <c r="NPI13"/>
      <c r="NPJ13"/>
      <c r="NPK13"/>
      <c r="NPL13"/>
      <c r="NPM13"/>
      <c r="NPN13"/>
      <c r="NPO13"/>
      <c r="NPP13"/>
      <c r="NPQ13"/>
      <c r="NPR13"/>
      <c r="NPS13"/>
      <c r="NPT13"/>
      <c r="NPU13"/>
      <c r="NPV13"/>
      <c r="NPW13"/>
      <c r="NPX13"/>
      <c r="NPY13"/>
      <c r="NPZ13"/>
      <c r="NQA13"/>
      <c r="NQB13"/>
      <c r="NQC13"/>
      <c r="NQD13"/>
      <c r="NQE13"/>
      <c r="NQF13"/>
      <c r="NQG13"/>
      <c r="NQH13"/>
      <c r="NQI13"/>
      <c r="NQJ13"/>
      <c r="NQK13"/>
      <c r="NQL13"/>
      <c r="NQM13"/>
      <c r="NQN13"/>
      <c r="NQO13"/>
      <c r="NQP13"/>
      <c r="NQQ13"/>
      <c r="NQR13"/>
      <c r="NQS13"/>
      <c r="NQT13"/>
      <c r="NQU13"/>
      <c r="NQV13"/>
      <c r="NQW13"/>
      <c r="NQX13"/>
      <c r="NQY13"/>
      <c r="NQZ13"/>
      <c r="NRA13"/>
      <c r="NRB13"/>
      <c r="NRC13"/>
      <c r="NRD13"/>
      <c r="NRE13"/>
      <c r="NRF13"/>
      <c r="NRG13"/>
      <c r="NRH13"/>
      <c r="NRI13"/>
      <c r="NRJ13"/>
      <c r="NRK13"/>
      <c r="NRL13"/>
      <c r="NRM13"/>
      <c r="NRN13"/>
      <c r="NRO13"/>
      <c r="NRP13"/>
      <c r="NRQ13"/>
      <c r="NRR13"/>
      <c r="NRS13"/>
      <c r="NRT13"/>
      <c r="NRU13"/>
      <c r="NRV13"/>
      <c r="NRW13"/>
      <c r="NRX13"/>
      <c r="NRY13"/>
      <c r="NRZ13"/>
      <c r="NSA13"/>
      <c r="NSB13"/>
      <c r="NSC13"/>
      <c r="NSD13"/>
      <c r="NSE13"/>
      <c r="NSF13"/>
      <c r="NSG13"/>
      <c r="NSH13"/>
      <c r="NSI13"/>
      <c r="NSJ13"/>
      <c r="NSK13"/>
      <c r="NSL13"/>
      <c r="NSM13"/>
      <c r="NSN13"/>
      <c r="NSO13"/>
      <c r="NSP13"/>
      <c r="NSQ13"/>
      <c r="NSR13"/>
      <c r="NSS13"/>
      <c r="NST13"/>
      <c r="NSU13"/>
      <c r="NSV13"/>
      <c r="NSW13"/>
      <c r="NSX13"/>
      <c r="NSY13"/>
      <c r="NSZ13"/>
      <c r="NTA13"/>
      <c r="NTB13"/>
      <c r="NTC13"/>
      <c r="NTD13"/>
      <c r="NTE13"/>
      <c r="NTF13"/>
      <c r="NTG13"/>
      <c r="NTH13"/>
      <c r="NTI13"/>
      <c r="NTJ13"/>
      <c r="NTK13"/>
      <c r="NTL13"/>
      <c r="NTM13"/>
      <c r="NTN13"/>
      <c r="NTO13"/>
      <c r="NTP13"/>
      <c r="NTQ13"/>
      <c r="NTR13"/>
      <c r="NTS13"/>
      <c r="NTT13"/>
      <c r="NTU13"/>
      <c r="NTV13"/>
      <c r="NTW13"/>
      <c r="NTX13"/>
      <c r="NTY13"/>
      <c r="NTZ13"/>
      <c r="NUA13"/>
      <c r="NUB13"/>
      <c r="NUC13"/>
      <c r="NUD13"/>
      <c r="NUE13"/>
      <c r="NUF13"/>
      <c r="NUG13"/>
      <c r="NUH13"/>
      <c r="NUI13"/>
      <c r="NUJ13"/>
      <c r="NUK13"/>
      <c r="NUL13"/>
      <c r="NUM13"/>
      <c r="NUN13"/>
      <c r="NUO13"/>
      <c r="NUP13"/>
      <c r="NUQ13"/>
      <c r="NUR13"/>
      <c r="NUS13"/>
      <c r="NUT13"/>
      <c r="NUU13"/>
      <c r="NUV13"/>
      <c r="NUW13"/>
      <c r="NUX13"/>
      <c r="NUY13"/>
      <c r="NUZ13"/>
      <c r="NVA13"/>
      <c r="NVB13"/>
      <c r="NVC13"/>
      <c r="NVD13"/>
      <c r="NVE13"/>
      <c r="NVF13"/>
      <c r="NVG13"/>
      <c r="NVH13"/>
      <c r="NVI13"/>
      <c r="NVJ13"/>
      <c r="NVK13"/>
      <c r="NVL13"/>
      <c r="NVM13"/>
      <c r="NVN13"/>
      <c r="NVO13"/>
      <c r="NVP13"/>
      <c r="NVQ13"/>
      <c r="NVR13"/>
      <c r="NVS13"/>
      <c r="NVT13"/>
      <c r="NVU13"/>
      <c r="NVV13"/>
      <c r="NVW13"/>
      <c r="NVX13"/>
      <c r="NVY13"/>
      <c r="NVZ13"/>
      <c r="NWA13"/>
      <c r="NWB13"/>
      <c r="NWC13"/>
      <c r="NWD13"/>
      <c r="NWE13"/>
      <c r="NWF13"/>
      <c r="NWG13"/>
      <c r="NWH13"/>
      <c r="NWI13"/>
      <c r="NWJ13"/>
      <c r="NWK13"/>
      <c r="NWL13"/>
      <c r="NWM13"/>
      <c r="NWN13"/>
      <c r="NWO13"/>
      <c r="NWP13"/>
      <c r="NWQ13"/>
      <c r="NWR13"/>
      <c r="NWS13"/>
      <c r="NWT13"/>
      <c r="NWU13"/>
      <c r="NWV13"/>
      <c r="NWW13"/>
      <c r="NWX13"/>
      <c r="NWY13"/>
      <c r="NWZ13"/>
      <c r="NXA13"/>
      <c r="NXB13"/>
      <c r="NXC13"/>
      <c r="NXD13"/>
      <c r="NXE13"/>
      <c r="NXF13"/>
      <c r="NXG13"/>
      <c r="NXH13"/>
      <c r="NXI13"/>
      <c r="NXJ13"/>
      <c r="NXK13"/>
      <c r="NXL13"/>
      <c r="NXM13"/>
      <c r="NXN13"/>
      <c r="NXO13"/>
      <c r="NXP13"/>
      <c r="NXQ13"/>
      <c r="NXR13"/>
      <c r="NXS13"/>
      <c r="NXT13"/>
      <c r="NXU13"/>
      <c r="NXV13"/>
      <c r="NXW13"/>
      <c r="NXX13"/>
      <c r="NXY13"/>
      <c r="NXZ13"/>
      <c r="NYA13"/>
      <c r="NYB13"/>
      <c r="NYC13"/>
      <c r="NYD13"/>
      <c r="NYE13"/>
      <c r="NYF13"/>
      <c r="NYG13"/>
      <c r="NYH13"/>
      <c r="NYI13"/>
      <c r="NYJ13"/>
      <c r="NYK13"/>
      <c r="NYL13"/>
      <c r="NYM13"/>
      <c r="NYN13"/>
      <c r="NYO13"/>
      <c r="NYP13"/>
      <c r="NYQ13"/>
      <c r="NYR13"/>
      <c r="NYS13"/>
      <c r="NYT13"/>
      <c r="NYU13"/>
      <c r="NYV13"/>
      <c r="NYW13"/>
      <c r="NYX13"/>
      <c r="NYY13"/>
      <c r="NYZ13"/>
      <c r="NZA13"/>
      <c r="NZB13"/>
      <c r="NZC13"/>
      <c r="NZD13"/>
      <c r="NZE13"/>
      <c r="NZF13"/>
      <c r="NZG13"/>
      <c r="NZH13"/>
      <c r="NZI13"/>
      <c r="NZJ13"/>
      <c r="NZK13"/>
      <c r="NZL13"/>
      <c r="NZM13"/>
      <c r="NZN13"/>
      <c r="NZO13"/>
      <c r="NZP13"/>
      <c r="NZQ13"/>
      <c r="NZR13"/>
      <c r="NZS13"/>
      <c r="NZT13"/>
      <c r="NZU13"/>
      <c r="NZV13"/>
      <c r="NZW13"/>
      <c r="NZX13"/>
      <c r="NZY13"/>
      <c r="NZZ13"/>
      <c r="OAA13"/>
      <c r="OAB13"/>
      <c r="OAC13"/>
      <c r="OAD13"/>
      <c r="OAE13"/>
      <c r="OAF13"/>
      <c r="OAG13"/>
      <c r="OAH13"/>
      <c r="OAI13"/>
      <c r="OAJ13"/>
      <c r="OAK13"/>
      <c r="OAL13"/>
      <c r="OAM13"/>
      <c r="OAN13"/>
      <c r="OAO13"/>
      <c r="OAP13"/>
      <c r="OAQ13"/>
      <c r="OAR13"/>
      <c r="OAS13"/>
      <c r="OAT13"/>
      <c r="OAU13"/>
      <c r="OAV13"/>
      <c r="OAW13"/>
      <c r="OAX13"/>
      <c r="OAY13"/>
      <c r="OAZ13"/>
      <c r="OBA13"/>
      <c r="OBB13"/>
      <c r="OBC13"/>
      <c r="OBD13"/>
      <c r="OBE13"/>
      <c r="OBF13"/>
      <c r="OBG13"/>
      <c r="OBH13"/>
      <c r="OBI13"/>
      <c r="OBJ13"/>
      <c r="OBK13"/>
      <c r="OBL13"/>
      <c r="OBM13"/>
      <c r="OBN13"/>
      <c r="OBO13"/>
      <c r="OBP13"/>
      <c r="OBQ13"/>
      <c r="OBR13"/>
      <c r="OBS13"/>
      <c r="OBT13"/>
      <c r="OBU13"/>
      <c r="OBV13"/>
      <c r="OBW13"/>
      <c r="OBX13"/>
      <c r="OBY13"/>
      <c r="OBZ13"/>
      <c r="OCA13"/>
      <c r="OCB13"/>
      <c r="OCC13"/>
      <c r="OCD13"/>
      <c r="OCE13"/>
      <c r="OCF13"/>
      <c r="OCG13"/>
      <c r="OCH13"/>
      <c r="OCI13"/>
      <c r="OCJ13"/>
      <c r="OCK13"/>
      <c r="OCL13"/>
      <c r="OCM13"/>
      <c r="OCN13"/>
      <c r="OCO13"/>
      <c r="OCP13"/>
      <c r="OCQ13"/>
      <c r="OCR13"/>
      <c r="OCS13"/>
      <c r="OCT13"/>
      <c r="OCU13"/>
      <c r="OCV13"/>
      <c r="OCW13"/>
      <c r="OCX13"/>
      <c r="OCY13"/>
      <c r="OCZ13"/>
      <c r="ODA13"/>
      <c r="ODB13"/>
      <c r="ODC13"/>
      <c r="ODD13"/>
      <c r="ODE13"/>
      <c r="ODF13"/>
      <c r="ODG13"/>
      <c r="ODH13"/>
      <c r="ODI13"/>
      <c r="ODJ13"/>
      <c r="ODK13"/>
      <c r="ODL13"/>
      <c r="ODM13"/>
      <c r="ODN13"/>
      <c r="ODO13"/>
      <c r="ODP13"/>
      <c r="ODQ13"/>
      <c r="ODR13"/>
      <c r="ODS13"/>
      <c r="ODT13"/>
      <c r="ODU13"/>
      <c r="ODV13"/>
      <c r="ODW13"/>
      <c r="ODX13"/>
      <c r="ODY13"/>
      <c r="ODZ13"/>
      <c r="OEA13"/>
      <c r="OEB13"/>
      <c r="OEC13"/>
      <c r="OED13"/>
      <c r="OEE13"/>
      <c r="OEF13"/>
      <c r="OEG13"/>
      <c r="OEH13"/>
      <c r="OEI13"/>
      <c r="OEJ13"/>
      <c r="OEK13"/>
      <c r="OEL13"/>
      <c r="OEM13"/>
      <c r="OEN13"/>
      <c r="OEO13"/>
      <c r="OEP13"/>
      <c r="OEQ13"/>
      <c r="OER13"/>
      <c r="OES13"/>
      <c r="OET13"/>
      <c r="OEU13"/>
      <c r="OEV13"/>
      <c r="OEW13"/>
      <c r="OEX13"/>
      <c r="OEY13"/>
      <c r="OEZ13"/>
      <c r="OFA13"/>
      <c r="OFB13"/>
      <c r="OFC13"/>
      <c r="OFD13"/>
      <c r="OFE13"/>
      <c r="OFF13"/>
      <c r="OFG13"/>
      <c r="OFH13"/>
      <c r="OFI13"/>
      <c r="OFJ13"/>
      <c r="OFK13"/>
      <c r="OFL13"/>
      <c r="OFM13"/>
      <c r="OFN13"/>
      <c r="OFO13"/>
      <c r="OFP13"/>
      <c r="OFQ13"/>
      <c r="OFR13"/>
      <c r="OFS13"/>
      <c r="OFT13"/>
      <c r="OFU13"/>
      <c r="OFV13"/>
      <c r="OFW13"/>
      <c r="OFX13"/>
      <c r="OFY13"/>
      <c r="OFZ13"/>
      <c r="OGA13"/>
      <c r="OGB13"/>
      <c r="OGC13"/>
      <c r="OGD13"/>
      <c r="OGE13"/>
      <c r="OGF13"/>
      <c r="OGG13"/>
      <c r="OGH13"/>
      <c r="OGI13"/>
      <c r="OGJ13"/>
      <c r="OGK13"/>
      <c r="OGL13"/>
      <c r="OGM13"/>
      <c r="OGN13"/>
      <c r="OGO13"/>
      <c r="OGP13"/>
      <c r="OGQ13"/>
      <c r="OGR13"/>
      <c r="OGS13"/>
      <c r="OGT13"/>
      <c r="OGU13"/>
      <c r="OGV13"/>
      <c r="OGW13"/>
      <c r="OGX13"/>
      <c r="OGY13"/>
      <c r="OGZ13"/>
      <c r="OHA13"/>
      <c r="OHB13"/>
      <c r="OHC13"/>
      <c r="OHD13"/>
      <c r="OHE13"/>
      <c r="OHF13"/>
      <c r="OHG13"/>
      <c r="OHH13"/>
      <c r="OHI13"/>
      <c r="OHJ13"/>
      <c r="OHK13"/>
      <c r="OHL13"/>
      <c r="OHM13"/>
      <c r="OHN13"/>
      <c r="OHO13"/>
      <c r="OHP13"/>
      <c r="OHQ13"/>
      <c r="OHR13"/>
      <c r="OHS13"/>
      <c r="OHT13"/>
      <c r="OHU13"/>
      <c r="OHV13"/>
      <c r="OHW13"/>
      <c r="OHX13"/>
      <c r="OHY13"/>
      <c r="OHZ13"/>
      <c r="OIA13"/>
      <c r="OIB13"/>
      <c r="OIC13"/>
      <c r="OID13"/>
      <c r="OIE13"/>
      <c r="OIF13"/>
      <c r="OIG13"/>
      <c r="OIH13"/>
      <c r="OII13"/>
      <c r="OIJ13"/>
      <c r="OIK13"/>
      <c r="OIL13"/>
      <c r="OIM13"/>
      <c r="OIN13"/>
      <c r="OIO13"/>
      <c r="OIP13"/>
      <c r="OIQ13"/>
      <c r="OIR13"/>
      <c r="OIS13"/>
      <c r="OIT13"/>
      <c r="OIU13"/>
      <c r="OIV13"/>
      <c r="OIW13"/>
      <c r="OIX13"/>
      <c r="OIY13"/>
      <c r="OIZ13"/>
      <c r="OJA13"/>
      <c r="OJB13"/>
      <c r="OJC13"/>
      <c r="OJD13"/>
      <c r="OJE13"/>
      <c r="OJF13"/>
      <c r="OJG13"/>
      <c r="OJH13"/>
      <c r="OJI13"/>
      <c r="OJJ13"/>
      <c r="OJK13"/>
      <c r="OJL13"/>
      <c r="OJM13"/>
      <c r="OJN13"/>
      <c r="OJO13"/>
      <c r="OJP13"/>
      <c r="OJQ13"/>
      <c r="OJR13"/>
      <c r="OJS13"/>
      <c r="OJT13"/>
      <c r="OJU13"/>
      <c r="OJV13"/>
      <c r="OJW13"/>
      <c r="OJX13"/>
      <c r="OJY13"/>
      <c r="OJZ13"/>
      <c r="OKA13"/>
      <c r="OKB13"/>
      <c r="OKC13"/>
      <c r="OKD13"/>
      <c r="OKE13"/>
      <c r="OKF13"/>
      <c r="OKG13"/>
      <c r="OKH13"/>
      <c r="OKI13"/>
      <c r="OKJ13"/>
      <c r="OKK13"/>
      <c r="OKL13"/>
      <c r="OKM13"/>
      <c r="OKN13"/>
      <c r="OKO13"/>
      <c r="OKP13"/>
      <c r="OKQ13"/>
      <c r="OKR13"/>
      <c r="OKS13"/>
      <c r="OKT13"/>
      <c r="OKU13"/>
      <c r="OKV13"/>
      <c r="OKW13"/>
      <c r="OKX13"/>
      <c r="OKY13"/>
      <c r="OKZ13"/>
      <c r="OLA13"/>
      <c r="OLB13"/>
      <c r="OLC13"/>
      <c r="OLD13"/>
      <c r="OLE13"/>
      <c r="OLF13"/>
      <c r="OLG13"/>
      <c r="OLH13"/>
      <c r="OLI13"/>
      <c r="OLJ13"/>
      <c r="OLK13"/>
      <c r="OLL13"/>
      <c r="OLM13"/>
      <c r="OLN13"/>
      <c r="OLO13"/>
      <c r="OLP13"/>
      <c r="OLQ13"/>
      <c r="OLR13"/>
      <c r="OLS13"/>
      <c r="OLT13"/>
      <c r="OLU13"/>
      <c r="OLV13"/>
      <c r="OLW13"/>
      <c r="OLX13"/>
      <c r="OLY13"/>
      <c r="OLZ13"/>
      <c r="OMA13"/>
      <c r="OMB13"/>
      <c r="OMC13"/>
      <c r="OMD13"/>
      <c r="OME13"/>
      <c r="OMF13"/>
      <c r="OMG13"/>
      <c r="OMH13"/>
      <c r="OMI13"/>
      <c r="OMJ13"/>
      <c r="OMK13"/>
      <c r="OML13"/>
      <c r="OMM13"/>
      <c r="OMN13"/>
      <c r="OMO13"/>
      <c r="OMP13"/>
      <c r="OMQ13"/>
      <c r="OMR13"/>
      <c r="OMS13"/>
      <c r="OMT13"/>
      <c r="OMU13"/>
      <c r="OMV13"/>
      <c r="OMW13"/>
      <c r="OMX13"/>
      <c r="OMY13"/>
      <c r="OMZ13"/>
      <c r="ONA13"/>
      <c r="ONB13"/>
      <c r="ONC13"/>
      <c r="OND13"/>
      <c r="ONE13"/>
      <c r="ONF13"/>
      <c r="ONG13"/>
      <c r="ONH13"/>
      <c r="ONI13"/>
      <c r="ONJ13"/>
      <c r="ONK13"/>
      <c r="ONL13"/>
      <c r="ONM13"/>
      <c r="ONN13"/>
      <c r="ONO13"/>
      <c r="ONP13"/>
      <c r="ONQ13"/>
      <c r="ONR13"/>
      <c r="ONS13"/>
      <c r="ONT13"/>
      <c r="ONU13"/>
      <c r="ONV13"/>
      <c r="ONW13"/>
      <c r="ONX13"/>
      <c r="ONY13"/>
      <c r="ONZ13"/>
      <c r="OOA13"/>
      <c r="OOB13"/>
      <c r="OOC13"/>
      <c r="OOD13"/>
      <c r="OOE13"/>
      <c r="OOF13"/>
      <c r="OOG13"/>
      <c r="OOH13"/>
      <c r="OOI13"/>
      <c r="OOJ13"/>
      <c r="OOK13"/>
      <c r="OOL13"/>
      <c r="OOM13"/>
      <c r="OON13"/>
      <c r="OOO13"/>
      <c r="OOP13"/>
      <c r="OOQ13"/>
      <c r="OOR13"/>
      <c r="OOS13"/>
      <c r="OOT13"/>
      <c r="OOU13"/>
      <c r="OOV13"/>
      <c r="OOW13"/>
      <c r="OOX13"/>
      <c r="OOY13"/>
      <c r="OOZ13"/>
      <c r="OPA13"/>
      <c r="OPB13"/>
      <c r="OPC13"/>
      <c r="OPD13"/>
      <c r="OPE13"/>
      <c r="OPF13"/>
      <c r="OPG13"/>
      <c r="OPH13"/>
      <c r="OPI13"/>
      <c r="OPJ13"/>
      <c r="OPK13"/>
      <c r="OPL13"/>
      <c r="OPM13"/>
      <c r="OPN13"/>
      <c r="OPO13"/>
      <c r="OPP13"/>
      <c r="OPQ13"/>
      <c r="OPR13"/>
      <c r="OPS13"/>
      <c r="OPT13"/>
      <c r="OPU13"/>
      <c r="OPV13"/>
      <c r="OPW13"/>
      <c r="OPX13"/>
      <c r="OPY13"/>
      <c r="OPZ13"/>
      <c r="OQA13"/>
      <c r="OQB13"/>
      <c r="OQC13"/>
      <c r="OQD13"/>
      <c r="OQE13"/>
      <c r="OQF13"/>
      <c r="OQG13"/>
      <c r="OQH13"/>
      <c r="OQI13"/>
      <c r="OQJ13"/>
      <c r="OQK13"/>
      <c r="OQL13"/>
      <c r="OQM13"/>
      <c r="OQN13"/>
      <c r="OQO13"/>
      <c r="OQP13"/>
      <c r="OQQ13"/>
      <c r="OQR13"/>
      <c r="OQS13"/>
      <c r="OQT13"/>
      <c r="OQU13"/>
      <c r="OQV13"/>
      <c r="OQW13"/>
      <c r="OQX13"/>
      <c r="OQY13"/>
      <c r="OQZ13"/>
      <c r="ORA13"/>
      <c r="ORB13"/>
      <c r="ORC13"/>
      <c r="ORD13"/>
      <c r="ORE13"/>
      <c r="ORF13"/>
      <c r="ORG13"/>
      <c r="ORH13"/>
      <c r="ORI13"/>
      <c r="ORJ13"/>
      <c r="ORK13"/>
      <c r="ORL13"/>
      <c r="ORM13"/>
      <c r="ORN13"/>
      <c r="ORO13"/>
      <c r="ORP13"/>
      <c r="ORQ13"/>
      <c r="ORR13"/>
      <c r="ORS13"/>
      <c r="ORT13"/>
      <c r="ORU13"/>
      <c r="ORV13"/>
      <c r="ORW13"/>
      <c r="ORX13"/>
      <c r="ORY13"/>
      <c r="ORZ13"/>
      <c r="OSA13"/>
      <c r="OSB13"/>
      <c r="OSC13"/>
      <c r="OSD13"/>
      <c r="OSE13"/>
      <c r="OSF13"/>
      <c r="OSG13"/>
      <c r="OSH13"/>
      <c r="OSI13"/>
      <c r="OSJ13"/>
      <c r="OSK13"/>
      <c r="OSL13"/>
      <c r="OSM13"/>
      <c r="OSN13"/>
      <c r="OSO13"/>
      <c r="OSP13"/>
      <c r="OSQ13"/>
      <c r="OSR13"/>
      <c r="OSS13"/>
      <c r="OST13"/>
      <c r="OSU13"/>
      <c r="OSV13"/>
      <c r="OSW13"/>
      <c r="OSX13"/>
      <c r="OSY13"/>
      <c r="OSZ13"/>
      <c r="OTA13"/>
      <c r="OTB13"/>
      <c r="OTC13"/>
      <c r="OTD13"/>
      <c r="OTE13"/>
      <c r="OTF13"/>
      <c r="OTG13"/>
      <c r="OTH13"/>
      <c r="OTI13"/>
      <c r="OTJ13"/>
      <c r="OTK13"/>
      <c r="OTL13"/>
      <c r="OTM13"/>
      <c r="OTN13"/>
      <c r="OTO13"/>
      <c r="OTP13"/>
      <c r="OTQ13"/>
      <c r="OTR13"/>
      <c r="OTS13"/>
      <c r="OTT13"/>
      <c r="OTU13"/>
      <c r="OTV13"/>
      <c r="OTW13"/>
      <c r="OTX13"/>
      <c r="OTY13"/>
      <c r="OTZ13"/>
      <c r="OUA13"/>
      <c r="OUB13"/>
      <c r="OUC13"/>
      <c r="OUD13"/>
      <c r="OUE13"/>
      <c r="OUF13"/>
      <c r="OUG13"/>
      <c r="OUH13"/>
      <c r="OUI13"/>
      <c r="OUJ13"/>
      <c r="OUK13"/>
      <c r="OUL13"/>
      <c r="OUM13"/>
      <c r="OUN13"/>
      <c r="OUO13"/>
      <c r="OUP13"/>
      <c r="OUQ13"/>
      <c r="OUR13"/>
      <c r="OUS13"/>
      <c r="OUT13"/>
      <c r="OUU13"/>
      <c r="OUV13"/>
      <c r="OUW13"/>
      <c r="OUX13"/>
      <c r="OUY13"/>
      <c r="OUZ13"/>
      <c r="OVA13"/>
      <c r="OVB13"/>
      <c r="OVC13"/>
      <c r="OVD13"/>
      <c r="OVE13"/>
      <c r="OVF13"/>
      <c r="OVG13"/>
      <c r="OVH13"/>
      <c r="OVI13"/>
      <c r="OVJ13"/>
      <c r="OVK13"/>
      <c r="OVL13"/>
      <c r="OVM13"/>
      <c r="OVN13"/>
      <c r="OVO13"/>
      <c r="OVP13"/>
      <c r="OVQ13"/>
      <c r="OVR13"/>
      <c r="OVS13"/>
      <c r="OVT13"/>
      <c r="OVU13"/>
      <c r="OVV13"/>
      <c r="OVW13"/>
      <c r="OVX13"/>
      <c r="OVY13"/>
      <c r="OVZ13"/>
      <c r="OWA13"/>
      <c r="OWB13"/>
      <c r="OWC13"/>
      <c r="OWD13"/>
      <c r="OWE13"/>
      <c r="OWF13"/>
      <c r="OWG13"/>
      <c r="OWH13"/>
      <c r="OWI13"/>
      <c r="OWJ13"/>
      <c r="OWK13"/>
      <c r="OWL13"/>
      <c r="OWM13"/>
      <c r="OWN13"/>
      <c r="OWO13"/>
      <c r="OWP13"/>
      <c r="OWQ13"/>
      <c r="OWR13"/>
      <c r="OWS13"/>
      <c r="OWT13"/>
      <c r="OWU13"/>
      <c r="OWV13"/>
      <c r="OWW13"/>
      <c r="OWX13"/>
      <c r="OWY13"/>
      <c r="OWZ13"/>
      <c r="OXA13"/>
      <c r="OXB13"/>
      <c r="OXC13"/>
      <c r="OXD13"/>
      <c r="OXE13"/>
      <c r="OXF13"/>
      <c r="OXG13"/>
      <c r="OXH13"/>
      <c r="OXI13"/>
      <c r="OXJ13"/>
      <c r="OXK13"/>
      <c r="OXL13"/>
      <c r="OXM13"/>
      <c r="OXN13"/>
      <c r="OXO13"/>
      <c r="OXP13"/>
      <c r="OXQ13"/>
      <c r="OXR13"/>
      <c r="OXS13"/>
      <c r="OXT13"/>
      <c r="OXU13"/>
      <c r="OXV13"/>
      <c r="OXW13"/>
      <c r="OXX13"/>
      <c r="OXY13"/>
      <c r="OXZ13"/>
      <c r="OYA13"/>
      <c r="OYB13"/>
      <c r="OYC13"/>
      <c r="OYD13"/>
      <c r="OYE13"/>
      <c r="OYF13"/>
      <c r="OYG13"/>
      <c r="OYH13"/>
      <c r="OYI13"/>
      <c r="OYJ13"/>
      <c r="OYK13"/>
      <c r="OYL13"/>
      <c r="OYM13"/>
      <c r="OYN13"/>
      <c r="OYO13"/>
      <c r="OYP13"/>
      <c r="OYQ13"/>
      <c r="OYR13"/>
      <c r="OYS13"/>
      <c r="OYT13"/>
      <c r="OYU13"/>
      <c r="OYV13"/>
      <c r="OYW13"/>
      <c r="OYX13"/>
      <c r="OYY13"/>
      <c r="OYZ13"/>
      <c r="OZA13"/>
      <c r="OZB13"/>
      <c r="OZC13"/>
      <c r="OZD13"/>
      <c r="OZE13"/>
      <c r="OZF13"/>
      <c r="OZG13"/>
      <c r="OZH13"/>
      <c r="OZI13"/>
      <c r="OZJ13"/>
      <c r="OZK13"/>
      <c r="OZL13"/>
      <c r="OZM13"/>
      <c r="OZN13"/>
      <c r="OZO13"/>
      <c r="OZP13"/>
      <c r="OZQ13"/>
      <c r="OZR13"/>
      <c r="OZS13"/>
      <c r="OZT13"/>
      <c r="OZU13"/>
      <c r="OZV13"/>
      <c r="OZW13"/>
      <c r="OZX13"/>
      <c r="OZY13"/>
      <c r="OZZ13"/>
      <c r="PAA13"/>
      <c r="PAB13"/>
      <c r="PAC13"/>
      <c r="PAD13"/>
      <c r="PAE13"/>
      <c r="PAF13"/>
      <c r="PAG13"/>
      <c r="PAH13"/>
      <c r="PAI13"/>
      <c r="PAJ13"/>
      <c r="PAK13"/>
      <c r="PAL13"/>
      <c r="PAM13"/>
      <c r="PAN13"/>
      <c r="PAO13"/>
      <c r="PAP13"/>
      <c r="PAQ13"/>
      <c r="PAR13"/>
      <c r="PAS13"/>
      <c r="PAT13"/>
      <c r="PAU13"/>
      <c r="PAV13"/>
      <c r="PAW13"/>
      <c r="PAX13"/>
      <c r="PAY13"/>
      <c r="PAZ13"/>
      <c r="PBA13"/>
      <c r="PBB13"/>
      <c r="PBC13"/>
      <c r="PBD13"/>
      <c r="PBE13"/>
      <c r="PBF13"/>
      <c r="PBG13"/>
      <c r="PBH13"/>
      <c r="PBI13"/>
      <c r="PBJ13"/>
      <c r="PBK13"/>
      <c r="PBL13"/>
      <c r="PBM13"/>
      <c r="PBN13"/>
      <c r="PBO13"/>
      <c r="PBP13"/>
      <c r="PBQ13"/>
      <c r="PBR13"/>
      <c r="PBS13"/>
      <c r="PBT13"/>
      <c r="PBU13"/>
      <c r="PBV13"/>
      <c r="PBW13"/>
      <c r="PBX13"/>
      <c r="PBY13"/>
      <c r="PBZ13"/>
      <c r="PCA13"/>
      <c r="PCB13"/>
      <c r="PCC13"/>
      <c r="PCD13"/>
      <c r="PCE13"/>
      <c r="PCF13"/>
      <c r="PCG13"/>
      <c r="PCH13"/>
      <c r="PCI13"/>
      <c r="PCJ13"/>
      <c r="PCK13"/>
      <c r="PCL13"/>
      <c r="PCM13"/>
      <c r="PCN13"/>
      <c r="PCO13"/>
      <c r="PCP13"/>
      <c r="PCQ13"/>
      <c r="PCR13"/>
      <c r="PCS13"/>
      <c r="PCT13"/>
      <c r="PCU13"/>
      <c r="PCV13"/>
      <c r="PCW13"/>
      <c r="PCX13"/>
      <c r="PCY13"/>
      <c r="PCZ13"/>
      <c r="PDA13"/>
      <c r="PDB13"/>
      <c r="PDC13"/>
      <c r="PDD13"/>
      <c r="PDE13"/>
      <c r="PDF13"/>
      <c r="PDG13"/>
      <c r="PDH13"/>
      <c r="PDI13"/>
      <c r="PDJ13"/>
      <c r="PDK13"/>
      <c r="PDL13"/>
      <c r="PDM13"/>
      <c r="PDN13"/>
      <c r="PDO13"/>
      <c r="PDP13"/>
      <c r="PDQ13"/>
      <c r="PDR13"/>
      <c r="PDS13"/>
      <c r="PDT13"/>
      <c r="PDU13"/>
      <c r="PDV13"/>
      <c r="PDW13"/>
      <c r="PDX13"/>
      <c r="PDY13"/>
      <c r="PDZ13"/>
      <c r="PEA13"/>
      <c r="PEB13"/>
      <c r="PEC13"/>
      <c r="PED13"/>
      <c r="PEE13"/>
      <c r="PEF13"/>
      <c r="PEG13"/>
      <c r="PEH13"/>
      <c r="PEI13"/>
      <c r="PEJ13"/>
      <c r="PEK13"/>
      <c r="PEL13"/>
      <c r="PEM13"/>
      <c r="PEN13"/>
      <c r="PEO13"/>
      <c r="PEP13"/>
      <c r="PEQ13"/>
      <c r="PER13"/>
      <c r="PES13"/>
      <c r="PET13"/>
      <c r="PEU13"/>
      <c r="PEV13"/>
      <c r="PEW13"/>
      <c r="PEX13"/>
      <c r="PEY13"/>
      <c r="PEZ13"/>
      <c r="PFA13"/>
      <c r="PFB13"/>
      <c r="PFC13"/>
      <c r="PFD13"/>
      <c r="PFE13"/>
      <c r="PFF13"/>
      <c r="PFG13"/>
      <c r="PFH13"/>
      <c r="PFI13"/>
      <c r="PFJ13"/>
      <c r="PFK13"/>
      <c r="PFL13"/>
      <c r="PFM13"/>
      <c r="PFN13"/>
      <c r="PFO13"/>
      <c r="PFP13"/>
      <c r="PFQ13"/>
      <c r="PFR13"/>
      <c r="PFS13"/>
      <c r="PFT13"/>
      <c r="PFU13"/>
      <c r="PFV13"/>
      <c r="PFW13"/>
      <c r="PFX13"/>
      <c r="PFY13"/>
      <c r="PFZ13"/>
      <c r="PGA13"/>
      <c r="PGB13"/>
      <c r="PGC13"/>
      <c r="PGD13"/>
      <c r="PGE13"/>
      <c r="PGF13"/>
      <c r="PGG13"/>
      <c r="PGH13"/>
      <c r="PGI13"/>
      <c r="PGJ13"/>
      <c r="PGK13"/>
      <c r="PGL13"/>
      <c r="PGM13"/>
      <c r="PGN13"/>
      <c r="PGO13"/>
      <c r="PGP13"/>
      <c r="PGQ13"/>
      <c r="PGR13"/>
      <c r="PGS13"/>
      <c r="PGT13"/>
      <c r="PGU13"/>
      <c r="PGV13"/>
      <c r="PGW13"/>
      <c r="PGX13"/>
      <c r="PGY13"/>
      <c r="PGZ13"/>
      <c r="PHA13"/>
      <c r="PHB13"/>
      <c r="PHC13"/>
      <c r="PHD13"/>
      <c r="PHE13"/>
      <c r="PHF13"/>
      <c r="PHG13"/>
      <c r="PHH13"/>
      <c r="PHI13"/>
      <c r="PHJ13"/>
      <c r="PHK13"/>
      <c r="PHL13"/>
      <c r="PHM13"/>
      <c r="PHN13"/>
      <c r="PHO13"/>
      <c r="PHP13"/>
      <c r="PHQ13"/>
      <c r="PHR13"/>
      <c r="PHS13"/>
      <c r="PHT13"/>
      <c r="PHU13"/>
      <c r="PHV13"/>
      <c r="PHW13"/>
      <c r="PHX13"/>
      <c r="PHY13"/>
      <c r="PHZ13"/>
      <c r="PIA13"/>
      <c r="PIB13"/>
      <c r="PIC13"/>
      <c r="PID13"/>
      <c r="PIE13"/>
      <c r="PIF13"/>
      <c r="PIG13"/>
      <c r="PIH13"/>
      <c r="PII13"/>
      <c r="PIJ13"/>
      <c r="PIK13"/>
      <c r="PIL13"/>
      <c r="PIM13"/>
      <c r="PIN13"/>
      <c r="PIO13"/>
      <c r="PIP13"/>
      <c r="PIQ13"/>
      <c r="PIR13"/>
      <c r="PIS13"/>
      <c r="PIT13"/>
      <c r="PIU13"/>
      <c r="PIV13"/>
      <c r="PIW13"/>
      <c r="PIX13"/>
      <c r="PIY13"/>
      <c r="PIZ13"/>
      <c r="PJA13"/>
      <c r="PJB13"/>
      <c r="PJC13"/>
      <c r="PJD13"/>
      <c r="PJE13"/>
      <c r="PJF13"/>
      <c r="PJG13"/>
      <c r="PJH13"/>
      <c r="PJI13"/>
      <c r="PJJ13"/>
      <c r="PJK13"/>
      <c r="PJL13"/>
      <c r="PJM13"/>
      <c r="PJN13"/>
      <c r="PJO13"/>
      <c r="PJP13"/>
      <c r="PJQ13"/>
      <c r="PJR13"/>
      <c r="PJS13"/>
      <c r="PJT13"/>
      <c r="PJU13"/>
      <c r="PJV13"/>
      <c r="PJW13"/>
      <c r="PJX13"/>
      <c r="PJY13"/>
      <c r="PJZ13"/>
      <c r="PKA13"/>
      <c r="PKB13"/>
      <c r="PKC13"/>
      <c r="PKD13"/>
      <c r="PKE13"/>
      <c r="PKF13"/>
      <c r="PKG13"/>
      <c r="PKH13"/>
      <c r="PKI13"/>
      <c r="PKJ13"/>
      <c r="PKK13"/>
      <c r="PKL13"/>
      <c r="PKM13"/>
      <c r="PKN13"/>
      <c r="PKO13"/>
      <c r="PKP13"/>
      <c r="PKQ13"/>
      <c r="PKR13"/>
      <c r="PKS13"/>
      <c r="PKT13"/>
      <c r="PKU13"/>
      <c r="PKV13"/>
      <c r="PKW13"/>
      <c r="PKX13"/>
      <c r="PKY13"/>
      <c r="PKZ13"/>
      <c r="PLA13"/>
      <c r="PLB13"/>
      <c r="PLC13"/>
      <c r="PLD13"/>
      <c r="PLE13"/>
      <c r="PLF13"/>
      <c r="PLG13"/>
      <c r="PLH13"/>
      <c r="PLI13"/>
      <c r="PLJ13"/>
      <c r="PLK13"/>
      <c r="PLL13"/>
      <c r="PLM13"/>
      <c r="PLN13"/>
      <c r="PLO13"/>
      <c r="PLP13"/>
      <c r="PLQ13"/>
      <c r="PLR13"/>
      <c r="PLS13"/>
      <c r="PLT13"/>
      <c r="PLU13"/>
      <c r="PLV13"/>
      <c r="PLW13"/>
      <c r="PLX13"/>
      <c r="PLY13"/>
      <c r="PLZ13"/>
      <c r="PMA13"/>
      <c r="PMB13"/>
      <c r="PMC13"/>
      <c r="PMD13"/>
      <c r="PME13"/>
      <c r="PMF13"/>
      <c r="PMG13"/>
      <c r="PMH13"/>
      <c r="PMI13"/>
      <c r="PMJ13"/>
      <c r="PMK13"/>
      <c r="PML13"/>
      <c r="PMM13"/>
      <c r="PMN13"/>
      <c r="PMO13"/>
      <c r="PMP13"/>
      <c r="PMQ13"/>
      <c r="PMR13"/>
      <c r="PMS13"/>
      <c r="PMT13"/>
      <c r="PMU13"/>
      <c r="PMV13"/>
      <c r="PMW13"/>
      <c r="PMX13"/>
      <c r="PMY13"/>
      <c r="PMZ13"/>
      <c r="PNA13"/>
      <c r="PNB13"/>
      <c r="PNC13"/>
      <c r="PND13"/>
      <c r="PNE13"/>
      <c r="PNF13"/>
      <c r="PNG13"/>
      <c r="PNH13"/>
      <c r="PNI13"/>
      <c r="PNJ13"/>
      <c r="PNK13"/>
      <c r="PNL13"/>
      <c r="PNM13"/>
      <c r="PNN13"/>
      <c r="PNO13"/>
      <c r="PNP13"/>
      <c r="PNQ13"/>
      <c r="PNR13"/>
      <c r="PNS13"/>
      <c r="PNT13"/>
      <c r="PNU13"/>
      <c r="PNV13"/>
      <c r="PNW13"/>
      <c r="PNX13"/>
      <c r="PNY13"/>
      <c r="PNZ13"/>
      <c r="POA13"/>
      <c r="POB13"/>
      <c r="POC13"/>
      <c r="POD13"/>
      <c r="POE13"/>
      <c r="POF13"/>
      <c r="POG13"/>
      <c r="POH13"/>
      <c r="POI13"/>
      <c r="POJ13"/>
      <c r="POK13"/>
      <c r="POL13"/>
      <c r="POM13"/>
      <c r="PON13"/>
      <c r="POO13"/>
      <c r="POP13"/>
      <c r="POQ13"/>
      <c r="POR13"/>
      <c r="POS13"/>
      <c r="POT13"/>
      <c r="POU13"/>
      <c r="POV13"/>
      <c r="POW13"/>
      <c r="POX13"/>
      <c r="POY13"/>
      <c r="POZ13"/>
      <c r="PPA13"/>
      <c r="PPB13"/>
      <c r="PPC13"/>
      <c r="PPD13"/>
      <c r="PPE13"/>
      <c r="PPF13"/>
      <c r="PPG13"/>
      <c r="PPH13"/>
      <c r="PPI13"/>
      <c r="PPJ13"/>
      <c r="PPK13"/>
      <c r="PPL13"/>
      <c r="PPM13"/>
      <c r="PPN13"/>
      <c r="PPO13"/>
      <c r="PPP13"/>
      <c r="PPQ13"/>
      <c r="PPR13"/>
      <c r="PPS13"/>
      <c r="PPT13"/>
      <c r="PPU13"/>
      <c r="PPV13"/>
      <c r="PPW13"/>
      <c r="PPX13"/>
      <c r="PPY13"/>
      <c r="PPZ13"/>
      <c r="PQA13"/>
      <c r="PQB13"/>
      <c r="PQC13"/>
      <c r="PQD13"/>
      <c r="PQE13"/>
      <c r="PQF13"/>
      <c r="PQG13"/>
      <c r="PQH13"/>
      <c r="PQI13"/>
      <c r="PQJ13"/>
      <c r="PQK13"/>
      <c r="PQL13"/>
      <c r="PQM13"/>
      <c r="PQN13"/>
      <c r="PQO13"/>
      <c r="PQP13"/>
      <c r="PQQ13"/>
      <c r="PQR13"/>
      <c r="PQS13"/>
      <c r="PQT13"/>
      <c r="PQU13"/>
      <c r="PQV13"/>
      <c r="PQW13"/>
      <c r="PQX13"/>
      <c r="PQY13"/>
      <c r="PQZ13"/>
      <c r="PRA13"/>
      <c r="PRB13"/>
      <c r="PRC13"/>
      <c r="PRD13"/>
      <c r="PRE13"/>
      <c r="PRF13"/>
      <c r="PRG13"/>
      <c r="PRH13"/>
      <c r="PRI13"/>
      <c r="PRJ13"/>
      <c r="PRK13"/>
      <c r="PRL13"/>
      <c r="PRM13"/>
      <c r="PRN13"/>
      <c r="PRO13"/>
      <c r="PRP13"/>
      <c r="PRQ13"/>
      <c r="PRR13"/>
      <c r="PRS13"/>
      <c r="PRT13"/>
      <c r="PRU13"/>
      <c r="PRV13"/>
      <c r="PRW13"/>
      <c r="PRX13"/>
      <c r="PRY13"/>
      <c r="PRZ13"/>
      <c r="PSA13"/>
      <c r="PSB13"/>
      <c r="PSC13"/>
      <c r="PSD13"/>
      <c r="PSE13"/>
      <c r="PSF13"/>
      <c r="PSG13"/>
      <c r="PSH13"/>
      <c r="PSI13"/>
      <c r="PSJ13"/>
      <c r="PSK13"/>
      <c r="PSL13"/>
      <c r="PSM13"/>
      <c r="PSN13"/>
      <c r="PSO13"/>
      <c r="PSP13"/>
      <c r="PSQ13"/>
      <c r="PSR13"/>
      <c r="PSS13"/>
      <c r="PST13"/>
      <c r="PSU13"/>
      <c r="PSV13"/>
      <c r="PSW13"/>
      <c r="PSX13"/>
      <c r="PSY13"/>
      <c r="PSZ13"/>
      <c r="PTA13"/>
      <c r="PTB13"/>
      <c r="PTC13"/>
      <c r="PTD13"/>
      <c r="PTE13"/>
      <c r="PTF13"/>
      <c r="PTG13"/>
      <c r="PTH13"/>
      <c r="PTI13"/>
      <c r="PTJ13"/>
      <c r="PTK13"/>
      <c r="PTL13"/>
      <c r="PTM13"/>
      <c r="PTN13"/>
      <c r="PTO13"/>
      <c r="PTP13"/>
      <c r="PTQ13"/>
      <c r="PTR13"/>
      <c r="PTS13"/>
      <c r="PTT13"/>
      <c r="PTU13"/>
      <c r="PTV13"/>
      <c r="PTW13"/>
      <c r="PTX13"/>
      <c r="PTY13"/>
      <c r="PTZ13"/>
      <c r="PUA13"/>
      <c r="PUB13"/>
      <c r="PUC13"/>
      <c r="PUD13"/>
      <c r="PUE13"/>
      <c r="PUF13"/>
      <c r="PUG13"/>
      <c r="PUH13"/>
      <c r="PUI13"/>
      <c r="PUJ13"/>
      <c r="PUK13"/>
      <c r="PUL13"/>
      <c r="PUM13"/>
      <c r="PUN13"/>
      <c r="PUO13"/>
      <c r="PUP13"/>
      <c r="PUQ13"/>
      <c r="PUR13"/>
      <c r="PUS13"/>
      <c r="PUT13"/>
      <c r="PUU13"/>
      <c r="PUV13"/>
      <c r="PUW13"/>
      <c r="PUX13"/>
      <c r="PUY13"/>
      <c r="PUZ13"/>
      <c r="PVA13"/>
      <c r="PVB13"/>
      <c r="PVC13"/>
      <c r="PVD13"/>
      <c r="PVE13"/>
      <c r="PVF13"/>
      <c r="PVG13"/>
      <c r="PVH13"/>
      <c r="PVI13"/>
      <c r="PVJ13"/>
      <c r="PVK13"/>
      <c r="PVL13"/>
      <c r="PVM13"/>
      <c r="PVN13"/>
      <c r="PVO13"/>
      <c r="PVP13"/>
      <c r="PVQ13"/>
      <c r="PVR13"/>
      <c r="PVS13"/>
      <c r="PVT13"/>
      <c r="PVU13"/>
      <c r="PVV13"/>
      <c r="PVW13"/>
      <c r="PVX13"/>
      <c r="PVY13"/>
      <c r="PVZ13"/>
      <c r="PWA13"/>
      <c r="PWB13"/>
      <c r="PWC13"/>
      <c r="PWD13"/>
      <c r="PWE13"/>
      <c r="PWF13"/>
      <c r="PWG13"/>
      <c r="PWH13"/>
      <c r="PWI13"/>
      <c r="PWJ13"/>
      <c r="PWK13"/>
      <c r="PWL13"/>
      <c r="PWM13"/>
      <c r="PWN13"/>
      <c r="PWO13"/>
      <c r="PWP13"/>
      <c r="PWQ13"/>
      <c r="PWR13"/>
      <c r="PWS13"/>
      <c r="PWT13"/>
      <c r="PWU13"/>
      <c r="PWV13"/>
      <c r="PWW13"/>
      <c r="PWX13"/>
      <c r="PWY13"/>
      <c r="PWZ13"/>
      <c r="PXA13"/>
      <c r="PXB13"/>
      <c r="PXC13"/>
      <c r="PXD13"/>
      <c r="PXE13"/>
      <c r="PXF13"/>
      <c r="PXG13"/>
      <c r="PXH13"/>
      <c r="PXI13"/>
      <c r="PXJ13"/>
      <c r="PXK13"/>
      <c r="PXL13"/>
      <c r="PXM13"/>
      <c r="PXN13"/>
      <c r="PXO13"/>
      <c r="PXP13"/>
      <c r="PXQ13"/>
      <c r="PXR13"/>
      <c r="PXS13"/>
      <c r="PXT13"/>
      <c r="PXU13"/>
      <c r="PXV13"/>
      <c r="PXW13"/>
      <c r="PXX13"/>
      <c r="PXY13"/>
      <c r="PXZ13"/>
      <c r="PYA13"/>
      <c r="PYB13"/>
      <c r="PYC13"/>
      <c r="PYD13"/>
      <c r="PYE13"/>
      <c r="PYF13"/>
      <c r="PYG13"/>
      <c r="PYH13"/>
      <c r="PYI13"/>
      <c r="PYJ13"/>
      <c r="PYK13"/>
      <c r="PYL13"/>
      <c r="PYM13"/>
      <c r="PYN13"/>
      <c r="PYO13"/>
      <c r="PYP13"/>
      <c r="PYQ13"/>
      <c r="PYR13"/>
      <c r="PYS13"/>
      <c r="PYT13"/>
      <c r="PYU13"/>
      <c r="PYV13"/>
      <c r="PYW13"/>
      <c r="PYX13"/>
      <c r="PYY13"/>
      <c r="PYZ13"/>
      <c r="PZA13"/>
      <c r="PZB13"/>
      <c r="PZC13"/>
      <c r="PZD13"/>
      <c r="PZE13"/>
      <c r="PZF13"/>
      <c r="PZG13"/>
      <c r="PZH13"/>
      <c r="PZI13"/>
      <c r="PZJ13"/>
      <c r="PZK13"/>
      <c r="PZL13"/>
      <c r="PZM13"/>
      <c r="PZN13"/>
      <c r="PZO13"/>
      <c r="PZP13"/>
      <c r="PZQ13"/>
      <c r="PZR13"/>
      <c r="PZS13"/>
      <c r="PZT13"/>
      <c r="PZU13"/>
      <c r="PZV13"/>
      <c r="PZW13"/>
      <c r="PZX13"/>
      <c r="PZY13"/>
      <c r="PZZ13"/>
      <c r="QAA13"/>
      <c r="QAB13"/>
      <c r="QAC13"/>
      <c r="QAD13"/>
      <c r="QAE13"/>
      <c r="QAF13"/>
      <c r="QAG13"/>
      <c r="QAH13"/>
      <c r="QAI13"/>
      <c r="QAJ13"/>
      <c r="QAK13"/>
      <c r="QAL13"/>
      <c r="QAM13"/>
      <c r="QAN13"/>
      <c r="QAO13"/>
      <c r="QAP13"/>
      <c r="QAQ13"/>
      <c r="QAR13"/>
      <c r="QAS13"/>
      <c r="QAT13"/>
      <c r="QAU13"/>
      <c r="QAV13"/>
      <c r="QAW13"/>
      <c r="QAX13"/>
      <c r="QAY13"/>
      <c r="QAZ13"/>
      <c r="QBA13"/>
      <c r="QBB13"/>
      <c r="QBC13"/>
      <c r="QBD13"/>
      <c r="QBE13"/>
      <c r="QBF13"/>
      <c r="QBG13"/>
      <c r="QBH13"/>
      <c r="QBI13"/>
      <c r="QBJ13"/>
      <c r="QBK13"/>
      <c r="QBL13"/>
      <c r="QBM13"/>
      <c r="QBN13"/>
      <c r="QBO13"/>
      <c r="QBP13"/>
      <c r="QBQ13"/>
      <c r="QBR13"/>
      <c r="QBS13"/>
      <c r="QBT13"/>
      <c r="QBU13"/>
      <c r="QBV13"/>
      <c r="QBW13"/>
      <c r="QBX13"/>
      <c r="QBY13"/>
      <c r="QBZ13"/>
      <c r="QCA13"/>
      <c r="QCB13"/>
      <c r="QCC13"/>
      <c r="QCD13"/>
      <c r="QCE13"/>
      <c r="QCF13"/>
      <c r="QCG13"/>
      <c r="QCH13"/>
      <c r="QCI13"/>
      <c r="QCJ13"/>
      <c r="QCK13"/>
      <c r="QCL13"/>
      <c r="QCM13"/>
      <c r="QCN13"/>
      <c r="QCO13"/>
      <c r="QCP13"/>
      <c r="QCQ13"/>
      <c r="QCR13"/>
      <c r="QCS13"/>
      <c r="QCT13"/>
      <c r="QCU13"/>
      <c r="QCV13"/>
      <c r="QCW13"/>
      <c r="QCX13"/>
      <c r="QCY13"/>
      <c r="QCZ13"/>
      <c r="QDA13"/>
      <c r="QDB13"/>
      <c r="QDC13"/>
      <c r="QDD13"/>
      <c r="QDE13"/>
      <c r="QDF13"/>
      <c r="QDG13"/>
      <c r="QDH13"/>
      <c r="QDI13"/>
      <c r="QDJ13"/>
      <c r="QDK13"/>
      <c r="QDL13"/>
      <c r="QDM13"/>
      <c r="QDN13"/>
      <c r="QDO13"/>
      <c r="QDP13"/>
      <c r="QDQ13"/>
      <c r="QDR13"/>
      <c r="QDS13"/>
      <c r="QDT13"/>
      <c r="QDU13"/>
      <c r="QDV13"/>
      <c r="QDW13"/>
      <c r="QDX13"/>
      <c r="QDY13"/>
      <c r="QDZ13"/>
      <c r="QEA13"/>
      <c r="QEB13"/>
      <c r="QEC13"/>
      <c r="QED13"/>
      <c r="QEE13"/>
      <c r="QEF13"/>
      <c r="QEG13"/>
      <c r="QEH13"/>
      <c r="QEI13"/>
      <c r="QEJ13"/>
      <c r="QEK13"/>
      <c r="QEL13"/>
      <c r="QEM13"/>
      <c r="QEN13"/>
      <c r="QEO13"/>
      <c r="QEP13"/>
      <c r="QEQ13"/>
      <c r="QER13"/>
      <c r="QES13"/>
      <c r="QET13"/>
      <c r="QEU13"/>
      <c r="QEV13"/>
      <c r="QEW13"/>
      <c r="QEX13"/>
      <c r="QEY13"/>
      <c r="QEZ13"/>
      <c r="QFA13"/>
      <c r="QFB13"/>
      <c r="QFC13"/>
      <c r="QFD13"/>
      <c r="QFE13"/>
      <c r="QFF13"/>
      <c r="QFG13"/>
      <c r="QFH13"/>
      <c r="QFI13"/>
      <c r="QFJ13"/>
      <c r="QFK13"/>
      <c r="QFL13"/>
      <c r="QFM13"/>
      <c r="QFN13"/>
      <c r="QFO13"/>
      <c r="QFP13"/>
      <c r="QFQ13"/>
      <c r="QFR13"/>
      <c r="QFS13"/>
      <c r="QFT13"/>
      <c r="QFU13"/>
      <c r="QFV13"/>
      <c r="QFW13"/>
      <c r="QFX13"/>
      <c r="QFY13"/>
      <c r="QFZ13"/>
      <c r="QGA13"/>
      <c r="QGB13"/>
      <c r="QGC13"/>
      <c r="QGD13"/>
      <c r="QGE13"/>
      <c r="QGF13"/>
      <c r="QGG13"/>
      <c r="QGH13"/>
      <c r="QGI13"/>
      <c r="QGJ13"/>
      <c r="QGK13"/>
      <c r="QGL13"/>
      <c r="QGM13"/>
      <c r="QGN13"/>
      <c r="QGO13"/>
      <c r="QGP13"/>
      <c r="QGQ13"/>
      <c r="QGR13"/>
      <c r="QGS13"/>
      <c r="QGT13"/>
      <c r="QGU13"/>
      <c r="QGV13"/>
      <c r="QGW13"/>
      <c r="QGX13"/>
      <c r="QGY13"/>
      <c r="QGZ13"/>
      <c r="QHA13"/>
      <c r="QHB13"/>
      <c r="QHC13"/>
      <c r="QHD13"/>
      <c r="QHE13"/>
      <c r="QHF13"/>
      <c r="QHG13"/>
      <c r="QHH13"/>
      <c r="QHI13"/>
      <c r="QHJ13"/>
      <c r="QHK13"/>
      <c r="QHL13"/>
      <c r="QHM13"/>
      <c r="QHN13"/>
      <c r="QHO13"/>
      <c r="QHP13"/>
      <c r="QHQ13"/>
      <c r="QHR13"/>
      <c r="QHS13"/>
      <c r="QHT13"/>
      <c r="QHU13"/>
      <c r="QHV13"/>
      <c r="QHW13"/>
      <c r="QHX13"/>
      <c r="QHY13"/>
      <c r="QHZ13"/>
      <c r="QIA13"/>
      <c r="QIB13"/>
      <c r="QIC13"/>
      <c r="QID13"/>
      <c r="QIE13"/>
      <c r="QIF13"/>
      <c r="QIG13"/>
      <c r="QIH13"/>
      <c r="QII13"/>
      <c r="QIJ13"/>
      <c r="QIK13"/>
      <c r="QIL13"/>
      <c r="QIM13"/>
      <c r="QIN13"/>
      <c r="QIO13"/>
      <c r="QIP13"/>
      <c r="QIQ13"/>
      <c r="QIR13"/>
      <c r="QIS13"/>
      <c r="QIT13"/>
      <c r="QIU13"/>
      <c r="QIV13"/>
      <c r="QIW13"/>
      <c r="QIX13"/>
      <c r="QIY13"/>
      <c r="QIZ13"/>
      <c r="QJA13"/>
      <c r="QJB13"/>
      <c r="QJC13"/>
      <c r="QJD13"/>
      <c r="QJE13"/>
      <c r="QJF13"/>
      <c r="QJG13"/>
      <c r="QJH13"/>
      <c r="QJI13"/>
      <c r="QJJ13"/>
      <c r="QJK13"/>
      <c r="QJL13"/>
      <c r="QJM13"/>
      <c r="QJN13"/>
      <c r="QJO13"/>
      <c r="QJP13"/>
      <c r="QJQ13"/>
      <c r="QJR13"/>
      <c r="QJS13"/>
      <c r="QJT13"/>
      <c r="QJU13"/>
      <c r="QJV13"/>
      <c r="QJW13"/>
      <c r="QJX13"/>
      <c r="QJY13"/>
      <c r="QJZ13"/>
      <c r="QKA13"/>
      <c r="QKB13"/>
      <c r="QKC13"/>
      <c r="QKD13"/>
      <c r="QKE13"/>
      <c r="QKF13"/>
      <c r="QKG13"/>
      <c r="QKH13"/>
      <c r="QKI13"/>
      <c r="QKJ13"/>
      <c r="QKK13"/>
      <c r="QKL13"/>
      <c r="QKM13"/>
      <c r="QKN13"/>
      <c r="QKO13"/>
      <c r="QKP13"/>
      <c r="QKQ13"/>
      <c r="QKR13"/>
      <c r="QKS13"/>
      <c r="QKT13"/>
      <c r="QKU13"/>
      <c r="QKV13"/>
      <c r="QKW13"/>
      <c r="QKX13"/>
      <c r="QKY13"/>
      <c r="QKZ13"/>
      <c r="QLA13"/>
      <c r="QLB13"/>
      <c r="QLC13"/>
      <c r="QLD13"/>
      <c r="QLE13"/>
      <c r="QLF13"/>
      <c r="QLG13"/>
      <c r="QLH13"/>
      <c r="QLI13"/>
      <c r="QLJ13"/>
      <c r="QLK13"/>
      <c r="QLL13"/>
      <c r="QLM13"/>
      <c r="QLN13"/>
      <c r="QLO13"/>
      <c r="QLP13"/>
      <c r="QLQ13"/>
      <c r="QLR13"/>
      <c r="QLS13"/>
      <c r="QLT13"/>
      <c r="QLU13"/>
      <c r="QLV13"/>
      <c r="QLW13"/>
      <c r="QLX13"/>
      <c r="QLY13"/>
      <c r="QLZ13"/>
      <c r="QMA13"/>
      <c r="QMB13"/>
      <c r="QMC13"/>
      <c r="QMD13"/>
      <c r="QME13"/>
      <c r="QMF13"/>
      <c r="QMG13"/>
      <c r="QMH13"/>
      <c r="QMI13"/>
      <c r="QMJ13"/>
      <c r="QMK13"/>
      <c r="QML13"/>
      <c r="QMM13"/>
      <c r="QMN13"/>
      <c r="QMO13"/>
      <c r="QMP13"/>
      <c r="QMQ13"/>
      <c r="QMR13"/>
      <c r="QMS13"/>
      <c r="QMT13"/>
      <c r="QMU13"/>
      <c r="QMV13"/>
      <c r="QMW13"/>
      <c r="QMX13"/>
      <c r="QMY13"/>
      <c r="QMZ13"/>
      <c r="QNA13"/>
      <c r="QNB13"/>
      <c r="QNC13"/>
      <c r="QND13"/>
      <c r="QNE13"/>
      <c r="QNF13"/>
      <c r="QNG13"/>
      <c r="QNH13"/>
      <c r="QNI13"/>
      <c r="QNJ13"/>
      <c r="QNK13"/>
      <c r="QNL13"/>
      <c r="QNM13"/>
      <c r="QNN13"/>
      <c r="QNO13"/>
      <c r="QNP13"/>
      <c r="QNQ13"/>
      <c r="QNR13"/>
      <c r="QNS13"/>
      <c r="QNT13"/>
      <c r="QNU13"/>
      <c r="QNV13"/>
      <c r="QNW13"/>
      <c r="QNX13"/>
      <c r="QNY13"/>
      <c r="QNZ13"/>
      <c r="QOA13"/>
      <c r="QOB13"/>
      <c r="QOC13"/>
      <c r="QOD13"/>
      <c r="QOE13"/>
      <c r="QOF13"/>
      <c r="QOG13"/>
      <c r="QOH13"/>
      <c r="QOI13"/>
      <c r="QOJ13"/>
      <c r="QOK13"/>
      <c r="QOL13"/>
      <c r="QOM13"/>
      <c r="QON13"/>
      <c r="QOO13"/>
      <c r="QOP13"/>
      <c r="QOQ13"/>
      <c r="QOR13"/>
      <c r="QOS13"/>
      <c r="QOT13"/>
      <c r="QOU13"/>
      <c r="QOV13"/>
      <c r="QOW13"/>
      <c r="QOX13"/>
      <c r="QOY13"/>
      <c r="QOZ13"/>
      <c r="QPA13"/>
      <c r="QPB13"/>
      <c r="QPC13"/>
      <c r="QPD13"/>
      <c r="QPE13"/>
      <c r="QPF13"/>
      <c r="QPG13"/>
      <c r="QPH13"/>
      <c r="QPI13"/>
      <c r="QPJ13"/>
      <c r="QPK13"/>
      <c r="QPL13"/>
      <c r="QPM13"/>
      <c r="QPN13"/>
      <c r="QPO13"/>
      <c r="QPP13"/>
      <c r="QPQ13"/>
      <c r="QPR13"/>
      <c r="QPS13"/>
      <c r="QPT13"/>
      <c r="QPU13"/>
      <c r="QPV13"/>
      <c r="QPW13"/>
      <c r="QPX13"/>
      <c r="QPY13"/>
      <c r="QPZ13"/>
      <c r="QQA13"/>
      <c r="QQB13"/>
      <c r="QQC13"/>
      <c r="QQD13"/>
      <c r="QQE13"/>
      <c r="QQF13"/>
      <c r="QQG13"/>
      <c r="QQH13"/>
      <c r="QQI13"/>
      <c r="QQJ13"/>
      <c r="QQK13"/>
      <c r="QQL13"/>
      <c r="QQM13"/>
      <c r="QQN13"/>
      <c r="QQO13"/>
      <c r="QQP13"/>
      <c r="QQQ13"/>
      <c r="QQR13"/>
      <c r="QQS13"/>
      <c r="QQT13"/>
      <c r="QQU13"/>
      <c r="QQV13"/>
      <c r="QQW13"/>
      <c r="QQX13"/>
      <c r="QQY13"/>
      <c r="QQZ13"/>
      <c r="QRA13"/>
      <c r="QRB13"/>
      <c r="QRC13"/>
      <c r="QRD13"/>
      <c r="QRE13"/>
      <c r="QRF13"/>
      <c r="QRG13"/>
      <c r="QRH13"/>
      <c r="QRI13"/>
      <c r="QRJ13"/>
      <c r="QRK13"/>
      <c r="QRL13"/>
      <c r="QRM13"/>
      <c r="QRN13"/>
      <c r="QRO13"/>
      <c r="QRP13"/>
      <c r="QRQ13"/>
      <c r="QRR13"/>
      <c r="QRS13"/>
      <c r="QRT13"/>
      <c r="QRU13"/>
      <c r="QRV13"/>
      <c r="QRW13"/>
      <c r="QRX13"/>
      <c r="QRY13"/>
      <c r="QRZ13"/>
      <c r="QSA13"/>
      <c r="QSB13"/>
      <c r="QSC13"/>
      <c r="QSD13"/>
      <c r="QSE13"/>
      <c r="QSF13"/>
      <c r="QSG13"/>
      <c r="QSH13"/>
      <c r="QSI13"/>
      <c r="QSJ13"/>
      <c r="QSK13"/>
      <c r="QSL13"/>
      <c r="QSM13"/>
      <c r="QSN13"/>
      <c r="QSO13"/>
      <c r="QSP13"/>
      <c r="QSQ13"/>
      <c r="QSR13"/>
      <c r="QSS13"/>
      <c r="QST13"/>
      <c r="QSU13"/>
      <c r="QSV13"/>
      <c r="QSW13"/>
      <c r="QSX13"/>
      <c r="QSY13"/>
      <c r="QSZ13"/>
      <c r="QTA13"/>
      <c r="QTB13"/>
      <c r="QTC13"/>
      <c r="QTD13"/>
      <c r="QTE13"/>
      <c r="QTF13"/>
      <c r="QTG13"/>
      <c r="QTH13"/>
      <c r="QTI13"/>
      <c r="QTJ13"/>
      <c r="QTK13"/>
      <c r="QTL13"/>
      <c r="QTM13"/>
      <c r="QTN13"/>
      <c r="QTO13"/>
      <c r="QTP13"/>
      <c r="QTQ13"/>
      <c r="QTR13"/>
      <c r="QTS13"/>
      <c r="QTT13"/>
      <c r="QTU13"/>
      <c r="QTV13"/>
      <c r="QTW13"/>
      <c r="QTX13"/>
      <c r="QTY13"/>
      <c r="QTZ13"/>
      <c r="QUA13"/>
      <c r="QUB13"/>
      <c r="QUC13"/>
      <c r="QUD13"/>
      <c r="QUE13"/>
      <c r="QUF13"/>
      <c r="QUG13"/>
      <c r="QUH13"/>
      <c r="QUI13"/>
      <c r="QUJ13"/>
      <c r="QUK13"/>
      <c r="QUL13"/>
      <c r="QUM13"/>
      <c r="QUN13"/>
      <c r="QUO13"/>
      <c r="QUP13"/>
      <c r="QUQ13"/>
      <c r="QUR13"/>
      <c r="QUS13"/>
      <c r="QUT13"/>
      <c r="QUU13"/>
      <c r="QUV13"/>
      <c r="QUW13"/>
      <c r="QUX13"/>
      <c r="QUY13"/>
      <c r="QUZ13"/>
      <c r="QVA13"/>
      <c r="QVB13"/>
      <c r="QVC13"/>
      <c r="QVD13"/>
      <c r="QVE13"/>
      <c r="QVF13"/>
      <c r="QVG13"/>
      <c r="QVH13"/>
      <c r="QVI13"/>
      <c r="QVJ13"/>
      <c r="QVK13"/>
      <c r="QVL13"/>
      <c r="QVM13"/>
      <c r="QVN13"/>
      <c r="QVO13"/>
      <c r="QVP13"/>
      <c r="QVQ13"/>
      <c r="QVR13"/>
      <c r="QVS13"/>
      <c r="QVT13"/>
      <c r="QVU13"/>
      <c r="QVV13"/>
      <c r="QVW13"/>
      <c r="QVX13"/>
      <c r="QVY13"/>
      <c r="QVZ13"/>
      <c r="QWA13"/>
      <c r="QWB13"/>
      <c r="QWC13"/>
      <c r="QWD13"/>
      <c r="QWE13"/>
      <c r="QWF13"/>
      <c r="QWG13"/>
      <c r="QWH13"/>
      <c r="QWI13"/>
      <c r="QWJ13"/>
      <c r="QWK13"/>
      <c r="QWL13"/>
      <c r="QWM13"/>
      <c r="QWN13"/>
      <c r="QWO13"/>
      <c r="QWP13"/>
      <c r="QWQ13"/>
      <c r="QWR13"/>
      <c r="QWS13"/>
      <c r="QWT13"/>
      <c r="QWU13"/>
      <c r="QWV13"/>
      <c r="QWW13"/>
      <c r="QWX13"/>
      <c r="QWY13"/>
      <c r="QWZ13"/>
      <c r="QXA13"/>
      <c r="QXB13"/>
      <c r="QXC13"/>
      <c r="QXD13"/>
      <c r="QXE13"/>
      <c r="QXF13"/>
      <c r="QXG13"/>
      <c r="QXH13"/>
      <c r="QXI13"/>
      <c r="QXJ13"/>
      <c r="QXK13"/>
      <c r="QXL13"/>
      <c r="QXM13"/>
      <c r="QXN13"/>
      <c r="QXO13"/>
      <c r="QXP13"/>
      <c r="QXQ13"/>
      <c r="QXR13"/>
      <c r="QXS13"/>
      <c r="QXT13"/>
      <c r="QXU13"/>
      <c r="QXV13"/>
      <c r="QXW13"/>
      <c r="QXX13"/>
      <c r="QXY13"/>
      <c r="QXZ13"/>
      <c r="QYA13"/>
      <c r="QYB13"/>
      <c r="QYC13"/>
      <c r="QYD13"/>
      <c r="QYE13"/>
      <c r="QYF13"/>
      <c r="QYG13"/>
      <c r="QYH13"/>
      <c r="QYI13"/>
      <c r="QYJ13"/>
      <c r="QYK13"/>
      <c r="QYL13"/>
      <c r="QYM13"/>
      <c r="QYN13"/>
      <c r="QYO13"/>
      <c r="QYP13"/>
      <c r="QYQ13"/>
      <c r="QYR13"/>
      <c r="QYS13"/>
      <c r="QYT13"/>
      <c r="QYU13"/>
      <c r="QYV13"/>
      <c r="QYW13"/>
      <c r="QYX13"/>
      <c r="QYY13"/>
      <c r="QYZ13"/>
      <c r="QZA13"/>
      <c r="QZB13"/>
      <c r="QZC13"/>
      <c r="QZD13"/>
      <c r="QZE13"/>
      <c r="QZF13"/>
      <c r="QZG13"/>
      <c r="QZH13"/>
      <c r="QZI13"/>
      <c r="QZJ13"/>
      <c r="QZK13"/>
      <c r="QZL13"/>
      <c r="QZM13"/>
      <c r="QZN13"/>
      <c r="QZO13"/>
      <c r="QZP13"/>
      <c r="QZQ13"/>
      <c r="QZR13"/>
      <c r="QZS13"/>
      <c r="QZT13"/>
      <c r="QZU13"/>
      <c r="QZV13"/>
      <c r="QZW13"/>
      <c r="QZX13"/>
      <c r="QZY13"/>
      <c r="QZZ13"/>
      <c r="RAA13"/>
      <c r="RAB13"/>
      <c r="RAC13"/>
      <c r="RAD13"/>
      <c r="RAE13"/>
      <c r="RAF13"/>
      <c r="RAG13"/>
      <c r="RAH13"/>
      <c r="RAI13"/>
      <c r="RAJ13"/>
      <c r="RAK13"/>
      <c r="RAL13"/>
      <c r="RAM13"/>
      <c r="RAN13"/>
      <c r="RAO13"/>
      <c r="RAP13"/>
      <c r="RAQ13"/>
      <c r="RAR13"/>
      <c r="RAS13"/>
      <c r="RAT13"/>
      <c r="RAU13"/>
      <c r="RAV13"/>
      <c r="RAW13"/>
      <c r="RAX13"/>
      <c r="RAY13"/>
      <c r="RAZ13"/>
      <c r="RBA13"/>
      <c r="RBB13"/>
      <c r="RBC13"/>
      <c r="RBD13"/>
      <c r="RBE13"/>
      <c r="RBF13"/>
      <c r="RBG13"/>
      <c r="RBH13"/>
      <c r="RBI13"/>
      <c r="RBJ13"/>
      <c r="RBK13"/>
      <c r="RBL13"/>
      <c r="RBM13"/>
      <c r="RBN13"/>
      <c r="RBO13"/>
      <c r="RBP13"/>
      <c r="RBQ13"/>
      <c r="RBR13"/>
      <c r="RBS13"/>
      <c r="RBT13"/>
      <c r="RBU13"/>
      <c r="RBV13"/>
      <c r="RBW13"/>
      <c r="RBX13"/>
      <c r="RBY13"/>
      <c r="RBZ13"/>
      <c r="RCA13"/>
      <c r="RCB13"/>
      <c r="RCC13"/>
      <c r="RCD13"/>
      <c r="RCE13"/>
      <c r="RCF13"/>
      <c r="RCG13"/>
      <c r="RCH13"/>
      <c r="RCI13"/>
      <c r="RCJ13"/>
      <c r="RCK13"/>
      <c r="RCL13"/>
      <c r="RCM13"/>
      <c r="RCN13"/>
      <c r="RCO13"/>
      <c r="RCP13"/>
      <c r="RCQ13"/>
      <c r="RCR13"/>
      <c r="RCS13"/>
      <c r="RCT13"/>
      <c r="RCU13"/>
      <c r="RCV13"/>
      <c r="RCW13"/>
      <c r="RCX13"/>
      <c r="RCY13"/>
      <c r="RCZ13"/>
      <c r="RDA13"/>
      <c r="RDB13"/>
      <c r="RDC13"/>
      <c r="RDD13"/>
      <c r="RDE13"/>
      <c r="RDF13"/>
      <c r="RDG13"/>
      <c r="RDH13"/>
      <c r="RDI13"/>
      <c r="RDJ13"/>
      <c r="RDK13"/>
      <c r="RDL13"/>
      <c r="RDM13"/>
      <c r="RDN13"/>
      <c r="RDO13"/>
      <c r="RDP13"/>
      <c r="RDQ13"/>
      <c r="RDR13"/>
      <c r="RDS13"/>
      <c r="RDT13"/>
      <c r="RDU13"/>
      <c r="RDV13"/>
      <c r="RDW13"/>
      <c r="RDX13"/>
      <c r="RDY13"/>
      <c r="RDZ13"/>
      <c r="REA13"/>
      <c r="REB13"/>
      <c r="REC13"/>
      <c r="RED13"/>
      <c r="REE13"/>
      <c r="REF13"/>
      <c r="REG13"/>
      <c r="REH13"/>
      <c r="REI13"/>
      <c r="REJ13"/>
      <c r="REK13"/>
      <c r="REL13"/>
      <c r="REM13"/>
      <c r="REN13"/>
      <c r="REO13"/>
      <c r="REP13"/>
      <c r="REQ13"/>
      <c r="RER13"/>
      <c r="RES13"/>
      <c r="RET13"/>
      <c r="REU13"/>
      <c r="REV13"/>
      <c r="REW13"/>
      <c r="REX13"/>
      <c r="REY13"/>
      <c r="REZ13"/>
      <c r="RFA13"/>
      <c r="RFB13"/>
      <c r="RFC13"/>
      <c r="RFD13"/>
      <c r="RFE13"/>
      <c r="RFF13"/>
      <c r="RFG13"/>
      <c r="RFH13"/>
      <c r="RFI13"/>
      <c r="RFJ13"/>
      <c r="RFK13"/>
      <c r="RFL13"/>
      <c r="RFM13"/>
      <c r="RFN13"/>
      <c r="RFO13"/>
      <c r="RFP13"/>
      <c r="RFQ13"/>
      <c r="RFR13"/>
      <c r="RFS13"/>
      <c r="RFT13"/>
      <c r="RFU13"/>
      <c r="RFV13"/>
      <c r="RFW13"/>
      <c r="RFX13"/>
      <c r="RFY13"/>
      <c r="RFZ13"/>
      <c r="RGA13"/>
      <c r="RGB13"/>
      <c r="RGC13"/>
      <c r="RGD13"/>
      <c r="RGE13"/>
      <c r="RGF13"/>
      <c r="RGG13"/>
      <c r="RGH13"/>
      <c r="RGI13"/>
      <c r="RGJ13"/>
      <c r="RGK13"/>
      <c r="RGL13"/>
      <c r="RGM13"/>
      <c r="RGN13"/>
      <c r="RGO13"/>
      <c r="RGP13"/>
      <c r="RGQ13"/>
      <c r="RGR13"/>
      <c r="RGS13"/>
      <c r="RGT13"/>
      <c r="RGU13"/>
      <c r="RGV13"/>
      <c r="RGW13"/>
      <c r="RGX13"/>
      <c r="RGY13"/>
      <c r="RGZ13"/>
      <c r="RHA13"/>
      <c r="RHB13"/>
      <c r="RHC13"/>
      <c r="RHD13"/>
      <c r="RHE13"/>
      <c r="RHF13"/>
      <c r="RHG13"/>
      <c r="RHH13"/>
      <c r="RHI13"/>
      <c r="RHJ13"/>
      <c r="RHK13"/>
      <c r="RHL13"/>
      <c r="RHM13"/>
      <c r="RHN13"/>
      <c r="RHO13"/>
      <c r="RHP13"/>
      <c r="RHQ13"/>
      <c r="RHR13"/>
      <c r="RHS13"/>
      <c r="RHT13"/>
      <c r="RHU13"/>
      <c r="RHV13"/>
      <c r="RHW13"/>
      <c r="RHX13"/>
      <c r="RHY13"/>
      <c r="RHZ13"/>
      <c r="RIA13"/>
      <c r="RIB13"/>
      <c r="RIC13"/>
      <c r="RID13"/>
      <c r="RIE13"/>
      <c r="RIF13"/>
      <c r="RIG13"/>
      <c r="RIH13"/>
      <c r="RII13"/>
      <c r="RIJ13"/>
      <c r="RIK13"/>
      <c r="RIL13"/>
      <c r="RIM13"/>
      <c r="RIN13"/>
      <c r="RIO13"/>
      <c r="RIP13"/>
      <c r="RIQ13"/>
      <c r="RIR13"/>
      <c r="RIS13"/>
      <c r="RIT13"/>
      <c r="RIU13"/>
      <c r="RIV13"/>
      <c r="RIW13"/>
      <c r="RIX13"/>
      <c r="RIY13"/>
      <c r="RIZ13"/>
      <c r="RJA13"/>
      <c r="RJB13"/>
      <c r="RJC13"/>
      <c r="RJD13"/>
      <c r="RJE13"/>
      <c r="RJF13"/>
      <c r="RJG13"/>
      <c r="RJH13"/>
      <c r="RJI13"/>
      <c r="RJJ13"/>
      <c r="RJK13"/>
      <c r="RJL13"/>
      <c r="RJM13"/>
      <c r="RJN13"/>
      <c r="RJO13"/>
      <c r="RJP13"/>
      <c r="RJQ13"/>
      <c r="RJR13"/>
      <c r="RJS13"/>
      <c r="RJT13"/>
      <c r="RJU13"/>
      <c r="RJV13"/>
      <c r="RJW13"/>
      <c r="RJX13"/>
      <c r="RJY13"/>
      <c r="RJZ13"/>
      <c r="RKA13"/>
      <c r="RKB13"/>
      <c r="RKC13"/>
      <c r="RKD13"/>
      <c r="RKE13"/>
      <c r="RKF13"/>
      <c r="RKG13"/>
      <c r="RKH13"/>
      <c r="RKI13"/>
      <c r="RKJ13"/>
      <c r="RKK13"/>
      <c r="RKL13"/>
      <c r="RKM13"/>
      <c r="RKN13"/>
      <c r="RKO13"/>
      <c r="RKP13"/>
      <c r="RKQ13"/>
      <c r="RKR13"/>
      <c r="RKS13"/>
      <c r="RKT13"/>
      <c r="RKU13"/>
      <c r="RKV13"/>
      <c r="RKW13"/>
      <c r="RKX13"/>
      <c r="RKY13"/>
      <c r="RKZ13"/>
      <c r="RLA13"/>
      <c r="RLB13"/>
      <c r="RLC13"/>
      <c r="RLD13"/>
      <c r="RLE13"/>
      <c r="RLF13"/>
      <c r="RLG13"/>
      <c r="RLH13"/>
      <c r="RLI13"/>
      <c r="RLJ13"/>
      <c r="RLK13"/>
      <c r="RLL13"/>
      <c r="RLM13"/>
      <c r="RLN13"/>
      <c r="RLO13"/>
      <c r="RLP13"/>
      <c r="RLQ13"/>
      <c r="RLR13"/>
      <c r="RLS13"/>
      <c r="RLT13"/>
      <c r="RLU13"/>
      <c r="RLV13"/>
      <c r="RLW13"/>
      <c r="RLX13"/>
      <c r="RLY13"/>
      <c r="RLZ13"/>
      <c r="RMA13"/>
      <c r="RMB13"/>
      <c r="RMC13"/>
      <c r="RMD13"/>
      <c r="RME13"/>
      <c r="RMF13"/>
      <c r="RMG13"/>
      <c r="RMH13"/>
      <c r="RMI13"/>
      <c r="RMJ13"/>
      <c r="RMK13"/>
      <c r="RML13"/>
      <c r="RMM13"/>
      <c r="RMN13"/>
      <c r="RMO13"/>
      <c r="RMP13"/>
      <c r="RMQ13"/>
      <c r="RMR13"/>
      <c r="RMS13"/>
      <c r="RMT13"/>
      <c r="RMU13"/>
      <c r="RMV13"/>
      <c r="RMW13"/>
      <c r="RMX13"/>
      <c r="RMY13"/>
      <c r="RMZ13"/>
      <c r="RNA13"/>
      <c r="RNB13"/>
      <c r="RNC13"/>
      <c r="RND13"/>
      <c r="RNE13"/>
      <c r="RNF13"/>
      <c r="RNG13"/>
      <c r="RNH13"/>
      <c r="RNI13"/>
      <c r="RNJ13"/>
      <c r="RNK13"/>
      <c r="RNL13"/>
      <c r="RNM13"/>
      <c r="RNN13"/>
      <c r="RNO13"/>
      <c r="RNP13"/>
      <c r="RNQ13"/>
      <c r="RNR13"/>
      <c r="RNS13"/>
      <c r="RNT13"/>
      <c r="RNU13"/>
      <c r="RNV13"/>
      <c r="RNW13"/>
      <c r="RNX13"/>
      <c r="RNY13"/>
      <c r="RNZ13"/>
      <c r="ROA13"/>
      <c r="ROB13"/>
      <c r="ROC13"/>
      <c r="ROD13"/>
      <c r="ROE13"/>
      <c r="ROF13"/>
      <c r="ROG13"/>
      <c r="ROH13"/>
      <c r="ROI13"/>
      <c r="ROJ13"/>
      <c r="ROK13"/>
      <c r="ROL13"/>
      <c r="ROM13"/>
      <c r="RON13"/>
      <c r="ROO13"/>
      <c r="ROP13"/>
      <c r="ROQ13"/>
      <c r="ROR13"/>
      <c r="ROS13"/>
      <c r="ROT13"/>
      <c r="ROU13"/>
      <c r="ROV13"/>
      <c r="ROW13"/>
      <c r="ROX13"/>
      <c r="ROY13"/>
      <c r="ROZ13"/>
      <c r="RPA13"/>
      <c r="RPB13"/>
      <c r="RPC13"/>
      <c r="RPD13"/>
      <c r="RPE13"/>
      <c r="RPF13"/>
      <c r="RPG13"/>
      <c r="RPH13"/>
      <c r="RPI13"/>
      <c r="RPJ13"/>
      <c r="RPK13"/>
      <c r="RPL13"/>
      <c r="RPM13"/>
      <c r="RPN13"/>
      <c r="RPO13"/>
      <c r="RPP13"/>
      <c r="RPQ13"/>
      <c r="RPR13"/>
      <c r="RPS13"/>
      <c r="RPT13"/>
      <c r="RPU13"/>
      <c r="RPV13"/>
      <c r="RPW13"/>
      <c r="RPX13"/>
      <c r="RPY13"/>
      <c r="RPZ13"/>
      <c r="RQA13"/>
      <c r="RQB13"/>
      <c r="RQC13"/>
      <c r="RQD13"/>
      <c r="RQE13"/>
      <c r="RQF13"/>
      <c r="RQG13"/>
      <c r="RQH13"/>
      <c r="RQI13"/>
      <c r="RQJ13"/>
      <c r="RQK13"/>
      <c r="RQL13"/>
      <c r="RQM13"/>
      <c r="RQN13"/>
      <c r="RQO13"/>
      <c r="RQP13"/>
      <c r="RQQ13"/>
      <c r="RQR13"/>
      <c r="RQS13"/>
      <c r="RQT13"/>
      <c r="RQU13"/>
      <c r="RQV13"/>
      <c r="RQW13"/>
      <c r="RQX13"/>
      <c r="RQY13"/>
      <c r="RQZ13"/>
      <c r="RRA13"/>
      <c r="RRB13"/>
      <c r="RRC13"/>
      <c r="RRD13"/>
      <c r="RRE13"/>
      <c r="RRF13"/>
      <c r="RRG13"/>
      <c r="RRH13"/>
      <c r="RRI13"/>
      <c r="RRJ13"/>
      <c r="RRK13"/>
      <c r="RRL13"/>
      <c r="RRM13"/>
      <c r="RRN13"/>
      <c r="RRO13"/>
      <c r="RRP13"/>
      <c r="RRQ13"/>
      <c r="RRR13"/>
      <c r="RRS13"/>
      <c r="RRT13"/>
      <c r="RRU13"/>
      <c r="RRV13"/>
      <c r="RRW13"/>
      <c r="RRX13"/>
      <c r="RRY13"/>
      <c r="RRZ13"/>
      <c r="RSA13"/>
      <c r="RSB13"/>
      <c r="RSC13"/>
      <c r="RSD13"/>
      <c r="RSE13"/>
      <c r="RSF13"/>
      <c r="RSG13"/>
      <c r="RSH13"/>
      <c r="RSI13"/>
      <c r="RSJ13"/>
      <c r="RSK13"/>
      <c r="RSL13"/>
      <c r="RSM13"/>
      <c r="RSN13"/>
      <c r="RSO13"/>
      <c r="RSP13"/>
      <c r="RSQ13"/>
      <c r="RSR13"/>
      <c r="RSS13"/>
      <c r="RST13"/>
      <c r="RSU13"/>
      <c r="RSV13"/>
      <c r="RSW13"/>
      <c r="RSX13"/>
      <c r="RSY13"/>
      <c r="RSZ13"/>
      <c r="RTA13"/>
      <c r="RTB13"/>
      <c r="RTC13"/>
      <c r="RTD13"/>
      <c r="RTE13"/>
      <c r="RTF13"/>
      <c r="RTG13"/>
      <c r="RTH13"/>
      <c r="RTI13"/>
      <c r="RTJ13"/>
      <c r="RTK13"/>
      <c r="RTL13"/>
      <c r="RTM13"/>
      <c r="RTN13"/>
      <c r="RTO13"/>
      <c r="RTP13"/>
      <c r="RTQ13"/>
      <c r="RTR13"/>
      <c r="RTS13"/>
      <c r="RTT13"/>
      <c r="RTU13"/>
      <c r="RTV13"/>
      <c r="RTW13"/>
      <c r="RTX13"/>
      <c r="RTY13"/>
      <c r="RTZ13"/>
      <c r="RUA13"/>
      <c r="RUB13"/>
      <c r="RUC13"/>
      <c r="RUD13"/>
      <c r="RUE13"/>
      <c r="RUF13"/>
      <c r="RUG13"/>
      <c r="RUH13"/>
      <c r="RUI13"/>
      <c r="RUJ13"/>
      <c r="RUK13"/>
      <c r="RUL13"/>
      <c r="RUM13"/>
      <c r="RUN13"/>
      <c r="RUO13"/>
      <c r="RUP13"/>
      <c r="RUQ13"/>
      <c r="RUR13"/>
      <c r="RUS13"/>
      <c r="RUT13"/>
      <c r="RUU13"/>
      <c r="RUV13"/>
      <c r="RUW13"/>
      <c r="RUX13"/>
      <c r="RUY13"/>
      <c r="RUZ13"/>
      <c r="RVA13"/>
      <c r="RVB13"/>
      <c r="RVC13"/>
      <c r="RVD13"/>
      <c r="RVE13"/>
      <c r="RVF13"/>
      <c r="RVG13"/>
      <c r="RVH13"/>
      <c r="RVI13"/>
      <c r="RVJ13"/>
      <c r="RVK13"/>
      <c r="RVL13"/>
      <c r="RVM13"/>
      <c r="RVN13"/>
      <c r="RVO13"/>
      <c r="RVP13"/>
      <c r="RVQ13"/>
      <c r="RVR13"/>
      <c r="RVS13"/>
      <c r="RVT13"/>
      <c r="RVU13"/>
      <c r="RVV13"/>
      <c r="RVW13"/>
      <c r="RVX13"/>
      <c r="RVY13"/>
      <c r="RVZ13"/>
      <c r="RWA13"/>
      <c r="RWB13"/>
      <c r="RWC13"/>
      <c r="RWD13"/>
      <c r="RWE13"/>
      <c r="RWF13"/>
      <c r="RWG13"/>
      <c r="RWH13"/>
      <c r="RWI13"/>
      <c r="RWJ13"/>
      <c r="RWK13"/>
      <c r="RWL13"/>
      <c r="RWM13"/>
      <c r="RWN13"/>
      <c r="RWO13"/>
      <c r="RWP13"/>
      <c r="RWQ13"/>
      <c r="RWR13"/>
      <c r="RWS13"/>
      <c r="RWT13"/>
      <c r="RWU13"/>
      <c r="RWV13"/>
      <c r="RWW13"/>
      <c r="RWX13"/>
      <c r="RWY13"/>
      <c r="RWZ13"/>
      <c r="RXA13"/>
      <c r="RXB13"/>
      <c r="RXC13"/>
      <c r="RXD13"/>
      <c r="RXE13"/>
      <c r="RXF13"/>
      <c r="RXG13"/>
      <c r="RXH13"/>
      <c r="RXI13"/>
      <c r="RXJ13"/>
      <c r="RXK13"/>
      <c r="RXL13"/>
      <c r="RXM13"/>
      <c r="RXN13"/>
      <c r="RXO13"/>
      <c r="RXP13"/>
      <c r="RXQ13"/>
      <c r="RXR13"/>
      <c r="RXS13"/>
      <c r="RXT13"/>
      <c r="RXU13"/>
      <c r="RXV13"/>
      <c r="RXW13"/>
      <c r="RXX13"/>
      <c r="RXY13"/>
      <c r="RXZ13"/>
      <c r="RYA13"/>
      <c r="RYB13"/>
      <c r="RYC13"/>
      <c r="RYD13"/>
      <c r="RYE13"/>
      <c r="RYF13"/>
      <c r="RYG13"/>
      <c r="RYH13"/>
      <c r="RYI13"/>
      <c r="RYJ13"/>
      <c r="RYK13"/>
      <c r="RYL13"/>
      <c r="RYM13"/>
      <c r="RYN13"/>
      <c r="RYO13"/>
      <c r="RYP13"/>
      <c r="RYQ13"/>
      <c r="RYR13"/>
      <c r="RYS13"/>
      <c r="RYT13"/>
      <c r="RYU13"/>
      <c r="RYV13"/>
      <c r="RYW13"/>
      <c r="RYX13"/>
      <c r="RYY13"/>
      <c r="RYZ13"/>
      <c r="RZA13"/>
      <c r="RZB13"/>
      <c r="RZC13"/>
      <c r="RZD13"/>
      <c r="RZE13"/>
      <c r="RZF13"/>
      <c r="RZG13"/>
      <c r="RZH13"/>
      <c r="RZI13"/>
      <c r="RZJ13"/>
      <c r="RZK13"/>
      <c r="RZL13"/>
      <c r="RZM13"/>
      <c r="RZN13"/>
      <c r="RZO13"/>
      <c r="RZP13"/>
      <c r="RZQ13"/>
      <c r="RZR13"/>
      <c r="RZS13"/>
      <c r="RZT13"/>
      <c r="RZU13"/>
      <c r="RZV13"/>
      <c r="RZW13"/>
      <c r="RZX13"/>
      <c r="RZY13"/>
      <c r="RZZ13"/>
      <c r="SAA13"/>
      <c r="SAB13"/>
      <c r="SAC13"/>
      <c r="SAD13"/>
      <c r="SAE13"/>
      <c r="SAF13"/>
      <c r="SAG13"/>
      <c r="SAH13"/>
      <c r="SAI13"/>
      <c r="SAJ13"/>
      <c r="SAK13"/>
      <c r="SAL13"/>
      <c r="SAM13"/>
      <c r="SAN13"/>
      <c r="SAO13"/>
      <c r="SAP13"/>
      <c r="SAQ13"/>
      <c r="SAR13"/>
      <c r="SAS13"/>
      <c r="SAT13"/>
      <c r="SAU13"/>
      <c r="SAV13"/>
      <c r="SAW13"/>
      <c r="SAX13"/>
      <c r="SAY13"/>
      <c r="SAZ13"/>
      <c r="SBA13"/>
      <c r="SBB13"/>
      <c r="SBC13"/>
      <c r="SBD13"/>
      <c r="SBE13"/>
      <c r="SBF13"/>
      <c r="SBG13"/>
      <c r="SBH13"/>
      <c r="SBI13"/>
      <c r="SBJ13"/>
      <c r="SBK13"/>
      <c r="SBL13"/>
      <c r="SBM13"/>
      <c r="SBN13"/>
      <c r="SBO13"/>
      <c r="SBP13"/>
      <c r="SBQ13"/>
      <c r="SBR13"/>
      <c r="SBS13"/>
      <c r="SBT13"/>
      <c r="SBU13"/>
      <c r="SBV13"/>
      <c r="SBW13"/>
      <c r="SBX13"/>
      <c r="SBY13"/>
      <c r="SBZ13"/>
      <c r="SCA13"/>
      <c r="SCB13"/>
      <c r="SCC13"/>
      <c r="SCD13"/>
      <c r="SCE13"/>
      <c r="SCF13"/>
      <c r="SCG13"/>
      <c r="SCH13"/>
      <c r="SCI13"/>
      <c r="SCJ13"/>
      <c r="SCK13"/>
      <c r="SCL13"/>
      <c r="SCM13"/>
      <c r="SCN13"/>
      <c r="SCO13"/>
      <c r="SCP13"/>
      <c r="SCQ13"/>
      <c r="SCR13"/>
      <c r="SCS13"/>
      <c r="SCT13"/>
      <c r="SCU13"/>
      <c r="SCV13"/>
      <c r="SCW13"/>
      <c r="SCX13"/>
      <c r="SCY13"/>
      <c r="SCZ13"/>
      <c r="SDA13"/>
      <c r="SDB13"/>
      <c r="SDC13"/>
      <c r="SDD13"/>
      <c r="SDE13"/>
      <c r="SDF13"/>
      <c r="SDG13"/>
      <c r="SDH13"/>
      <c r="SDI13"/>
      <c r="SDJ13"/>
      <c r="SDK13"/>
      <c r="SDL13"/>
      <c r="SDM13"/>
      <c r="SDN13"/>
      <c r="SDO13"/>
      <c r="SDP13"/>
      <c r="SDQ13"/>
      <c r="SDR13"/>
      <c r="SDS13"/>
      <c r="SDT13"/>
      <c r="SDU13"/>
      <c r="SDV13"/>
      <c r="SDW13"/>
      <c r="SDX13"/>
      <c r="SDY13"/>
      <c r="SDZ13"/>
      <c r="SEA13"/>
      <c r="SEB13"/>
      <c r="SEC13"/>
      <c r="SED13"/>
      <c r="SEE13"/>
      <c r="SEF13"/>
      <c r="SEG13"/>
      <c r="SEH13"/>
      <c r="SEI13"/>
      <c r="SEJ13"/>
      <c r="SEK13"/>
      <c r="SEL13"/>
      <c r="SEM13"/>
      <c r="SEN13"/>
      <c r="SEO13"/>
      <c r="SEP13"/>
      <c r="SEQ13"/>
      <c r="SER13"/>
      <c r="SES13"/>
      <c r="SET13"/>
      <c r="SEU13"/>
      <c r="SEV13"/>
      <c r="SEW13"/>
      <c r="SEX13"/>
      <c r="SEY13"/>
      <c r="SEZ13"/>
      <c r="SFA13"/>
      <c r="SFB13"/>
      <c r="SFC13"/>
      <c r="SFD13"/>
      <c r="SFE13"/>
      <c r="SFF13"/>
      <c r="SFG13"/>
      <c r="SFH13"/>
      <c r="SFI13"/>
      <c r="SFJ13"/>
      <c r="SFK13"/>
      <c r="SFL13"/>
      <c r="SFM13"/>
      <c r="SFN13"/>
      <c r="SFO13"/>
      <c r="SFP13"/>
      <c r="SFQ13"/>
      <c r="SFR13"/>
      <c r="SFS13"/>
      <c r="SFT13"/>
      <c r="SFU13"/>
      <c r="SFV13"/>
      <c r="SFW13"/>
      <c r="SFX13"/>
      <c r="SFY13"/>
      <c r="SFZ13"/>
      <c r="SGA13"/>
      <c r="SGB13"/>
      <c r="SGC13"/>
      <c r="SGD13"/>
      <c r="SGE13"/>
      <c r="SGF13"/>
      <c r="SGG13"/>
      <c r="SGH13"/>
      <c r="SGI13"/>
      <c r="SGJ13"/>
      <c r="SGK13"/>
      <c r="SGL13"/>
      <c r="SGM13"/>
      <c r="SGN13"/>
      <c r="SGO13"/>
      <c r="SGP13"/>
      <c r="SGQ13"/>
      <c r="SGR13"/>
      <c r="SGS13"/>
      <c r="SGT13"/>
      <c r="SGU13"/>
      <c r="SGV13"/>
      <c r="SGW13"/>
      <c r="SGX13"/>
      <c r="SGY13"/>
      <c r="SGZ13"/>
      <c r="SHA13"/>
      <c r="SHB13"/>
      <c r="SHC13"/>
      <c r="SHD13"/>
      <c r="SHE13"/>
      <c r="SHF13"/>
      <c r="SHG13"/>
      <c r="SHH13"/>
      <c r="SHI13"/>
      <c r="SHJ13"/>
      <c r="SHK13"/>
      <c r="SHL13"/>
      <c r="SHM13"/>
      <c r="SHN13"/>
      <c r="SHO13"/>
      <c r="SHP13"/>
      <c r="SHQ13"/>
      <c r="SHR13"/>
      <c r="SHS13"/>
      <c r="SHT13"/>
      <c r="SHU13"/>
      <c r="SHV13"/>
      <c r="SHW13"/>
      <c r="SHX13"/>
      <c r="SHY13"/>
      <c r="SHZ13"/>
      <c r="SIA13"/>
      <c r="SIB13"/>
      <c r="SIC13"/>
      <c r="SID13"/>
      <c r="SIE13"/>
      <c r="SIF13"/>
      <c r="SIG13"/>
      <c r="SIH13"/>
      <c r="SII13"/>
      <c r="SIJ13"/>
      <c r="SIK13"/>
      <c r="SIL13"/>
      <c r="SIM13"/>
      <c r="SIN13"/>
      <c r="SIO13"/>
      <c r="SIP13"/>
      <c r="SIQ13"/>
      <c r="SIR13"/>
      <c r="SIS13"/>
      <c r="SIT13"/>
      <c r="SIU13"/>
      <c r="SIV13"/>
      <c r="SIW13"/>
      <c r="SIX13"/>
      <c r="SIY13"/>
      <c r="SIZ13"/>
      <c r="SJA13"/>
      <c r="SJB13"/>
      <c r="SJC13"/>
      <c r="SJD13"/>
      <c r="SJE13"/>
      <c r="SJF13"/>
      <c r="SJG13"/>
      <c r="SJH13"/>
      <c r="SJI13"/>
      <c r="SJJ13"/>
      <c r="SJK13"/>
      <c r="SJL13"/>
      <c r="SJM13"/>
      <c r="SJN13"/>
      <c r="SJO13"/>
      <c r="SJP13"/>
      <c r="SJQ13"/>
      <c r="SJR13"/>
      <c r="SJS13"/>
      <c r="SJT13"/>
      <c r="SJU13"/>
      <c r="SJV13"/>
      <c r="SJW13"/>
      <c r="SJX13"/>
      <c r="SJY13"/>
      <c r="SJZ13"/>
      <c r="SKA13"/>
      <c r="SKB13"/>
      <c r="SKC13"/>
      <c r="SKD13"/>
      <c r="SKE13"/>
      <c r="SKF13"/>
      <c r="SKG13"/>
      <c r="SKH13"/>
      <c r="SKI13"/>
      <c r="SKJ13"/>
      <c r="SKK13"/>
      <c r="SKL13"/>
      <c r="SKM13"/>
      <c r="SKN13"/>
      <c r="SKO13"/>
      <c r="SKP13"/>
      <c r="SKQ13"/>
      <c r="SKR13"/>
      <c r="SKS13"/>
      <c r="SKT13"/>
      <c r="SKU13"/>
      <c r="SKV13"/>
      <c r="SKW13"/>
      <c r="SKX13"/>
      <c r="SKY13"/>
      <c r="SKZ13"/>
      <c r="SLA13"/>
      <c r="SLB13"/>
      <c r="SLC13"/>
      <c r="SLD13"/>
      <c r="SLE13"/>
      <c r="SLF13"/>
      <c r="SLG13"/>
      <c r="SLH13"/>
      <c r="SLI13"/>
      <c r="SLJ13"/>
      <c r="SLK13"/>
      <c r="SLL13"/>
      <c r="SLM13"/>
      <c r="SLN13"/>
      <c r="SLO13"/>
      <c r="SLP13"/>
      <c r="SLQ13"/>
      <c r="SLR13"/>
      <c r="SLS13"/>
      <c r="SLT13"/>
      <c r="SLU13"/>
      <c r="SLV13"/>
      <c r="SLW13"/>
      <c r="SLX13"/>
      <c r="SLY13"/>
      <c r="SLZ13"/>
      <c r="SMA13"/>
      <c r="SMB13"/>
      <c r="SMC13"/>
      <c r="SMD13"/>
      <c r="SME13"/>
      <c r="SMF13"/>
      <c r="SMG13"/>
      <c r="SMH13"/>
      <c r="SMI13"/>
      <c r="SMJ13"/>
      <c r="SMK13"/>
      <c r="SML13"/>
      <c r="SMM13"/>
      <c r="SMN13"/>
      <c r="SMO13"/>
      <c r="SMP13"/>
      <c r="SMQ13"/>
      <c r="SMR13"/>
      <c r="SMS13"/>
      <c r="SMT13"/>
      <c r="SMU13"/>
      <c r="SMV13"/>
      <c r="SMW13"/>
      <c r="SMX13"/>
      <c r="SMY13"/>
      <c r="SMZ13"/>
      <c r="SNA13"/>
      <c r="SNB13"/>
      <c r="SNC13"/>
      <c r="SND13"/>
      <c r="SNE13"/>
      <c r="SNF13"/>
      <c r="SNG13"/>
      <c r="SNH13"/>
      <c r="SNI13"/>
      <c r="SNJ13"/>
      <c r="SNK13"/>
      <c r="SNL13"/>
      <c r="SNM13"/>
      <c r="SNN13"/>
      <c r="SNO13"/>
      <c r="SNP13"/>
      <c r="SNQ13"/>
      <c r="SNR13"/>
      <c r="SNS13"/>
      <c r="SNT13"/>
      <c r="SNU13"/>
      <c r="SNV13"/>
      <c r="SNW13"/>
      <c r="SNX13"/>
      <c r="SNY13"/>
      <c r="SNZ13"/>
      <c r="SOA13"/>
      <c r="SOB13"/>
      <c r="SOC13"/>
      <c r="SOD13"/>
      <c r="SOE13"/>
      <c r="SOF13"/>
      <c r="SOG13"/>
      <c r="SOH13"/>
      <c r="SOI13"/>
      <c r="SOJ13"/>
      <c r="SOK13"/>
      <c r="SOL13"/>
      <c r="SOM13"/>
      <c r="SON13"/>
      <c r="SOO13"/>
      <c r="SOP13"/>
      <c r="SOQ13"/>
      <c r="SOR13"/>
      <c r="SOS13"/>
      <c r="SOT13"/>
      <c r="SOU13"/>
      <c r="SOV13"/>
      <c r="SOW13"/>
      <c r="SOX13"/>
      <c r="SOY13"/>
      <c r="SOZ13"/>
      <c r="SPA13"/>
      <c r="SPB13"/>
      <c r="SPC13"/>
      <c r="SPD13"/>
      <c r="SPE13"/>
      <c r="SPF13"/>
      <c r="SPG13"/>
      <c r="SPH13"/>
      <c r="SPI13"/>
      <c r="SPJ13"/>
      <c r="SPK13"/>
      <c r="SPL13"/>
      <c r="SPM13"/>
      <c r="SPN13"/>
      <c r="SPO13"/>
      <c r="SPP13"/>
      <c r="SPQ13"/>
      <c r="SPR13"/>
      <c r="SPS13"/>
      <c r="SPT13"/>
      <c r="SPU13"/>
      <c r="SPV13"/>
      <c r="SPW13"/>
      <c r="SPX13"/>
      <c r="SPY13"/>
      <c r="SPZ13"/>
      <c r="SQA13"/>
      <c r="SQB13"/>
      <c r="SQC13"/>
      <c r="SQD13"/>
      <c r="SQE13"/>
      <c r="SQF13"/>
      <c r="SQG13"/>
      <c r="SQH13"/>
      <c r="SQI13"/>
      <c r="SQJ13"/>
      <c r="SQK13"/>
      <c r="SQL13"/>
      <c r="SQM13"/>
      <c r="SQN13"/>
      <c r="SQO13"/>
      <c r="SQP13"/>
      <c r="SQQ13"/>
      <c r="SQR13"/>
      <c r="SQS13"/>
      <c r="SQT13"/>
      <c r="SQU13"/>
      <c r="SQV13"/>
      <c r="SQW13"/>
      <c r="SQX13"/>
      <c r="SQY13"/>
      <c r="SQZ13"/>
      <c r="SRA13"/>
      <c r="SRB13"/>
      <c r="SRC13"/>
      <c r="SRD13"/>
      <c r="SRE13"/>
      <c r="SRF13"/>
      <c r="SRG13"/>
      <c r="SRH13"/>
      <c r="SRI13"/>
      <c r="SRJ13"/>
      <c r="SRK13"/>
      <c r="SRL13"/>
      <c r="SRM13"/>
      <c r="SRN13"/>
      <c r="SRO13"/>
      <c r="SRP13"/>
      <c r="SRQ13"/>
      <c r="SRR13"/>
      <c r="SRS13"/>
      <c r="SRT13"/>
      <c r="SRU13"/>
      <c r="SRV13"/>
      <c r="SRW13"/>
      <c r="SRX13"/>
      <c r="SRY13"/>
      <c r="SRZ13"/>
      <c r="SSA13"/>
      <c r="SSB13"/>
      <c r="SSC13"/>
      <c r="SSD13"/>
      <c r="SSE13"/>
      <c r="SSF13"/>
      <c r="SSG13"/>
      <c r="SSH13"/>
      <c r="SSI13"/>
      <c r="SSJ13"/>
      <c r="SSK13"/>
      <c r="SSL13"/>
      <c r="SSM13"/>
      <c r="SSN13"/>
      <c r="SSO13"/>
      <c r="SSP13"/>
      <c r="SSQ13"/>
      <c r="SSR13"/>
      <c r="SSS13"/>
      <c r="SST13"/>
      <c r="SSU13"/>
      <c r="SSV13"/>
      <c r="SSW13"/>
      <c r="SSX13"/>
      <c r="SSY13"/>
      <c r="SSZ13"/>
      <c r="STA13"/>
      <c r="STB13"/>
      <c r="STC13"/>
      <c r="STD13"/>
      <c r="STE13"/>
      <c r="STF13"/>
      <c r="STG13"/>
      <c r="STH13"/>
      <c r="STI13"/>
      <c r="STJ13"/>
      <c r="STK13"/>
      <c r="STL13"/>
      <c r="STM13"/>
      <c r="STN13"/>
      <c r="STO13"/>
      <c r="STP13"/>
      <c r="STQ13"/>
      <c r="STR13"/>
      <c r="STS13"/>
      <c r="STT13"/>
      <c r="STU13"/>
      <c r="STV13"/>
      <c r="STW13"/>
      <c r="STX13"/>
      <c r="STY13"/>
      <c r="STZ13"/>
      <c r="SUA13"/>
      <c r="SUB13"/>
      <c r="SUC13"/>
      <c r="SUD13"/>
      <c r="SUE13"/>
      <c r="SUF13"/>
      <c r="SUG13"/>
      <c r="SUH13"/>
      <c r="SUI13"/>
      <c r="SUJ13"/>
      <c r="SUK13"/>
      <c r="SUL13"/>
      <c r="SUM13"/>
      <c r="SUN13"/>
      <c r="SUO13"/>
      <c r="SUP13"/>
      <c r="SUQ13"/>
      <c r="SUR13"/>
      <c r="SUS13"/>
      <c r="SUT13"/>
      <c r="SUU13"/>
      <c r="SUV13"/>
      <c r="SUW13"/>
      <c r="SUX13"/>
      <c r="SUY13"/>
      <c r="SUZ13"/>
      <c r="SVA13"/>
      <c r="SVB13"/>
      <c r="SVC13"/>
      <c r="SVD13"/>
      <c r="SVE13"/>
      <c r="SVF13"/>
      <c r="SVG13"/>
      <c r="SVH13"/>
      <c r="SVI13"/>
      <c r="SVJ13"/>
      <c r="SVK13"/>
      <c r="SVL13"/>
      <c r="SVM13"/>
      <c r="SVN13"/>
      <c r="SVO13"/>
      <c r="SVP13"/>
      <c r="SVQ13"/>
      <c r="SVR13"/>
      <c r="SVS13"/>
      <c r="SVT13"/>
      <c r="SVU13"/>
      <c r="SVV13"/>
      <c r="SVW13"/>
      <c r="SVX13"/>
      <c r="SVY13"/>
      <c r="SVZ13"/>
      <c r="SWA13"/>
      <c r="SWB13"/>
      <c r="SWC13"/>
      <c r="SWD13"/>
      <c r="SWE13"/>
      <c r="SWF13"/>
      <c r="SWG13"/>
      <c r="SWH13"/>
      <c r="SWI13"/>
      <c r="SWJ13"/>
      <c r="SWK13"/>
      <c r="SWL13"/>
      <c r="SWM13"/>
      <c r="SWN13"/>
      <c r="SWO13"/>
      <c r="SWP13"/>
      <c r="SWQ13"/>
      <c r="SWR13"/>
      <c r="SWS13"/>
      <c r="SWT13"/>
      <c r="SWU13"/>
      <c r="SWV13"/>
      <c r="SWW13"/>
      <c r="SWX13"/>
      <c r="SWY13"/>
      <c r="SWZ13"/>
      <c r="SXA13"/>
      <c r="SXB13"/>
      <c r="SXC13"/>
      <c r="SXD13"/>
      <c r="SXE13"/>
      <c r="SXF13"/>
      <c r="SXG13"/>
      <c r="SXH13"/>
      <c r="SXI13"/>
      <c r="SXJ13"/>
      <c r="SXK13"/>
      <c r="SXL13"/>
      <c r="SXM13"/>
      <c r="SXN13"/>
      <c r="SXO13"/>
      <c r="SXP13"/>
      <c r="SXQ13"/>
      <c r="SXR13"/>
      <c r="SXS13"/>
      <c r="SXT13"/>
      <c r="SXU13"/>
      <c r="SXV13"/>
      <c r="SXW13"/>
      <c r="SXX13"/>
      <c r="SXY13"/>
      <c r="SXZ13"/>
      <c r="SYA13"/>
      <c r="SYB13"/>
      <c r="SYC13"/>
      <c r="SYD13"/>
      <c r="SYE13"/>
      <c r="SYF13"/>
      <c r="SYG13"/>
      <c r="SYH13"/>
      <c r="SYI13"/>
      <c r="SYJ13"/>
      <c r="SYK13"/>
      <c r="SYL13"/>
      <c r="SYM13"/>
      <c r="SYN13"/>
      <c r="SYO13"/>
      <c r="SYP13"/>
      <c r="SYQ13"/>
      <c r="SYR13"/>
      <c r="SYS13"/>
      <c r="SYT13"/>
      <c r="SYU13"/>
      <c r="SYV13"/>
      <c r="SYW13"/>
      <c r="SYX13"/>
      <c r="SYY13"/>
      <c r="SYZ13"/>
      <c r="SZA13"/>
      <c r="SZB13"/>
      <c r="SZC13"/>
      <c r="SZD13"/>
      <c r="SZE13"/>
      <c r="SZF13"/>
      <c r="SZG13"/>
      <c r="SZH13"/>
      <c r="SZI13"/>
      <c r="SZJ13"/>
      <c r="SZK13"/>
      <c r="SZL13"/>
      <c r="SZM13"/>
      <c r="SZN13"/>
      <c r="SZO13"/>
      <c r="SZP13"/>
      <c r="SZQ13"/>
      <c r="SZR13"/>
      <c r="SZS13"/>
      <c r="SZT13"/>
      <c r="SZU13"/>
      <c r="SZV13"/>
      <c r="SZW13"/>
      <c r="SZX13"/>
      <c r="SZY13"/>
      <c r="SZZ13"/>
      <c r="TAA13"/>
      <c r="TAB13"/>
      <c r="TAC13"/>
      <c r="TAD13"/>
      <c r="TAE13"/>
      <c r="TAF13"/>
      <c r="TAG13"/>
      <c r="TAH13"/>
      <c r="TAI13"/>
      <c r="TAJ13"/>
      <c r="TAK13"/>
      <c r="TAL13"/>
      <c r="TAM13"/>
      <c r="TAN13"/>
      <c r="TAO13"/>
      <c r="TAP13"/>
      <c r="TAQ13"/>
      <c r="TAR13"/>
      <c r="TAS13"/>
      <c r="TAT13"/>
      <c r="TAU13"/>
      <c r="TAV13"/>
      <c r="TAW13"/>
      <c r="TAX13"/>
      <c r="TAY13"/>
      <c r="TAZ13"/>
      <c r="TBA13"/>
      <c r="TBB13"/>
      <c r="TBC13"/>
      <c r="TBD13"/>
      <c r="TBE13"/>
      <c r="TBF13"/>
      <c r="TBG13"/>
      <c r="TBH13"/>
      <c r="TBI13"/>
      <c r="TBJ13"/>
      <c r="TBK13"/>
      <c r="TBL13"/>
      <c r="TBM13"/>
      <c r="TBN13"/>
      <c r="TBO13"/>
      <c r="TBP13"/>
      <c r="TBQ13"/>
      <c r="TBR13"/>
      <c r="TBS13"/>
      <c r="TBT13"/>
      <c r="TBU13"/>
      <c r="TBV13"/>
      <c r="TBW13"/>
      <c r="TBX13"/>
      <c r="TBY13"/>
      <c r="TBZ13"/>
      <c r="TCA13"/>
      <c r="TCB13"/>
      <c r="TCC13"/>
      <c r="TCD13"/>
      <c r="TCE13"/>
      <c r="TCF13"/>
      <c r="TCG13"/>
      <c r="TCH13"/>
      <c r="TCI13"/>
      <c r="TCJ13"/>
      <c r="TCK13"/>
      <c r="TCL13"/>
      <c r="TCM13"/>
      <c r="TCN13"/>
      <c r="TCO13"/>
      <c r="TCP13"/>
      <c r="TCQ13"/>
      <c r="TCR13"/>
      <c r="TCS13"/>
      <c r="TCT13"/>
      <c r="TCU13"/>
      <c r="TCV13"/>
      <c r="TCW13"/>
      <c r="TCX13"/>
      <c r="TCY13"/>
      <c r="TCZ13"/>
      <c r="TDA13"/>
      <c r="TDB13"/>
      <c r="TDC13"/>
      <c r="TDD13"/>
      <c r="TDE13"/>
      <c r="TDF13"/>
      <c r="TDG13"/>
      <c r="TDH13"/>
      <c r="TDI13"/>
      <c r="TDJ13"/>
      <c r="TDK13"/>
      <c r="TDL13"/>
      <c r="TDM13"/>
      <c r="TDN13"/>
      <c r="TDO13"/>
      <c r="TDP13"/>
      <c r="TDQ13"/>
      <c r="TDR13"/>
      <c r="TDS13"/>
      <c r="TDT13"/>
      <c r="TDU13"/>
      <c r="TDV13"/>
      <c r="TDW13"/>
      <c r="TDX13"/>
      <c r="TDY13"/>
      <c r="TDZ13"/>
      <c r="TEA13"/>
      <c r="TEB13"/>
      <c r="TEC13"/>
      <c r="TED13"/>
      <c r="TEE13"/>
      <c r="TEF13"/>
      <c r="TEG13"/>
      <c r="TEH13"/>
      <c r="TEI13"/>
      <c r="TEJ13"/>
      <c r="TEK13"/>
      <c r="TEL13"/>
      <c r="TEM13"/>
      <c r="TEN13"/>
      <c r="TEO13"/>
      <c r="TEP13"/>
      <c r="TEQ13"/>
      <c r="TER13"/>
      <c r="TES13"/>
      <c r="TET13"/>
      <c r="TEU13"/>
      <c r="TEV13"/>
      <c r="TEW13"/>
      <c r="TEX13"/>
      <c r="TEY13"/>
      <c r="TEZ13"/>
      <c r="TFA13"/>
      <c r="TFB13"/>
      <c r="TFC13"/>
      <c r="TFD13"/>
      <c r="TFE13"/>
      <c r="TFF13"/>
      <c r="TFG13"/>
      <c r="TFH13"/>
      <c r="TFI13"/>
      <c r="TFJ13"/>
      <c r="TFK13"/>
      <c r="TFL13"/>
      <c r="TFM13"/>
      <c r="TFN13"/>
      <c r="TFO13"/>
      <c r="TFP13"/>
      <c r="TFQ13"/>
      <c r="TFR13"/>
      <c r="TFS13"/>
      <c r="TFT13"/>
      <c r="TFU13"/>
      <c r="TFV13"/>
      <c r="TFW13"/>
      <c r="TFX13"/>
      <c r="TFY13"/>
      <c r="TFZ13"/>
      <c r="TGA13"/>
      <c r="TGB13"/>
      <c r="TGC13"/>
      <c r="TGD13"/>
      <c r="TGE13"/>
      <c r="TGF13"/>
      <c r="TGG13"/>
      <c r="TGH13"/>
      <c r="TGI13"/>
      <c r="TGJ13"/>
      <c r="TGK13"/>
      <c r="TGL13"/>
      <c r="TGM13"/>
      <c r="TGN13"/>
      <c r="TGO13"/>
      <c r="TGP13"/>
      <c r="TGQ13"/>
      <c r="TGR13"/>
      <c r="TGS13"/>
      <c r="TGT13"/>
      <c r="TGU13"/>
      <c r="TGV13"/>
      <c r="TGW13"/>
      <c r="TGX13"/>
      <c r="TGY13"/>
      <c r="TGZ13"/>
      <c r="THA13"/>
      <c r="THB13"/>
      <c r="THC13"/>
      <c r="THD13"/>
      <c r="THE13"/>
      <c r="THF13"/>
      <c r="THG13"/>
      <c r="THH13"/>
      <c r="THI13"/>
      <c r="THJ13"/>
      <c r="THK13"/>
      <c r="THL13"/>
      <c r="THM13"/>
      <c r="THN13"/>
      <c r="THO13"/>
      <c r="THP13"/>
      <c r="THQ13"/>
      <c r="THR13"/>
      <c r="THS13"/>
      <c r="THT13"/>
      <c r="THU13"/>
      <c r="THV13"/>
      <c r="THW13"/>
      <c r="THX13"/>
      <c r="THY13"/>
      <c r="THZ13"/>
      <c r="TIA13"/>
      <c r="TIB13"/>
      <c r="TIC13"/>
      <c r="TID13"/>
      <c r="TIE13"/>
      <c r="TIF13"/>
      <c r="TIG13"/>
      <c r="TIH13"/>
      <c r="TII13"/>
      <c r="TIJ13"/>
      <c r="TIK13"/>
      <c r="TIL13"/>
      <c r="TIM13"/>
      <c r="TIN13"/>
      <c r="TIO13"/>
      <c r="TIP13"/>
      <c r="TIQ13"/>
      <c r="TIR13"/>
      <c r="TIS13"/>
      <c r="TIT13"/>
      <c r="TIU13"/>
      <c r="TIV13"/>
      <c r="TIW13"/>
      <c r="TIX13"/>
      <c r="TIY13"/>
      <c r="TIZ13"/>
      <c r="TJA13"/>
      <c r="TJB13"/>
      <c r="TJC13"/>
      <c r="TJD13"/>
      <c r="TJE13"/>
      <c r="TJF13"/>
      <c r="TJG13"/>
      <c r="TJH13"/>
      <c r="TJI13"/>
      <c r="TJJ13"/>
      <c r="TJK13"/>
      <c r="TJL13"/>
      <c r="TJM13"/>
      <c r="TJN13"/>
      <c r="TJO13"/>
      <c r="TJP13"/>
      <c r="TJQ13"/>
      <c r="TJR13"/>
      <c r="TJS13"/>
      <c r="TJT13"/>
      <c r="TJU13"/>
      <c r="TJV13"/>
      <c r="TJW13"/>
      <c r="TJX13"/>
      <c r="TJY13"/>
      <c r="TJZ13"/>
      <c r="TKA13"/>
      <c r="TKB13"/>
      <c r="TKC13"/>
      <c r="TKD13"/>
      <c r="TKE13"/>
      <c r="TKF13"/>
      <c r="TKG13"/>
      <c r="TKH13"/>
      <c r="TKI13"/>
      <c r="TKJ13"/>
      <c r="TKK13"/>
      <c r="TKL13"/>
      <c r="TKM13"/>
      <c r="TKN13"/>
      <c r="TKO13"/>
      <c r="TKP13"/>
      <c r="TKQ13"/>
      <c r="TKR13"/>
      <c r="TKS13"/>
      <c r="TKT13"/>
      <c r="TKU13"/>
      <c r="TKV13"/>
      <c r="TKW13"/>
      <c r="TKX13"/>
      <c r="TKY13"/>
      <c r="TKZ13"/>
      <c r="TLA13"/>
      <c r="TLB13"/>
      <c r="TLC13"/>
      <c r="TLD13"/>
      <c r="TLE13"/>
      <c r="TLF13"/>
      <c r="TLG13"/>
      <c r="TLH13"/>
      <c r="TLI13"/>
      <c r="TLJ13"/>
      <c r="TLK13"/>
      <c r="TLL13"/>
      <c r="TLM13"/>
      <c r="TLN13"/>
      <c r="TLO13"/>
      <c r="TLP13"/>
      <c r="TLQ13"/>
      <c r="TLR13"/>
      <c r="TLS13"/>
      <c r="TLT13"/>
      <c r="TLU13"/>
      <c r="TLV13"/>
      <c r="TLW13"/>
      <c r="TLX13"/>
      <c r="TLY13"/>
      <c r="TLZ13"/>
      <c r="TMA13"/>
      <c r="TMB13"/>
      <c r="TMC13"/>
      <c r="TMD13"/>
      <c r="TME13"/>
      <c r="TMF13"/>
      <c r="TMG13"/>
      <c r="TMH13"/>
      <c r="TMI13"/>
      <c r="TMJ13"/>
      <c r="TMK13"/>
      <c r="TML13"/>
      <c r="TMM13"/>
      <c r="TMN13"/>
      <c r="TMO13"/>
      <c r="TMP13"/>
      <c r="TMQ13"/>
      <c r="TMR13"/>
      <c r="TMS13"/>
      <c r="TMT13"/>
      <c r="TMU13"/>
      <c r="TMV13"/>
      <c r="TMW13"/>
      <c r="TMX13"/>
      <c r="TMY13"/>
      <c r="TMZ13"/>
      <c r="TNA13"/>
      <c r="TNB13"/>
      <c r="TNC13"/>
      <c r="TND13"/>
      <c r="TNE13"/>
      <c r="TNF13"/>
      <c r="TNG13"/>
      <c r="TNH13"/>
      <c r="TNI13"/>
      <c r="TNJ13"/>
      <c r="TNK13"/>
      <c r="TNL13"/>
      <c r="TNM13"/>
      <c r="TNN13"/>
      <c r="TNO13"/>
      <c r="TNP13"/>
      <c r="TNQ13"/>
      <c r="TNR13"/>
      <c r="TNS13"/>
      <c r="TNT13"/>
      <c r="TNU13"/>
      <c r="TNV13"/>
      <c r="TNW13"/>
      <c r="TNX13"/>
      <c r="TNY13"/>
      <c r="TNZ13"/>
      <c r="TOA13"/>
      <c r="TOB13"/>
      <c r="TOC13"/>
      <c r="TOD13"/>
      <c r="TOE13"/>
      <c r="TOF13"/>
      <c r="TOG13"/>
      <c r="TOH13"/>
      <c r="TOI13"/>
      <c r="TOJ13"/>
      <c r="TOK13"/>
      <c r="TOL13"/>
      <c r="TOM13"/>
      <c r="TON13"/>
      <c r="TOO13"/>
      <c r="TOP13"/>
      <c r="TOQ13"/>
      <c r="TOR13"/>
      <c r="TOS13"/>
      <c r="TOT13"/>
      <c r="TOU13"/>
      <c r="TOV13"/>
      <c r="TOW13"/>
      <c r="TOX13"/>
      <c r="TOY13"/>
      <c r="TOZ13"/>
      <c r="TPA13"/>
      <c r="TPB13"/>
      <c r="TPC13"/>
      <c r="TPD13"/>
      <c r="TPE13"/>
      <c r="TPF13"/>
      <c r="TPG13"/>
      <c r="TPH13"/>
      <c r="TPI13"/>
      <c r="TPJ13"/>
      <c r="TPK13"/>
      <c r="TPL13"/>
      <c r="TPM13"/>
      <c r="TPN13"/>
      <c r="TPO13"/>
      <c r="TPP13"/>
      <c r="TPQ13"/>
      <c r="TPR13"/>
      <c r="TPS13"/>
      <c r="TPT13"/>
      <c r="TPU13"/>
      <c r="TPV13"/>
      <c r="TPW13"/>
      <c r="TPX13"/>
      <c r="TPY13"/>
      <c r="TPZ13"/>
      <c r="TQA13"/>
      <c r="TQB13"/>
      <c r="TQC13"/>
      <c r="TQD13"/>
      <c r="TQE13"/>
      <c r="TQF13"/>
      <c r="TQG13"/>
      <c r="TQH13"/>
      <c r="TQI13"/>
      <c r="TQJ13"/>
      <c r="TQK13"/>
      <c r="TQL13"/>
      <c r="TQM13"/>
      <c r="TQN13"/>
      <c r="TQO13"/>
      <c r="TQP13"/>
      <c r="TQQ13"/>
      <c r="TQR13"/>
      <c r="TQS13"/>
      <c r="TQT13"/>
      <c r="TQU13"/>
      <c r="TQV13"/>
      <c r="TQW13"/>
      <c r="TQX13"/>
      <c r="TQY13"/>
      <c r="TQZ13"/>
      <c r="TRA13"/>
      <c r="TRB13"/>
      <c r="TRC13"/>
      <c r="TRD13"/>
      <c r="TRE13"/>
      <c r="TRF13"/>
      <c r="TRG13"/>
      <c r="TRH13"/>
      <c r="TRI13"/>
      <c r="TRJ13"/>
      <c r="TRK13"/>
      <c r="TRL13"/>
      <c r="TRM13"/>
      <c r="TRN13"/>
      <c r="TRO13"/>
      <c r="TRP13"/>
      <c r="TRQ13"/>
      <c r="TRR13"/>
      <c r="TRS13"/>
      <c r="TRT13"/>
      <c r="TRU13"/>
      <c r="TRV13"/>
      <c r="TRW13"/>
      <c r="TRX13"/>
      <c r="TRY13"/>
      <c r="TRZ13"/>
      <c r="TSA13"/>
      <c r="TSB13"/>
      <c r="TSC13"/>
      <c r="TSD13"/>
      <c r="TSE13"/>
      <c r="TSF13"/>
      <c r="TSG13"/>
      <c r="TSH13"/>
      <c r="TSI13"/>
      <c r="TSJ13"/>
      <c r="TSK13"/>
      <c r="TSL13"/>
      <c r="TSM13"/>
      <c r="TSN13"/>
      <c r="TSO13"/>
      <c r="TSP13"/>
      <c r="TSQ13"/>
      <c r="TSR13"/>
      <c r="TSS13"/>
      <c r="TST13"/>
      <c r="TSU13"/>
      <c r="TSV13"/>
      <c r="TSW13"/>
      <c r="TSX13"/>
      <c r="TSY13"/>
      <c r="TSZ13"/>
      <c r="TTA13"/>
      <c r="TTB13"/>
      <c r="TTC13"/>
      <c r="TTD13"/>
      <c r="TTE13"/>
      <c r="TTF13"/>
      <c r="TTG13"/>
      <c r="TTH13"/>
      <c r="TTI13"/>
      <c r="TTJ13"/>
      <c r="TTK13"/>
      <c r="TTL13"/>
      <c r="TTM13"/>
      <c r="TTN13"/>
      <c r="TTO13"/>
      <c r="TTP13"/>
      <c r="TTQ13"/>
      <c r="TTR13"/>
      <c r="TTS13"/>
      <c r="TTT13"/>
      <c r="TTU13"/>
      <c r="TTV13"/>
      <c r="TTW13"/>
      <c r="TTX13"/>
      <c r="TTY13"/>
      <c r="TTZ13"/>
      <c r="TUA13"/>
      <c r="TUB13"/>
      <c r="TUC13"/>
      <c r="TUD13"/>
      <c r="TUE13"/>
      <c r="TUF13"/>
      <c r="TUG13"/>
      <c r="TUH13"/>
      <c r="TUI13"/>
      <c r="TUJ13"/>
      <c r="TUK13"/>
      <c r="TUL13"/>
      <c r="TUM13"/>
      <c r="TUN13"/>
      <c r="TUO13"/>
      <c r="TUP13"/>
      <c r="TUQ13"/>
      <c r="TUR13"/>
      <c r="TUS13"/>
      <c r="TUT13"/>
      <c r="TUU13"/>
      <c r="TUV13"/>
      <c r="TUW13"/>
      <c r="TUX13"/>
      <c r="TUY13"/>
      <c r="TUZ13"/>
      <c r="TVA13"/>
      <c r="TVB13"/>
      <c r="TVC13"/>
      <c r="TVD13"/>
      <c r="TVE13"/>
      <c r="TVF13"/>
      <c r="TVG13"/>
      <c r="TVH13"/>
      <c r="TVI13"/>
      <c r="TVJ13"/>
      <c r="TVK13"/>
      <c r="TVL13"/>
      <c r="TVM13"/>
      <c r="TVN13"/>
      <c r="TVO13"/>
      <c r="TVP13"/>
      <c r="TVQ13"/>
      <c r="TVR13"/>
      <c r="TVS13"/>
      <c r="TVT13"/>
      <c r="TVU13"/>
      <c r="TVV13"/>
      <c r="TVW13"/>
      <c r="TVX13"/>
      <c r="TVY13"/>
      <c r="TVZ13"/>
      <c r="TWA13"/>
      <c r="TWB13"/>
      <c r="TWC13"/>
      <c r="TWD13"/>
      <c r="TWE13"/>
      <c r="TWF13"/>
      <c r="TWG13"/>
      <c r="TWH13"/>
      <c r="TWI13"/>
      <c r="TWJ13"/>
      <c r="TWK13"/>
      <c r="TWL13"/>
      <c r="TWM13"/>
      <c r="TWN13"/>
      <c r="TWO13"/>
      <c r="TWP13"/>
      <c r="TWQ13"/>
      <c r="TWR13"/>
      <c r="TWS13"/>
      <c r="TWT13"/>
      <c r="TWU13"/>
      <c r="TWV13"/>
      <c r="TWW13"/>
      <c r="TWX13"/>
      <c r="TWY13"/>
      <c r="TWZ13"/>
      <c r="TXA13"/>
      <c r="TXB13"/>
      <c r="TXC13"/>
      <c r="TXD13"/>
      <c r="TXE13"/>
      <c r="TXF13"/>
      <c r="TXG13"/>
      <c r="TXH13"/>
      <c r="TXI13"/>
      <c r="TXJ13"/>
      <c r="TXK13"/>
      <c r="TXL13"/>
      <c r="TXM13"/>
      <c r="TXN13"/>
      <c r="TXO13"/>
      <c r="TXP13"/>
      <c r="TXQ13"/>
      <c r="TXR13"/>
      <c r="TXS13"/>
      <c r="TXT13"/>
      <c r="TXU13"/>
      <c r="TXV13"/>
      <c r="TXW13"/>
      <c r="TXX13"/>
      <c r="TXY13"/>
      <c r="TXZ13"/>
      <c r="TYA13"/>
      <c r="TYB13"/>
      <c r="TYC13"/>
      <c r="TYD13"/>
      <c r="TYE13"/>
      <c r="TYF13"/>
      <c r="TYG13"/>
      <c r="TYH13"/>
      <c r="TYI13"/>
      <c r="TYJ13"/>
      <c r="TYK13"/>
      <c r="TYL13"/>
      <c r="TYM13"/>
      <c r="TYN13"/>
      <c r="TYO13"/>
      <c r="TYP13"/>
      <c r="TYQ13"/>
      <c r="TYR13"/>
      <c r="TYS13"/>
      <c r="TYT13"/>
      <c r="TYU13"/>
      <c r="TYV13"/>
      <c r="TYW13"/>
      <c r="TYX13"/>
      <c r="TYY13"/>
      <c r="TYZ13"/>
      <c r="TZA13"/>
      <c r="TZB13"/>
      <c r="TZC13"/>
      <c r="TZD13"/>
      <c r="TZE13"/>
      <c r="TZF13"/>
      <c r="TZG13"/>
      <c r="TZH13"/>
      <c r="TZI13"/>
      <c r="TZJ13"/>
      <c r="TZK13"/>
      <c r="TZL13"/>
      <c r="TZM13"/>
      <c r="TZN13"/>
      <c r="TZO13"/>
      <c r="TZP13"/>
      <c r="TZQ13"/>
      <c r="TZR13"/>
      <c r="TZS13"/>
      <c r="TZT13"/>
      <c r="TZU13"/>
      <c r="TZV13"/>
      <c r="TZW13"/>
      <c r="TZX13"/>
      <c r="TZY13"/>
      <c r="TZZ13"/>
      <c r="UAA13"/>
      <c r="UAB13"/>
      <c r="UAC13"/>
      <c r="UAD13"/>
      <c r="UAE13"/>
      <c r="UAF13"/>
      <c r="UAG13"/>
      <c r="UAH13"/>
      <c r="UAI13"/>
      <c r="UAJ13"/>
      <c r="UAK13"/>
      <c r="UAL13"/>
      <c r="UAM13"/>
      <c r="UAN13"/>
      <c r="UAO13"/>
      <c r="UAP13"/>
      <c r="UAQ13"/>
      <c r="UAR13"/>
      <c r="UAS13"/>
      <c r="UAT13"/>
      <c r="UAU13"/>
      <c r="UAV13"/>
      <c r="UAW13"/>
      <c r="UAX13"/>
      <c r="UAY13"/>
      <c r="UAZ13"/>
      <c r="UBA13"/>
      <c r="UBB13"/>
      <c r="UBC13"/>
      <c r="UBD13"/>
      <c r="UBE13"/>
      <c r="UBF13"/>
      <c r="UBG13"/>
      <c r="UBH13"/>
      <c r="UBI13"/>
      <c r="UBJ13"/>
      <c r="UBK13"/>
      <c r="UBL13"/>
      <c r="UBM13"/>
      <c r="UBN13"/>
      <c r="UBO13"/>
      <c r="UBP13"/>
      <c r="UBQ13"/>
      <c r="UBR13"/>
      <c r="UBS13"/>
      <c r="UBT13"/>
      <c r="UBU13"/>
      <c r="UBV13"/>
      <c r="UBW13"/>
      <c r="UBX13"/>
      <c r="UBY13"/>
      <c r="UBZ13"/>
      <c r="UCA13"/>
      <c r="UCB13"/>
      <c r="UCC13"/>
      <c r="UCD13"/>
      <c r="UCE13"/>
      <c r="UCF13"/>
      <c r="UCG13"/>
      <c r="UCH13"/>
      <c r="UCI13"/>
      <c r="UCJ13"/>
      <c r="UCK13"/>
      <c r="UCL13"/>
      <c r="UCM13"/>
      <c r="UCN13"/>
      <c r="UCO13"/>
      <c r="UCP13"/>
      <c r="UCQ13"/>
      <c r="UCR13"/>
      <c r="UCS13"/>
      <c r="UCT13"/>
      <c r="UCU13"/>
      <c r="UCV13"/>
      <c r="UCW13"/>
      <c r="UCX13"/>
      <c r="UCY13"/>
      <c r="UCZ13"/>
      <c r="UDA13"/>
      <c r="UDB13"/>
      <c r="UDC13"/>
      <c r="UDD13"/>
      <c r="UDE13"/>
      <c r="UDF13"/>
      <c r="UDG13"/>
      <c r="UDH13"/>
      <c r="UDI13"/>
      <c r="UDJ13"/>
      <c r="UDK13"/>
      <c r="UDL13"/>
      <c r="UDM13"/>
      <c r="UDN13"/>
      <c r="UDO13"/>
      <c r="UDP13"/>
      <c r="UDQ13"/>
      <c r="UDR13"/>
      <c r="UDS13"/>
      <c r="UDT13"/>
      <c r="UDU13"/>
      <c r="UDV13"/>
      <c r="UDW13"/>
      <c r="UDX13"/>
      <c r="UDY13"/>
      <c r="UDZ13"/>
      <c r="UEA13"/>
      <c r="UEB13"/>
      <c r="UEC13"/>
      <c r="UED13"/>
      <c r="UEE13"/>
      <c r="UEF13"/>
      <c r="UEG13"/>
      <c r="UEH13"/>
      <c r="UEI13"/>
      <c r="UEJ13"/>
      <c r="UEK13"/>
      <c r="UEL13"/>
      <c r="UEM13"/>
      <c r="UEN13"/>
      <c r="UEO13"/>
      <c r="UEP13"/>
      <c r="UEQ13"/>
      <c r="UER13"/>
      <c r="UES13"/>
      <c r="UET13"/>
      <c r="UEU13"/>
      <c r="UEV13"/>
      <c r="UEW13"/>
      <c r="UEX13"/>
      <c r="UEY13"/>
      <c r="UEZ13"/>
      <c r="UFA13"/>
      <c r="UFB13"/>
      <c r="UFC13"/>
      <c r="UFD13"/>
      <c r="UFE13"/>
      <c r="UFF13"/>
      <c r="UFG13"/>
      <c r="UFH13"/>
      <c r="UFI13"/>
      <c r="UFJ13"/>
      <c r="UFK13"/>
      <c r="UFL13"/>
      <c r="UFM13"/>
      <c r="UFN13"/>
      <c r="UFO13"/>
      <c r="UFP13"/>
      <c r="UFQ13"/>
      <c r="UFR13"/>
      <c r="UFS13"/>
      <c r="UFT13"/>
      <c r="UFU13"/>
      <c r="UFV13"/>
      <c r="UFW13"/>
      <c r="UFX13"/>
      <c r="UFY13"/>
      <c r="UFZ13"/>
      <c r="UGA13"/>
      <c r="UGB13"/>
      <c r="UGC13"/>
      <c r="UGD13"/>
      <c r="UGE13"/>
      <c r="UGF13"/>
      <c r="UGG13"/>
      <c r="UGH13"/>
      <c r="UGI13"/>
      <c r="UGJ13"/>
      <c r="UGK13"/>
      <c r="UGL13"/>
      <c r="UGM13"/>
      <c r="UGN13"/>
      <c r="UGO13"/>
      <c r="UGP13"/>
      <c r="UGQ13"/>
      <c r="UGR13"/>
      <c r="UGS13"/>
      <c r="UGT13"/>
      <c r="UGU13"/>
      <c r="UGV13"/>
      <c r="UGW13"/>
      <c r="UGX13"/>
      <c r="UGY13"/>
      <c r="UGZ13"/>
      <c r="UHA13"/>
      <c r="UHB13"/>
      <c r="UHC13"/>
      <c r="UHD13"/>
      <c r="UHE13"/>
      <c r="UHF13"/>
      <c r="UHG13"/>
      <c r="UHH13"/>
      <c r="UHI13"/>
      <c r="UHJ13"/>
      <c r="UHK13"/>
      <c r="UHL13"/>
      <c r="UHM13"/>
      <c r="UHN13"/>
      <c r="UHO13"/>
      <c r="UHP13"/>
      <c r="UHQ13"/>
      <c r="UHR13"/>
      <c r="UHS13"/>
      <c r="UHT13"/>
      <c r="UHU13"/>
      <c r="UHV13"/>
      <c r="UHW13"/>
      <c r="UHX13"/>
      <c r="UHY13"/>
      <c r="UHZ13"/>
      <c r="UIA13"/>
      <c r="UIB13"/>
      <c r="UIC13"/>
      <c r="UID13"/>
      <c r="UIE13"/>
      <c r="UIF13"/>
      <c r="UIG13"/>
      <c r="UIH13"/>
      <c r="UII13"/>
      <c r="UIJ13"/>
      <c r="UIK13"/>
      <c r="UIL13"/>
      <c r="UIM13"/>
      <c r="UIN13"/>
      <c r="UIO13"/>
      <c r="UIP13"/>
      <c r="UIQ13"/>
      <c r="UIR13"/>
      <c r="UIS13"/>
      <c r="UIT13"/>
      <c r="UIU13"/>
      <c r="UIV13"/>
      <c r="UIW13"/>
      <c r="UIX13"/>
      <c r="UIY13"/>
      <c r="UIZ13"/>
      <c r="UJA13"/>
      <c r="UJB13"/>
      <c r="UJC13"/>
      <c r="UJD13"/>
      <c r="UJE13"/>
      <c r="UJF13"/>
      <c r="UJG13"/>
      <c r="UJH13"/>
      <c r="UJI13"/>
      <c r="UJJ13"/>
      <c r="UJK13"/>
      <c r="UJL13"/>
      <c r="UJM13"/>
      <c r="UJN13"/>
      <c r="UJO13"/>
      <c r="UJP13"/>
      <c r="UJQ13"/>
      <c r="UJR13"/>
      <c r="UJS13"/>
      <c r="UJT13"/>
      <c r="UJU13"/>
      <c r="UJV13"/>
      <c r="UJW13"/>
      <c r="UJX13"/>
      <c r="UJY13"/>
      <c r="UJZ13"/>
      <c r="UKA13"/>
      <c r="UKB13"/>
      <c r="UKC13"/>
      <c r="UKD13"/>
      <c r="UKE13"/>
      <c r="UKF13"/>
      <c r="UKG13"/>
      <c r="UKH13"/>
      <c r="UKI13"/>
      <c r="UKJ13"/>
      <c r="UKK13"/>
      <c r="UKL13"/>
      <c r="UKM13"/>
      <c r="UKN13"/>
      <c r="UKO13"/>
      <c r="UKP13"/>
      <c r="UKQ13"/>
      <c r="UKR13"/>
      <c r="UKS13"/>
      <c r="UKT13"/>
      <c r="UKU13"/>
      <c r="UKV13"/>
      <c r="UKW13"/>
      <c r="UKX13"/>
      <c r="UKY13"/>
      <c r="UKZ13"/>
      <c r="ULA13"/>
      <c r="ULB13"/>
      <c r="ULC13"/>
      <c r="ULD13"/>
      <c r="ULE13"/>
      <c r="ULF13"/>
      <c r="ULG13"/>
      <c r="ULH13"/>
      <c r="ULI13"/>
      <c r="ULJ13"/>
      <c r="ULK13"/>
      <c r="ULL13"/>
      <c r="ULM13"/>
      <c r="ULN13"/>
      <c r="ULO13"/>
      <c r="ULP13"/>
      <c r="ULQ13"/>
      <c r="ULR13"/>
      <c r="ULS13"/>
      <c r="ULT13"/>
      <c r="ULU13"/>
      <c r="ULV13"/>
      <c r="ULW13"/>
      <c r="ULX13"/>
      <c r="ULY13"/>
      <c r="ULZ13"/>
      <c r="UMA13"/>
      <c r="UMB13"/>
      <c r="UMC13"/>
      <c r="UMD13"/>
      <c r="UME13"/>
      <c r="UMF13"/>
      <c r="UMG13"/>
      <c r="UMH13"/>
      <c r="UMI13"/>
      <c r="UMJ13"/>
      <c r="UMK13"/>
      <c r="UML13"/>
      <c r="UMM13"/>
      <c r="UMN13"/>
      <c r="UMO13"/>
      <c r="UMP13"/>
      <c r="UMQ13"/>
      <c r="UMR13"/>
      <c r="UMS13"/>
      <c r="UMT13"/>
      <c r="UMU13"/>
      <c r="UMV13"/>
      <c r="UMW13"/>
      <c r="UMX13"/>
      <c r="UMY13"/>
      <c r="UMZ13"/>
      <c r="UNA13"/>
      <c r="UNB13"/>
      <c r="UNC13"/>
      <c r="UND13"/>
      <c r="UNE13"/>
      <c r="UNF13"/>
      <c r="UNG13"/>
      <c r="UNH13"/>
      <c r="UNI13"/>
      <c r="UNJ13"/>
      <c r="UNK13"/>
      <c r="UNL13"/>
      <c r="UNM13"/>
      <c r="UNN13"/>
      <c r="UNO13"/>
      <c r="UNP13"/>
      <c r="UNQ13"/>
      <c r="UNR13"/>
      <c r="UNS13"/>
      <c r="UNT13"/>
      <c r="UNU13"/>
      <c r="UNV13"/>
      <c r="UNW13"/>
      <c r="UNX13"/>
      <c r="UNY13"/>
      <c r="UNZ13"/>
      <c r="UOA13"/>
      <c r="UOB13"/>
      <c r="UOC13"/>
      <c r="UOD13"/>
      <c r="UOE13"/>
      <c r="UOF13"/>
      <c r="UOG13"/>
      <c r="UOH13"/>
      <c r="UOI13"/>
      <c r="UOJ13"/>
      <c r="UOK13"/>
      <c r="UOL13"/>
      <c r="UOM13"/>
      <c r="UON13"/>
      <c r="UOO13"/>
      <c r="UOP13"/>
      <c r="UOQ13"/>
      <c r="UOR13"/>
      <c r="UOS13"/>
      <c r="UOT13"/>
      <c r="UOU13"/>
      <c r="UOV13"/>
      <c r="UOW13"/>
      <c r="UOX13"/>
      <c r="UOY13"/>
      <c r="UOZ13"/>
      <c r="UPA13"/>
      <c r="UPB13"/>
      <c r="UPC13"/>
      <c r="UPD13"/>
      <c r="UPE13"/>
      <c r="UPF13"/>
      <c r="UPG13"/>
      <c r="UPH13"/>
      <c r="UPI13"/>
      <c r="UPJ13"/>
      <c r="UPK13"/>
      <c r="UPL13"/>
      <c r="UPM13"/>
      <c r="UPN13"/>
      <c r="UPO13"/>
      <c r="UPP13"/>
      <c r="UPQ13"/>
      <c r="UPR13"/>
      <c r="UPS13"/>
      <c r="UPT13"/>
      <c r="UPU13"/>
      <c r="UPV13"/>
      <c r="UPW13"/>
      <c r="UPX13"/>
      <c r="UPY13"/>
      <c r="UPZ13"/>
      <c r="UQA13"/>
      <c r="UQB13"/>
      <c r="UQC13"/>
      <c r="UQD13"/>
      <c r="UQE13"/>
      <c r="UQF13"/>
      <c r="UQG13"/>
      <c r="UQH13"/>
      <c r="UQI13"/>
      <c r="UQJ13"/>
      <c r="UQK13"/>
      <c r="UQL13"/>
      <c r="UQM13"/>
      <c r="UQN13"/>
      <c r="UQO13"/>
      <c r="UQP13"/>
      <c r="UQQ13"/>
      <c r="UQR13"/>
      <c r="UQS13"/>
      <c r="UQT13"/>
      <c r="UQU13"/>
      <c r="UQV13"/>
      <c r="UQW13"/>
      <c r="UQX13"/>
      <c r="UQY13"/>
      <c r="UQZ13"/>
      <c r="URA13"/>
      <c r="URB13"/>
      <c r="URC13"/>
      <c r="URD13"/>
      <c r="URE13"/>
      <c r="URF13"/>
      <c r="URG13"/>
      <c r="URH13"/>
      <c r="URI13"/>
      <c r="URJ13"/>
      <c r="URK13"/>
      <c r="URL13"/>
      <c r="URM13"/>
      <c r="URN13"/>
      <c r="URO13"/>
      <c r="URP13"/>
      <c r="URQ13"/>
      <c r="URR13"/>
      <c r="URS13"/>
      <c r="URT13"/>
      <c r="URU13"/>
      <c r="URV13"/>
      <c r="URW13"/>
      <c r="URX13"/>
      <c r="URY13"/>
      <c r="URZ13"/>
      <c r="USA13"/>
      <c r="USB13"/>
      <c r="USC13"/>
      <c r="USD13"/>
      <c r="USE13"/>
      <c r="USF13"/>
      <c r="USG13"/>
      <c r="USH13"/>
      <c r="USI13"/>
      <c r="USJ13"/>
      <c r="USK13"/>
      <c r="USL13"/>
      <c r="USM13"/>
      <c r="USN13"/>
      <c r="USO13"/>
      <c r="USP13"/>
      <c r="USQ13"/>
      <c r="USR13"/>
      <c r="USS13"/>
      <c r="UST13"/>
      <c r="USU13"/>
      <c r="USV13"/>
      <c r="USW13"/>
      <c r="USX13"/>
      <c r="USY13"/>
      <c r="USZ13"/>
      <c r="UTA13"/>
      <c r="UTB13"/>
      <c r="UTC13"/>
      <c r="UTD13"/>
      <c r="UTE13"/>
      <c r="UTF13"/>
      <c r="UTG13"/>
      <c r="UTH13"/>
      <c r="UTI13"/>
      <c r="UTJ13"/>
      <c r="UTK13"/>
      <c r="UTL13"/>
      <c r="UTM13"/>
      <c r="UTN13"/>
      <c r="UTO13"/>
      <c r="UTP13"/>
      <c r="UTQ13"/>
      <c r="UTR13"/>
      <c r="UTS13"/>
      <c r="UTT13"/>
      <c r="UTU13"/>
      <c r="UTV13"/>
      <c r="UTW13"/>
      <c r="UTX13"/>
      <c r="UTY13"/>
      <c r="UTZ13"/>
      <c r="UUA13"/>
      <c r="UUB13"/>
      <c r="UUC13"/>
      <c r="UUD13"/>
      <c r="UUE13"/>
      <c r="UUF13"/>
      <c r="UUG13"/>
      <c r="UUH13"/>
      <c r="UUI13"/>
      <c r="UUJ13"/>
      <c r="UUK13"/>
      <c r="UUL13"/>
      <c r="UUM13"/>
      <c r="UUN13"/>
      <c r="UUO13"/>
      <c r="UUP13"/>
      <c r="UUQ13"/>
      <c r="UUR13"/>
      <c r="UUS13"/>
      <c r="UUT13"/>
      <c r="UUU13"/>
      <c r="UUV13"/>
      <c r="UUW13"/>
      <c r="UUX13"/>
      <c r="UUY13"/>
      <c r="UUZ13"/>
      <c r="UVA13"/>
      <c r="UVB13"/>
      <c r="UVC13"/>
      <c r="UVD13"/>
      <c r="UVE13"/>
      <c r="UVF13"/>
      <c r="UVG13"/>
      <c r="UVH13"/>
      <c r="UVI13"/>
      <c r="UVJ13"/>
      <c r="UVK13"/>
      <c r="UVL13"/>
      <c r="UVM13"/>
      <c r="UVN13"/>
      <c r="UVO13"/>
      <c r="UVP13"/>
      <c r="UVQ13"/>
      <c r="UVR13"/>
      <c r="UVS13"/>
      <c r="UVT13"/>
      <c r="UVU13"/>
      <c r="UVV13"/>
      <c r="UVW13"/>
      <c r="UVX13"/>
      <c r="UVY13"/>
      <c r="UVZ13"/>
      <c r="UWA13"/>
      <c r="UWB13"/>
      <c r="UWC13"/>
      <c r="UWD13"/>
      <c r="UWE13"/>
      <c r="UWF13"/>
      <c r="UWG13"/>
      <c r="UWH13"/>
      <c r="UWI13"/>
      <c r="UWJ13"/>
      <c r="UWK13"/>
      <c r="UWL13"/>
      <c r="UWM13"/>
      <c r="UWN13"/>
      <c r="UWO13"/>
      <c r="UWP13"/>
      <c r="UWQ13"/>
      <c r="UWR13"/>
      <c r="UWS13"/>
      <c r="UWT13"/>
      <c r="UWU13"/>
      <c r="UWV13"/>
      <c r="UWW13"/>
      <c r="UWX13"/>
      <c r="UWY13"/>
      <c r="UWZ13"/>
      <c r="UXA13"/>
      <c r="UXB13"/>
      <c r="UXC13"/>
      <c r="UXD13"/>
      <c r="UXE13"/>
      <c r="UXF13"/>
      <c r="UXG13"/>
      <c r="UXH13"/>
      <c r="UXI13"/>
      <c r="UXJ13"/>
      <c r="UXK13"/>
      <c r="UXL13"/>
      <c r="UXM13"/>
      <c r="UXN13"/>
      <c r="UXO13"/>
      <c r="UXP13"/>
      <c r="UXQ13"/>
      <c r="UXR13"/>
      <c r="UXS13"/>
      <c r="UXT13"/>
      <c r="UXU13"/>
      <c r="UXV13"/>
      <c r="UXW13"/>
      <c r="UXX13"/>
      <c r="UXY13"/>
      <c r="UXZ13"/>
      <c r="UYA13"/>
      <c r="UYB13"/>
      <c r="UYC13"/>
      <c r="UYD13"/>
      <c r="UYE13"/>
      <c r="UYF13"/>
      <c r="UYG13"/>
      <c r="UYH13"/>
      <c r="UYI13"/>
      <c r="UYJ13"/>
      <c r="UYK13"/>
      <c r="UYL13"/>
      <c r="UYM13"/>
      <c r="UYN13"/>
      <c r="UYO13"/>
      <c r="UYP13"/>
      <c r="UYQ13"/>
      <c r="UYR13"/>
      <c r="UYS13"/>
      <c r="UYT13"/>
      <c r="UYU13"/>
      <c r="UYV13"/>
      <c r="UYW13"/>
      <c r="UYX13"/>
      <c r="UYY13"/>
      <c r="UYZ13"/>
      <c r="UZA13"/>
      <c r="UZB13"/>
      <c r="UZC13"/>
      <c r="UZD13"/>
      <c r="UZE13"/>
      <c r="UZF13"/>
      <c r="UZG13"/>
      <c r="UZH13"/>
      <c r="UZI13"/>
      <c r="UZJ13"/>
      <c r="UZK13"/>
      <c r="UZL13"/>
      <c r="UZM13"/>
      <c r="UZN13"/>
      <c r="UZO13"/>
      <c r="UZP13"/>
      <c r="UZQ13"/>
      <c r="UZR13"/>
      <c r="UZS13"/>
      <c r="UZT13"/>
      <c r="UZU13"/>
      <c r="UZV13"/>
      <c r="UZW13"/>
      <c r="UZX13"/>
      <c r="UZY13"/>
      <c r="UZZ13"/>
      <c r="VAA13"/>
      <c r="VAB13"/>
      <c r="VAC13"/>
      <c r="VAD13"/>
      <c r="VAE13"/>
      <c r="VAF13"/>
      <c r="VAG13"/>
      <c r="VAH13"/>
      <c r="VAI13"/>
      <c r="VAJ13"/>
      <c r="VAK13"/>
      <c r="VAL13"/>
      <c r="VAM13"/>
      <c r="VAN13"/>
      <c r="VAO13"/>
      <c r="VAP13"/>
      <c r="VAQ13"/>
      <c r="VAR13"/>
      <c r="VAS13"/>
      <c r="VAT13"/>
      <c r="VAU13"/>
      <c r="VAV13"/>
      <c r="VAW13"/>
      <c r="VAX13"/>
      <c r="VAY13"/>
      <c r="VAZ13"/>
      <c r="VBA13"/>
      <c r="VBB13"/>
      <c r="VBC13"/>
      <c r="VBD13"/>
      <c r="VBE13"/>
      <c r="VBF13"/>
      <c r="VBG13"/>
      <c r="VBH13"/>
      <c r="VBI13"/>
      <c r="VBJ13"/>
      <c r="VBK13"/>
      <c r="VBL13"/>
      <c r="VBM13"/>
      <c r="VBN13"/>
      <c r="VBO13"/>
      <c r="VBP13"/>
      <c r="VBQ13"/>
      <c r="VBR13"/>
      <c r="VBS13"/>
      <c r="VBT13"/>
      <c r="VBU13"/>
      <c r="VBV13"/>
      <c r="VBW13"/>
      <c r="VBX13"/>
      <c r="VBY13"/>
      <c r="VBZ13"/>
      <c r="VCA13"/>
      <c r="VCB13"/>
      <c r="VCC13"/>
      <c r="VCD13"/>
      <c r="VCE13"/>
      <c r="VCF13"/>
      <c r="VCG13"/>
      <c r="VCH13"/>
      <c r="VCI13"/>
      <c r="VCJ13"/>
      <c r="VCK13"/>
      <c r="VCL13"/>
      <c r="VCM13"/>
      <c r="VCN13"/>
      <c r="VCO13"/>
      <c r="VCP13"/>
      <c r="VCQ13"/>
      <c r="VCR13"/>
      <c r="VCS13"/>
      <c r="VCT13"/>
      <c r="VCU13"/>
      <c r="VCV13"/>
      <c r="VCW13"/>
      <c r="VCX13"/>
      <c r="VCY13"/>
      <c r="VCZ13"/>
      <c r="VDA13"/>
      <c r="VDB13"/>
      <c r="VDC13"/>
      <c r="VDD13"/>
      <c r="VDE13"/>
      <c r="VDF13"/>
      <c r="VDG13"/>
      <c r="VDH13"/>
      <c r="VDI13"/>
      <c r="VDJ13"/>
      <c r="VDK13"/>
      <c r="VDL13"/>
      <c r="VDM13"/>
      <c r="VDN13"/>
      <c r="VDO13"/>
      <c r="VDP13"/>
      <c r="VDQ13"/>
      <c r="VDR13"/>
      <c r="VDS13"/>
      <c r="VDT13"/>
      <c r="VDU13"/>
      <c r="VDV13"/>
      <c r="VDW13"/>
      <c r="VDX13"/>
      <c r="VDY13"/>
      <c r="VDZ13"/>
      <c r="VEA13"/>
      <c r="VEB13"/>
      <c r="VEC13"/>
      <c r="VED13"/>
      <c r="VEE13"/>
      <c r="VEF13"/>
      <c r="VEG13"/>
      <c r="VEH13"/>
      <c r="VEI13"/>
      <c r="VEJ13"/>
      <c r="VEK13"/>
      <c r="VEL13"/>
      <c r="VEM13"/>
      <c r="VEN13"/>
      <c r="VEO13"/>
      <c r="VEP13"/>
      <c r="VEQ13"/>
      <c r="VER13"/>
      <c r="VES13"/>
      <c r="VET13"/>
      <c r="VEU13"/>
      <c r="VEV13"/>
      <c r="VEW13"/>
      <c r="VEX13"/>
      <c r="VEY13"/>
      <c r="VEZ13"/>
      <c r="VFA13"/>
      <c r="VFB13"/>
      <c r="VFC13"/>
      <c r="VFD13"/>
      <c r="VFE13"/>
      <c r="VFF13"/>
      <c r="VFG13"/>
      <c r="VFH13"/>
      <c r="VFI13"/>
      <c r="VFJ13"/>
      <c r="VFK13"/>
      <c r="VFL13"/>
      <c r="VFM13"/>
      <c r="VFN13"/>
      <c r="VFO13"/>
      <c r="VFP13"/>
      <c r="VFQ13"/>
      <c r="VFR13"/>
      <c r="VFS13"/>
      <c r="VFT13"/>
      <c r="VFU13"/>
      <c r="VFV13"/>
      <c r="VFW13"/>
      <c r="VFX13"/>
      <c r="VFY13"/>
      <c r="VFZ13"/>
      <c r="VGA13"/>
      <c r="VGB13"/>
      <c r="VGC13"/>
      <c r="VGD13"/>
      <c r="VGE13"/>
      <c r="VGF13"/>
      <c r="VGG13"/>
      <c r="VGH13"/>
      <c r="VGI13"/>
      <c r="VGJ13"/>
      <c r="VGK13"/>
      <c r="VGL13"/>
      <c r="VGM13"/>
      <c r="VGN13"/>
      <c r="VGO13"/>
      <c r="VGP13"/>
      <c r="VGQ13"/>
      <c r="VGR13"/>
      <c r="VGS13"/>
      <c r="VGT13"/>
      <c r="VGU13"/>
      <c r="VGV13"/>
      <c r="VGW13"/>
      <c r="VGX13"/>
      <c r="VGY13"/>
      <c r="VGZ13"/>
      <c r="VHA13"/>
      <c r="VHB13"/>
      <c r="VHC13"/>
      <c r="VHD13"/>
      <c r="VHE13"/>
      <c r="VHF13"/>
      <c r="VHG13"/>
      <c r="VHH13"/>
      <c r="VHI13"/>
      <c r="VHJ13"/>
      <c r="VHK13"/>
      <c r="VHL13"/>
      <c r="VHM13"/>
      <c r="VHN13"/>
      <c r="VHO13"/>
      <c r="VHP13"/>
      <c r="VHQ13"/>
      <c r="VHR13"/>
      <c r="VHS13"/>
      <c r="VHT13"/>
      <c r="VHU13"/>
      <c r="VHV13"/>
      <c r="VHW13"/>
      <c r="VHX13"/>
      <c r="VHY13"/>
      <c r="VHZ13"/>
      <c r="VIA13"/>
      <c r="VIB13"/>
      <c r="VIC13"/>
      <c r="VID13"/>
      <c r="VIE13"/>
      <c r="VIF13"/>
      <c r="VIG13"/>
      <c r="VIH13"/>
      <c r="VII13"/>
      <c r="VIJ13"/>
      <c r="VIK13"/>
      <c r="VIL13"/>
      <c r="VIM13"/>
      <c r="VIN13"/>
      <c r="VIO13"/>
      <c r="VIP13"/>
      <c r="VIQ13"/>
      <c r="VIR13"/>
      <c r="VIS13"/>
      <c r="VIT13"/>
      <c r="VIU13"/>
      <c r="VIV13"/>
      <c r="VIW13"/>
      <c r="VIX13"/>
      <c r="VIY13"/>
      <c r="VIZ13"/>
      <c r="VJA13"/>
      <c r="VJB13"/>
      <c r="VJC13"/>
      <c r="VJD13"/>
      <c r="VJE13"/>
      <c r="VJF13"/>
      <c r="VJG13"/>
      <c r="VJH13"/>
      <c r="VJI13"/>
      <c r="VJJ13"/>
      <c r="VJK13"/>
      <c r="VJL13"/>
      <c r="VJM13"/>
      <c r="VJN13"/>
      <c r="VJO13"/>
      <c r="VJP13"/>
      <c r="VJQ13"/>
      <c r="VJR13"/>
      <c r="VJS13"/>
      <c r="VJT13"/>
      <c r="VJU13"/>
      <c r="VJV13"/>
      <c r="VJW13"/>
      <c r="VJX13"/>
      <c r="VJY13"/>
      <c r="VJZ13"/>
      <c r="VKA13"/>
      <c r="VKB13"/>
      <c r="VKC13"/>
      <c r="VKD13"/>
      <c r="VKE13"/>
      <c r="VKF13"/>
      <c r="VKG13"/>
      <c r="VKH13"/>
      <c r="VKI13"/>
      <c r="VKJ13"/>
      <c r="VKK13"/>
      <c r="VKL13"/>
      <c r="VKM13"/>
      <c r="VKN13"/>
      <c r="VKO13"/>
      <c r="VKP13"/>
      <c r="VKQ13"/>
      <c r="VKR13"/>
      <c r="VKS13"/>
      <c r="VKT13"/>
      <c r="VKU13"/>
      <c r="VKV13"/>
      <c r="VKW13"/>
      <c r="VKX13"/>
      <c r="VKY13"/>
      <c r="VKZ13"/>
      <c r="VLA13"/>
      <c r="VLB13"/>
      <c r="VLC13"/>
      <c r="VLD13"/>
      <c r="VLE13"/>
      <c r="VLF13"/>
      <c r="VLG13"/>
      <c r="VLH13"/>
      <c r="VLI13"/>
      <c r="VLJ13"/>
      <c r="VLK13"/>
      <c r="VLL13"/>
      <c r="VLM13"/>
      <c r="VLN13"/>
      <c r="VLO13"/>
      <c r="VLP13"/>
      <c r="VLQ13"/>
      <c r="VLR13"/>
      <c r="VLS13"/>
      <c r="VLT13"/>
      <c r="VLU13"/>
      <c r="VLV13"/>
      <c r="VLW13"/>
      <c r="VLX13"/>
      <c r="VLY13"/>
      <c r="VLZ13"/>
      <c r="VMA13"/>
      <c r="VMB13"/>
      <c r="VMC13"/>
      <c r="VMD13"/>
      <c r="VME13"/>
      <c r="VMF13"/>
      <c r="VMG13"/>
      <c r="VMH13"/>
      <c r="VMI13"/>
      <c r="VMJ13"/>
      <c r="VMK13"/>
      <c r="VML13"/>
      <c r="VMM13"/>
      <c r="VMN13"/>
      <c r="VMO13"/>
      <c r="VMP13"/>
      <c r="VMQ13"/>
      <c r="VMR13"/>
      <c r="VMS13"/>
      <c r="VMT13"/>
      <c r="VMU13"/>
      <c r="VMV13"/>
      <c r="VMW13"/>
      <c r="VMX13"/>
      <c r="VMY13"/>
      <c r="VMZ13"/>
      <c r="VNA13"/>
      <c r="VNB13"/>
      <c r="VNC13"/>
      <c r="VND13"/>
      <c r="VNE13"/>
      <c r="VNF13"/>
      <c r="VNG13"/>
      <c r="VNH13"/>
      <c r="VNI13"/>
      <c r="VNJ13"/>
      <c r="VNK13"/>
      <c r="VNL13"/>
      <c r="VNM13"/>
      <c r="VNN13"/>
      <c r="VNO13"/>
      <c r="VNP13"/>
      <c r="VNQ13"/>
      <c r="VNR13"/>
      <c r="VNS13"/>
      <c r="VNT13"/>
      <c r="VNU13"/>
      <c r="VNV13"/>
      <c r="VNW13"/>
      <c r="VNX13"/>
      <c r="VNY13"/>
      <c r="VNZ13"/>
      <c r="VOA13"/>
      <c r="VOB13"/>
      <c r="VOC13"/>
      <c r="VOD13"/>
      <c r="VOE13"/>
      <c r="VOF13"/>
      <c r="VOG13"/>
      <c r="VOH13"/>
      <c r="VOI13"/>
      <c r="VOJ13"/>
      <c r="VOK13"/>
      <c r="VOL13"/>
      <c r="VOM13"/>
      <c r="VON13"/>
      <c r="VOO13"/>
      <c r="VOP13"/>
      <c r="VOQ13"/>
      <c r="VOR13"/>
      <c r="VOS13"/>
      <c r="VOT13"/>
      <c r="VOU13"/>
      <c r="VOV13"/>
      <c r="VOW13"/>
      <c r="VOX13"/>
      <c r="VOY13"/>
      <c r="VOZ13"/>
      <c r="VPA13"/>
      <c r="VPB13"/>
      <c r="VPC13"/>
      <c r="VPD13"/>
      <c r="VPE13"/>
      <c r="VPF13"/>
      <c r="VPG13"/>
      <c r="VPH13"/>
      <c r="VPI13"/>
      <c r="VPJ13"/>
      <c r="VPK13"/>
      <c r="VPL13"/>
      <c r="VPM13"/>
      <c r="VPN13"/>
      <c r="VPO13"/>
      <c r="VPP13"/>
      <c r="VPQ13"/>
      <c r="VPR13"/>
      <c r="VPS13"/>
      <c r="VPT13"/>
      <c r="VPU13"/>
      <c r="VPV13"/>
      <c r="VPW13"/>
      <c r="VPX13"/>
      <c r="VPY13"/>
      <c r="VPZ13"/>
      <c r="VQA13"/>
      <c r="VQB13"/>
      <c r="VQC13"/>
      <c r="VQD13"/>
      <c r="VQE13"/>
      <c r="VQF13"/>
      <c r="VQG13"/>
      <c r="VQH13"/>
      <c r="VQI13"/>
      <c r="VQJ13"/>
      <c r="VQK13"/>
      <c r="VQL13"/>
      <c r="VQM13"/>
      <c r="VQN13"/>
      <c r="VQO13"/>
      <c r="VQP13"/>
      <c r="VQQ13"/>
      <c r="VQR13"/>
      <c r="VQS13"/>
      <c r="VQT13"/>
      <c r="VQU13"/>
      <c r="VQV13"/>
      <c r="VQW13"/>
      <c r="VQX13"/>
      <c r="VQY13"/>
      <c r="VQZ13"/>
      <c r="VRA13"/>
      <c r="VRB13"/>
      <c r="VRC13"/>
      <c r="VRD13"/>
      <c r="VRE13"/>
      <c r="VRF13"/>
      <c r="VRG13"/>
      <c r="VRH13"/>
      <c r="VRI13"/>
      <c r="VRJ13"/>
      <c r="VRK13"/>
      <c r="VRL13"/>
      <c r="VRM13"/>
      <c r="VRN13"/>
      <c r="VRO13"/>
      <c r="VRP13"/>
      <c r="VRQ13"/>
      <c r="VRR13"/>
      <c r="VRS13"/>
      <c r="VRT13"/>
      <c r="VRU13"/>
      <c r="VRV13"/>
      <c r="VRW13"/>
      <c r="VRX13"/>
      <c r="VRY13"/>
      <c r="VRZ13"/>
      <c r="VSA13"/>
      <c r="VSB13"/>
      <c r="VSC13"/>
      <c r="VSD13"/>
      <c r="VSE13"/>
      <c r="VSF13"/>
      <c r="VSG13"/>
      <c r="VSH13"/>
      <c r="VSI13"/>
      <c r="VSJ13"/>
      <c r="VSK13"/>
      <c r="VSL13"/>
      <c r="VSM13"/>
      <c r="VSN13"/>
      <c r="VSO13"/>
      <c r="VSP13"/>
      <c r="VSQ13"/>
      <c r="VSR13"/>
      <c r="VSS13"/>
      <c r="VST13"/>
      <c r="VSU13"/>
      <c r="VSV13"/>
      <c r="VSW13"/>
      <c r="VSX13"/>
      <c r="VSY13"/>
      <c r="VSZ13"/>
      <c r="VTA13"/>
      <c r="VTB13"/>
      <c r="VTC13"/>
      <c r="VTD13"/>
      <c r="VTE13"/>
      <c r="VTF13"/>
      <c r="VTG13"/>
      <c r="VTH13"/>
      <c r="VTI13"/>
      <c r="VTJ13"/>
      <c r="VTK13"/>
      <c r="VTL13"/>
      <c r="VTM13"/>
      <c r="VTN13"/>
      <c r="VTO13"/>
      <c r="VTP13"/>
      <c r="VTQ13"/>
      <c r="VTR13"/>
      <c r="VTS13"/>
      <c r="VTT13"/>
      <c r="VTU13"/>
      <c r="VTV13"/>
      <c r="VTW13"/>
      <c r="VTX13"/>
      <c r="VTY13"/>
      <c r="VTZ13"/>
      <c r="VUA13"/>
      <c r="VUB13"/>
      <c r="VUC13"/>
      <c r="VUD13"/>
      <c r="VUE13"/>
      <c r="VUF13"/>
      <c r="VUG13"/>
      <c r="VUH13"/>
      <c r="VUI13"/>
      <c r="VUJ13"/>
      <c r="VUK13"/>
      <c r="VUL13"/>
      <c r="VUM13"/>
      <c r="VUN13"/>
      <c r="VUO13"/>
      <c r="VUP13"/>
      <c r="VUQ13"/>
      <c r="VUR13"/>
      <c r="VUS13"/>
      <c r="VUT13"/>
      <c r="VUU13"/>
      <c r="VUV13"/>
      <c r="VUW13"/>
      <c r="VUX13"/>
      <c r="VUY13"/>
      <c r="VUZ13"/>
      <c r="VVA13"/>
      <c r="VVB13"/>
      <c r="VVC13"/>
      <c r="VVD13"/>
      <c r="VVE13"/>
      <c r="VVF13"/>
      <c r="VVG13"/>
      <c r="VVH13"/>
      <c r="VVI13"/>
      <c r="VVJ13"/>
      <c r="VVK13"/>
      <c r="VVL13"/>
      <c r="VVM13"/>
      <c r="VVN13"/>
      <c r="VVO13"/>
      <c r="VVP13"/>
      <c r="VVQ13"/>
      <c r="VVR13"/>
      <c r="VVS13"/>
      <c r="VVT13"/>
      <c r="VVU13"/>
      <c r="VVV13"/>
      <c r="VVW13"/>
      <c r="VVX13"/>
      <c r="VVY13"/>
      <c r="VVZ13"/>
      <c r="VWA13"/>
      <c r="VWB13"/>
      <c r="VWC13"/>
      <c r="VWD13"/>
      <c r="VWE13"/>
      <c r="VWF13"/>
      <c r="VWG13"/>
      <c r="VWH13"/>
      <c r="VWI13"/>
      <c r="VWJ13"/>
      <c r="VWK13"/>
      <c r="VWL13"/>
      <c r="VWM13"/>
      <c r="VWN13"/>
      <c r="VWO13"/>
      <c r="VWP13"/>
      <c r="VWQ13"/>
      <c r="VWR13"/>
      <c r="VWS13"/>
      <c r="VWT13"/>
      <c r="VWU13"/>
      <c r="VWV13"/>
      <c r="VWW13"/>
      <c r="VWX13"/>
      <c r="VWY13"/>
      <c r="VWZ13"/>
      <c r="VXA13"/>
      <c r="VXB13"/>
      <c r="VXC13"/>
      <c r="VXD13"/>
      <c r="VXE13"/>
      <c r="VXF13"/>
      <c r="VXG13"/>
      <c r="VXH13"/>
      <c r="VXI13"/>
      <c r="VXJ13"/>
      <c r="VXK13"/>
      <c r="VXL13"/>
      <c r="VXM13"/>
      <c r="VXN13"/>
      <c r="VXO13"/>
      <c r="VXP13"/>
      <c r="VXQ13"/>
      <c r="VXR13"/>
      <c r="VXS13"/>
      <c r="VXT13"/>
      <c r="VXU13"/>
      <c r="VXV13"/>
      <c r="VXW13"/>
      <c r="VXX13"/>
      <c r="VXY13"/>
      <c r="VXZ13"/>
      <c r="VYA13"/>
      <c r="VYB13"/>
      <c r="VYC13"/>
      <c r="VYD13"/>
      <c r="VYE13"/>
      <c r="VYF13"/>
      <c r="VYG13"/>
      <c r="VYH13"/>
      <c r="VYI13"/>
      <c r="VYJ13"/>
      <c r="VYK13"/>
      <c r="VYL13"/>
      <c r="VYM13"/>
      <c r="VYN13"/>
      <c r="VYO13"/>
      <c r="VYP13"/>
      <c r="VYQ13"/>
      <c r="VYR13"/>
      <c r="VYS13"/>
      <c r="VYT13"/>
      <c r="VYU13"/>
      <c r="VYV13"/>
      <c r="VYW13"/>
      <c r="VYX13"/>
      <c r="VYY13"/>
      <c r="VYZ13"/>
      <c r="VZA13"/>
      <c r="VZB13"/>
      <c r="VZC13"/>
      <c r="VZD13"/>
      <c r="VZE13"/>
      <c r="VZF13"/>
      <c r="VZG13"/>
      <c r="VZH13"/>
      <c r="VZI13"/>
      <c r="VZJ13"/>
      <c r="VZK13"/>
      <c r="VZL13"/>
      <c r="VZM13"/>
      <c r="VZN13"/>
      <c r="VZO13"/>
      <c r="VZP13"/>
      <c r="VZQ13"/>
      <c r="VZR13"/>
      <c r="VZS13"/>
      <c r="VZT13"/>
      <c r="VZU13"/>
      <c r="VZV13"/>
      <c r="VZW13"/>
      <c r="VZX13"/>
      <c r="VZY13"/>
      <c r="VZZ13"/>
      <c r="WAA13"/>
      <c r="WAB13"/>
      <c r="WAC13"/>
      <c r="WAD13"/>
      <c r="WAE13"/>
      <c r="WAF13"/>
      <c r="WAG13"/>
      <c r="WAH13"/>
      <c r="WAI13"/>
      <c r="WAJ13"/>
      <c r="WAK13"/>
      <c r="WAL13"/>
      <c r="WAM13"/>
      <c r="WAN13"/>
      <c r="WAO13"/>
      <c r="WAP13"/>
      <c r="WAQ13"/>
      <c r="WAR13"/>
      <c r="WAS13"/>
      <c r="WAT13"/>
      <c r="WAU13"/>
      <c r="WAV13"/>
      <c r="WAW13"/>
      <c r="WAX13"/>
      <c r="WAY13"/>
      <c r="WAZ13"/>
      <c r="WBA13"/>
      <c r="WBB13"/>
      <c r="WBC13"/>
      <c r="WBD13"/>
      <c r="WBE13"/>
      <c r="WBF13"/>
      <c r="WBG13"/>
      <c r="WBH13"/>
      <c r="WBI13"/>
      <c r="WBJ13"/>
      <c r="WBK13"/>
      <c r="WBL13"/>
      <c r="WBM13"/>
      <c r="WBN13"/>
      <c r="WBO13"/>
      <c r="WBP13"/>
      <c r="WBQ13"/>
      <c r="WBR13"/>
      <c r="WBS13"/>
      <c r="WBT13"/>
      <c r="WBU13"/>
      <c r="WBV13"/>
      <c r="WBW13"/>
      <c r="WBX13"/>
      <c r="WBY13"/>
      <c r="WBZ13"/>
      <c r="WCA13"/>
      <c r="WCB13"/>
      <c r="WCC13"/>
      <c r="WCD13"/>
      <c r="WCE13"/>
      <c r="WCF13"/>
      <c r="WCG13"/>
      <c r="WCH13"/>
      <c r="WCI13"/>
      <c r="WCJ13"/>
      <c r="WCK13"/>
      <c r="WCL13"/>
      <c r="WCM13"/>
      <c r="WCN13"/>
      <c r="WCO13"/>
      <c r="WCP13"/>
      <c r="WCQ13"/>
      <c r="WCR13"/>
      <c r="WCS13"/>
      <c r="WCT13"/>
      <c r="WCU13"/>
      <c r="WCV13"/>
      <c r="WCW13"/>
      <c r="WCX13"/>
      <c r="WCY13"/>
      <c r="WCZ13"/>
      <c r="WDA13"/>
      <c r="WDB13"/>
      <c r="WDC13"/>
      <c r="WDD13"/>
      <c r="WDE13"/>
      <c r="WDF13"/>
      <c r="WDG13"/>
      <c r="WDH13"/>
      <c r="WDI13"/>
      <c r="WDJ13"/>
      <c r="WDK13"/>
      <c r="WDL13"/>
      <c r="WDM13"/>
      <c r="WDN13"/>
      <c r="WDO13"/>
      <c r="WDP13"/>
      <c r="WDQ13"/>
      <c r="WDR13"/>
      <c r="WDS13"/>
      <c r="WDT13"/>
      <c r="WDU13"/>
      <c r="WDV13"/>
      <c r="WDW13"/>
      <c r="WDX13"/>
      <c r="WDY13"/>
      <c r="WDZ13"/>
      <c r="WEA13"/>
      <c r="WEB13"/>
      <c r="WEC13"/>
      <c r="WED13"/>
      <c r="WEE13"/>
      <c r="WEF13"/>
      <c r="WEG13"/>
      <c r="WEH13"/>
      <c r="WEI13"/>
      <c r="WEJ13"/>
      <c r="WEK13"/>
      <c r="WEL13"/>
      <c r="WEM13"/>
      <c r="WEN13"/>
      <c r="WEO13"/>
      <c r="WEP13"/>
      <c r="WEQ13"/>
      <c r="WER13"/>
      <c r="WES13"/>
      <c r="WET13"/>
      <c r="WEU13"/>
      <c r="WEV13"/>
      <c r="WEW13"/>
      <c r="WEX13"/>
      <c r="WEY13"/>
      <c r="WEZ13"/>
      <c r="WFA13"/>
      <c r="WFB13"/>
      <c r="WFC13"/>
      <c r="WFD13"/>
      <c r="WFE13"/>
      <c r="WFF13"/>
      <c r="WFG13"/>
      <c r="WFH13"/>
      <c r="WFI13"/>
      <c r="WFJ13"/>
      <c r="WFK13"/>
      <c r="WFL13"/>
      <c r="WFM13"/>
      <c r="WFN13"/>
      <c r="WFO13"/>
      <c r="WFP13"/>
      <c r="WFQ13"/>
      <c r="WFR13"/>
      <c r="WFS13"/>
      <c r="WFT13"/>
      <c r="WFU13"/>
      <c r="WFV13"/>
      <c r="WFW13"/>
      <c r="WFX13"/>
      <c r="WFY13"/>
      <c r="WFZ13"/>
      <c r="WGA13"/>
      <c r="WGB13"/>
      <c r="WGC13"/>
      <c r="WGD13"/>
      <c r="WGE13"/>
      <c r="WGF13"/>
      <c r="WGG13"/>
      <c r="WGH13"/>
      <c r="WGI13"/>
      <c r="WGJ13"/>
      <c r="WGK13"/>
      <c r="WGL13"/>
      <c r="WGM13"/>
      <c r="WGN13"/>
      <c r="WGO13"/>
      <c r="WGP13"/>
      <c r="WGQ13"/>
      <c r="WGR13"/>
      <c r="WGS13"/>
      <c r="WGT13"/>
      <c r="WGU13"/>
      <c r="WGV13"/>
      <c r="WGW13"/>
      <c r="WGX13"/>
      <c r="WGY13"/>
      <c r="WGZ13"/>
      <c r="WHA13"/>
      <c r="WHB13"/>
      <c r="WHC13"/>
      <c r="WHD13"/>
      <c r="WHE13"/>
      <c r="WHF13"/>
      <c r="WHG13"/>
      <c r="WHH13"/>
      <c r="WHI13"/>
      <c r="WHJ13"/>
      <c r="WHK13"/>
      <c r="WHL13"/>
      <c r="WHM13"/>
      <c r="WHN13"/>
      <c r="WHO13"/>
      <c r="WHP13"/>
      <c r="WHQ13"/>
      <c r="WHR13"/>
      <c r="WHS13"/>
      <c r="WHT13"/>
      <c r="WHU13"/>
      <c r="WHV13"/>
      <c r="WHW13"/>
      <c r="WHX13"/>
      <c r="WHY13"/>
      <c r="WHZ13"/>
      <c r="WIA13"/>
      <c r="WIB13"/>
      <c r="WIC13"/>
      <c r="WID13"/>
      <c r="WIE13"/>
      <c r="WIF13"/>
      <c r="WIG13"/>
      <c r="WIH13"/>
      <c r="WII13"/>
      <c r="WIJ13"/>
      <c r="WIK13"/>
      <c r="WIL13"/>
      <c r="WIM13"/>
      <c r="WIN13"/>
      <c r="WIO13"/>
      <c r="WIP13"/>
      <c r="WIQ13"/>
      <c r="WIR13"/>
      <c r="WIS13"/>
      <c r="WIT13"/>
      <c r="WIU13"/>
      <c r="WIV13"/>
      <c r="WIW13"/>
      <c r="WIX13"/>
      <c r="WIY13"/>
      <c r="WIZ13"/>
      <c r="WJA13"/>
      <c r="WJB13"/>
      <c r="WJC13"/>
      <c r="WJD13"/>
      <c r="WJE13"/>
      <c r="WJF13"/>
      <c r="WJG13"/>
      <c r="WJH13"/>
      <c r="WJI13"/>
      <c r="WJJ13"/>
      <c r="WJK13"/>
      <c r="WJL13"/>
      <c r="WJM13"/>
      <c r="WJN13"/>
      <c r="WJO13"/>
      <c r="WJP13"/>
      <c r="WJQ13"/>
      <c r="WJR13"/>
      <c r="WJS13"/>
      <c r="WJT13"/>
      <c r="WJU13"/>
      <c r="WJV13"/>
      <c r="WJW13"/>
      <c r="WJX13"/>
      <c r="WJY13"/>
      <c r="WJZ13"/>
      <c r="WKA13"/>
      <c r="WKB13"/>
      <c r="WKC13"/>
      <c r="WKD13"/>
      <c r="WKE13"/>
      <c r="WKF13"/>
      <c r="WKG13"/>
      <c r="WKH13"/>
      <c r="WKI13"/>
      <c r="WKJ13"/>
      <c r="WKK13"/>
      <c r="WKL13"/>
      <c r="WKM13"/>
      <c r="WKN13"/>
      <c r="WKO13"/>
      <c r="WKP13"/>
      <c r="WKQ13"/>
      <c r="WKR13"/>
      <c r="WKS13"/>
      <c r="WKT13"/>
      <c r="WKU13"/>
      <c r="WKV13"/>
      <c r="WKW13"/>
      <c r="WKX13"/>
      <c r="WKY13"/>
      <c r="WKZ13"/>
      <c r="WLA13"/>
      <c r="WLB13"/>
      <c r="WLC13"/>
      <c r="WLD13"/>
      <c r="WLE13"/>
      <c r="WLF13"/>
      <c r="WLG13"/>
      <c r="WLH13"/>
      <c r="WLI13"/>
      <c r="WLJ13"/>
      <c r="WLK13"/>
      <c r="WLL13"/>
      <c r="WLM13"/>
      <c r="WLN13"/>
      <c r="WLO13"/>
      <c r="WLP13"/>
      <c r="WLQ13"/>
      <c r="WLR13"/>
      <c r="WLS13"/>
      <c r="WLT13"/>
      <c r="WLU13"/>
      <c r="WLV13"/>
      <c r="WLW13"/>
      <c r="WLX13"/>
      <c r="WLY13"/>
      <c r="WLZ13"/>
      <c r="WMA13"/>
      <c r="WMB13"/>
      <c r="WMC13"/>
      <c r="WMD13"/>
      <c r="WME13"/>
      <c r="WMF13"/>
      <c r="WMG13"/>
      <c r="WMH13"/>
      <c r="WMI13"/>
      <c r="WMJ13"/>
      <c r="WMK13"/>
      <c r="WML13"/>
      <c r="WMM13"/>
      <c r="WMN13"/>
      <c r="WMO13"/>
      <c r="WMP13"/>
      <c r="WMQ13"/>
      <c r="WMR13"/>
      <c r="WMS13"/>
      <c r="WMT13"/>
      <c r="WMU13"/>
      <c r="WMV13"/>
      <c r="WMW13"/>
      <c r="WMX13"/>
      <c r="WMY13"/>
      <c r="WMZ13"/>
      <c r="WNA13"/>
      <c r="WNB13"/>
      <c r="WNC13"/>
      <c r="WND13"/>
      <c r="WNE13"/>
      <c r="WNF13"/>
      <c r="WNG13"/>
      <c r="WNH13"/>
      <c r="WNI13"/>
      <c r="WNJ13"/>
      <c r="WNK13"/>
      <c r="WNL13"/>
      <c r="WNM13"/>
      <c r="WNN13"/>
      <c r="WNO13"/>
      <c r="WNP13"/>
      <c r="WNQ13"/>
      <c r="WNR13"/>
      <c r="WNS13"/>
      <c r="WNT13"/>
      <c r="WNU13"/>
      <c r="WNV13"/>
      <c r="WNW13"/>
      <c r="WNX13"/>
      <c r="WNY13"/>
      <c r="WNZ13"/>
      <c r="WOA13"/>
      <c r="WOB13"/>
      <c r="WOC13"/>
      <c r="WOD13"/>
      <c r="WOE13"/>
      <c r="WOF13"/>
      <c r="WOG13"/>
      <c r="WOH13"/>
      <c r="WOI13"/>
      <c r="WOJ13"/>
      <c r="WOK13"/>
      <c r="WOL13"/>
      <c r="WOM13"/>
      <c r="WON13"/>
      <c r="WOO13"/>
      <c r="WOP13"/>
      <c r="WOQ13"/>
      <c r="WOR13"/>
      <c r="WOS13"/>
      <c r="WOT13"/>
      <c r="WOU13"/>
      <c r="WOV13"/>
      <c r="WOW13"/>
      <c r="WOX13"/>
      <c r="WOY13"/>
      <c r="WOZ13"/>
      <c r="WPA13"/>
      <c r="WPB13"/>
      <c r="WPC13"/>
      <c r="WPD13"/>
      <c r="WPE13"/>
      <c r="WPF13"/>
      <c r="WPG13"/>
      <c r="WPH13"/>
      <c r="WPI13"/>
      <c r="WPJ13"/>
      <c r="WPK13"/>
      <c r="WPL13"/>
      <c r="WPM13"/>
      <c r="WPN13"/>
      <c r="WPO13"/>
      <c r="WPP13"/>
      <c r="WPQ13"/>
      <c r="WPR13"/>
      <c r="WPS13"/>
      <c r="WPT13"/>
      <c r="WPU13"/>
      <c r="WPV13"/>
      <c r="WPW13"/>
      <c r="WPX13"/>
      <c r="WPY13"/>
      <c r="WPZ13"/>
      <c r="WQA13"/>
      <c r="WQB13"/>
      <c r="WQC13"/>
      <c r="WQD13"/>
      <c r="WQE13"/>
      <c r="WQF13"/>
      <c r="WQG13"/>
      <c r="WQH13"/>
      <c r="WQI13"/>
      <c r="WQJ13"/>
      <c r="WQK13"/>
      <c r="WQL13"/>
      <c r="WQM13"/>
      <c r="WQN13"/>
      <c r="WQO13"/>
      <c r="WQP13"/>
      <c r="WQQ13"/>
      <c r="WQR13"/>
      <c r="WQS13"/>
      <c r="WQT13"/>
      <c r="WQU13"/>
      <c r="WQV13"/>
      <c r="WQW13"/>
      <c r="WQX13"/>
      <c r="WQY13"/>
      <c r="WQZ13"/>
      <c r="WRA13"/>
      <c r="WRB13"/>
      <c r="WRC13"/>
      <c r="WRD13"/>
      <c r="WRE13"/>
      <c r="WRF13"/>
      <c r="WRG13"/>
      <c r="WRH13"/>
      <c r="WRI13"/>
      <c r="WRJ13"/>
      <c r="WRK13"/>
      <c r="WRL13"/>
      <c r="WRM13"/>
      <c r="WRN13"/>
      <c r="WRO13"/>
      <c r="WRP13"/>
      <c r="WRQ13"/>
      <c r="WRR13"/>
      <c r="WRS13"/>
      <c r="WRT13"/>
      <c r="WRU13"/>
      <c r="WRV13"/>
      <c r="WRW13"/>
      <c r="WRX13"/>
      <c r="WRY13"/>
      <c r="WRZ13"/>
      <c r="WSA13"/>
      <c r="WSB13"/>
      <c r="WSC13"/>
      <c r="WSD13"/>
      <c r="WSE13"/>
      <c r="WSF13"/>
      <c r="WSG13"/>
      <c r="WSH13"/>
      <c r="WSI13"/>
      <c r="WSJ13"/>
      <c r="WSK13"/>
      <c r="WSL13"/>
      <c r="WSM13"/>
      <c r="WSN13"/>
      <c r="WSO13"/>
      <c r="WSP13"/>
      <c r="WSQ13"/>
      <c r="WSR13"/>
      <c r="WSS13"/>
      <c r="WST13"/>
      <c r="WSU13"/>
      <c r="WSV13"/>
      <c r="WSW13"/>
      <c r="WSX13"/>
      <c r="WSY13"/>
      <c r="WSZ13"/>
      <c r="WTA13"/>
      <c r="WTB13"/>
      <c r="WTC13"/>
      <c r="WTD13"/>
      <c r="WTE13"/>
      <c r="WTF13"/>
      <c r="WTG13"/>
      <c r="WTH13"/>
      <c r="WTI13"/>
      <c r="WTJ13"/>
      <c r="WTK13"/>
      <c r="WTL13"/>
      <c r="WTM13"/>
      <c r="WTN13"/>
      <c r="WTO13"/>
      <c r="WTP13"/>
      <c r="WTQ13"/>
      <c r="WTR13"/>
      <c r="WTS13"/>
      <c r="WTT13"/>
      <c r="WTU13"/>
      <c r="WTV13"/>
      <c r="WTW13"/>
      <c r="WTX13"/>
      <c r="WTY13"/>
      <c r="WTZ13"/>
      <c r="WUA13"/>
      <c r="WUB13"/>
      <c r="WUC13"/>
      <c r="WUD13"/>
      <c r="WUE13"/>
      <c r="WUF13"/>
      <c r="WUG13"/>
      <c r="WUH13"/>
      <c r="WUI13"/>
      <c r="WUJ13"/>
      <c r="WUK13"/>
      <c r="WUL13"/>
      <c r="WUM13"/>
      <c r="WUN13"/>
      <c r="WUO13"/>
      <c r="WUP13"/>
      <c r="WUQ13"/>
      <c r="WUR13"/>
      <c r="WUS13"/>
      <c r="WUT13"/>
      <c r="WUU13"/>
      <c r="WUV13"/>
      <c r="WUW13"/>
      <c r="WUX13"/>
      <c r="WUY13"/>
      <c r="WUZ13"/>
      <c r="WVA13"/>
      <c r="WVB13"/>
      <c r="WVC13"/>
      <c r="WVD13"/>
      <c r="WVE13"/>
      <c r="WVF13"/>
      <c r="WVG13"/>
      <c r="WVH13"/>
      <c r="WVI13"/>
      <c r="WVJ13"/>
      <c r="WVK13"/>
      <c r="WVL13"/>
      <c r="WVM13"/>
      <c r="WVN13"/>
      <c r="WVO13"/>
      <c r="WVP13"/>
      <c r="WVQ13"/>
      <c r="WVR13"/>
      <c r="WVS13"/>
      <c r="WVT13"/>
      <c r="WVU13"/>
      <c r="WVV13"/>
      <c r="WVW13"/>
      <c r="WVX13"/>
      <c r="WVY13"/>
      <c r="WVZ13"/>
      <c r="WWA13"/>
      <c r="WWB13"/>
      <c r="WWC13"/>
      <c r="WWD13"/>
      <c r="WWE13"/>
      <c r="WWF13"/>
      <c r="WWG13"/>
      <c r="WWH13"/>
      <c r="WWI13"/>
      <c r="WWJ13"/>
      <c r="WWK13"/>
      <c r="WWL13"/>
      <c r="WWM13"/>
      <c r="WWN13"/>
      <c r="WWO13"/>
      <c r="WWP13"/>
      <c r="WWQ13"/>
      <c r="WWR13"/>
      <c r="WWS13"/>
      <c r="WWT13"/>
      <c r="WWU13"/>
      <c r="WWV13"/>
      <c r="WWW13"/>
      <c r="WWX13"/>
      <c r="WWY13"/>
      <c r="WWZ13"/>
      <c r="WXA13"/>
      <c r="WXB13"/>
      <c r="WXC13"/>
      <c r="WXD13"/>
      <c r="WXE13"/>
      <c r="WXF13"/>
      <c r="WXG13"/>
      <c r="WXH13"/>
      <c r="WXI13"/>
      <c r="WXJ13"/>
      <c r="WXK13"/>
      <c r="WXL13"/>
      <c r="WXM13"/>
      <c r="WXN13"/>
      <c r="WXO13"/>
      <c r="WXP13"/>
      <c r="WXQ13"/>
      <c r="WXR13"/>
      <c r="WXS13"/>
      <c r="WXT13"/>
      <c r="WXU13"/>
      <c r="WXV13"/>
      <c r="WXW13"/>
      <c r="WXX13"/>
      <c r="WXY13"/>
      <c r="WXZ13"/>
      <c r="WYA13"/>
      <c r="WYB13"/>
      <c r="WYC13"/>
      <c r="WYD13"/>
      <c r="WYE13"/>
      <c r="WYF13"/>
      <c r="WYG13"/>
      <c r="WYH13"/>
      <c r="WYI13"/>
      <c r="WYJ13"/>
      <c r="WYK13"/>
      <c r="WYL13"/>
      <c r="WYM13"/>
      <c r="WYN13"/>
      <c r="WYO13"/>
      <c r="WYP13"/>
      <c r="WYQ13"/>
      <c r="WYR13"/>
      <c r="WYS13"/>
      <c r="WYT13"/>
      <c r="WYU13"/>
      <c r="WYV13"/>
      <c r="WYW13"/>
      <c r="WYX13"/>
      <c r="WYY13"/>
      <c r="WYZ13"/>
      <c r="WZA13"/>
      <c r="WZB13"/>
      <c r="WZC13"/>
      <c r="WZD13"/>
      <c r="WZE13"/>
      <c r="WZF13"/>
      <c r="WZG13"/>
      <c r="WZH13"/>
      <c r="WZI13"/>
      <c r="WZJ13"/>
      <c r="WZK13"/>
      <c r="WZL13"/>
      <c r="WZM13"/>
      <c r="WZN13"/>
      <c r="WZO13"/>
      <c r="WZP13"/>
      <c r="WZQ13"/>
      <c r="WZR13"/>
      <c r="WZS13"/>
      <c r="WZT13"/>
      <c r="WZU13"/>
      <c r="WZV13"/>
      <c r="WZW13"/>
      <c r="WZX13"/>
      <c r="WZY13"/>
      <c r="WZZ13"/>
      <c r="XAA13"/>
      <c r="XAB13"/>
      <c r="XAC13"/>
      <c r="XAD13"/>
      <c r="XAE13"/>
      <c r="XAF13"/>
      <c r="XAG13"/>
      <c r="XAH13"/>
      <c r="XAI13"/>
      <c r="XAJ13"/>
      <c r="XAK13"/>
      <c r="XAL13"/>
      <c r="XAM13"/>
      <c r="XAN13"/>
      <c r="XAO13"/>
      <c r="XAP13"/>
      <c r="XAQ13"/>
      <c r="XAR13"/>
      <c r="XAS13"/>
      <c r="XAT13"/>
      <c r="XAU13"/>
      <c r="XAV13"/>
      <c r="XAW13"/>
      <c r="XAX13"/>
      <c r="XAY13"/>
      <c r="XAZ13"/>
      <c r="XBA13"/>
      <c r="XBB13"/>
      <c r="XBC13"/>
      <c r="XBD13"/>
      <c r="XBE13"/>
      <c r="XBF13"/>
      <c r="XBG13"/>
      <c r="XBH13"/>
      <c r="XBI13"/>
      <c r="XBJ13"/>
      <c r="XBK13"/>
      <c r="XBL13"/>
      <c r="XBM13"/>
      <c r="XBN13"/>
      <c r="XBO13"/>
      <c r="XBP13"/>
      <c r="XBQ13"/>
      <c r="XBR13"/>
      <c r="XBS13"/>
      <c r="XBT13"/>
      <c r="XBU13"/>
      <c r="XBV13"/>
      <c r="XBW13"/>
      <c r="XBX13"/>
      <c r="XBY13"/>
      <c r="XBZ13"/>
      <c r="XCA13"/>
      <c r="XCB13"/>
      <c r="XCC13"/>
      <c r="XCD13"/>
      <c r="XCE13"/>
      <c r="XCF13"/>
      <c r="XCG13"/>
      <c r="XCH13"/>
      <c r="XCI13"/>
      <c r="XCJ13"/>
      <c r="XCK13"/>
      <c r="XCL13"/>
      <c r="XCM13"/>
      <c r="XCN13"/>
      <c r="XCO13"/>
      <c r="XCP13"/>
      <c r="XCQ13"/>
      <c r="XCR13"/>
      <c r="XCS13"/>
      <c r="XCT13"/>
      <c r="XCU13"/>
      <c r="XCV13"/>
      <c r="XCW13"/>
      <c r="XCX13"/>
      <c r="XCY13"/>
      <c r="XCZ13"/>
      <c r="XDA13"/>
      <c r="XDB13"/>
      <c r="XDC13"/>
      <c r="XDD13"/>
      <c r="XDE13"/>
      <c r="XDF13"/>
      <c r="XDG13"/>
      <c r="XDH13"/>
      <c r="XDI13"/>
      <c r="XDJ13"/>
      <c r="XDK13"/>
      <c r="XDL13"/>
      <c r="XDM13"/>
      <c r="XDN13"/>
      <c r="XDO13"/>
      <c r="XDP13"/>
      <c r="XDQ13"/>
      <c r="XDR13"/>
      <c r="XDS13"/>
      <c r="XDT13"/>
      <c r="XDU13"/>
      <c r="XDV13"/>
      <c r="XDW13"/>
      <c r="XDX13"/>
      <c r="XDY13"/>
      <c r="XDZ13"/>
      <c r="XEA13"/>
      <c r="XEB13"/>
      <c r="XEC13"/>
      <c r="XED13"/>
      <c r="XEE13"/>
      <c r="XEF13"/>
      <c r="XEG13"/>
      <c r="XEH13"/>
      <c r="XEI13"/>
      <c r="XEJ13"/>
      <c r="XEK13"/>
      <c r="XEL13"/>
      <c r="XEM13"/>
      <c r="XEN13"/>
      <c r="XEO13"/>
      <c r="XEP13"/>
      <c r="XEQ13"/>
      <c r="XER13"/>
      <c r="XES13"/>
      <c r="XET13"/>
      <c r="XEU13"/>
      <c r="XEV13"/>
      <c r="XEW13"/>
      <c r="XEX13"/>
      <c r="XEY13"/>
      <c r="XEZ13"/>
      <c r="XFA13"/>
      <c r="XFB13"/>
    </row>
    <row r="14" spans="1:16382" s="44" customFormat="1" x14ac:dyDescent="0.35">
      <c r="A14"/>
      <c r="B14" t="s">
        <v>914</v>
      </c>
      <c r="C14" s="25" t="s">
        <v>176</v>
      </c>
      <c r="D14" s="26" t="s">
        <v>177</v>
      </c>
      <c r="E14" s="26" t="s">
        <v>178</v>
      </c>
      <c r="F14" s="26"/>
      <c r="G14" s="26"/>
      <c r="H14" s="26"/>
      <c r="I14" s="26" t="s">
        <v>182</v>
      </c>
      <c r="J14" s="27"/>
      <c r="K14" s="26" t="s">
        <v>82</v>
      </c>
      <c r="L14" s="37">
        <v>2250</v>
      </c>
      <c r="M14" s="37">
        <v>2250</v>
      </c>
      <c r="N14" s="16">
        <f t="shared" si="0"/>
        <v>-4414.2151898734173</v>
      </c>
      <c r="O14" s="37">
        <v>500</v>
      </c>
      <c r="P14" s="37">
        <v>500</v>
      </c>
      <c r="Q14" s="16">
        <f t="shared" si="1"/>
        <v>-105.88571428571429</v>
      </c>
      <c r="R14" s="37">
        <v>0</v>
      </c>
      <c r="S14" s="37">
        <v>0</v>
      </c>
      <c r="T14" s="16">
        <f t="shared" si="2"/>
        <v>0</v>
      </c>
      <c r="U14" s="37">
        <v>0</v>
      </c>
      <c r="V14" s="37">
        <v>0</v>
      </c>
      <c r="W14" s="16">
        <f t="shared" si="3"/>
        <v>0</v>
      </c>
      <c r="X14" s="37">
        <v>500</v>
      </c>
      <c r="Y14" s="37">
        <v>500</v>
      </c>
      <c r="Z14" s="16">
        <f t="shared" si="4"/>
        <v>0</v>
      </c>
      <c r="AA14" s="37">
        <v>0</v>
      </c>
      <c r="AB14" s="37">
        <v>0</v>
      </c>
      <c r="AC14" s="16">
        <f t="shared" si="5"/>
        <v>0</v>
      </c>
      <c r="AD14" s="31" t="s">
        <v>82</v>
      </c>
      <c r="AE14" s="5">
        <v>1</v>
      </c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  <c r="AJY14"/>
      <c r="AJZ14"/>
      <c r="AKA14"/>
      <c r="AKB14"/>
      <c r="AKC14"/>
      <c r="AKD14"/>
      <c r="AKE14"/>
      <c r="AKF14"/>
      <c r="AKG14"/>
      <c r="AKH14"/>
      <c r="AKI14"/>
      <c r="AKJ14"/>
      <c r="AKK14"/>
      <c r="AKL14"/>
      <c r="AKM14"/>
      <c r="AKN14"/>
      <c r="AKO14"/>
      <c r="AKP14"/>
      <c r="AKQ14"/>
      <c r="AKR14"/>
      <c r="AKS14"/>
      <c r="AKT14"/>
      <c r="AKU14"/>
      <c r="AKV14"/>
      <c r="AKW14"/>
      <c r="AKX14"/>
      <c r="AKY14"/>
      <c r="AKZ14"/>
      <c r="ALA14"/>
      <c r="ALB14"/>
      <c r="ALC14"/>
      <c r="ALD14"/>
      <c r="ALE14"/>
      <c r="ALF14"/>
      <c r="ALG14"/>
      <c r="ALH14"/>
      <c r="ALI14"/>
      <c r="ALJ14"/>
      <c r="ALK14"/>
      <c r="ALL14"/>
      <c r="ALM14"/>
      <c r="ALN14"/>
      <c r="ALO14"/>
      <c r="ALP14"/>
      <c r="ALQ14"/>
      <c r="ALR14"/>
      <c r="ALS14"/>
      <c r="ALT14"/>
      <c r="ALU14"/>
      <c r="ALV14"/>
      <c r="ALW14"/>
      <c r="ALX14"/>
      <c r="ALY14"/>
      <c r="ALZ14"/>
      <c r="AMA14"/>
      <c r="AMB14"/>
      <c r="AMC14"/>
      <c r="AMD14"/>
      <c r="AME14"/>
      <c r="AMF14"/>
      <c r="AMG14"/>
      <c r="AMH14"/>
      <c r="AMI14"/>
      <c r="AMJ14"/>
      <c r="AMK14"/>
      <c r="AML14"/>
      <c r="AMM14"/>
      <c r="AMN14"/>
      <c r="AMO14"/>
      <c r="AMP14"/>
      <c r="AMQ14"/>
      <c r="AMR14"/>
      <c r="AMS14"/>
      <c r="AMT14"/>
      <c r="AMU14"/>
      <c r="AMV14"/>
      <c r="AMW14"/>
      <c r="AMX14"/>
      <c r="AMY14"/>
      <c r="AMZ14"/>
      <c r="ANA14"/>
      <c r="ANB14"/>
      <c r="ANC14"/>
      <c r="AND14"/>
      <c r="ANE14"/>
      <c r="ANF14"/>
      <c r="ANG14"/>
      <c r="ANH14"/>
      <c r="ANI14"/>
      <c r="ANJ14"/>
      <c r="ANK14"/>
      <c r="ANL14"/>
      <c r="ANM14"/>
      <c r="ANN14"/>
      <c r="ANO14"/>
      <c r="ANP14"/>
      <c r="ANQ14"/>
      <c r="ANR14"/>
      <c r="ANS14"/>
      <c r="ANT14"/>
      <c r="ANU14"/>
      <c r="ANV14"/>
      <c r="ANW14"/>
      <c r="ANX14"/>
      <c r="ANY14"/>
      <c r="ANZ14"/>
      <c r="AOA14"/>
      <c r="AOB14"/>
      <c r="AOC14"/>
      <c r="AOD14"/>
      <c r="AOE14"/>
      <c r="AOF14"/>
      <c r="AOG14"/>
      <c r="AOH14"/>
      <c r="AOI14"/>
      <c r="AOJ14"/>
      <c r="AOK14"/>
      <c r="AOL14"/>
      <c r="AOM14"/>
      <c r="AON14"/>
      <c r="AOO14"/>
      <c r="AOP14"/>
      <c r="AOQ14"/>
      <c r="AOR14"/>
      <c r="AOS14"/>
      <c r="AOT14"/>
      <c r="AOU14"/>
      <c r="AOV14"/>
      <c r="AOW14"/>
      <c r="AOX14"/>
      <c r="AOY14"/>
      <c r="AOZ14"/>
      <c r="APA14"/>
      <c r="APB14"/>
      <c r="APC14"/>
      <c r="APD14"/>
      <c r="APE14"/>
      <c r="APF14"/>
      <c r="APG14"/>
      <c r="APH14"/>
      <c r="API14"/>
      <c r="APJ14"/>
      <c r="APK14"/>
      <c r="APL14"/>
      <c r="APM14"/>
      <c r="APN14"/>
      <c r="APO14"/>
      <c r="APP14"/>
      <c r="APQ14"/>
      <c r="APR14"/>
      <c r="APS14"/>
      <c r="APT14"/>
      <c r="APU14"/>
      <c r="APV14"/>
      <c r="APW14"/>
      <c r="APX14"/>
      <c r="APY14"/>
      <c r="APZ14"/>
      <c r="AQA14"/>
      <c r="AQB14"/>
      <c r="AQC14"/>
      <c r="AQD14"/>
      <c r="AQE14"/>
      <c r="AQF14"/>
      <c r="AQG14"/>
      <c r="AQH14"/>
      <c r="AQI14"/>
      <c r="AQJ14"/>
      <c r="AQK14"/>
      <c r="AQL14"/>
      <c r="AQM14"/>
      <c r="AQN14"/>
      <c r="AQO14"/>
      <c r="AQP14"/>
      <c r="AQQ14"/>
      <c r="AQR14"/>
      <c r="AQS14"/>
      <c r="AQT14"/>
      <c r="AQU14"/>
      <c r="AQV14"/>
      <c r="AQW14"/>
      <c r="AQX14"/>
      <c r="AQY14"/>
      <c r="AQZ14"/>
      <c r="ARA14"/>
      <c r="ARB14"/>
      <c r="ARC14"/>
      <c r="ARD14"/>
      <c r="ARE14"/>
      <c r="ARF14"/>
      <c r="ARG14"/>
      <c r="ARH14"/>
      <c r="ARI14"/>
      <c r="ARJ14"/>
      <c r="ARK14"/>
      <c r="ARL14"/>
      <c r="ARM14"/>
      <c r="ARN14"/>
      <c r="ARO14"/>
      <c r="ARP14"/>
      <c r="ARQ14"/>
      <c r="ARR14"/>
      <c r="ARS14"/>
      <c r="ART14"/>
      <c r="ARU14"/>
      <c r="ARV14"/>
      <c r="ARW14"/>
      <c r="ARX14"/>
      <c r="ARY14"/>
      <c r="ARZ14"/>
      <c r="ASA14"/>
      <c r="ASB14"/>
      <c r="ASC14"/>
      <c r="ASD14"/>
      <c r="ASE14"/>
      <c r="ASF14"/>
      <c r="ASG14"/>
      <c r="ASH14"/>
      <c r="ASI14"/>
      <c r="ASJ14"/>
      <c r="ASK14"/>
      <c r="ASL14"/>
      <c r="ASM14"/>
      <c r="ASN14"/>
      <c r="ASO14"/>
      <c r="ASP14"/>
      <c r="ASQ14"/>
      <c r="ASR14"/>
      <c r="ASS14"/>
      <c r="AST14"/>
      <c r="ASU14"/>
      <c r="ASV14"/>
      <c r="ASW14"/>
      <c r="ASX14"/>
      <c r="ASY14"/>
      <c r="ASZ14"/>
      <c r="ATA14"/>
      <c r="ATB14"/>
      <c r="ATC14"/>
      <c r="ATD14"/>
      <c r="ATE14"/>
      <c r="ATF14"/>
      <c r="ATG14"/>
      <c r="ATH14"/>
      <c r="ATI14"/>
      <c r="ATJ14"/>
      <c r="ATK14"/>
      <c r="ATL14"/>
      <c r="ATM14"/>
      <c r="ATN14"/>
      <c r="ATO14"/>
      <c r="ATP14"/>
      <c r="ATQ14"/>
      <c r="ATR14"/>
      <c r="ATS14"/>
      <c r="ATT14"/>
      <c r="ATU14"/>
      <c r="ATV14"/>
      <c r="ATW14"/>
      <c r="ATX14"/>
      <c r="ATY14"/>
      <c r="ATZ14"/>
      <c r="AUA14"/>
      <c r="AUB14"/>
      <c r="AUC14"/>
      <c r="AUD14"/>
      <c r="AUE14"/>
      <c r="AUF14"/>
      <c r="AUG14"/>
      <c r="AUH14"/>
      <c r="AUI14"/>
      <c r="AUJ14"/>
      <c r="AUK14"/>
      <c r="AUL14"/>
      <c r="AUM14"/>
      <c r="AUN14"/>
      <c r="AUO14"/>
      <c r="AUP14"/>
      <c r="AUQ14"/>
      <c r="AUR14"/>
      <c r="AUS14"/>
      <c r="AUT14"/>
      <c r="AUU14"/>
      <c r="AUV14"/>
      <c r="AUW14"/>
      <c r="AUX14"/>
      <c r="AUY14"/>
      <c r="AUZ14"/>
      <c r="AVA14"/>
      <c r="AVB14"/>
      <c r="AVC14"/>
      <c r="AVD14"/>
      <c r="AVE14"/>
      <c r="AVF14"/>
      <c r="AVG14"/>
      <c r="AVH14"/>
      <c r="AVI14"/>
      <c r="AVJ14"/>
      <c r="AVK14"/>
      <c r="AVL14"/>
      <c r="AVM14"/>
      <c r="AVN14"/>
      <c r="AVO14"/>
      <c r="AVP14"/>
      <c r="AVQ14"/>
      <c r="AVR14"/>
      <c r="AVS14"/>
      <c r="AVT14"/>
      <c r="AVU14"/>
      <c r="AVV14"/>
      <c r="AVW14"/>
      <c r="AVX14"/>
      <c r="AVY14"/>
      <c r="AVZ14"/>
      <c r="AWA14"/>
      <c r="AWB14"/>
      <c r="AWC14"/>
      <c r="AWD14"/>
      <c r="AWE14"/>
      <c r="AWF14"/>
      <c r="AWG14"/>
      <c r="AWH14"/>
      <c r="AWI14"/>
      <c r="AWJ14"/>
      <c r="AWK14"/>
      <c r="AWL14"/>
      <c r="AWM14"/>
      <c r="AWN14"/>
      <c r="AWO14"/>
      <c r="AWP14"/>
      <c r="AWQ14"/>
      <c r="AWR14"/>
      <c r="AWS14"/>
      <c r="AWT14"/>
      <c r="AWU14"/>
      <c r="AWV14"/>
      <c r="AWW14"/>
      <c r="AWX14"/>
      <c r="AWY14"/>
      <c r="AWZ14"/>
      <c r="AXA14"/>
      <c r="AXB14"/>
      <c r="AXC14"/>
      <c r="AXD14"/>
      <c r="AXE14"/>
      <c r="AXF14"/>
      <c r="AXG14"/>
      <c r="AXH14"/>
      <c r="AXI14"/>
      <c r="AXJ14"/>
      <c r="AXK14"/>
      <c r="AXL14"/>
      <c r="AXM14"/>
      <c r="AXN14"/>
      <c r="AXO14"/>
      <c r="AXP14"/>
      <c r="AXQ14"/>
      <c r="AXR14"/>
      <c r="AXS14"/>
      <c r="AXT14"/>
      <c r="AXU14"/>
      <c r="AXV14"/>
      <c r="AXW14"/>
      <c r="AXX14"/>
      <c r="AXY14"/>
      <c r="AXZ14"/>
      <c r="AYA14"/>
      <c r="AYB14"/>
      <c r="AYC14"/>
      <c r="AYD14"/>
      <c r="AYE14"/>
      <c r="AYF14"/>
      <c r="AYG14"/>
      <c r="AYH14"/>
      <c r="AYI14"/>
      <c r="AYJ14"/>
      <c r="AYK14"/>
      <c r="AYL14"/>
      <c r="AYM14"/>
      <c r="AYN14"/>
      <c r="AYO14"/>
      <c r="AYP14"/>
      <c r="AYQ14"/>
      <c r="AYR14"/>
      <c r="AYS14"/>
      <c r="AYT14"/>
      <c r="AYU14"/>
      <c r="AYV14"/>
      <c r="AYW14"/>
      <c r="AYX14"/>
      <c r="AYY14"/>
      <c r="AYZ14"/>
      <c r="AZA14"/>
      <c r="AZB14"/>
      <c r="AZC14"/>
      <c r="AZD14"/>
      <c r="AZE14"/>
      <c r="AZF14"/>
      <c r="AZG14"/>
      <c r="AZH14"/>
      <c r="AZI14"/>
      <c r="AZJ14"/>
      <c r="AZK14"/>
      <c r="AZL14"/>
      <c r="AZM14"/>
      <c r="AZN14"/>
      <c r="AZO14"/>
      <c r="AZP14"/>
      <c r="AZQ14"/>
      <c r="AZR14"/>
      <c r="AZS14"/>
      <c r="AZT14"/>
      <c r="AZU14"/>
      <c r="AZV14"/>
      <c r="AZW14"/>
      <c r="AZX14"/>
      <c r="AZY14"/>
      <c r="AZZ14"/>
      <c r="BAA14"/>
      <c r="BAB14"/>
      <c r="BAC14"/>
      <c r="BAD14"/>
      <c r="BAE14"/>
      <c r="BAF14"/>
      <c r="BAG14"/>
      <c r="BAH14"/>
      <c r="BAI14"/>
      <c r="BAJ14"/>
      <c r="BAK14"/>
      <c r="BAL14"/>
      <c r="BAM14"/>
      <c r="BAN14"/>
      <c r="BAO14"/>
      <c r="BAP14"/>
      <c r="BAQ14"/>
      <c r="BAR14"/>
      <c r="BAS14"/>
      <c r="BAT14"/>
      <c r="BAU14"/>
      <c r="BAV14"/>
      <c r="BAW14"/>
      <c r="BAX14"/>
      <c r="BAY14"/>
      <c r="BAZ14"/>
      <c r="BBA14"/>
      <c r="BBB14"/>
      <c r="BBC14"/>
      <c r="BBD14"/>
      <c r="BBE14"/>
      <c r="BBF14"/>
      <c r="BBG14"/>
      <c r="BBH14"/>
      <c r="BBI14"/>
      <c r="BBJ14"/>
      <c r="BBK14"/>
      <c r="BBL14"/>
      <c r="BBM14"/>
      <c r="BBN14"/>
      <c r="BBO14"/>
      <c r="BBP14"/>
      <c r="BBQ14"/>
      <c r="BBR14"/>
      <c r="BBS14"/>
      <c r="BBT14"/>
      <c r="BBU14"/>
      <c r="BBV14"/>
      <c r="BBW14"/>
      <c r="BBX14"/>
      <c r="BBY14"/>
      <c r="BBZ14"/>
      <c r="BCA14"/>
      <c r="BCB14"/>
      <c r="BCC14"/>
      <c r="BCD14"/>
      <c r="BCE14"/>
      <c r="BCF14"/>
      <c r="BCG14"/>
      <c r="BCH14"/>
      <c r="BCI14"/>
      <c r="BCJ14"/>
      <c r="BCK14"/>
      <c r="BCL14"/>
      <c r="BCM14"/>
      <c r="BCN14"/>
      <c r="BCO14"/>
      <c r="BCP14"/>
      <c r="BCQ14"/>
      <c r="BCR14"/>
      <c r="BCS14"/>
      <c r="BCT14"/>
      <c r="BCU14"/>
      <c r="BCV14"/>
      <c r="BCW14"/>
      <c r="BCX14"/>
      <c r="BCY14"/>
      <c r="BCZ14"/>
      <c r="BDA14"/>
      <c r="BDB14"/>
      <c r="BDC14"/>
      <c r="BDD14"/>
      <c r="BDE14"/>
      <c r="BDF14"/>
      <c r="BDG14"/>
      <c r="BDH14"/>
      <c r="BDI14"/>
      <c r="BDJ14"/>
      <c r="BDK14"/>
      <c r="BDL14"/>
      <c r="BDM14"/>
      <c r="BDN14"/>
      <c r="BDO14"/>
      <c r="BDP14"/>
      <c r="BDQ14"/>
      <c r="BDR14"/>
      <c r="BDS14"/>
      <c r="BDT14"/>
      <c r="BDU14"/>
      <c r="BDV14"/>
      <c r="BDW14"/>
      <c r="BDX14"/>
      <c r="BDY14"/>
      <c r="BDZ14"/>
      <c r="BEA14"/>
      <c r="BEB14"/>
      <c r="BEC14"/>
      <c r="BED14"/>
      <c r="BEE14"/>
      <c r="BEF14"/>
      <c r="BEG14"/>
      <c r="BEH14"/>
      <c r="BEI14"/>
      <c r="BEJ14"/>
      <c r="BEK14"/>
      <c r="BEL14"/>
      <c r="BEM14"/>
      <c r="BEN14"/>
      <c r="BEO14"/>
      <c r="BEP14"/>
      <c r="BEQ14"/>
      <c r="BER14"/>
      <c r="BES14"/>
      <c r="BET14"/>
      <c r="BEU14"/>
      <c r="BEV14"/>
      <c r="BEW14"/>
      <c r="BEX14"/>
      <c r="BEY14"/>
      <c r="BEZ14"/>
      <c r="BFA14"/>
      <c r="BFB14"/>
      <c r="BFC14"/>
      <c r="BFD14"/>
      <c r="BFE14"/>
      <c r="BFF14"/>
      <c r="BFG14"/>
      <c r="BFH14"/>
      <c r="BFI14"/>
      <c r="BFJ14"/>
      <c r="BFK14"/>
      <c r="BFL14"/>
      <c r="BFM14"/>
      <c r="BFN14"/>
      <c r="BFO14"/>
      <c r="BFP14"/>
      <c r="BFQ14"/>
      <c r="BFR14"/>
      <c r="BFS14"/>
      <c r="BFT14"/>
      <c r="BFU14"/>
      <c r="BFV14"/>
      <c r="BFW14"/>
      <c r="BFX14"/>
      <c r="BFY14"/>
      <c r="BFZ14"/>
      <c r="BGA14"/>
      <c r="BGB14"/>
      <c r="BGC14"/>
      <c r="BGD14"/>
      <c r="BGE14"/>
      <c r="BGF14"/>
      <c r="BGG14"/>
      <c r="BGH14"/>
      <c r="BGI14"/>
      <c r="BGJ14"/>
      <c r="BGK14"/>
      <c r="BGL14"/>
      <c r="BGM14"/>
      <c r="BGN14"/>
      <c r="BGO14"/>
      <c r="BGP14"/>
      <c r="BGQ14"/>
      <c r="BGR14"/>
      <c r="BGS14"/>
      <c r="BGT14"/>
      <c r="BGU14"/>
      <c r="BGV14"/>
      <c r="BGW14"/>
      <c r="BGX14"/>
      <c r="BGY14"/>
      <c r="BGZ14"/>
      <c r="BHA14"/>
      <c r="BHB14"/>
      <c r="BHC14"/>
      <c r="BHD14"/>
      <c r="BHE14"/>
      <c r="BHF14"/>
      <c r="BHG14"/>
      <c r="BHH14"/>
      <c r="BHI14"/>
      <c r="BHJ14"/>
      <c r="BHK14"/>
      <c r="BHL14"/>
      <c r="BHM14"/>
      <c r="BHN14"/>
      <c r="BHO14"/>
      <c r="BHP14"/>
      <c r="BHQ14"/>
      <c r="BHR14"/>
      <c r="BHS14"/>
      <c r="BHT14"/>
      <c r="BHU14"/>
      <c r="BHV14"/>
      <c r="BHW14"/>
      <c r="BHX14"/>
      <c r="BHY14"/>
      <c r="BHZ14"/>
      <c r="BIA14"/>
      <c r="BIB14"/>
      <c r="BIC14"/>
      <c r="BID14"/>
      <c r="BIE14"/>
      <c r="BIF14"/>
      <c r="BIG14"/>
      <c r="BIH14"/>
      <c r="BII14"/>
      <c r="BIJ14"/>
      <c r="BIK14"/>
      <c r="BIL14"/>
      <c r="BIM14"/>
      <c r="BIN14"/>
      <c r="BIO14"/>
      <c r="BIP14"/>
      <c r="BIQ14"/>
      <c r="BIR14"/>
      <c r="BIS14"/>
      <c r="BIT14"/>
      <c r="BIU14"/>
      <c r="BIV14"/>
      <c r="BIW14"/>
      <c r="BIX14"/>
      <c r="BIY14"/>
      <c r="BIZ14"/>
      <c r="BJA14"/>
      <c r="BJB14"/>
      <c r="BJC14"/>
      <c r="BJD14"/>
      <c r="BJE14"/>
      <c r="BJF14"/>
      <c r="BJG14"/>
      <c r="BJH14"/>
      <c r="BJI14"/>
      <c r="BJJ14"/>
      <c r="BJK14"/>
      <c r="BJL14"/>
      <c r="BJM14"/>
      <c r="BJN14"/>
      <c r="BJO14"/>
      <c r="BJP14"/>
      <c r="BJQ14"/>
      <c r="BJR14"/>
      <c r="BJS14"/>
      <c r="BJT14"/>
      <c r="BJU14"/>
      <c r="BJV14"/>
      <c r="BJW14"/>
      <c r="BJX14"/>
      <c r="BJY14"/>
      <c r="BJZ14"/>
      <c r="BKA14"/>
      <c r="BKB14"/>
      <c r="BKC14"/>
      <c r="BKD14"/>
      <c r="BKE14"/>
      <c r="BKF14"/>
      <c r="BKG14"/>
      <c r="BKH14"/>
      <c r="BKI14"/>
      <c r="BKJ14"/>
      <c r="BKK14"/>
      <c r="BKL14"/>
      <c r="BKM14"/>
      <c r="BKN14"/>
      <c r="BKO14"/>
      <c r="BKP14"/>
      <c r="BKQ14"/>
      <c r="BKR14"/>
      <c r="BKS14"/>
      <c r="BKT14"/>
      <c r="BKU14"/>
      <c r="BKV14"/>
      <c r="BKW14"/>
      <c r="BKX14"/>
      <c r="BKY14"/>
      <c r="BKZ14"/>
      <c r="BLA14"/>
      <c r="BLB14"/>
      <c r="BLC14"/>
      <c r="BLD14"/>
      <c r="BLE14"/>
      <c r="BLF14"/>
      <c r="BLG14"/>
      <c r="BLH14"/>
      <c r="BLI14"/>
      <c r="BLJ14"/>
      <c r="BLK14"/>
      <c r="BLL14"/>
      <c r="BLM14"/>
      <c r="BLN14"/>
      <c r="BLO14"/>
      <c r="BLP14"/>
      <c r="BLQ14"/>
      <c r="BLR14"/>
      <c r="BLS14"/>
      <c r="BLT14"/>
      <c r="BLU14"/>
      <c r="BLV14"/>
      <c r="BLW14"/>
      <c r="BLX14"/>
      <c r="BLY14"/>
      <c r="BLZ14"/>
      <c r="BMA14"/>
      <c r="BMB14"/>
      <c r="BMC14"/>
      <c r="BMD14"/>
      <c r="BME14"/>
      <c r="BMF14"/>
      <c r="BMG14"/>
      <c r="BMH14"/>
      <c r="BMI14"/>
      <c r="BMJ14"/>
      <c r="BMK14"/>
      <c r="BML14"/>
      <c r="BMM14"/>
      <c r="BMN14"/>
      <c r="BMO14"/>
      <c r="BMP14"/>
      <c r="BMQ14"/>
      <c r="BMR14"/>
      <c r="BMS14"/>
      <c r="BMT14"/>
      <c r="BMU14"/>
      <c r="BMV14"/>
      <c r="BMW14"/>
      <c r="BMX14"/>
      <c r="BMY14"/>
      <c r="BMZ14"/>
      <c r="BNA14"/>
      <c r="BNB14"/>
      <c r="BNC14"/>
      <c r="BND14"/>
      <c r="BNE14"/>
      <c r="BNF14"/>
      <c r="BNG14"/>
      <c r="BNH14"/>
      <c r="BNI14"/>
      <c r="BNJ14"/>
      <c r="BNK14"/>
      <c r="BNL14"/>
      <c r="BNM14"/>
      <c r="BNN14"/>
      <c r="BNO14"/>
      <c r="BNP14"/>
      <c r="BNQ14"/>
      <c r="BNR14"/>
      <c r="BNS14"/>
      <c r="BNT14"/>
      <c r="BNU14"/>
      <c r="BNV14"/>
      <c r="BNW14"/>
      <c r="BNX14"/>
      <c r="BNY14"/>
      <c r="BNZ14"/>
      <c r="BOA14"/>
      <c r="BOB14"/>
      <c r="BOC14"/>
      <c r="BOD14"/>
      <c r="BOE14"/>
      <c r="BOF14"/>
      <c r="BOG14"/>
      <c r="BOH14"/>
      <c r="BOI14"/>
      <c r="BOJ14"/>
      <c r="BOK14"/>
      <c r="BOL14"/>
      <c r="BOM14"/>
      <c r="BON14"/>
      <c r="BOO14"/>
      <c r="BOP14"/>
      <c r="BOQ14"/>
      <c r="BOR14"/>
      <c r="BOS14"/>
      <c r="BOT14"/>
      <c r="BOU14"/>
      <c r="BOV14"/>
      <c r="BOW14"/>
      <c r="BOX14"/>
      <c r="BOY14"/>
      <c r="BOZ14"/>
      <c r="BPA14"/>
      <c r="BPB14"/>
      <c r="BPC14"/>
      <c r="BPD14"/>
      <c r="BPE14"/>
      <c r="BPF14"/>
      <c r="BPG14"/>
      <c r="BPH14"/>
      <c r="BPI14"/>
      <c r="BPJ14"/>
      <c r="BPK14"/>
      <c r="BPL14"/>
      <c r="BPM14"/>
      <c r="BPN14"/>
      <c r="BPO14"/>
      <c r="BPP14"/>
      <c r="BPQ14"/>
      <c r="BPR14"/>
      <c r="BPS14"/>
      <c r="BPT14"/>
      <c r="BPU14"/>
      <c r="BPV14"/>
      <c r="BPW14"/>
      <c r="BPX14"/>
      <c r="BPY14"/>
      <c r="BPZ14"/>
      <c r="BQA14"/>
      <c r="BQB14"/>
      <c r="BQC14"/>
      <c r="BQD14"/>
      <c r="BQE14"/>
      <c r="BQF14"/>
      <c r="BQG14"/>
      <c r="BQH14"/>
      <c r="BQI14"/>
      <c r="BQJ14"/>
      <c r="BQK14"/>
      <c r="BQL14"/>
      <c r="BQM14"/>
      <c r="BQN14"/>
      <c r="BQO14"/>
      <c r="BQP14"/>
      <c r="BQQ14"/>
      <c r="BQR14"/>
      <c r="BQS14"/>
      <c r="BQT14"/>
      <c r="BQU14"/>
      <c r="BQV14"/>
      <c r="BQW14"/>
      <c r="BQX14"/>
      <c r="BQY14"/>
      <c r="BQZ14"/>
      <c r="BRA14"/>
      <c r="BRB14"/>
      <c r="BRC14"/>
      <c r="BRD14"/>
      <c r="BRE14"/>
      <c r="BRF14"/>
      <c r="BRG14"/>
      <c r="BRH14"/>
      <c r="BRI14"/>
      <c r="BRJ14"/>
      <c r="BRK14"/>
      <c r="BRL14"/>
      <c r="BRM14"/>
      <c r="BRN14"/>
      <c r="BRO14"/>
      <c r="BRP14"/>
      <c r="BRQ14"/>
      <c r="BRR14"/>
      <c r="BRS14"/>
      <c r="BRT14"/>
      <c r="BRU14"/>
      <c r="BRV14"/>
      <c r="BRW14"/>
      <c r="BRX14"/>
      <c r="BRY14"/>
      <c r="BRZ14"/>
      <c r="BSA14"/>
      <c r="BSB14"/>
      <c r="BSC14"/>
      <c r="BSD14"/>
      <c r="BSE14"/>
      <c r="BSF14"/>
      <c r="BSG14"/>
      <c r="BSH14"/>
      <c r="BSI14"/>
      <c r="BSJ14"/>
      <c r="BSK14"/>
      <c r="BSL14"/>
      <c r="BSM14"/>
      <c r="BSN14"/>
      <c r="BSO14"/>
      <c r="BSP14"/>
      <c r="BSQ14"/>
      <c r="BSR14"/>
      <c r="BSS14"/>
      <c r="BST14"/>
      <c r="BSU14"/>
      <c r="BSV14"/>
      <c r="BSW14"/>
      <c r="BSX14"/>
      <c r="BSY14"/>
      <c r="BSZ14"/>
      <c r="BTA14"/>
      <c r="BTB14"/>
      <c r="BTC14"/>
      <c r="BTD14"/>
      <c r="BTE14"/>
      <c r="BTF14"/>
      <c r="BTG14"/>
      <c r="BTH14"/>
      <c r="BTI14"/>
      <c r="BTJ14"/>
      <c r="BTK14"/>
      <c r="BTL14"/>
      <c r="BTM14"/>
      <c r="BTN14"/>
      <c r="BTO14"/>
      <c r="BTP14"/>
      <c r="BTQ14"/>
      <c r="BTR14"/>
      <c r="BTS14"/>
      <c r="BTT14"/>
      <c r="BTU14"/>
      <c r="BTV14"/>
      <c r="BTW14"/>
      <c r="BTX14"/>
      <c r="BTY14"/>
      <c r="BTZ14"/>
      <c r="BUA14"/>
      <c r="BUB14"/>
      <c r="BUC14"/>
      <c r="BUD14"/>
      <c r="BUE14"/>
      <c r="BUF14"/>
      <c r="BUG14"/>
      <c r="BUH14"/>
      <c r="BUI14"/>
      <c r="BUJ14"/>
      <c r="BUK14"/>
      <c r="BUL14"/>
      <c r="BUM14"/>
      <c r="BUN14"/>
      <c r="BUO14"/>
      <c r="BUP14"/>
      <c r="BUQ14"/>
      <c r="BUR14"/>
      <c r="BUS14"/>
      <c r="BUT14"/>
      <c r="BUU14"/>
      <c r="BUV14"/>
      <c r="BUW14"/>
      <c r="BUX14"/>
      <c r="BUY14"/>
      <c r="BUZ14"/>
      <c r="BVA14"/>
      <c r="BVB14"/>
      <c r="BVC14"/>
      <c r="BVD14"/>
      <c r="BVE14"/>
      <c r="BVF14"/>
      <c r="BVG14"/>
      <c r="BVH14"/>
      <c r="BVI14"/>
      <c r="BVJ14"/>
      <c r="BVK14"/>
      <c r="BVL14"/>
      <c r="BVM14"/>
      <c r="BVN14"/>
      <c r="BVO14"/>
      <c r="BVP14"/>
      <c r="BVQ14"/>
      <c r="BVR14"/>
      <c r="BVS14"/>
      <c r="BVT14"/>
      <c r="BVU14"/>
      <c r="BVV14"/>
      <c r="BVW14"/>
      <c r="BVX14"/>
      <c r="BVY14"/>
      <c r="BVZ14"/>
      <c r="BWA14"/>
      <c r="BWB14"/>
      <c r="BWC14"/>
      <c r="BWD14"/>
      <c r="BWE14"/>
      <c r="BWF14"/>
      <c r="BWG14"/>
      <c r="BWH14"/>
      <c r="BWI14"/>
      <c r="BWJ14"/>
      <c r="BWK14"/>
      <c r="BWL14"/>
      <c r="BWM14"/>
      <c r="BWN14"/>
      <c r="BWO14"/>
      <c r="BWP14"/>
      <c r="BWQ14"/>
      <c r="BWR14"/>
      <c r="BWS14"/>
      <c r="BWT14"/>
      <c r="BWU14"/>
      <c r="BWV14"/>
      <c r="BWW14"/>
      <c r="BWX14"/>
      <c r="BWY14"/>
      <c r="BWZ14"/>
      <c r="BXA14"/>
      <c r="BXB14"/>
      <c r="BXC14"/>
      <c r="BXD14"/>
      <c r="BXE14"/>
      <c r="BXF14"/>
      <c r="BXG14"/>
      <c r="BXH14"/>
      <c r="BXI14"/>
      <c r="BXJ14"/>
      <c r="BXK14"/>
      <c r="BXL14"/>
      <c r="BXM14"/>
      <c r="BXN14"/>
      <c r="BXO14"/>
      <c r="BXP14"/>
      <c r="BXQ14"/>
      <c r="BXR14"/>
      <c r="BXS14"/>
      <c r="BXT14"/>
      <c r="BXU14"/>
      <c r="BXV14"/>
      <c r="BXW14"/>
      <c r="BXX14"/>
      <c r="BXY14"/>
      <c r="BXZ14"/>
      <c r="BYA14"/>
      <c r="BYB14"/>
      <c r="BYC14"/>
      <c r="BYD14"/>
      <c r="BYE14"/>
      <c r="BYF14"/>
      <c r="BYG14"/>
      <c r="BYH14"/>
      <c r="BYI14"/>
      <c r="BYJ14"/>
      <c r="BYK14"/>
      <c r="BYL14"/>
      <c r="BYM14"/>
      <c r="BYN14"/>
      <c r="BYO14"/>
      <c r="BYP14"/>
      <c r="BYQ14"/>
      <c r="BYR14"/>
      <c r="BYS14"/>
      <c r="BYT14"/>
      <c r="BYU14"/>
      <c r="BYV14"/>
      <c r="BYW14"/>
      <c r="BYX14"/>
      <c r="BYY14"/>
      <c r="BYZ14"/>
      <c r="BZA14"/>
      <c r="BZB14"/>
      <c r="BZC14"/>
      <c r="BZD14"/>
      <c r="BZE14"/>
      <c r="BZF14"/>
      <c r="BZG14"/>
      <c r="BZH14"/>
      <c r="BZI14"/>
      <c r="BZJ14"/>
      <c r="BZK14"/>
      <c r="BZL14"/>
      <c r="BZM14"/>
      <c r="BZN14"/>
      <c r="BZO14"/>
      <c r="BZP14"/>
      <c r="BZQ14"/>
      <c r="BZR14"/>
      <c r="BZS14"/>
      <c r="BZT14"/>
      <c r="BZU14"/>
      <c r="BZV14"/>
      <c r="BZW14"/>
      <c r="BZX14"/>
      <c r="BZY14"/>
      <c r="BZZ14"/>
      <c r="CAA14"/>
      <c r="CAB14"/>
      <c r="CAC14"/>
      <c r="CAD14"/>
      <c r="CAE14"/>
      <c r="CAF14"/>
      <c r="CAG14"/>
      <c r="CAH14"/>
      <c r="CAI14"/>
      <c r="CAJ14"/>
      <c r="CAK14"/>
      <c r="CAL14"/>
      <c r="CAM14"/>
      <c r="CAN14"/>
      <c r="CAO14"/>
      <c r="CAP14"/>
      <c r="CAQ14"/>
      <c r="CAR14"/>
      <c r="CAS14"/>
      <c r="CAT14"/>
      <c r="CAU14"/>
      <c r="CAV14"/>
      <c r="CAW14"/>
      <c r="CAX14"/>
      <c r="CAY14"/>
      <c r="CAZ14"/>
      <c r="CBA14"/>
      <c r="CBB14"/>
      <c r="CBC14"/>
      <c r="CBD14"/>
      <c r="CBE14"/>
      <c r="CBF14"/>
      <c r="CBG14"/>
      <c r="CBH14"/>
      <c r="CBI14"/>
      <c r="CBJ14"/>
      <c r="CBK14"/>
      <c r="CBL14"/>
      <c r="CBM14"/>
      <c r="CBN14"/>
      <c r="CBO14"/>
      <c r="CBP14"/>
      <c r="CBQ14"/>
      <c r="CBR14"/>
      <c r="CBS14"/>
      <c r="CBT14"/>
      <c r="CBU14"/>
      <c r="CBV14"/>
      <c r="CBW14"/>
      <c r="CBX14"/>
      <c r="CBY14"/>
      <c r="CBZ14"/>
      <c r="CCA14"/>
      <c r="CCB14"/>
      <c r="CCC14"/>
      <c r="CCD14"/>
      <c r="CCE14"/>
      <c r="CCF14"/>
      <c r="CCG14"/>
      <c r="CCH14"/>
      <c r="CCI14"/>
      <c r="CCJ14"/>
      <c r="CCK14"/>
      <c r="CCL14"/>
      <c r="CCM14"/>
      <c r="CCN14"/>
      <c r="CCO14"/>
      <c r="CCP14"/>
      <c r="CCQ14"/>
      <c r="CCR14"/>
      <c r="CCS14"/>
      <c r="CCT14"/>
      <c r="CCU14"/>
      <c r="CCV14"/>
      <c r="CCW14"/>
      <c r="CCX14"/>
      <c r="CCY14"/>
      <c r="CCZ14"/>
      <c r="CDA14"/>
      <c r="CDB14"/>
      <c r="CDC14"/>
      <c r="CDD14"/>
      <c r="CDE14"/>
      <c r="CDF14"/>
      <c r="CDG14"/>
      <c r="CDH14"/>
      <c r="CDI14"/>
      <c r="CDJ14"/>
      <c r="CDK14"/>
      <c r="CDL14"/>
      <c r="CDM14"/>
      <c r="CDN14"/>
      <c r="CDO14"/>
      <c r="CDP14"/>
      <c r="CDQ14"/>
      <c r="CDR14"/>
      <c r="CDS14"/>
      <c r="CDT14"/>
      <c r="CDU14"/>
      <c r="CDV14"/>
      <c r="CDW14"/>
      <c r="CDX14"/>
      <c r="CDY14"/>
      <c r="CDZ14"/>
      <c r="CEA14"/>
      <c r="CEB14"/>
      <c r="CEC14"/>
      <c r="CED14"/>
      <c r="CEE14"/>
      <c r="CEF14"/>
      <c r="CEG14"/>
      <c r="CEH14"/>
      <c r="CEI14"/>
      <c r="CEJ14"/>
      <c r="CEK14"/>
      <c r="CEL14"/>
      <c r="CEM14"/>
      <c r="CEN14"/>
      <c r="CEO14"/>
      <c r="CEP14"/>
      <c r="CEQ14"/>
      <c r="CER14"/>
      <c r="CES14"/>
      <c r="CET14"/>
      <c r="CEU14"/>
      <c r="CEV14"/>
      <c r="CEW14"/>
      <c r="CEX14"/>
      <c r="CEY14"/>
      <c r="CEZ14"/>
      <c r="CFA14"/>
      <c r="CFB14"/>
      <c r="CFC14"/>
      <c r="CFD14"/>
      <c r="CFE14"/>
      <c r="CFF14"/>
      <c r="CFG14"/>
      <c r="CFH14"/>
      <c r="CFI14"/>
      <c r="CFJ14"/>
      <c r="CFK14"/>
      <c r="CFL14"/>
      <c r="CFM14"/>
      <c r="CFN14"/>
      <c r="CFO14"/>
      <c r="CFP14"/>
      <c r="CFQ14"/>
      <c r="CFR14"/>
      <c r="CFS14"/>
      <c r="CFT14"/>
      <c r="CFU14"/>
      <c r="CFV14"/>
      <c r="CFW14"/>
      <c r="CFX14"/>
      <c r="CFY14"/>
      <c r="CFZ14"/>
      <c r="CGA14"/>
      <c r="CGB14"/>
      <c r="CGC14"/>
      <c r="CGD14"/>
      <c r="CGE14"/>
      <c r="CGF14"/>
      <c r="CGG14"/>
      <c r="CGH14"/>
      <c r="CGI14"/>
      <c r="CGJ14"/>
      <c r="CGK14"/>
      <c r="CGL14"/>
      <c r="CGM14"/>
      <c r="CGN14"/>
      <c r="CGO14"/>
      <c r="CGP14"/>
      <c r="CGQ14"/>
      <c r="CGR14"/>
      <c r="CGS14"/>
      <c r="CGT14"/>
      <c r="CGU14"/>
      <c r="CGV14"/>
      <c r="CGW14"/>
      <c r="CGX14"/>
      <c r="CGY14"/>
      <c r="CGZ14"/>
      <c r="CHA14"/>
      <c r="CHB14"/>
      <c r="CHC14"/>
      <c r="CHD14"/>
      <c r="CHE14"/>
      <c r="CHF14"/>
      <c r="CHG14"/>
      <c r="CHH14"/>
      <c r="CHI14"/>
      <c r="CHJ14"/>
      <c r="CHK14"/>
      <c r="CHL14"/>
      <c r="CHM14"/>
      <c r="CHN14"/>
      <c r="CHO14"/>
      <c r="CHP14"/>
      <c r="CHQ14"/>
      <c r="CHR14"/>
      <c r="CHS14"/>
      <c r="CHT14"/>
      <c r="CHU14"/>
      <c r="CHV14"/>
      <c r="CHW14"/>
      <c r="CHX14"/>
      <c r="CHY14"/>
      <c r="CHZ14"/>
      <c r="CIA14"/>
      <c r="CIB14"/>
      <c r="CIC14"/>
      <c r="CID14"/>
      <c r="CIE14"/>
      <c r="CIF14"/>
      <c r="CIG14"/>
      <c r="CIH14"/>
      <c r="CII14"/>
      <c r="CIJ14"/>
      <c r="CIK14"/>
      <c r="CIL14"/>
      <c r="CIM14"/>
      <c r="CIN14"/>
      <c r="CIO14"/>
      <c r="CIP14"/>
      <c r="CIQ14"/>
      <c r="CIR14"/>
      <c r="CIS14"/>
      <c r="CIT14"/>
      <c r="CIU14"/>
      <c r="CIV14"/>
      <c r="CIW14"/>
      <c r="CIX14"/>
      <c r="CIY14"/>
      <c r="CIZ14"/>
      <c r="CJA14"/>
      <c r="CJB14"/>
      <c r="CJC14"/>
      <c r="CJD14"/>
      <c r="CJE14"/>
      <c r="CJF14"/>
      <c r="CJG14"/>
      <c r="CJH14"/>
      <c r="CJI14"/>
      <c r="CJJ14"/>
      <c r="CJK14"/>
      <c r="CJL14"/>
      <c r="CJM14"/>
      <c r="CJN14"/>
      <c r="CJO14"/>
      <c r="CJP14"/>
      <c r="CJQ14"/>
      <c r="CJR14"/>
      <c r="CJS14"/>
      <c r="CJT14"/>
      <c r="CJU14"/>
      <c r="CJV14"/>
      <c r="CJW14"/>
      <c r="CJX14"/>
      <c r="CJY14"/>
      <c r="CJZ14"/>
      <c r="CKA14"/>
      <c r="CKB14"/>
      <c r="CKC14"/>
      <c r="CKD14"/>
      <c r="CKE14"/>
      <c r="CKF14"/>
      <c r="CKG14"/>
      <c r="CKH14"/>
      <c r="CKI14"/>
      <c r="CKJ14"/>
      <c r="CKK14"/>
      <c r="CKL14"/>
      <c r="CKM14"/>
      <c r="CKN14"/>
      <c r="CKO14"/>
      <c r="CKP14"/>
      <c r="CKQ14"/>
      <c r="CKR14"/>
      <c r="CKS14"/>
      <c r="CKT14"/>
      <c r="CKU14"/>
      <c r="CKV14"/>
      <c r="CKW14"/>
      <c r="CKX14"/>
      <c r="CKY14"/>
      <c r="CKZ14"/>
      <c r="CLA14"/>
      <c r="CLB14"/>
      <c r="CLC14"/>
      <c r="CLD14"/>
      <c r="CLE14"/>
      <c r="CLF14"/>
      <c r="CLG14"/>
      <c r="CLH14"/>
      <c r="CLI14"/>
      <c r="CLJ14"/>
      <c r="CLK14"/>
      <c r="CLL14"/>
      <c r="CLM14"/>
      <c r="CLN14"/>
      <c r="CLO14"/>
      <c r="CLP14"/>
      <c r="CLQ14"/>
      <c r="CLR14"/>
      <c r="CLS14"/>
      <c r="CLT14"/>
      <c r="CLU14"/>
      <c r="CLV14"/>
      <c r="CLW14"/>
      <c r="CLX14"/>
      <c r="CLY14"/>
      <c r="CLZ14"/>
      <c r="CMA14"/>
      <c r="CMB14"/>
      <c r="CMC14"/>
      <c r="CMD14"/>
      <c r="CME14"/>
      <c r="CMF14"/>
      <c r="CMG14"/>
      <c r="CMH14"/>
      <c r="CMI14"/>
      <c r="CMJ14"/>
      <c r="CMK14"/>
      <c r="CML14"/>
      <c r="CMM14"/>
      <c r="CMN14"/>
      <c r="CMO14"/>
      <c r="CMP14"/>
      <c r="CMQ14"/>
      <c r="CMR14"/>
      <c r="CMS14"/>
      <c r="CMT14"/>
      <c r="CMU14"/>
      <c r="CMV14"/>
      <c r="CMW14"/>
      <c r="CMX14"/>
      <c r="CMY14"/>
      <c r="CMZ14"/>
      <c r="CNA14"/>
      <c r="CNB14"/>
      <c r="CNC14"/>
      <c r="CND14"/>
      <c r="CNE14"/>
      <c r="CNF14"/>
      <c r="CNG14"/>
      <c r="CNH14"/>
      <c r="CNI14"/>
      <c r="CNJ14"/>
      <c r="CNK14"/>
      <c r="CNL14"/>
      <c r="CNM14"/>
      <c r="CNN14"/>
      <c r="CNO14"/>
      <c r="CNP14"/>
      <c r="CNQ14"/>
      <c r="CNR14"/>
      <c r="CNS14"/>
      <c r="CNT14"/>
      <c r="CNU14"/>
      <c r="CNV14"/>
      <c r="CNW14"/>
      <c r="CNX14"/>
      <c r="CNY14"/>
      <c r="CNZ14"/>
      <c r="COA14"/>
      <c r="COB14"/>
      <c r="COC14"/>
      <c r="COD14"/>
      <c r="COE14"/>
      <c r="COF14"/>
      <c r="COG14"/>
      <c r="COH14"/>
      <c r="COI14"/>
      <c r="COJ14"/>
      <c r="COK14"/>
      <c r="COL14"/>
      <c r="COM14"/>
      <c r="CON14"/>
      <c r="COO14"/>
      <c r="COP14"/>
      <c r="COQ14"/>
      <c r="COR14"/>
      <c r="COS14"/>
      <c r="COT14"/>
      <c r="COU14"/>
      <c r="COV14"/>
      <c r="COW14"/>
      <c r="COX14"/>
      <c r="COY14"/>
      <c r="COZ14"/>
      <c r="CPA14"/>
      <c r="CPB14"/>
      <c r="CPC14"/>
      <c r="CPD14"/>
      <c r="CPE14"/>
      <c r="CPF14"/>
      <c r="CPG14"/>
      <c r="CPH14"/>
      <c r="CPI14"/>
      <c r="CPJ14"/>
      <c r="CPK14"/>
      <c r="CPL14"/>
      <c r="CPM14"/>
      <c r="CPN14"/>
      <c r="CPO14"/>
      <c r="CPP14"/>
      <c r="CPQ14"/>
      <c r="CPR14"/>
      <c r="CPS14"/>
      <c r="CPT14"/>
      <c r="CPU14"/>
      <c r="CPV14"/>
      <c r="CPW14"/>
      <c r="CPX14"/>
      <c r="CPY14"/>
      <c r="CPZ14"/>
      <c r="CQA14"/>
      <c r="CQB14"/>
      <c r="CQC14"/>
      <c r="CQD14"/>
      <c r="CQE14"/>
      <c r="CQF14"/>
      <c r="CQG14"/>
      <c r="CQH14"/>
      <c r="CQI14"/>
      <c r="CQJ14"/>
      <c r="CQK14"/>
      <c r="CQL14"/>
      <c r="CQM14"/>
      <c r="CQN14"/>
      <c r="CQO14"/>
      <c r="CQP14"/>
      <c r="CQQ14"/>
      <c r="CQR14"/>
      <c r="CQS14"/>
      <c r="CQT14"/>
      <c r="CQU14"/>
      <c r="CQV14"/>
      <c r="CQW14"/>
      <c r="CQX14"/>
      <c r="CQY14"/>
      <c r="CQZ14"/>
      <c r="CRA14"/>
      <c r="CRB14"/>
      <c r="CRC14"/>
      <c r="CRD14"/>
      <c r="CRE14"/>
      <c r="CRF14"/>
      <c r="CRG14"/>
      <c r="CRH14"/>
      <c r="CRI14"/>
      <c r="CRJ14"/>
      <c r="CRK14"/>
      <c r="CRL14"/>
      <c r="CRM14"/>
      <c r="CRN14"/>
      <c r="CRO14"/>
      <c r="CRP14"/>
      <c r="CRQ14"/>
      <c r="CRR14"/>
      <c r="CRS14"/>
      <c r="CRT14"/>
      <c r="CRU14"/>
      <c r="CRV14"/>
      <c r="CRW14"/>
      <c r="CRX14"/>
      <c r="CRY14"/>
      <c r="CRZ14"/>
      <c r="CSA14"/>
      <c r="CSB14"/>
      <c r="CSC14"/>
      <c r="CSD14"/>
      <c r="CSE14"/>
      <c r="CSF14"/>
      <c r="CSG14"/>
      <c r="CSH14"/>
      <c r="CSI14"/>
      <c r="CSJ14"/>
      <c r="CSK14"/>
      <c r="CSL14"/>
      <c r="CSM14"/>
      <c r="CSN14"/>
      <c r="CSO14"/>
      <c r="CSP14"/>
      <c r="CSQ14"/>
      <c r="CSR14"/>
      <c r="CSS14"/>
      <c r="CST14"/>
      <c r="CSU14"/>
      <c r="CSV14"/>
      <c r="CSW14"/>
      <c r="CSX14"/>
      <c r="CSY14"/>
      <c r="CSZ14"/>
      <c r="CTA14"/>
      <c r="CTB14"/>
      <c r="CTC14"/>
      <c r="CTD14"/>
      <c r="CTE14"/>
      <c r="CTF14"/>
      <c r="CTG14"/>
      <c r="CTH14"/>
      <c r="CTI14"/>
      <c r="CTJ14"/>
      <c r="CTK14"/>
      <c r="CTL14"/>
      <c r="CTM14"/>
      <c r="CTN14"/>
      <c r="CTO14"/>
      <c r="CTP14"/>
      <c r="CTQ14"/>
      <c r="CTR14"/>
      <c r="CTS14"/>
      <c r="CTT14"/>
      <c r="CTU14"/>
      <c r="CTV14"/>
      <c r="CTW14"/>
      <c r="CTX14"/>
      <c r="CTY14"/>
      <c r="CTZ14"/>
      <c r="CUA14"/>
      <c r="CUB14"/>
      <c r="CUC14"/>
      <c r="CUD14"/>
      <c r="CUE14"/>
      <c r="CUF14"/>
      <c r="CUG14"/>
      <c r="CUH14"/>
      <c r="CUI14"/>
      <c r="CUJ14"/>
      <c r="CUK14"/>
      <c r="CUL14"/>
      <c r="CUM14"/>
      <c r="CUN14"/>
      <c r="CUO14"/>
      <c r="CUP14"/>
      <c r="CUQ14"/>
      <c r="CUR14"/>
      <c r="CUS14"/>
      <c r="CUT14"/>
      <c r="CUU14"/>
      <c r="CUV14"/>
      <c r="CUW14"/>
      <c r="CUX14"/>
      <c r="CUY14"/>
      <c r="CUZ14"/>
      <c r="CVA14"/>
      <c r="CVB14"/>
      <c r="CVC14"/>
      <c r="CVD14"/>
      <c r="CVE14"/>
      <c r="CVF14"/>
      <c r="CVG14"/>
      <c r="CVH14"/>
      <c r="CVI14"/>
      <c r="CVJ14"/>
      <c r="CVK14"/>
      <c r="CVL14"/>
      <c r="CVM14"/>
      <c r="CVN14"/>
      <c r="CVO14"/>
      <c r="CVP14"/>
      <c r="CVQ14"/>
      <c r="CVR14"/>
      <c r="CVS14"/>
      <c r="CVT14"/>
      <c r="CVU14"/>
      <c r="CVV14"/>
      <c r="CVW14"/>
      <c r="CVX14"/>
      <c r="CVY14"/>
      <c r="CVZ14"/>
      <c r="CWA14"/>
      <c r="CWB14"/>
      <c r="CWC14"/>
      <c r="CWD14"/>
      <c r="CWE14"/>
      <c r="CWF14"/>
      <c r="CWG14"/>
      <c r="CWH14"/>
      <c r="CWI14"/>
      <c r="CWJ14"/>
      <c r="CWK14"/>
      <c r="CWL14"/>
      <c r="CWM14"/>
      <c r="CWN14"/>
      <c r="CWO14"/>
      <c r="CWP14"/>
      <c r="CWQ14"/>
      <c r="CWR14"/>
      <c r="CWS14"/>
      <c r="CWT14"/>
      <c r="CWU14"/>
      <c r="CWV14"/>
      <c r="CWW14"/>
      <c r="CWX14"/>
      <c r="CWY14"/>
      <c r="CWZ14"/>
      <c r="CXA14"/>
      <c r="CXB14"/>
      <c r="CXC14"/>
      <c r="CXD14"/>
      <c r="CXE14"/>
      <c r="CXF14"/>
      <c r="CXG14"/>
      <c r="CXH14"/>
      <c r="CXI14"/>
      <c r="CXJ14"/>
      <c r="CXK14"/>
      <c r="CXL14"/>
      <c r="CXM14"/>
      <c r="CXN14"/>
      <c r="CXO14"/>
      <c r="CXP14"/>
      <c r="CXQ14"/>
      <c r="CXR14"/>
      <c r="CXS14"/>
      <c r="CXT14"/>
      <c r="CXU14"/>
      <c r="CXV14"/>
      <c r="CXW14"/>
      <c r="CXX14"/>
      <c r="CXY14"/>
      <c r="CXZ14"/>
      <c r="CYA14"/>
      <c r="CYB14"/>
      <c r="CYC14"/>
      <c r="CYD14"/>
      <c r="CYE14"/>
      <c r="CYF14"/>
      <c r="CYG14"/>
      <c r="CYH14"/>
      <c r="CYI14"/>
      <c r="CYJ14"/>
      <c r="CYK14"/>
      <c r="CYL14"/>
      <c r="CYM14"/>
      <c r="CYN14"/>
      <c r="CYO14"/>
      <c r="CYP14"/>
      <c r="CYQ14"/>
      <c r="CYR14"/>
      <c r="CYS14"/>
      <c r="CYT14"/>
      <c r="CYU14"/>
      <c r="CYV14"/>
      <c r="CYW14"/>
      <c r="CYX14"/>
      <c r="CYY14"/>
      <c r="CYZ14"/>
      <c r="CZA14"/>
      <c r="CZB14"/>
      <c r="CZC14"/>
      <c r="CZD14"/>
      <c r="CZE14"/>
      <c r="CZF14"/>
      <c r="CZG14"/>
      <c r="CZH14"/>
      <c r="CZI14"/>
      <c r="CZJ14"/>
      <c r="CZK14"/>
      <c r="CZL14"/>
      <c r="CZM14"/>
      <c r="CZN14"/>
      <c r="CZO14"/>
      <c r="CZP14"/>
      <c r="CZQ14"/>
      <c r="CZR14"/>
      <c r="CZS14"/>
      <c r="CZT14"/>
      <c r="CZU14"/>
      <c r="CZV14"/>
      <c r="CZW14"/>
      <c r="CZX14"/>
      <c r="CZY14"/>
      <c r="CZZ14"/>
      <c r="DAA14"/>
      <c r="DAB14"/>
      <c r="DAC14"/>
      <c r="DAD14"/>
      <c r="DAE14"/>
      <c r="DAF14"/>
      <c r="DAG14"/>
      <c r="DAH14"/>
      <c r="DAI14"/>
      <c r="DAJ14"/>
      <c r="DAK14"/>
      <c r="DAL14"/>
      <c r="DAM14"/>
      <c r="DAN14"/>
      <c r="DAO14"/>
      <c r="DAP14"/>
      <c r="DAQ14"/>
      <c r="DAR14"/>
      <c r="DAS14"/>
      <c r="DAT14"/>
      <c r="DAU14"/>
      <c r="DAV14"/>
      <c r="DAW14"/>
      <c r="DAX14"/>
      <c r="DAY14"/>
      <c r="DAZ14"/>
      <c r="DBA14"/>
      <c r="DBB14"/>
      <c r="DBC14"/>
      <c r="DBD14"/>
      <c r="DBE14"/>
      <c r="DBF14"/>
      <c r="DBG14"/>
      <c r="DBH14"/>
      <c r="DBI14"/>
      <c r="DBJ14"/>
      <c r="DBK14"/>
      <c r="DBL14"/>
      <c r="DBM14"/>
      <c r="DBN14"/>
      <c r="DBO14"/>
      <c r="DBP14"/>
      <c r="DBQ14"/>
      <c r="DBR14"/>
      <c r="DBS14"/>
      <c r="DBT14"/>
      <c r="DBU14"/>
      <c r="DBV14"/>
      <c r="DBW14"/>
      <c r="DBX14"/>
      <c r="DBY14"/>
      <c r="DBZ14"/>
      <c r="DCA14"/>
      <c r="DCB14"/>
      <c r="DCC14"/>
      <c r="DCD14"/>
      <c r="DCE14"/>
      <c r="DCF14"/>
      <c r="DCG14"/>
      <c r="DCH14"/>
      <c r="DCI14"/>
      <c r="DCJ14"/>
      <c r="DCK14"/>
      <c r="DCL14"/>
      <c r="DCM14"/>
      <c r="DCN14"/>
      <c r="DCO14"/>
      <c r="DCP14"/>
      <c r="DCQ14"/>
      <c r="DCR14"/>
      <c r="DCS14"/>
      <c r="DCT14"/>
      <c r="DCU14"/>
      <c r="DCV14"/>
      <c r="DCW14"/>
      <c r="DCX14"/>
      <c r="DCY14"/>
      <c r="DCZ14"/>
      <c r="DDA14"/>
      <c r="DDB14"/>
      <c r="DDC14"/>
      <c r="DDD14"/>
      <c r="DDE14"/>
      <c r="DDF14"/>
      <c r="DDG14"/>
      <c r="DDH14"/>
      <c r="DDI14"/>
      <c r="DDJ14"/>
      <c r="DDK14"/>
      <c r="DDL14"/>
      <c r="DDM14"/>
      <c r="DDN14"/>
      <c r="DDO14"/>
      <c r="DDP14"/>
      <c r="DDQ14"/>
      <c r="DDR14"/>
      <c r="DDS14"/>
      <c r="DDT14"/>
      <c r="DDU14"/>
      <c r="DDV14"/>
      <c r="DDW14"/>
      <c r="DDX14"/>
      <c r="DDY14"/>
      <c r="DDZ14"/>
      <c r="DEA14"/>
      <c r="DEB14"/>
      <c r="DEC14"/>
      <c r="DED14"/>
      <c r="DEE14"/>
      <c r="DEF14"/>
      <c r="DEG14"/>
      <c r="DEH14"/>
      <c r="DEI14"/>
      <c r="DEJ14"/>
      <c r="DEK14"/>
      <c r="DEL14"/>
      <c r="DEM14"/>
      <c r="DEN14"/>
      <c r="DEO14"/>
      <c r="DEP14"/>
      <c r="DEQ14"/>
      <c r="DER14"/>
      <c r="DES14"/>
      <c r="DET14"/>
      <c r="DEU14"/>
      <c r="DEV14"/>
      <c r="DEW14"/>
      <c r="DEX14"/>
      <c r="DEY14"/>
      <c r="DEZ14"/>
      <c r="DFA14"/>
      <c r="DFB14"/>
      <c r="DFC14"/>
      <c r="DFD14"/>
      <c r="DFE14"/>
      <c r="DFF14"/>
      <c r="DFG14"/>
      <c r="DFH14"/>
      <c r="DFI14"/>
      <c r="DFJ14"/>
      <c r="DFK14"/>
      <c r="DFL14"/>
      <c r="DFM14"/>
      <c r="DFN14"/>
      <c r="DFO14"/>
      <c r="DFP14"/>
      <c r="DFQ14"/>
      <c r="DFR14"/>
      <c r="DFS14"/>
      <c r="DFT14"/>
      <c r="DFU14"/>
      <c r="DFV14"/>
      <c r="DFW14"/>
      <c r="DFX14"/>
      <c r="DFY14"/>
      <c r="DFZ14"/>
      <c r="DGA14"/>
      <c r="DGB14"/>
      <c r="DGC14"/>
      <c r="DGD14"/>
      <c r="DGE14"/>
      <c r="DGF14"/>
      <c r="DGG14"/>
      <c r="DGH14"/>
      <c r="DGI14"/>
      <c r="DGJ14"/>
      <c r="DGK14"/>
      <c r="DGL14"/>
      <c r="DGM14"/>
      <c r="DGN14"/>
      <c r="DGO14"/>
      <c r="DGP14"/>
      <c r="DGQ14"/>
      <c r="DGR14"/>
      <c r="DGS14"/>
      <c r="DGT14"/>
      <c r="DGU14"/>
      <c r="DGV14"/>
      <c r="DGW14"/>
      <c r="DGX14"/>
      <c r="DGY14"/>
      <c r="DGZ14"/>
      <c r="DHA14"/>
      <c r="DHB14"/>
      <c r="DHC14"/>
      <c r="DHD14"/>
      <c r="DHE14"/>
      <c r="DHF14"/>
      <c r="DHG14"/>
      <c r="DHH14"/>
      <c r="DHI14"/>
      <c r="DHJ14"/>
      <c r="DHK14"/>
      <c r="DHL14"/>
      <c r="DHM14"/>
      <c r="DHN14"/>
      <c r="DHO14"/>
      <c r="DHP14"/>
      <c r="DHQ14"/>
      <c r="DHR14"/>
      <c r="DHS14"/>
      <c r="DHT14"/>
      <c r="DHU14"/>
      <c r="DHV14"/>
      <c r="DHW14"/>
      <c r="DHX14"/>
      <c r="DHY14"/>
      <c r="DHZ14"/>
      <c r="DIA14"/>
      <c r="DIB14"/>
      <c r="DIC14"/>
      <c r="DID14"/>
      <c r="DIE14"/>
      <c r="DIF14"/>
      <c r="DIG14"/>
      <c r="DIH14"/>
      <c r="DII14"/>
      <c r="DIJ14"/>
      <c r="DIK14"/>
      <c r="DIL14"/>
      <c r="DIM14"/>
      <c r="DIN14"/>
      <c r="DIO14"/>
      <c r="DIP14"/>
      <c r="DIQ14"/>
      <c r="DIR14"/>
      <c r="DIS14"/>
      <c r="DIT14"/>
      <c r="DIU14"/>
      <c r="DIV14"/>
      <c r="DIW14"/>
      <c r="DIX14"/>
      <c r="DIY14"/>
      <c r="DIZ14"/>
      <c r="DJA14"/>
      <c r="DJB14"/>
      <c r="DJC14"/>
      <c r="DJD14"/>
      <c r="DJE14"/>
      <c r="DJF14"/>
      <c r="DJG14"/>
      <c r="DJH14"/>
      <c r="DJI14"/>
      <c r="DJJ14"/>
      <c r="DJK14"/>
      <c r="DJL14"/>
      <c r="DJM14"/>
      <c r="DJN14"/>
      <c r="DJO14"/>
      <c r="DJP14"/>
      <c r="DJQ14"/>
      <c r="DJR14"/>
      <c r="DJS14"/>
      <c r="DJT14"/>
      <c r="DJU14"/>
      <c r="DJV14"/>
      <c r="DJW14"/>
      <c r="DJX14"/>
      <c r="DJY14"/>
      <c r="DJZ14"/>
      <c r="DKA14"/>
      <c r="DKB14"/>
      <c r="DKC14"/>
      <c r="DKD14"/>
      <c r="DKE14"/>
      <c r="DKF14"/>
      <c r="DKG14"/>
      <c r="DKH14"/>
      <c r="DKI14"/>
      <c r="DKJ14"/>
      <c r="DKK14"/>
      <c r="DKL14"/>
      <c r="DKM14"/>
      <c r="DKN14"/>
      <c r="DKO14"/>
      <c r="DKP14"/>
      <c r="DKQ14"/>
      <c r="DKR14"/>
      <c r="DKS14"/>
      <c r="DKT14"/>
      <c r="DKU14"/>
      <c r="DKV14"/>
      <c r="DKW14"/>
      <c r="DKX14"/>
      <c r="DKY14"/>
      <c r="DKZ14"/>
      <c r="DLA14"/>
      <c r="DLB14"/>
      <c r="DLC14"/>
      <c r="DLD14"/>
      <c r="DLE14"/>
      <c r="DLF14"/>
      <c r="DLG14"/>
      <c r="DLH14"/>
      <c r="DLI14"/>
      <c r="DLJ14"/>
      <c r="DLK14"/>
      <c r="DLL14"/>
      <c r="DLM14"/>
      <c r="DLN14"/>
      <c r="DLO14"/>
      <c r="DLP14"/>
      <c r="DLQ14"/>
      <c r="DLR14"/>
      <c r="DLS14"/>
      <c r="DLT14"/>
      <c r="DLU14"/>
      <c r="DLV14"/>
      <c r="DLW14"/>
      <c r="DLX14"/>
      <c r="DLY14"/>
      <c r="DLZ14"/>
      <c r="DMA14"/>
      <c r="DMB14"/>
      <c r="DMC14"/>
      <c r="DMD14"/>
      <c r="DME14"/>
      <c r="DMF14"/>
      <c r="DMG14"/>
      <c r="DMH14"/>
      <c r="DMI14"/>
      <c r="DMJ14"/>
      <c r="DMK14"/>
      <c r="DML14"/>
      <c r="DMM14"/>
      <c r="DMN14"/>
      <c r="DMO14"/>
      <c r="DMP14"/>
      <c r="DMQ14"/>
      <c r="DMR14"/>
      <c r="DMS14"/>
      <c r="DMT14"/>
      <c r="DMU14"/>
      <c r="DMV14"/>
      <c r="DMW14"/>
      <c r="DMX14"/>
      <c r="DMY14"/>
      <c r="DMZ14"/>
      <c r="DNA14"/>
      <c r="DNB14"/>
      <c r="DNC14"/>
      <c r="DND14"/>
      <c r="DNE14"/>
      <c r="DNF14"/>
      <c r="DNG14"/>
      <c r="DNH14"/>
      <c r="DNI14"/>
      <c r="DNJ14"/>
      <c r="DNK14"/>
      <c r="DNL14"/>
      <c r="DNM14"/>
      <c r="DNN14"/>
      <c r="DNO14"/>
      <c r="DNP14"/>
      <c r="DNQ14"/>
      <c r="DNR14"/>
      <c r="DNS14"/>
      <c r="DNT14"/>
      <c r="DNU14"/>
      <c r="DNV14"/>
      <c r="DNW14"/>
      <c r="DNX14"/>
      <c r="DNY14"/>
      <c r="DNZ14"/>
      <c r="DOA14"/>
      <c r="DOB14"/>
      <c r="DOC14"/>
      <c r="DOD14"/>
      <c r="DOE14"/>
      <c r="DOF14"/>
      <c r="DOG14"/>
      <c r="DOH14"/>
      <c r="DOI14"/>
      <c r="DOJ14"/>
      <c r="DOK14"/>
      <c r="DOL14"/>
      <c r="DOM14"/>
      <c r="DON14"/>
      <c r="DOO14"/>
      <c r="DOP14"/>
      <c r="DOQ14"/>
      <c r="DOR14"/>
      <c r="DOS14"/>
      <c r="DOT14"/>
      <c r="DOU14"/>
      <c r="DOV14"/>
      <c r="DOW14"/>
      <c r="DOX14"/>
      <c r="DOY14"/>
      <c r="DOZ14"/>
      <c r="DPA14"/>
      <c r="DPB14"/>
      <c r="DPC14"/>
      <c r="DPD14"/>
      <c r="DPE14"/>
      <c r="DPF14"/>
      <c r="DPG14"/>
      <c r="DPH14"/>
      <c r="DPI14"/>
      <c r="DPJ14"/>
      <c r="DPK14"/>
      <c r="DPL14"/>
      <c r="DPM14"/>
      <c r="DPN14"/>
      <c r="DPO14"/>
      <c r="DPP14"/>
      <c r="DPQ14"/>
      <c r="DPR14"/>
      <c r="DPS14"/>
      <c r="DPT14"/>
      <c r="DPU14"/>
      <c r="DPV14"/>
      <c r="DPW14"/>
      <c r="DPX14"/>
      <c r="DPY14"/>
      <c r="DPZ14"/>
      <c r="DQA14"/>
      <c r="DQB14"/>
      <c r="DQC14"/>
      <c r="DQD14"/>
      <c r="DQE14"/>
      <c r="DQF14"/>
      <c r="DQG14"/>
      <c r="DQH14"/>
      <c r="DQI14"/>
      <c r="DQJ14"/>
      <c r="DQK14"/>
      <c r="DQL14"/>
      <c r="DQM14"/>
      <c r="DQN14"/>
      <c r="DQO14"/>
      <c r="DQP14"/>
      <c r="DQQ14"/>
      <c r="DQR14"/>
      <c r="DQS14"/>
      <c r="DQT14"/>
      <c r="DQU14"/>
      <c r="DQV14"/>
      <c r="DQW14"/>
      <c r="DQX14"/>
      <c r="DQY14"/>
      <c r="DQZ14"/>
      <c r="DRA14"/>
      <c r="DRB14"/>
      <c r="DRC14"/>
      <c r="DRD14"/>
      <c r="DRE14"/>
      <c r="DRF14"/>
      <c r="DRG14"/>
      <c r="DRH14"/>
      <c r="DRI14"/>
      <c r="DRJ14"/>
      <c r="DRK14"/>
      <c r="DRL14"/>
      <c r="DRM14"/>
      <c r="DRN14"/>
      <c r="DRO14"/>
      <c r="DRP14"/>
      <c r="DRQ14"/>
      <c r="DRR14"/>
      <c r="DRS14"/>
      <c r="DRT14"/>
      <c r="DRU14"/>
      <c r="DRV14"/>
      <c r="DRW14"/>
      <c r="DRX14"/>
      <c r="DRY14"/>
      <c r="DRZ14"/>
      <c r="DSA14"/>
      <c r="DSB14"/>
      <c r="DSC14"/>
      <c r="DSD14"/>
      <c r="DSE14"/>
      <c r="DSF14"/>
      <c r="DSG14"/>
      <c r="DSH14"/>
      <c r="DSI14"/>
      <c r="DSJ14"/>
      <c r="DSK14"/>
      <c r="DSL14"/>
      <c r="DSM14"/>
      <c r="DSN14"/>
      <c r="DSO14"/>
      <c r="DSP14"/>
      <c r="DSQ14"/>
      <c r="DSR14"/>
      <c r="DSS14"/>
      <c r="DST14"/>
      <c r="DSU14"/>
      <c r="DSV14"/>
      <c r="DSW14"/>
      <c r="DSX14"/>
      <c r="DSY14"/>
      <c r="DSZ14"/>
      <c r="DTA14"/>
      <c r="DTB14"/>
      <c r="DTC14"/>
      <c r="DTD14"/>
      <c r="DTE14"/>
      <c r="DTF14"/>
      <c r="DTG14"/>
      <c r="DTH14"/>
      <c r="DTI14"/>
      <c r="DTJ14"/>
      <c r="DTK14"/>
      <c r="DTL14"/>
      <c r="DTM14"/>
      <c r="DTN14"/>
      <c r="DTO14"/>
      <c r="DTP14"/>
      <c r="DTQ14"/>
      <c r="DTR14"/>
      <c r="DTS14"/>
      <c r="DTT14"/>
      <c r="DTU14"/>
      <c r="DTV14"/>
      <c r="DTW14"/>
      <c r="DTX14"/>
      <c r="DTY14"/>
      <c r="DTZ14"/>
      <c r="DUA14"/>
      <c r="DUB14"/>
      <c r="DUC14"/>
      <c r="DUD14"/>
      <c r="DUE14"/>
      <c r="DUF14"/>
      <c r="DUG14"/>
      <c r="DUH14"/>
      <c r="DUI14"/>
      <c r="DUJ14"/>
      <c r="DUK14"/>
      <c r="DUL14"/>
      <c r="DUM14"/>
      <c r="DUN14"/>
      <c r="DUO14"/>
      <c r="DUP14"/>
      <c r="DUQ14"/>
      <c r="DUR14"/>
      <c r="DUS14"/>
      <c r="DUT14"/>
      <c r="DUU14"/>
      <c r="DUV14"/>
      <c r="DUW14"/>
      <c r="DUX14"/>
      <c r="DUY14"/>
      <c r="DUZ14"/>
      <c r="DVA14"/>
      <c r="DVB14"/>
      <c r="DVC14"/>
      <c r="DVD14"/>
      <c r="DVE14"/>
      <c r="DVF14"/>
      <c r="DVG14"/>
      <c r="DVH14"/>
      <c r="DVI14"/>
      <c r="DVJ14"/>
      <c r="DVK14"/>
      <c r="DVL14"/>
      <c r="DVM14"/>
      <c r="DVN14"/>
      <c r="DVO14"/>
      <c r="DVP14"/>
      <c r="DVQ14"/>
      <c r="DVR14"/>
      <c r="DVS14"/>
      <c r="DVT14"/>
      <c r="DVU14"/>
      <c r="DVV14"/>
      <c r="DVW14"/>
      <c r="DVX14"/>
      <c r="DVY14"/>
      <c r="DVZ14"/>
      <c r="DWA14"/>
      <c r="DWB14"/>
      <c r="DWC14"/>
      <c r="DWD14"/>
      <c r="DWE14"/>
      <c r="DWF14"/>
      <c r="DWG14"/>
      <c r="DWH14"/>
      <c r="DWI14"/>
      <c r="DWJ14"/>
      <c r="DWK14"/>
      <c r="DWL14"/>
      <c r="DWM14"/>
      <c r="DWN14"/>
      <c r="DWO14"/>
      <c r="DWP14"/>
      <c r="DWQ14"/>
      <c r="DWR14"/>
      <c r="DWS14"/>
      <c r="DWT14"/>
      <c r="DWU14"/>
      <c r="DWV14"/>
      <c r="DWW14"/>
      <c r="DWX14"/>
      <c r="DWY14"/>
      <c r="DWZ14"/>
      <c r="DXA14"/>
      <c r="DXB14"/>
      <c r="DXC14"/>
      <c r="DXD14"/>
      <c r="DXE14"/>
      <c r="DXF14"/>
      <c r="DXG14"/>
      <c r="DXH14"/>
      <c r="DXI14"/>
      <c r="DXJ14"/>
      <c r="DXK14"/>
      <c r="DXL14"/>
      <c r="DXM14"/>
      <c r="DXN14"/>
      <c r="DXO14"/>
      <c r="DXP14"/>
      <c r="DXQ14"/>
      <c r="DXR14"/>
      <c r="DXS14"/>
      <c r="DXT14"/>
      <c r="DXU14"/>
      <c r="DXV14"/>
      <c r="DXW14"/>
      <c r="DXX14"/>
      <c r="DXY14"/>
      <c r="DXZ14"/>
      <c r="DYA14"/>
      <c r="DYB14"/>
      <c r="DYC14"/>
      <c r="DYD14"/>
      <c r="DYE14"/>
      <c r="DYF14"/>
      <c r="DYG14"/>
      <c r="DYH14"/>
      <c r="DYI14"/>
      <c r="DYJ14"/>
      <c r="DYK14"/>
      <c r="DYL14"/>
      <c r="DYM14"/>
      <c r="DYN14"/>
      <c r="DYO14"/>
      <c r="DYP14"/>
      <c r="DYQ14"/>
      <c r="DYR14"/>
      <c r="DYS14"/>
      <c r="DYT14"/>
      <c r="DYU14"/>
      <c r="DYV14"/>
      <c r="DYW14"/>
      <c r="DYX14"/>
      <c r="DYY14"/>
      <c r="DYZ14"/>
      <c r="DZA14"/>
      <c r="DZB14"/>
      <c r="DZC14"/>
      <c r="DZD14"/>
      <c r="DZE14"/>
      <c r="DZF14"/>
      <c r="DZG14"/>
      <c r="DZH14"/>
      <c r="DZI14"/>
      <c r="DZJ14"/>
      <c r="DZK14"/>
      <c r="DZL14"/>
      <c r="DZM14"/>
      <c r="DZN14"/>
      <c r="DZO14"/>
      <c r="DZP14"/>
      <c r="DZQ14"/>
      <c r="DZR14"/>
      <c r="DZS14"/>
      <c r="DZT14"/>
      <c r="DZU14"/>
      <c r="DZV14"/>
      <c r="DZW14"/>
      <c r="DZX14"/>
      <c r="DZY14"/>
      <c r="DZZ14"/>
      <c r="EAA14"/>
      <c r="EAB14"/>
      <c r="EAC14"/>
      <c r="EAD14"/>
      <c r="EAE14"/>
      <c r="EAF14"/>
      <c r="EAG14"/>
      <c r="EAH14"/>
      <c r="EAI14"/>
      <c r="EAJ14"/>
      <c r="EAK14"/>
      <c r="EAL14"/>
      <c r="EAM14"/>
      <c r="EAN14"/>
      <c r="EAO14"/>
      <c r="EAP14"/>
      <c r="EAQ14"/>
      <c r="EAR14"/>
      <c r="EAS14"/>
      <c r="EAT14"/>
      <c r="EAU14"/>
      <c r="EAV14"/>
      <c r="EAW14"/>
      <c r="EAX14"/>
      <c r="EAY14"/>
      <c r="EAZ14"/>
      <c r="EBA14"/>
      <c r="EBB14"/>
      <c r="EBC14"/>
      <c r="EBD14"/>
      <c r="EBE14"/>
      <c r="EBF14"/>
      <c r="EBG14"/>
      <c r="EBH14"/>
      <c r="EBI14"/>
      <c r="EBJ14"/>
      <c r="EBK14"/>
      <c r="EBL14"/>
      <c r="EBM14"/>
      <c r="EBN14"/>
      <c r="EBO14"/>
      <c r="EBP14"/>
      <c r="EBQ14"/>
      <c r="EBR14"/>
      <c r="EBS14"/>
      <c r="EBT14"/>
      <c r="EBU14"/>
      <c r="EBV14"/>
      <c r="EBW14"/>
      <c r="EBX14"/>
      <c r="EBY14"/>
      <c r="EBZ14"/>
      <c r="ECA14"/>
      <c r="ECB14"/>
      <c r="ECC14"/>
      <c r="ECD14"/>
      <c r="ECE14"/>
      <c r="ECF14"/>
      <c r="ECG14"/>
      <c r="ECH14"/>
      <c r="ECI14"/>
      <c r="ECJ14"/>
      <c r="ECK14"/>
      <c r="ECL14"/>
      <c r="ECM14"/>
      <c r="ECN14"/>
      <c r="ECO14"/>
      <c r="ECP14"/>
      <c r="ECQ14"/>
      <c r="ECR14"/>
      <c r="ECS14"/>
      <c r="ECT14"/>
      <c r="ECU14"/>
      <c r="ECV14"/>
      <c r="ECW14"/>
      <c r="ECX14"/>
      <c r="ECY14"/>
      <c r="ECZ14"/>
      <c r="EDA14"/>
      <c r="EDB14"/>
      <c r="EDC14"/>
      <c r="EDD14"/>
      <c r="EDE14"/>
      <c r="EDF14"/>
      <c r="EDG14"/>
      <c r="EDH14"/>
      <c r="EDI14"/>
      <c r="EDJ14"/>
      <c r="EDK14"/>
      <c r="EDL14"/>
      <c r="EDM14"/>
      <c r="EDN14"/>
      <c r="EDO14"/>
      <c r="EDP14"/>
      <c r="EDQ14"/>
      <c r="EDR14"/>
      <c r="EDS14"/>
      <c r="EDT14"/>
      <c r="EDU14"/>
      <c r="EDV14"/>
      <c r="EDW14"/>
      <c r="EDX14"/>
      <c r="EDY14"/>
      <c r="EDZ14"/>
      <c r="EEA14"/>
      <c r="EEB14"/>
      <c r="EEC14"/>
      <c r="EED14"/>
      <c r="EEE14"/>
      <c r="EEF14"/>
      <c r="EEG14"/>
      <c r="EEH14"/>
      <c r="EEI14"/>
      <c r="EEJ14"/>
      <c r="EEK14"/>
      <c r="EEL14"/>
      <c r="EEM14"/>
      <c r="EEN14"/>
      <c r="EEO14"/>
      <c r="EEP14"/>
      <c r="EEQ14"/>
      <c r="EER14"/>
      <c r="EES14"/>
      <c r="EET14"/>
      <c r="EEU14"/>
      <c r="EEV14"/>
      <c r="EEW14"/>
      <c r="EEX14"/>
      <c r="EEY14"/>
      <c r="EEZ14"/>
      <c r="EFA14"/>
      <c r="EFB14"/>
      <c r="EFC14"/>
      <c r="EFD14"/>
      <c r="EFE14"/>
      <c r="EFF14"/>
      <c r="EFG14"/>
      <c r="EFH14"/>
      <c r="EFI14"/>
      <c r="EFJ14"/>
      <c r="EFK14"/>
      <c r="EFL14"/>
      <c r="EFM14"/>
      <c r="EFN14"/>
      <c r="EFO14"/>
      <c r="EFP14"/>
      <c r="EFQ14"/>
      <c r="EFR14"/>
      <c r="EFS14"/>
      <c r="EFT14"/>
      <c r="EFU14"/>
      <c r="EFV14"/>
      <c r="EFW14"/>
      <c r="EFX14"/>
      <c r="EFY14"/>
      <c r="EFZ14"/>
      <c r="EGA14"/>
      <c r="EGB14"/>
      <c r="EGC14"/>
      <c r="EGD14"/>
      <c r="EGE14"/>
      <c r="EGF14"/>
      <c r="EGG14"/>
      <c r="EGH14"/>
      <c r="EGI14"/>
      <c r="EGJ14"/>
      <c r="EGK14"/>
      <c r="EGL14"/>
      <c r="EGM14"/>
      <c r="EGN14"/>
      <c r="EGO14"/>
      <c r="EGP14"/>
      <c r="EGQ14"/>
      <c r="EGR14"/>
      <c r="EGS14"/>
      <c r="EGT14"/>
      <c r="EGU14"/>
      <c r="EGV14"/>
      <c r="EGW14"/>
      <c r="EGX14"/>
      <c r="EGY14"/>
      <c r="EGZ14"/>
      <c r="EHA14"/>
      <c r="EHB14"/>
      <c r="EHC14"/>
      <c r="EHD14"/>
      <c r="EHE14"/>
      <c r="EHF14"/>
      <c r="EHG14"/>
      <c r="EHH14"/>
      <c r="EHI14"/>
      <c r="EHJ14"/>
      <c r="EHK14"/>
      <c r="EHL14"/>
      <c r="EHM14"/>
      <c r="EHN14"/>
      <c r="EHO14"/>
      <c r="EHP14"/>
      <c r="EHQ14"/>
      <c r="EHR14"/>
      <c r="EHS14"/>
      <c r="EHT14"/>
      <c r="EHU14"/>
      <c r="EHV14"/>
      <c r="EHW14"/>
      <c r="EHX14"/>
      <c r="EHY14"/>
      <c r="EHZ14"/>
      <c r="EIA14"/>
      <c r="EIB14"/>
      <c r="EIC14"/>
      <c r="EID14"/>
      <c r="EIE14"/>
      <c r="EIF14"/>
      <c r="EIG14"/>
      <c r="EIH14"/>
      <c r="EII14"/>
      <c r="EIJ14"/>
      <c r="EIK14"/>
      <c r="EIL14"/>
      <c r="EIM14"/>
      <c r="EIN14"/>
      <c r="EIO14"/>
      <c r="EIP14"/>
      <c r="EIQ14"/>
      <c r="EIR14"/>
      <c r="EIS14"/>
      <c r="EIT14"/>
      <c r="EIU14"/>
      <c r="EIV14"/>
      <c r="EIW14"/>
      <c r="EIX14"/>
      <c r="EIY14"/>
      <c r="EIZ14"/>
      <c r="EJA14"/>
      <c r="EJB14"/>
      <c r="EJC14"/>
      <c r="EJD14"/>
      <c r="EJE14"/>
      <c r="EJF14"/>
      <c r="EJG14"/>
      <c r="EJH14"/>
      <c r="EJI14"/>
      <c r="EJJ14"/>
      <c r="EJK14"/>
      <c r="EJL14"/>
      <c r="EJM14"/>
      <c r="EJN14"/>
      <c r="EJO14"/>
      <c r="EJP14"/>
      <c r="EJQ14"/>
      <c r="EJR14"/>
      <c r="EJS14"/>
      <c r="EJT14"/>
      <c r="EJU14"/>
      <c r="EJV14"/>
      <c r="EJW14"/>
      <c r="EJX14"/>
      <c r="EJY14"/>
      <c r="EJZ14"/>
      <c r="EKA14"/>
      <c r="EKB14"/>
      <c r="EKC14"/>
      <c r="EKD14"/>
      <c r="EKE14"/>
      <c r="EKF14"/>
      <c r="EKG14"/>
      <c r="EKH14"/>
      <c r="EKI14"/>
      <c r="EKJ14"/>
      <c r="EKK14"/>
      <c r="EKL14"/>
      <c r="EKM14"/>
      <c r="EKN14"/>
      <c r="EKO14"/>
      <c r="EKP14"/>
      <c r="EKQ14"/>
      <c r="EKR14"/>
      <c r="EKS14"/>
      <c r="EKT14"/>
      <c r="EKU14"/>
      <c r="EKV14"/>
      <c r="EKW14"/>
      <c r="EKX14"/>
      <c r="EKY14"/>
      <c r="EKZ14"/>
      <c r="ELA14"/>
      <c r="ELB14"/>
      <c r="ELC14"/>
      <c r="ELD14"/>
      <c r="ELE14"/>
      <c r="ELF14"/>
      <c r="ELG14"/>
      <c r="ELH14"/>
      <c r="ELI14"/>
      <c r="ELJ14"/>
      <c r="ELK14"/>
      <c r="ELL14"/>
      <c r="ELM14"/>
      <c r="ELN14"/>
      <c r="ELO14"/>
      <c r="ELP14"/>
      <c r="ELQ14"/>
      <c r="ELR14"/>
      <c r="ELS14"/>
      <c r="ELT14"/>
      <c r="ELU14"/>
      <c r="ELV14"/>
      <c r="ELW14"/>
      <c r="ELX14"/>
      <c r="ELY14"/>
      <c r="ELZ14"/>
      <c r="EMA14"/>
      <c r="EMB14"/>
      <c r="EMC14"/>
      <c r="EMD14"/>
      <c r="EME14"/>
      <c r="EMF14"/>
      <c r="EMG14"/>
      <c r="EMH14"/>
      <c r="EMI14"/>
      <c r="EMJ14"/>
      <c r="EMK14"/>
      <c r="EML14"/>
      <c r="EMM14"/>
      <c r="EMN14"/>
      <c r="EMO14"/>
      <c r="EMP14"/>
      <c r="EMQ14"/>
      <c r="EMR14"/>
      <c r="EMS14"/>
      <c r="EMT14"/>
      <c r="EMU14"/>
      <c r="EMV14"/>
      <c r="EMW14"/>
      <c r="EMX14"/>
      <c r="EMY14"/>
      <c r="EMZ14"/>
      <c r="ENA14"/>
      <c r="ENB14"/>
      <c r="ENC14"/>
      <c r="END14"/>
      <c r="ENE14"/>
      <c r="ENF14"/>
      <c r="ENG14"/>
      <c r="ENH14"/>
      <c r="ENI14"/>
      <c r="ENJ14"/>
      <c r="ENK14"/>
      <c r="ENL14"/>
      <c r="ENM14"/>
      <c r="ENN14"/>
      <c r="ENO14"/>
      <c r="ENP14"/>
      <c r="ENQ14"/>
      <c r="ENR14"/>
      <c r="ENS14"/>
      <c r="ENT14"/>
      <c r="ENU14"/>
      <c r="ENV14"/>
      <c r="ENW14"/>
      <c r="ENX14"/>
      <c r="ENY14"/>
      <c r="ENZ14"/>
      <c r="EOA14"/>
      <c r="EOB14"/>
      <c r="EOC14"/>
      <c r="EOD14"/>
      <c r="EOE14"/>
      <c r="EOF14"/>
      <c r="EOG14"/>
      <c r="EOH14"/>
      <c r="EOI14"/>
      <c r="EOJ14"/>
      <c r="EOK14"/>
      <c r="EOL14"/>
      <c r="EOM14"/>
      <c r="EON14"/>
      <c r="EOO14"/>
      <c r="EOP14"/>
      <c r="EOQ14"/>
      <c r="EOR14"/>
      <c r="EOS14"/>
      <c r="EOT14"/>
      <c r="EOU14"/>
      <c r="EOV14"/>
      <c r="EOW14"/>
      <c r="EOX14"/>
      <c r="EOY14"/>
      <c r="EOZ14"/>
      <c r="EPA14"/>
      <c r="EPB14"/>
      <c r="EPC14"/>
      <c r="EPD14"/>
      <c r="EPE14"/>
      <c r="EPF14"/>
      <c r="EPG14"/>
      <c r="EPH14"/>
      <c r="EPI14"/>
      <c r="EPJ14"/>
      <c r="EPK14"/>
      <c r="EPL14"/>
      <c r="EPM14"/>
      <c r="EPN14"/>
      <c r="EPO14"/>
      <c r="EPP14"/>
      <c r="EPQ14"/>
      <c r="EPR14"/>
      <c r="EPS14"/>
      <c r="EPT14"/>
      <c r="EPU14"/>
      <c r="EPV14"/>
      <c r="EPW14"/>
      <c r="EPX14"/>
      <c r="EPY14"/>
      <c r="EPZ14"/>
      <c r="EQA14"/>
      <c r="EQB14"/>
      <c r="EQC14"/>
      <c r="EQD14"/>
      <c r="EQE14"/>
      <c r="EQF14"/>
      <c r="EQG14"/>
      <c r="EQH14"/>
      <c r="EQI14"/>
      <c r="EQJ14"/>
      <c r="EQK14"/>
      <c r="EQL14"/>
      <c r="EQM14"/>
      <c r="EQN14"/>
      <c r="EQO14"/>
      <c r="EQP14"/>
      <c r="EQQ14"/>
      <c r="EQR14"/>
      <c r="EQS14"/>
      <c r="EQT14"/>
      <c r="EQU14"/>
      <c r="EQV14"/>
      <c r="EQW14"/>
      <c r="EQX14"/>
      <c r="EQY14"/>
      <c r="EQZ14"/>
      <c r="ERA14"/>
      <c r="ERB14"/>
      <c r="ERC14"/>
      <c r="ERD14"/>
      <c r="ERE14"/>
      <c r="ERF14"/>
      <c r="ERG14"/>
      <c r="ERH14"/>
      <c r="ERI14"/>
      <c r="ERJ14"/>
      <c r="ERK14"/>
      <c r="ERL14"/>
      <c r="ERM14"/>
      <c r="ERN14"/>
      <c r="ERO14"/>
      <c r="ERP14"/>
      <c r="ERQ14"/>
      <c r="ERR14"/>
      <c r="ERS14"/>
      <c r="ERT14"/>
      <c r="ERU14"/>
      <c r="ERV14"/>
      <c r="ERW14"/>
      <c r="ERX14"/>
      <c r="ERY14"/>
      <c r="ERZ14"/>
      <c r="ESA14"/>
      <c r="ESB14"/>
      <c r="ESC14"/>
      <c r="ESD14"/>
      <c r="ESE14"/>
      <c r="ESF14"/>
      <c r="ESG14"/>
      <c r="ESH14"/>
      <c r="ESI14"/>
      <c r="ESJ14"/>
      <c r="ESK14"/>
      <c r="ESL14"/>
      <c r="ESM14"/>
      <c r="ESN14"/>
      <c r="ESO14"/>
      <c r="ESP14"/>
      <c r="ESQ14"/>
      <c r="ESR14"/>
      <c r="ESS14"/>
      <c r="EST14"/>
      <c r="ESU14"/>
      <c r="ESV14"/>
      <c r="ESW14"/>
      <c r="ESX14"/>
      <c r="ESY14"/>
      <c r="ESZ14"/>
      <c r="ETA14"/>
      <c r="ETB14"/>
      <c r="ETC14"/>
      <c r="ETD14"/>
      <c r="ETE14"/>
      <c r="ETF14"/>
      <c r="ETG14"/>
      <c r="ETH14"/>
      <c r="ETI14"/>
      <c r="ETJ14"/>
      <c r="ETK14"/>
      <c r="ETL14"/>
      <c r="ETM14"/>
      <c r="ETN14"/>
      <c r="ETO14"/>
      <c r="ETP14"/>
      <c r="ETQ14"/>
      <c r="ETR14"/>
      <c r="ETS14"/>
      <c r="ETT14"/>
      <c r="ETU14"/>
      <c r="ETV14"/>
      <c r="ETW14"/>
      <c r="ETX14"/>
      <c r="ETY14"/>
      <c r="ETZ14"/>
      <c r="EUA14"/>
      <c r="EUB14"/>
      <c r="EUC14"/>
      <c r="EUD14"/>
      <c r="EUE14"/>
      <c r="EUF14"/>
      <c r="EUG14"/>
      <c r="EUH14"/>
      <c r="EUI14"/>
      <c r="EUJ14"/>
      <c r="EUK14"/>
      <c r="EUL14"/>
      <c r="EUM14"/>
      <c r="EUN14"/>
      <c r="EUO14"/>
      <c r="EUP14"/>
      <c r="EUQ14"/>
      <c r="EUR14"/>
      <c r="EUS14"/>
      <c r="EUT14"/>
      <c r="EUU14"/>
      <c r="EUV14"/>
      <c r="EUW14"/>
      <c r="EUX14"/>
      <c r="EUY14"/>
      <c r="EUZ14"/>
      <c r="EVA14"/>
      <c r="EVB14"/>
      <c r="EVC14"/>
      <c r="EVD14"/>
      <c r="EVE14"/>
      <c r="EVF14"/>
      <c r="EVG14"/>
      <c r="EVH14"/>
      <c r="EVI14"/>
      <c r="EVJ14"/>
      <c r="EVK14"/>
      <c r="EVL14"/>
      <c r="EVM14"/>
      <c r="EVN14"/>
      <c r="EVO14"/>
      <c r="EVP14"/>
      <c r="EVQ14"/>
      <c r="EVR14"/>
      <c r="EVS14"/>
      <c r="EVT14"/>
      <c r="EVU14"/>
      <c r="EVV14"/>
      <c r="EVW14"/>
      <c r="EVX14"/>
      <c r="EVY14"/>
      <c r="EVZ14"/>
      <c r="EWA14"/>
      <c r="EWB14"/>
      <c r="EWC14"/>
      <c r="EWD14"/>
      <c r="EWE14"/>
      <c r="EWF14"/>
      <c r="EWG14"/>
      <c r="EWH14"/>
      <c r="EWI14"/>
      <c r="EWJ14"/>
      <c r="EWK14"/>
      <c r="EWL14"/>
      <c r="EWM14"/>
      <c r="EWN14"/>
      <c r="EWO14"/>
      <c r="EWP14"/>
      <c r="EWQ14"/>
      <c r="EWR14"/>
      <c r="EWS14"/>
      <c r="EWT14"/>
      <c r="EWU14"/>
      <c r="EWV14"/>
      <c r="EWW14"/>
      <c r="EWX14"/>
      <c r="EWY14"/>
      <c r="EWZ14"/>
      <c r="EXA14"/>
      <c r="EXB14"/>
      <c r="EXC14"/>
      <c r="EXD14"/>
      <c r="EXE14"/>
      <c r="EXF14"/>
      <c r="EXG14"/>
      <c r="EXH14"/>
      <c r="EXI14"/>
      <c r="EXJ14"/>
      <c r="EXK14"/>
      <c r="EXL14"/>
      <c r="EXM14"/>
      <c r="EXN14"/>
      <c r="EXO14"/>
      <c r="EXP14"/>
      <c r="EXQ14"/>
      <c r="EXR14"/>
      <c r="EXS14"/>
      <c r="EXT14"/>
      <c r="EXU14"/>
      <c r="EXV14"/>
      <c r="EXW14"/>
      <c r="EXX14"/>
      <c r="EXY14"/>
      <c r="EXZ14"/>
      <c r="EYA14"/>
      <c r="EYB14"/>
      <c r="EYC14"/>
      <c r="EYD14"/>
      <c r="EYE14"/>
      <c r="EYF14"/>
      <c r="EYG14"/>
      <c r="EYH14"/>
      <c r="EYI14"/>
      <c r="EYJ14"/>
      <c r="EYK14"/>
      <c r="EYL14"/>
      <c r="EYM14"/>
      <c r="EYN14"/>
      <c r="EYO14"/>
      <c r="EYP14"/>
      <c r="EYQ14"/>
      <c r="EYR14"/>
      <c r="EYS14"/>
      <c r="EYT14"/>
      <c r="EYU14"/>
      <c r="EYV14"/>
      <c r="EYW14"/>
      <c r="EYX14"/>
      <c r="EYY14"/>
      <c r="EYZ14"/>
      <c r="EZA14"/>
      <c r="EZB14"/>
      <c r="EZC14"/>
      <c r="EZD14"/>
      <c r="EZE14"/>
      <c r="EZF14"/>
      <c r="EZG14"/>
      <c r="EZH14"/>
      <c r="EZI14"/>
      <c r="EZJ14"/>
      <c r="EZK14"/>
      <c r="EZL14"/>
      <c r="EZM14"/>
      <c r="EZN14"/>
      <c r="EZO14"/>
      <c r="EZP14"/>
      <c r="EZQ14"/>
      <c r="EZR14"/>
      <c r="EZS14"/>
      <c r="EZT14"/>
      <c r="EZU14"/>
      <c r="EZV14"/>
      <c r="EZW14"/>
      <c r="EZX14"/>
      <c r="EZY14"/>
      <c r="EZZ14"/>
      <c r="FAA14"/>
      <c r="FAB14"/>
      <c r="FAC14"/>
      <c r="FAD14"/>
      <c r="FAE14"/>
      <c r="FAF14"/>
      <c r="FAG14"/>
      <c r="FAH14"/>
      <c r="FAI14"/>
      <c r="FAJ14"/>
      <c r="FAK14"/>
      <c r="FAL14"/>
      <c r="FAM14"/>
      <c r="FAN14"/>
      <c r="FAO14"/>
      <c r="FAP14"/>
      <c r="FAQ14"/>
      <c r="FAR14"/>
      <c r="FAS14"/>
      <c r="FAT14"/>
      <c r="FAU14"/>
      <c r="FAV14"/>
      <c r="FAW14"/>
      <c r="FAX14"/>
      <c r="FAY14"/>
      <c r="FAZ14"/>
      <c r="FBA14"/>
      <c r="FBB14"/>
      <c r="FBC14"/>
      <c r="FBD14"/>
      <c r="FBE14"/>
      <c r="FBF14"/>
      <c r="FBG14"/>
      <c r="FBH14"/>
      <c r="FBI14"/>
      <c r="FBJ14"/>
      <c r="FBK14"/>
      <c r="FBL14"/>
      <c r="FBM14"/>
      <c r="FBN14"/>
      <c r="FBO14"/>
      <c r="FBP14"/>
      <c r="FBQ14"/>
      <c r="FBR14"/>
      <c r="FBS14"/>
      <c r="FBT14"/>
      <c r="FBU14"/>
      <c r="FBV14"/>
      <c r="FBW14"/>
      <c r="FBX14"/>
      <c r="FBY14"/>
      <c r="FBZ14"/>
      <c r="FCA14"/>
      <c r="FCB14"/>
      <c r="FCC14"/>
      <c r="FCD14"/>
      <c r="FCE14"/>
      <c r="FCF14"/>
      <c r="FCG14"/>
      <c r="FCH14"/>
      <c r="FCI14"/>
      <c r="FCJ14"/>
      <c r="FCK14"/>
      <c r="FCL14"/>
      <c r="FCM14"/>
      <c r="FCN14"/>
      <c r="FCO14"/>
      <c r="FCP14"/>
      <c r="FCQ14"/>
      <c r="FCR14"/>
      <c r="FCS14"/>
      <c r="FCT14"/>
      <c r="FCU14"/>
      <c r="FCV14"/>
      <c r="FCW14"/>
      <c r="FCX14"/>
      <c r="FCY14"/>
      <c r="FCZ14"/>
      <c r="FDA14"/>
      <c r="FDB14"/>
      <c r="FDC14"/>
      <c r="FDD14"/>
      <c r="FDE14"/>
      <c r="FDF14"/>
      <c r="FDG14"/>
      <c r="FDH14"/>
      <c r="FDI14"/>
      <c r="FDJ14"/>
      <c r="FDK14"/>
      <c r="FDL14"/>
      <c r="FDM14"/>
      <c r="FDN14"/>
      <c r="FDO14"/>
      <c r="FDP14"/>
      <c r="FDQ14"/>
      <c r="FDR14"/>
      <c r="FDS14"/>
      <c r="FDT14"/>
      <c r="FDU14"/>
      <c r="FDV14"/>
      <c r="FDW14"/>
      <c r="FDX14"/>
      <c r="FDY14"/>
      <c r="FDZ14"/>
      <c r="FEA14"/>
      <c r="FEB14"/>
      <c r="FEC14"/>
      <c r="FED14"/>
      <c r="FEE14"/>
      <c r="FEF14"/>
      <c r="FEG14"/>
      <c r="FEH14"/>
      <c r="FEI14"/>
      <c r="FEJ14"/>
      <c r="FEK14"/>
      <c r="FEL14"/>
      <c r="FEM14"/>
      <c r="FEN14"/>
      <c r="FEO14"/>
      <c r="FEP14"/>
      <c r="FEQ14"/>
      <c r="FER14"/>
      <c r="FES14"/>
      <c r="FET14"/>
      <c r="FEU14"/>
      <c r="FEV14"/>
      <c r="FEW14"/>
      <c r="FEX14"/>
      <c r="FEY14"/>
      <c r="FEZ14"/>
      <c r="FFA14"/>
      <c r="FFB14"/>
      <c r="FFC14"/>
      <c r="FFD14"/>
      <c r="FFE14"/>
      <c r="FFF14"/>
      <c r="FFG14"/>
      <c r="FFH14"/>
      <c r="FFI14"/>
      <c r="FFJ14"/>
      <c r="FFK14"/>
      <c r="FFL14"/>
      <c r="FFM14"/>
      <c r="FFN14"/>
      <c r="FFO14"/>
      <c r="FFP14"/>
      <c r="FFQ14"/>
      <c r="FFR14"/>
      <c r="FFS14"/>
      <c r="FFT14"/>
      <c r="FFU14"/>
      <c r="FFV14"/>
      <c r="FFW14"/>
      <c r="FFX14"/>
      <c r="FFY14"/>
      <c r="FFZ14"/>
      <c r="FGA14"/>
      <c r="FGB14"/>
      <c r="FGC14"/>
      <c r="FGD14"/>
      <c r="FGE14"/>
      <c r="FGF14"/>
      <c r="FGG14"/>
      <c r="FGH14"/>
      <c r="FGI14"/>
      <c r="FGJ14"/>
      <c r="FGK14"/>
      <c r="FGL14"/>
      <c r="FGM14"/>
      <c r="FGN14"/>
      <c r="FGO14"/>
      <c r="FGP14"/>
      <c r="FGQ14"/>
      <c r="FGR14"/>
      <c r="FGS14"/>
      <c r="FGT14"/>
      <c r="FGU14"/>
      <c r="FGV14"/>
      <c r="FGW14"/>
      <c r="FGX14"/>
      <c r="FGY14"/>
      <c r="FGZ14"/>
      <c r="FHA14"/>
      <c r="FHB14"/>
      <c r="FHC14"/>
      <c r="FHD14"/>
      <c r="FHE14"/>
      <c r="FHF14"/>
      <c r="FHG14"/>
      <c r="FHH14"/>
      <c r="FHI14"/>
      <c r="FHJ14"/>
      <c r="FHK14"/>
      <c r="FHL14"/>
      <c r="FHM14"/>
      <c r="FHN14"/>
      <c r="FHO14"/>
      <c r="FHP14"/>
      <c r="FHQ14"/>
      <c r="FHR14"/>
      <c r="FHS14"/>
      <c r="FHT14"/>
      <c r="FHU14"/>
      <c r="FHV14"/>
      <c r="FHW14"/>
      <c r="FHX14"/>
      <c r="FHY14"/>
      <c r="FHZ14"/>
      <c r="FIA14"/>
      <c r="FIB14"/>
      <c r="FIC14"/>
      <c r="FID14"/>
      <c r="FIE14"/>
      <c r="FIF14"/>
      <c r="FIG14"/>
      <c r="FIH14"/>
      <c r="FII14"/>
      <c r="FIJ14"/>
      <c r="FIK14"/>
      <c r="FIL14"/>
      <c r="FIM14"/>
      <c r="FIN14"/>
      <c r="FIO14"/>
      <c r="FIP14"/>
      <c r="FIQ14"/>
      <c r="FIR14"/>
      <c r="FIS14"/>
      <c r="FIT14"/>
      <c r="FIU14"/>
      <c r="FIV14"/>
      <c r="FIW14"/>
      <c r="FIX14"/>
      <c r="FIY14"/>
      <c r="FIZ14"/>
      <c r="FJA14"/>
      <c r="FJB14"/>
      <c r="FJC14"/>
      <c r="FJD14"/>
      <c r="FJE14"/>
      <c r="FJF14"/>
      <c r="FJG14"/>
      <c r="FJH14"/>
      <c r="FJI14"/>
      <c r="FJJ14"/>
      <c r="FJK14"/>
      <c r="FJL14"/>
      <c r="FJM14"/>
      <c r="FJN14"/>
      <c r="FJO14"/>
      <c r="FJP14"/>
      <c r="FJQ14"/>
      <c r="FJR14"/>
      <c r="FJS14"/>
      <c r="FJT14"/>
      <c r="FJU14"/>
      <c r="FJV14"/>
      <c r="FJW14"/>
      <c r="FJX14"/>
      <c r="FJY14"/>
      <c r="FJZ14"/>
      <c r="FKA14"/>
      <c r="FKB14"/>
      <c r="FKC14"/>
      <c r="FKD14"/>
      <c r="FKE14"/>
      <c r="FKF14"/>
      <c r="FKG14"/>
      <c r="FKH14"/>
      <c r="FKI14"/>
      <c r="FKJ14"/>
      <c r="FKK14"/>
      <c r="FKL14"/>
      <c r="FKM14"/>
      <c r="FKN14"/>
      <c r="FKO14"/>
      <c r="FKP14"/>
      <c r="FKQ14"/>
      <c r="FKR14"/>
      <c r="FKS14"/>
      <c r="FKT14"/>
      <c r="FKU14"/>
      <c r="FKV14"/>
      <c r="FKW14"/>
      <c r="FKX14"/>
      <c r="FKY14"/>
      <c r="FKZ14"/>
      <c r="FLA14"/>
      <c r="FLB14"/>
      <c r="FLC14"/>
      <c r="FLD14"/>
      <c r="FLE14"/>
      <c r="FLF14"/>
      <c r="FLG14"/>
      <c r="FLH14"/>
      <c r="FLI14"/>
      <c r="FLJ14"/>
      <c r="FLK14"/>
      <c r="FLL14"/>
      <c r="FLM14"/>
      <c r="FLN14"/>
      <c r="FLO14"/>
      <c r="FLP14"/>
      <c r="FLQ14"/>
      <c r="FLR14"/>
      <c r="FLS14"/>
      <c r="FLT14"/>
      <c r="FLU14"/>
      <c r="FLV14"/>
      <c r="FLW14"/>
      <c r="FLX14"/>
      <c r="FLY14"/>
      <c r="FLZ14"/>
      <c r="FMA14"/>
      <c r="FMB14"/>
      <c r="FMC14"/>
      <c r="FMD14"/>
      <c r="FME14"/>
      <c r="FMF14"/>
      <c r="FMG14"/>
      <c r="FMH14"/>
      <c r="FMI14"/>
      <c r="FMJ14"/>
      <c r="FMK14"/>
      <c r="FML14"/>
      <c r="FMM14"/>
      <c r="FMN14"/>
      <c r="FMO14"/>
      <c r="FMP14"/>
      <c r="FMQ14"/>
      <c r="FMR14"/>
      <c r="FMS14"/>
      <c r="FMT14"/>
      <c r="FMU14"/>
      <c r="FMV14"/>
      <c r="FMW14"/>
      <c r="FMX14"/>
      <c r="FMY14"/>
      <c r="FMZ14"/>
      <c r="FNA14"/>
      <c r="FNB14"/>
      <c r="FNC14"/>
      <c r="FND14"/>
      <c r="FNE14"/>
      <c r="FNF14"/>
      <c r="FNG14"/>
      <c r="FNH14"/>
      <c r="FNI14"/>
      <c r="FNJ14"/>
      <c r="FNK14"/>
      <c r="FNL14"/>
      <c r="FNM14"/>
      <c r="FNN14"/>
      <c r="FNO14"/>
      <c r="FNP14"/>
      <c r="FNQ14"/>
      <c r="FNR14"/>
      <c r="FNS14"/>
      <c r="FNT14"/>
      <c r="FNU14"/>
      <c r="FNV14"/>
      <c r="FNW14"/>
      <c r="FNX14"/>
      <c r="FNY14"/>
      <c r="FNZ14"/>
      <c r="FOA14"/>
      <c r="FOB14"/>
      <c r="FOC14"/>
      <c r="FOD14"/>
      <c r="FOE14"/>
      <c r="FOF14"/>
      <c r="FOG14"/>
      <c r="FOH14"/>
      <c r="FOI14"/>
      <c r="FOJ14"/>
      <c r="FOK14"/>
      <c r="FOL14"/>
      <c r="FOM14"/>
      <c r="FON14"/>
      <c r="FOO14"/>
      <c r="FOP14"/>
      <c r="FOQ14"/>
      <c r="FOR14"/>
      <c r="FOS14"/>
      <c r="FOT14"/>
      <c r="FOU14"/>
      <c r="FOV14"/>
      <c r="FOW14"/>
      <c r="FOX14"/>
      <c r="FOY14"/>
      <c r="FOZ14"/>
      <c r="FPA14"/>
      <c r="FPB14"/>
      <c r="FPC14"/>
      <c r="FPD14"/>
      <c r="FPE14"/>
      <c r="FPF14"/>
      <c r="FPG14"/>
      <c r="FPH14"/>
      <c r="FPI14"/>
      <c r="FPJ14"/>
      <c r="FPK14"/>
      <c r="FPL14"/>
      <c r="FPM14"/>
      <c r="FPN14"/>
      <c r="FPO14"/>
      <c r="FPP14"/>
      <c r="FPQ14"/>
      <c r="FPR14"/>
      <c r="FPS14"/>
      <c r="FPT14"/>
      <c r="FPU14"/>
      <c r="FPV14"/>
      <c r="FPW14"/>
      <c r="FPX14"/>
      <c r="FPY14"/>
      <c r="FPZ14"/>
      <c r="FQA14"/>
      <c r="FQB14"/>
      <c r="FQC14"/>
      <c r="FQD14"/>
      <c r="FQE14"/>
      <c r="FQF14"/>
      <c r="FQG14"/>
      <c r="FQH14"/>
      <c r="FQI14"/>
      <c r="FQJ14"/>
      <c r="FQK14"/>
      <c r="FQL14"/>
      <c r="FQM14"/>
      <c r="FQN14"/>
      <c r="FQO14"/>
      <c r="FQP14"/>
      <c r="FQQ14"/>
      <c r="FQR14"/>
      <c r="FQS14"/>
      <c r="FQT14"/>
      <c r="FQU14"/>
      <c r="FQV14"/>
      <c r="FQW14"/>
      <c r="FQX14"/>
      <c r="FQY14"/>
      <c r="FQZ14"/>
      <c r="FRA14"/>
      <c r="FRB14"/>
      <c r="FRC14"/>
      <c r="FRD14"/>
      <c r="FRE14"/>
      <c r="FRF14"/>
      <c r="FRG14"/>
      <c r="FRH14"/>
      <c r="FRI14"/>
      <c r="FRJ14"/>
      <c r="FRK14"/>
      <c r="FRL14"/>
      <c r="FRM14"/>
      <c r="FRN14"/>
      <c r="FRO14"/>
      <c r="FRP14"/>
      <c r="FRQ14"/>
      <c r="FRR14"/>
      <c r="FRS14"/>
      <c r="FRT14"/>
      <c r="FRU14"/>
      <c r="FRV14"/>
      <c r="FRW14"/>
      <c r="FRX14"/>
      <c r="FRY14"/>
      <c r="FRZ14"/>
      <c r="FSA14"/>
      <c r="FSB14"/>
      <c r="FSC14"/>
      <c r="FSD14"/>
      <c r="FSE14"/>
      <c r="FSF14"/>
      <c r="FSG14"/>
      <c r="FSH14"/>
      <c r="FSI14"/>
      <c r="FSJ14"/>
      <c r="FSK14"/>
      <c r="FSL14"/>
      <c r="FSM14"/>
      <c r="FSN14"/>
      <c r="FSO14"/>
      <c r="FSP14"/>
      <c r="FSQ14"/>
      <c r="FSR14"/>
      <c r="FSS14"/>
      <c r="FST14"/>
      <c r="FSU14"/>
      <c r="FSV14"/>
      <c r="FSW14"/>
      <c r="FSX14"/>
      <c r="FSY14"/>
      <c r="FSZ14"/>
      <c r="FTA14"/>
      <c r="FTB14"/>
      <c r="FTC14"/>
      <c r="FTD14"/>
      <c r="FTE14"/>
      <c r="FTF14"/>
      <c r="FTG14"/>
      <c r="FTH14"/>
      <c r="FTI14"/>
      <c r="FTJ14"/>
      <c r="FTK14"/>
      <c r="FTL14"/>
      <c r="FTM14"/>
      <c r="FTN14"/>
      <c r="FTO14"/>
      <c r="FTP14"/>
      <c r="FTQ14"/>
      <c r="FTR14"/>
      <c r="FTS14"/>
      <c r="FTT14"/>
      <c r="FTU14"/>
      <c r="FTV14"/>
      <c r="FTW14"/>
      <c r="FTX14"/>
      <c r="FTY14"/>
      <c r="FTZ14"/>
      <c r="FUA14"/>
      <c r="FUB14"/>
      <c r="FUC14"/>
      <c r="FUD14"/>
      <c r="FUE14"/>
      <c r="FUF14"/>
      <c r="FUG14"/>
      <c r="FUH14"/>
      <c r="FUI14"/>
      <c r="FUJ14"/>
      <c r="FUK14"/>
      <c r="FUL14"/>
      <c r="FUM14"/>
      <c r="FUN14"/>
      <c r="FUO14"/>
      <c r="FUP14"/>
      <c r="FUQ14"/>
      <c r="FUR14"/>
      <c r="FUS14"/>
      <c r="FUT14"/>
      <c r="FUU14"/>
      <c r="FUV14"/>
      <c r="FUW14"/>
      <c r="FUX14"/>
      <c r="FUY14"/>
      <c r="FUZ14"/>
      <c r="FVA14"/>
      <c r="FVB14"/>
      <c r="FVC14"/>
      <c r="FVD14"/>
      <c r="FVE14"/>
      <c r="FVF14"/>
      <c r="FVG14"/>
      <c r="FVH14"/>
      <c r="FVI14"/>
      <c r="FVJ14"/>
      <c r="FVK14"/>
      <c r="FVL14"/>
      <c r="FVM14"/>
      <c r="FVN14"/>
      <c r="FVO14"/>
      <c r="FVP14"/>
      <c r="FVQ14"/>
      <c r="FVR14"/>
      <c r="FVS14"/>
      <c r="FVT14"/>
      <c r="FVU14"/>
      <c r="FVV14"/>
      <c r="FVW14"/>
      <c r="FVX14"/>
      <c r="FVY14"/>
      <c r="FVZ14"/>
      <c r="FWA14"/>
      <c r="FWB14"/>
      <c r="FWC14"/>
      <c r="FWD14"/>
      <c r="FWE14"/>
      <c r="FWF14"/>
      <c r="FWG14"/>
      <c r="FWH14"/>
      <c r="FWI14"/>
      <c r="FWJ14"/>
      <c r="FWK14"/>
      <c r="FWL14"/>
      <c r="FWM14"/>
      <c r="FWN14"/>
      <c r="FWO14"/>
      <c r="FWP14"/>
      <c r="FWQ14"/>
      <c r="FWR14"/>
      <c r="FWS14"/>
      <c r="FWT14"/>
      <c r="FWU14"/>
      <c r="FWV14"/>
      <c r="FWW14"/>
      <c r="FWX14"/>
      <c r="FWY14"/>
      <c r="FWZ14"/>
      <c r="FXA14"/>
      <c r="FXB14"/>
      <c r="FXC14"/>
      <c r="FXD14"/>
      <c r="FXE14"/>
      <c r="FXF14"/>
      <c r="FXG14"/>
      <c r="FXH14"/>
      <c r="FXI14"/>
      <c r="FXJ14"/>
      <c r="FXK14"/>
      <c r="FXL14"/>
      <c r="FXM14"/>
      <c r="FXN14"/>
      <c r="FXO14"/>
      <c r="FXP14"/>
      <c r="FXQ14"/>
      <c r="FXR14"/>
      <c r="FXS14"/>
      <c r="FXT14"/>
      <c r="FXU14"/>
      <c r="FXV14"/>
      <c r="FXW14"/>
      <c r="FXX14"/>
      <c r="FXY14"/>
      <c r="FXZ14"/>
      <c r="FYA14"/>
      <c r="FYB14"/>
      <c r="FYC14"/>
      <c r="FYD14"/>
      <c r="FYE14"/>
      <c r="FYF14"/>
      <c r="FYG14"/>
      <c r="FYH14"/>
      <c r="FYI14"/>
      <c r="FYJ14"/>
      <c r="FYK14"/>
      <c r="FYL14"/>
      <c r="FYM14"/>
      <c r="FYN14"/>
      <c r="FYO14"/>
      <c r="FYP14"/>
      <c r="FYQ14"/>
      <c r="FYR14"/>
      <c r="FYS14"/>
      <c r="FYT14"/>
      <c r="FYU14"/>
      <c r="FYV14"/>
      <c r="FYW14"/>
      <c r="FYX14"/>
      <c r="FYY14"/>
      <c r="FYZ14"/>
      <c r="FZA14"/>
      <c r="FZB14"/>
      <c r="FZC14"/>
      <c r="FZD14"/>
      <c r="FZE14"/>
      <c r="FZF14"/>
      <c r="FZG14"/>
      <c r="FZH14"/>
      <c r="FZI14"/>
      <c r="FZJ14"/>
      <c r="FZK14"/>
      <c r="FZL14"/>
      <c r="FZM14"/>
      <c r="FZN14"/>
      <c r="FZO14"/>
      <c r="FZP14"/>
      <c r="FZQ14"/>
      <c r="FZR14"/>
      <c r="FZS14"/>
      <c r="FZT14"/>
      <c r="FZU14"/>
      <c r="FZV14"/>
      <c r="FZW14"/>
      <c r="FZX14"/>
      <c r="FZY14"/>
      <c r="FZZ14"/>
      <c r="GAA14"/>
      <c r="GAB14"/>
      <c r="GAC14"/>
      <c r="GAD14"/>
      <c r="GAE14"/>
      <c r="GAF14"/>
      <c r="GAG14"/>
      <c r="GAH14"/>
      <c r="GAI14"/>
      <c r="GAJ14"/>
      <c r="GAK14"/>
      <c r="GAL14"/>
      <c r="GAM14"/>
      <c r="GAN14"/>
      <c r="GAO14"/>
      <c r="GAP14"/>
      <c r="GAQ14"/>
      <c r="GAR14"/>
      <c r="GAS14"/>
      <c r="GAT14"/>
      <c r="GAU14"/>
      <c r="GAV14"/>
      <c r="GAW14"/>
      <c r="GAX14"/>
      <c r="GAY14"/>
      <c r="GAZ14"/>
      <c r="GBA14"/>
      <c r="GBB14"/>
      <c r="GBC14"/>
      <c r="GBD14"/>
      <c r="GBE14"/>
      <c r="GBF14"/>
      <c r="GBG14"/>
      <c r="GBH14"/>
      <c r="GBI14"/>
      <c r="GBJ14"/>
      <c r="GBK14"/>
      <c r="GBL14"/>
      <c r="GBM14"/>
      <c r="GBN14"/>
      <c r="GBO14"/>
      <c r="GBP14"/>
      <c r="GBQ14"/>
      <c r="GBR14"/>
      <c r="GBS14"/>
      <c r="GBT14"/>
      <c r="GBU14"/>
      <c r="GBV14"/>
      <c r="GBW14"/>
      <c r="GBX14"/>
      <c r="GBY14"/>
      <c r="GBZ14"/>
      <c r="GCA14"/>
      <c r="GCB14"/>
      <c r="GCC14"/>
      <c r="GCD14"/>
      <c r="GCE14"/>
      <c r="GCF14"/>
      <c r="GCG14"/>
      <c r="GCH14"/>
      <c r="GCI14"/>
      <c r="GCJ14"/>
      <c r="GCK14"/>
      <c r="GCL14"/>
      <c r="GCM14"/>
      <c r="GCN14"/>
      <c r="GCO14"/>
      <c r="GCP14"/>
      <c r="GCQ14"/>
      <c r="GCR14"/>
      <c r="GCS14"/>
      <c r="GCT14"/>
      <c r="GCU14"/>
      <c r="GCV14"/>
      <c r="GCW14"/>
      <c r="GCX14"/>
      <c r="GCY14"/>
      <c r="GCZ14"/>
      <c r="GDA14"/>
      <c r="GDB14"/>
      <c r="GDC14"/>
      <c r="GDD14"/>
      <c r="GDE14"/>
      <c r="GDF14"/>
      <c r="GDG14"/>
      <c r="GDH14"/>
      <c r="GDI14"/>
      <c r="GDJ14"/>
      <c r="GDK14"/>
      <c r="GDL14"/>
      <c r="GDM14"/>
      <c r="GDN14"/>
      <c r="GDO14"/>
      <c r="GDP14"/>
      <c r="GDQ14"/>
      <c r="GDR14"/>
      <c r="GDS14"/>
      <c r="GDT14"/>
      <c r="GDU14"/>
      <c r="GDV14"/>
      <c r="GDW14"/>
      <c r="GDX14"/>
      <c r="GDY14"/>
      <c r="GDZ14"/>
      <c r="GEA14"/>
      <c r="GEB14"/>
      <c r="GEC14"/>
      <c r="GED14"/>
      <c r="GEE14"/>
      <c r="GEF14"/>
      <c r="GEG14"/>
      <c r="GEH14"/>
      <c r="GEI14"/>
      <c r="GEJ14"/>
      <c r="GEK14"/>
      <c r="GEL14"/>
      <c r="GEM14"/>
      <c r="GEN14"/>
      <c r="GEO14"/>
      <c r="GEP14"/>
      <c r="GEQ14"/>
      <c r="GER14"/>
      <c r="GES14"/>
      <c r="GET14"/>
      <c r="GEU14"/>
      <c r="GEV14"/>
      <c r="GEW14"/>
      <c r="GEX14"/>
      <c r="GEY14"/>
      <c r="GEZ14"/>
      <c r="GFA14"/>
      <c r="GFB14"/>
      <c r="GFC14"/>
      <c r="GFD14"/>
      <c r="GFE14"/>
      <c r="GFF14"/>
      <c r="GFG14"/>
      <c r="GFH14"/>
      <c r="GFI14"/>
      <c r="GFJ14"/>
      <c r="GFK14"/>
      <c r="GFL14"/>
      <c r="GFM14"/>
      <c r="GFN14"/>
      <c r="GFO14"/>
      <c r="GFP14"/>
      <c r="GFQ14"/>
      <c r="GFR14"/>
      <c r="GFS14"/>
      <c r="GFT14"/>
      <c r="GFU14"/>
      <c r="GFV14"/>
      <c r="GFW14"/>
      <c r="GFX14"/>
      <c r="GFY14"/>
      <c r="GFZ14"/>
      <c r="GGA14"/>
      <c r="GGB14"/>
      <c r="GGC14"/>
      <c r="GGD14"/>
      <c r="GGE14"/>
      <c r="GGF14"/>
      <c r="GGG14"/>
      <c r="GGH14"/>
      <c r="GGI14"/>
      <c r="GGJ14"/>
      <c r="GGK14"/>
      <c r="GGL14"/>
      <c r="GGM14"/>
      <c r="GGN14"/>
      <c r="GGO14"/>
      <c r="GGP14"/>
      <c r="GGQ14"/>
      <c r="GGR14"/>
      <c r="GGS14"/>
      <c r="GGT14"/>
      <c r="GGU14"/>
      <c r="GGV14"/>
      <c r="GGW14"/>
      <c r="GGX14"/>
      <c r="GGY14"/>
      <c r="GGZ14"/>
      <c r="GHA14"/>
      <c r="GHB14"/>
      <c r="GHC14"/>
      <c r="GHD14"/>
      <c r="GHE14"/>
      <c r="GHF14"/>
      <c r="GHG14"/>
      <c r="GHH14"/>
      <c r="GHI14"/>
      <c r="GHJ14"/>
      <c r="GHK14"/>
      <c r="GHL14"/>
      <c r="GHM14"/>
      <c r="GHN14"/>
      <c r="GHO14"/>
      <c r="GHP14"/>
      <c r="GHQ14"/>
      <c r="GHR14"/>
      <c r="GHS14"/>
      <c r="GHT14"/>
      <c r="GHU14"/>
      <c r="GHV14"/>
      <c r="GHW14"/>
      <c r="GHX14"/>
      <c r="GHY14"/>
      <c r="GHZ14"/>
      <c r="GIA14"/>
      <c r="GIB14"/>
      <c r="GIC14"/>
      <c r="GID14"/>
      <c r="GIE14"/>
      <c r="GIF14"/>
      <c r="GIG14"/>
      <c r="GIH14"/>
      <c r="GII14"/>
      <c r="GIJ14"/>
      <c r="GIK14"/>
      <c r="GIL14"/>
      <c r="GIM14"/>
      <c r="GIN14"/>
      <c r="GIO14"/>
      <c r="GIP14"/>
      <c r="GIQ14"/>
      <c r="GIR14"/>
      <c r="GIS14"/>
      <c r="GIT14"/>
      <c r="GIU14"/>
      <c r="GIV14"/>
      <c r="GIW14"/>
      <c r="GIX14"/>
      <c r="GIY14"/>
      <c r="GIZ14"/>
      <c r="GJA14"/>
      <c r="GJB14"/>
      <c r="GJC14"/>
      <c r="GJD14"/>
      <c r="GJE14"/>
      <c r="GJF14"/>
      <c r="GJG14"/>
      <c r="GJH14"/>
      <c r="GJI14"/>
      <c r="GJJ14"/>
      <c r="GJK14"/>
      <c r="GJL14"/>
      <c r="GJM14"/>
      <c r="GJN14"/>
      <c r="GJO14"/>
      <c r="GJP14"/>
      <c r="GJQ14"/>
      <c r="GJR14"/>
      <c r="GJS14"/>
      <c r="GJT14"/>
      <c r="GJU14"/>
      <c r="GJV14"/>
      <c r="GJW14"/>
      <c r="GJX14"/>
      <c r="GJY14"/>
      <c r="GJZ14"/>
      <c r="GKA14"/>
      <c r="GKB14"/>
      <c r="GKC14"/>
      <c r="GKD14"/>
      <c r="GKE14"/>
      <c r="GKF14"/>
      <c r="GKG14"/>
      <c r="GKH14"/>
      <c r="GKI14"/>
      <c r="GKJ14"/>
      <c r="GKK14"/>
      <c r="GKL14"/>
      <c r="GKM14"/>
      <c r="GKN14"/>
      <c r="GKO14"/>
      <c r="GKP14"/>
      <c r="GKQ14"/>
      <c r="GKR14"/>
      <c r="GKS14"/>
      <c r="GKT14"/>
      <c r="GKU14"/>
      <c r="GKV14"/>
      <c r="GKW14"/>
      <c r="GKX14"/>
      <c r="GKY14"/>
      <c r="GKZ14"/>
      <c r="GLA14"/>
      <c r="GLB14"/>
      <c r="GLC14"/>
      <c r="GLD14"/>
      <c r="GLE14"/>
      <c r="GLF14"/>
      <c r="GLG14"/>
      <c r="GLH14"/>
      <c r="GLI14"/>
      <c r="GLJ14"/>
      <c r="GLK14"/>
      <c r="GLL14"/>
      <c r="GLM14"/>
      <c r="GLN14"/>
      <c r="GLO14"/>
      <c r="GLP14"/>
      <c r="GLQ14"/>
      <c r="GLR14"/>
      <c r="GLS14"/>
      <c r="GLT14"/>
      <c r="GLU14"/>
      <c r="GLV14"/>
      <c r="GLW14"/>
      <c r="GLX14"/>
      <c r="GLY14"/>
      <c r="GLZ14"/>
      <c r="GMA14"/>
      <c r="GMB14"/>
      <c r="GMC14"/>
      <c r="GMD14"/>
      <c r="GME14"/>
      <c r="GMF14"/>
      <c r="GMG14"/>
      <c r="GMH14"/>
      <c r="GMI14"/>
      <c r="GMJ14"/>
      <c r="GMK14"/>
      <c r="GML14"/>
      <c r="GMM14"/>
      <c r="GMN14"/>
      <c r="GMO14"/>
      <c r="GMP14"/>
      <c r="GMQ14"/>
      <c r="GMR14"/>
      <c r="GMS14"/>
      <c r="GMT14"/>
      <c r="GMU14"/>
      <c r="GMV14"/>
      <c r="GMW14"/>
      <c r="GMX14"/>
      <c r="GMY14"/>
      <c r="GMZ14"/>
      <c r="GNA14"/>
      <c r="GNB14"/>
      <c r="GNC14"/>
      <c r="GND14"/>
      <c r="GNE14"/>
      <c r="GNF14"/>
      <c r="GNG14"/>
      <c r="GNH14"/>
      <c r="GNI14"/>
      <c r="GNJ14"/>
      <c r="GNK14"/>
      <c r="GNL14"/>
      <c r="GNM14"/>
      <c r="GNN14"/>
      <c r="GNO14"/>
      <c r="GNP14"/>
      <c r="GNQ14"/>
      <c r="GNR14"/>
      <c r="GNS14"/>
      <c r="GNT14"/>
      <c r="GNU14"/>
      <c r="GNV14"/>
      <c r="GNW14"/>
      <c r="GNX14"/>
      <c r="GNY14"/>
      <c r="GNZ14"/>
      <c r="GOA14"/>
      <c r="GOB14"/>
      <c r="GOC14"/>
      <c r="GOD14"/>
      <c r="GOE14"/>
      <c r="GOF14"/>
      <c r="GOG14"/>
      <c r="GOH14"/>
      <c r="GOI14"/>
      <c r="GOJ14"/>
      <c r="GOK14"/>
      <c r="GOL14"/>
      <c r="GOM14"/>
      <c r="GON14"/>
      <c r="GOO14"/>
      <c r="GOP14"/>
      <c r="GOQ14"/>
      <c r="GOR14"/>
      <c r="GOS14"/>
      <c r="GOT14"/>
      <c r="GOU14"/>
      <c r="GOV14"/>
      <c r="GOW14"/>
      <c r="GOX14"/>
      <c r="GOY14"/>
      <c r="GOZ14"/>
      <c r="GPA14"/>
      <c r="GPB14"/>
      <c r="GPC14"/>
      <c r="GPD14"/>
      <c r="GPE14"/>
      <c r="GPF14"/>
      <c r="GPG14"/>
      <c r="GPH14"/>
      <c r="GPI14"/>
      <c r="GPJ14"/>
      <c r="GPK14"/>
      <c r="GPL14"/>
      <c r="GPM14"/>
      <c r="GPN14"/>
      <c r="GPO14"/>
      <c r="GPP14"/>
      <c r="GPQ14"/>
      <c r="GPR14"/>
      <c r="GPS14"/>
      <c r="GPT14"/>
      <c r="GPU14"/>
      <c r="GPV14"/>
      <c r="GPW14"/>
      <c r="GPX14"/>
      <c r="GPY14"/>
      <c r="GPZ14"/>
      <c r="GQA14"/>
      <c r="GQB14"/>
      <c r="GQC14"/>
      <c r="GQD14"/>
      <c r="GQE14"/>
      <c r="GQF14"/>
      <c r="GQG14"/>
      <c r="GQH14"/>
      <c r="GQI14"/>
      <c r="GQJ14"/>
      <c r="GQK14"/>
      <c r="GQL14"/>
      <c r="GQM14"/>
      <c r="GQN14"/>
      <c r="GQO14"/>
      <c r="GQP14"/>
      <c r="GQQ14"/>
      <c r="GQR14"/>
      <c r="GQS14"/>
      <c r="GQT14"/>
      <c r="GQU14"/>
      <c r="GQV14"/>
      <c r="GQW14"/>
      <c r="GQX14"/>
      <c r="GQY14"/>
      <c r="GQZ14"/>
      <c r="GRA14"/>
      <c r="GRB14"/>
      <c r="GRC14"/>
      <c r="GRD14"/>
      <c r="GRE14"/>
      <c r="GRF14"/>
      <c r="GRG14"/>
      <c r="GRH14"/>
      <c r="GRI14"/>
      <c r="GRJ14"/>
      <c r="GRK14"/>
      <c r="GRL14"/>
      <c r="GRM14"/>
      <c r="GRN14"/>
      <c r="GRO14"/>
      <c r="GRP14"/>
      <c r="GRQ14"/>
      <c r="GRR14"/>
      <c r="GRS14"/>
      <c r="GRT14"/>
      <c r="GRU14"/>
      <c r="GRV14"/>
      <c r="GRW14"/>
      <c r="GRX14"/>
      <c r="GRY14"/>
      <c r="GRZ14"/>
      <c r="GSA14"/>
      <c r="GSB14"/>
      <c r="GSC14"/>
      <c r="GSD14"/>
      <c r="GSE14"/>
      <c r="GSF14"/>
      <c r="GSG14"/>
      <c r="GSH14"/>
      <c r="GSI14"/>
      <c r="GSJ14"/>
      <c r="GSK14"/>
      <c r="GSL14"/>
      <c r="GSM14"/>
      <c r="GSN14"/>
      <c r="GSO14"/>
      <c r="GSP14"/>
      <c r="GSQ14"/>
      <c r="GSR14"/>
      <c r="GSS14"/>
      <c r="GST14"/>
      <c r="GSU14"/>
      <c r="GSV14"/>
      <c r="GSW14"/>
      <c r="GSX14"/>
      <c r="GSY14"/>
      <c r="GSZ14"/>
      <c r="GTA14"/>
      <c r="GTB14"/>
      <c r="GTC14"/>
      <c r="GTD14"/>
      <c r="GTE14"/>
      <c r="GTF14"/>
      <c r="GTG14"/>
      <c r="GTH14"/>
      <c r="GTI14"/>
      <c r="GTJ14"/>
      <c r="GTK14"/>
      <c r="GTL14"/>
      <c r="GTM14"/>
      <c r="GTN14"/>
      <c r="GTO14"/>
      <c r="GTP14"/>
      <c r="GTQ14"/>
      <c r="GTR14"/>
      <c r="GTS14"/>
      <c r="GTT14"/>
      <c r="GTU14"/>
      <c r="GTV14"/>
      <c r="GTW14"/>
      <c r="GTX14"/>
      <c r="GTY14"/>
      <c r="GTZ14"/>
      <c r="GUA14"/>
      <c r="GUB14"/>
      <c r="GUC14"/>
      <c r="GUD14"/>
      <c r="GUE14"/>
      <c r="GUF14"/>
      <c r="GUG14"/>
      <c r="GUH14"/>
      <c r="GUI14"/>
      <c r="GUJ14"/>
      <c r="GUK14"/>
      <c r="GUL14"/>
      <c r="GUM14"/>
      <c r="GUN14"/>
      <c r="GUO14"/>
      <c r="GUP14"/>
      <c r="GUQ14"/>
      <c r="GUR14"/>
      <c r="GUS14"/>
      <c r="GUT14"/>
      <c r="GUU14"/>
      <c r="GUV14"/>
      <c r="GUW14"/>
      <c r="GUX14"/>
      <c r="GUY14"/>
      <c r="GUZ14"/>
      <c r="GVA14"/>
      <c r="GVB14"/>
      <c r="GVC14"/>
      <c r="GVD14"/>
      <c r="GVE14"/>
      <c r="GVF14"/>
      <c r="GVG14"/>
      <c r="GVH14"/>
      <c r="GVI14"/>
      <c r="GVJ14"/>
      <c r="GVK14"/>
      <c r="GVL14"/>
      <c r="GVM14"/>
      <c r="GVN14"/>
      <c r="GVO14"/>
      <c r="GVP14"/>
      <c r="GVQ14"/>
      <c r="GVR14"/>
      <c r="GVS14"/>
      <c r="GVT14"/>
      <c r="GVU14"/>
      <c r="GVV14"/>
      <c r="GVW14"/>
      <c r="GVX14"/>
      <c r="GVY14"/>
      <c r="GVZ14"/>
      <c r="GWA14"/>
      <c r="GWB14"/>
      <c r="GWC14"/>
      <c r="GWD14"/>
      <c r="GWE14"/>
      <c r="GWF14"/>
      <c r="GWG14"/>
      <c r="GWH14"/>
      <c r="GWI14"/>
      <c r="GWJ14"/>
      <c r="GWK14"/>
      <c r="GWL14"/>
      <c r="GWM14"/>
      <c r="GWN14"/>
      <c r="GWO14"/>
      <c r="GWP14"/>
      <c r="GWQ14"/>
      <c r="GWR14"/>
      <c r="GWS14"/>
      <c r="GWT14"/>
      <c r="GWU14"/>
      <c r="GWV14"/>
      <c r="GWW14"/>
      <c r="GWX14"/>
      <c r="GWY14"/>
      <c r="GWZ14"/>
      <c r="GXA14"/>
      <c r="GXB14"/>
      <c r="GXC14"/>
      <c r="GXD14"/>
      <c r="GXE14"/>
      <c r="GXF14"/>
      <c r="GXG14"/>
      <c r="GXH14"/>
      <c r="GXI14"/>
      <c r="GXJ14"/>
      <c r="GXK14"/>
      <c r="GXL14"/>
      <c r="GXM14"/>
      <c r="GXN14"/>
      <c r="GXO14"/>
      <c r="GXP14"/>
      <c r="GXQ14"/>
      <c r="GXR14"/>
      <c r="GXS14"/>
      <c r="GXT14"/>
      <c r="GXU14"/>
      <c r="GXV14"/>
      <c r="GXW14"/>
      <c r="GXX14"/>
      <c r="GXY14"/>
      <c r="GXZ14"/>
      <c r="GYA14"/>
      <c r="GYB14"/>
      <c r="GYC14"/>
      <c r="GYD14"/>
      <c r="GYE14"/>
      <c r="GYF14"/>
      <c r="GYG14"/>
      <c r="GYH14"/>
      <c r="GYI14"/>
      <c r="GYJ14"/>
      <c r="GYK14"/>
      <c r="GYL14"/>
      <c r="GYM14"/>
      <c r="GYN14"/>
      <c r="GYO14"/>
      <c r="GYP14"/>
      <c r="GYQ14"/>
      <c r="GYR14"/>
      <c r="GYS14"/>
      <c r="GYT14"/>
      <c r="GYU14"/>
      <c r="GYV14"/>
      <c r="GYW14"/>
      <c r="GYX14"/>
      <c r="GYY14"/>
      <c r="GYZ14"/>
      <c r="GZA14"/>
      <c r="GZB14"/>
      <c r="GZC14"/>
      <c r="GZD14"/>
      <c r="GZE14"/>
      <c r="GZF14"/>
      <c r="GZG14"/>
      <c r="GZH14"/>
      <c r="GZI14"/>
      <c r="GZJ14"/>
      <c r="GZK14"/>
      <c r="GZL14"/>
      <c r="GZM14"/>
      <c r="GZN14"/>
      <c r="GZO14"/>
      <c r="GZP14"/>
      <c r="GZQ14"/>
      <c r="GZR14"/>
      <c r="GZS14"/>
      <c r="GZT14"/>
      <c r="GZU14"/>
      <c r="GZV14"/>
      <c r="GZW14"/>
      <c r="GZX14"/>
      <c r="GZY14"/>
      <c r="GZZ14"/>
      <c r="HAA14"/>
      <c r="HAB14"/>
      <c r="HAC14"/>
      <c r="HAD14"/>
      <c r="HAE14"/>
      <c r="HAF14"/>
      <c r="HAG14"/>
      <c r="HAH14"/>
      <c r="HAI14"/>
      <c r="HAJ14"/>
      <c r="HAK14"/>
      <c r="HAL14"/>
      <c r="HAM14"/>
      <c r="HAN14"/>
      <c r="HAO14"/>
      <c r="HAP14"/>
      <c r="HAQ14"/>
      <c r="HAR14"/>
      <c r="HAS14"/>
      <c r="HAT14"/>
      <c r="HAU14"/>
      <c r="HAV14"/>
      <c r="HAW14"/>
      <c r="HAX14"/>
      <c r="HAY14"/>
      <c r="HAZ14"/>
      <c r="HBA14"/>
      <c r="HBB14"/>
      <c r="HBC14"/>
      <c r="HBD14"/>
      <c r="HBE14"/>
      <c r="HBF14"/>
      <c r="HBG14"/>
      <c r="HBH14"/>
      <c r="HBI14"/>
      <c r="HBJ14"/>
      <c r="HBK14"/>
      <c r="HBL14"/>
      <c r="HBM14"/>
      <c r="HBN14"/>
      <c r="HBO14"/>
      <c r="HBP14"/>
      <c r="HBQ14"/>
      <c r="HBR14"/>
      <c r="HBS14"/>
      <c r="HBT14"/>
      <c r="HBU14"/>
      <c r="HBV14"/>
      <c r="HBW14"/>
      <c r="HBX14"/>
      <c r="HBY14"/>
      <c r="HBZ14"/>
      <c r="HCA14"/>
      <c r="HCB14"/>
      <c r="HCC14"/>
      <c r="HCD14"/>
      <c r="HCE14"/>
      <c r="HCF14"/>
      <c r="HCG14"/>
      <c r="HCH14"/>
      <c r="HCI14"/>
      <c r="HCJ14"/>
      <c r="HCK14"/>
      <c r="HCL14"/>
      <c r="HCM14"/>
      <c r="HCN14"/>
      <c r="HCO14"/>
      <c r="HCP14"/>
      <c r="HCQ14"/>
      <c r="HCR14"/>
      <c r="HCS14"/>
      <c r="HCT14"/>
      <c r="HCU14"/>
      <c r="HCV14"/>
      <c r="HCW14"/>
      <c r="HCX14"/>
      <c r="HCY14"/>
      <c r="HCZ14"/>
      <c r="HDA14"/>
      <c r="HDB14"/>
      <c r="HDC14"/>
      <c r="HDD14"/>
      <c r="HDE14"/>
      <c r="HDF14"/>
      <c r="HDG14"/>
      <c r="HDH14"/>
      <c r="HDI14"/>
      <c r="HDJ14"/>
      <c r="HDK14"/>
      <c r="HDL14"/>
      <c r="HDM14"/>
      <c r="HDN14"/>
      <c r="HDO14"/>
      <c r="HDP14"/>
      <c r="HDQ14"/>
      <c r="HDR14"/>
      <c r="HDS14"/>
      <c r="HDT14"/>
      <c r="HDU14"/>
      <c r="HDV14"/>
      <c r="HDW14"/>
      <c r="HDX14"/>
      <c r="HDY14"/>
      <c r="HDZ14"/>
      <c r="HEA14"/>
      <c r="HEB14"/>
      <c r="HEC14"/>
      <c r="HED14"/>
      <c r="HEE14"/>
      <c r="HEF14"/>
      <c r="HEG14"/>
      <c r="HEH14"/>
      <c r="HEI14"/>
      <c r="HEJ14"/>
      <c r="HEK14"/>
      <c r="HEL14"/>
      <c r="HEM14"/>
      <c r="HEN14"/>
      <c r="HEO14"/>
      <c r="HEP14"/>
      <c r="HEQ14"/>
      <c r="HER14"/>
      <c r="HES14"/>
      <c r="HET14"/>
      <c r="HEU14"/>
      <c r="HEV14"/>
      <c r="HEW14"/>
      <c r="HEX14"/>
      <c r="HEY14"/>
      <c r="HEZ14"/>
      <c r="HFA14"/>
      <c r="HFB14"/>
      <c r="HFC14"/>
      <c r="HFD14"/>
      <c r="HFE14"/>
      <c r="HFF14"/>
      <c r="HFG14"/>
      <c r="HFH14"/>
      <c r="HFI14"/>
      <c r="HFJ14"/>
      <c r="HFK14"/>
      <c r="HFL14"/>
      <c r="HFM14"/>
      <c r="HFN14"/>
      <c r="HFO14"/>
      <c r="HFP14"/>
      <c r="HFQ14"/>
      <c r="HFR14"/>
      <c r="HFS14"/>
      <c r="HFT14"/>
      <c r="HFU14"/>
      <c r="HFV14"/>
      <c r="HFW14"/>
      <c r="HFX14"/>
      <c r="HFY14"/>
      <c r="HFZ14"/>
      <c r="HGA14"/>
      <c r="HGB14"/>
      <c r="HGC14"/>
      <c r="HGD14"/>
      <c r="HGE14"/>
      <c r="HGF14"/>
      <c r="HGG14"/>
      <c r="HGH14"/>
      <c r="HGI14"/>
      <c r="HGJ14"/>
      <c r="HGK14"/>
      <c r="HGL14"/>
      <c r="HGM14"/>
      <c r="HGN14"/>
      <c r="HGO14"/>
      <c r="HGP14"/>
      <c r="HGQ14"/>
      <c r="HGR14"/>
      <c r="HGS14"/>
      <c r="HGT14"/>
      <c r="HGU14"/>
      <c r="HGV14"/>
      <c r="HGW14"/>
      <c r="HGX14"/>
      <c r="HGY14"/>
      <c r="HGZ14"/>
      <c r="HHA14"/>
      <c r="HHB14"/>
      <c r="HHC14"/>
      <c r="HHD14"/>
      <c r="HHE14"/>
      <c r="HHF14"/>
      <c r="HHG14"/>
      <c r="HHH14"/>
      <c r="HHI14"/>
      <c r="HHJ14"/>
      <c r="HHK14"/>
      <c r="HHL14"/>
      <c r="HHM14"/>
      <c r="HHN14"/>
      <c r="HHO14"/>
      <c r="HHP14"/>
      <c r="HHQ14"/>
      <c r="HHR14"/>
      <c r="HHS14"/>
      <c r="HHT14"/>
      <c r="HHU14"/>
      <c r="HHV14"/>
      <c r="HHW14"/>
      <c r="HHX14"/>
      <c r="HHY14"/>
      <c r="HHZ14"/>
      <c r="HIA14"/>
      <c r="HIB14"/>
      <c r="HIC14"/>
      <c r="HID14"/>
      <c r="HIE14"/>
      <c r="HIF14"/>
      <c r="HIG14"/>
      <c r="HIH14"/>
      <c r="HII14"/>
      <c r="HIJ14"/>
      <c r="HIK14"/>
      <c r="HIL14"/>
      <c r="HIM14"/>
      <c r="HIN14"/>
      <c r="HIO14"/>
      <c r="HIP14"/>
      <c r="HIQ14"/>
      <c r="HIR14"/>
      <c r="HIS14"/>
      <c r="HIT14"/>
      <c r="HIU14"/>
      <c r="HIV14"/>
      <c r="HIW14"/>
      <c r="HIX14"/>
      <c r="HIY14"/>
      <c r="HIZ14"/>
      <c r="HJA14"/>
      <c r="HJB14"/>
      <c r="HJC14"/>
      <c r="HJD14"/>
      <c r="HJE14"/>
      <c r="HJF14"/>
      <c r="HJG14"/>
      <c r="HJH14"/>
      <c r="HJI14"/>
      <c r="HJJ14"/>
      <c r="HJK14"/>
      <c r="HJL14"/>
      <c r="HJM14"/>
      <c r="HJN14"/>
      <c r="HJO14"/>
      <c r="HJP14"/>
      <c r="HJQ14"/>
      <c r="HJR14"/>
      <c r="HJS14"/>
      <c r="HJT14"/>
      <c r="HJU14"/>
      <c r="HJV14"/>
      <c r="HJW14"/>
      <c r="HJX14"/>
      <c r="HJY14"/>
      <c r="HJZ14"/>
      <c r="HKA14"/>
      <c r="HKB14"/>
      <c r="HKC14"/>
      <c r="HKD14"/>
      <c r="HKE14"/>
      <c r="HKF14"/>
      <c r="HKG14"/>
      <c r="HKH14"/>
      <c r="HKI14"/>
      <c r="HKJ14"/>
      <c r="HKK14"/>
      <c r="HKL14"/>
      <c r="HKM14"/>
      <c r="HKN14"/>
      <c r="HKO14"/>
      <c r="HKP14"/>
      <c r="HKQ14"/>
      <c r="HKR14"/>
      <c r="HKS14"/>
      <c r="HKT14"/>
      <c r="HKU14"/>
      <c r="HKV14"/>
      <c r="HKW14"/>
      <c r="HKX14"/>
      <c r="HKY14"/>
      <c r="HKZ14"/>
      <c r="HLA14"/>
      <c r="HLB14"/>
      <c r="HLC14"/>
      <c r="HLD14"/>
      <c r="HLE14"/>
      <c r="HLF14"/>
      <c r="HLG14"/>
      <c r="HLH14"/>
      <c r="HLI14"/>
      <c r="HLJ14"/>
      <c r="HLK14"/>
      <c r="HLL14"/>
      <c r="HLM14"/>
      <c r="HLN14"/>
      <c r="HLO14"/>
      <c r="HLP14"/>
      <c r="HLQ14"/>
      <c r="HLR14"/>
      <c r="HLS14"/>
      <c r="HLT14"/>
      <c r="HLU14"/>
      <c r="HLV14"/>
      <c r="HLW14"/>
      <c r="HLX14"/>
      <c r="HLY14"/>
      <c r="HLZ14"/>
      <c r="HMA14"/>
      <c r="HMB14"/>
      <c r="HMC14"/>
      <c r="HMD14"/>
      <c r="HME14"/>
      <c r="HMF14"/>
      <c r="HMG14"/>
      <c r="HMH14"/>
      <c r="HMI14"/>
      <c r="HMJ14"/>
      <c r="HMK14"/>
      <c r="HML14"/>
      <c r="HMM14"/>
      <c r="HMN14"/>
      <c r="HMO14"/>
      <c r="HMP14"/>
      <c r="HMQ14"/>
      <c r="HMR14"/>
      <c r="HMS14"/>
      <c r="HMT14"/>
      <c r="HMU14"/>
      <c r="HMV14"/>
      <c r="HMW14"/>
      <c r="HMX14"/>
      <c r="HMY14"/>
      <c r="HMZ14"/>
      <c r="HNA14"/>
      <c r="HNB14"/>
      <c r="HNC14"/>
      <c r="HND14"/>
      <c r="HNE14"/>
      <c r="HNF14"/>
      <c r="HNG14"/>
      <c r="HNH14"/>
      <c r="HNI14"/>
      <c r="HNJ14"/>
      <c r="HNK14"/>
      <c r="HNL14"/>
      <c r="HNM14"/>
      <c r="HNN14"/>
      <c r="HNO14"/>
      <c r="HNP14"/>
      <c r="HNQ14"/>
      <c r="HNR14"/>
      <c r="HNS14"/>
      <c r="HNT14"/>
      <c r="HNU14"/>
      <c r="HNV14"/>
      <c r="HNW14"/>
      <c r="HNX14"/>
      <c r="HNY14"/>
      <c r="HNZ14"/>
      <c r="HOA14"/>
      <c r="HOB14"/>
      <c r="HOC14"/>
      <c r="HOD14"/>
      <c r="HOE14"/>
      <c r="HOF14"/>
      <c r="HOG14"/>
      <c r="HOH14"/>
      <c r="HOI14"/>
      <c r="HOJ14"/>
      <c r="HOK14"/>
      <c r="HOL14"/>
      <c r="HOM14"/>
      <c r="HON14"/>
      <c r="HOO14"/>
      <c r="HOP14"/>
      <c r="HOQ14"/>
      <c r="HOR14"/>
      <c r="HOS14"/>
      <c r="HOT14"/>
      <c r="HOU14"/>
      <c r="HOV14"/>
      <c r="HOW14"/>
      <c r="HOX14"/>
      <c r="HOY14"/>
      <c r="HOZ14"/>
      <c r="HPA14"/>
      <c r="HPB14"/>
      <c r="HPC14"/>
      <c r="HPD14"/>
      <c r="HPE14"/>
      <c r="HPF14"/>
      <c r="HPG14"/>
      <c r="HPH14"/>
      <c r="HPI14"/>
      <c r="HPJ14"/>
      <c r="HPK14"/>
      <c r="HPL14"/>
      <c r="HPM14"/>
      <c r="HPN14"/>
      <c r="HPO14"/>
      <c r="HPP14"/>
      <c r="HPQ14"/>
      <c r="HPR14"/>
      <c r="HPS14"/>
      <c r="HPT14"/>
      <c r="HPU14"/>
      <c r="HPV14"/>
      <c r="HPW14"/>
      <c r="HPX14"/>
      <c r="HPY14"/>
      <c r="HPZ14"/>
      <c r="HQA14"/>
      <c r="HQB14"/>
      <c r="HQC14"/>
      <c r="HQD14"/>
      <c r="HQE14"/>
      <c r="HQF14"/>
      <c r="HQG14"/>
      <c r="HQH14"/>
      <c r="HQI14"/>
      <c r="HQJ14"/>
      <c r="HQK14"/>
      <c r="HQL14"/>
      <c r="HQM14"/>
      <c r="HQN14"/>
      <c r="HQO14"/>
      <c r="HQP14"/>
      <c r="HQQ14"/>
      <c r="HQR14"/>
      <c r="HQS14"/>
      <c r="HQT14"/>
      <c r="HQU14"/>
      <c r="HQV14"/>
      <c r="HQW14"/>
      <c r="HQX14"/>
      <c r="HQY14"/>
      <c r="HQZ14"/>
      <c r="HRA14"/>
      <c r="HRB14"/>
      <c r="HRC14"/>
      <c r="HRD14"/>
      <c r="HRE14"/>
      <c r="HRF14"/>
      <c r="HRG14"/>
      <c r="HRH14"/>
      <c r="HRI14"/>
      <c r="HRJ14"/>
      <c r="HRK14"/>
      <c r="HRL14"/>
      <c r="HRM14"/>
      <c r="HRN14"/>
      <c r="HRO14"/>
      <c r="HRP14"/>
      <c r="HRQ14"/>
      <c r="HRR14"/>
      <c r="HRS14"/>
      <c r="HRT14"/>
      <c r="HRU14"/>
      <c r="HRV14"/>
      <c r="HRW14"/>
      <c r="HRX14"/>
      <c r="HRY14"/>
      <c r="HRZ14"/>
      <c r="HSA14"/>
      <c r="HSB14"/>
      <c r="HSC14"/>
      <c r="HSD14"/>
      <c r="HSE14"/>
      <c r="HSF14"/>
      <c r="HSG14"/>
      <c r="HSH14"/>
      <c r="HSI14"/>
      <c r="HSJ14"/>
      <c r="HSK14"/>
      <c r="HSL14"/>
      <c r="HSM14"/>
      <c r="HSN14"/>
      <c r="HSO14"/>
      <c r="HSP14"/>
      <c r="HSQ14"/>
      <c r="HSR14"/>
      <c r="HSS14"/>
      <c r="HST14"/>
      <c r="HSU14"/>
      <c r="HSV14"/>
      <c r="HSW14"/>
      <c r="HSX14"/>
      <c r="HSY14"/>
      <c r="HSZ14"/>
      <c r="HTA14"/>
      <c r="HTB14"/>
      <c r="HTC14"/>
      <c r="HTD14"/>
      <c r="HTE14"/>
      <c r="HTF14"/>
      <c r="HTG14"/>
      <c r="HTH14"/>
      <c r="HTI14"/>
      <c r="HTJ14"/>
      <c r="HTK14"/>
      <c r="HTL14"/>
      <c r="HTM14"/>
      <c r="HTN14"/>
      <c r="HTO14"/>
      <c r="HTP14"/>
      <c r="HTQ14"/>
      <c r="HTR14"/>
      <c r="HTS14"/>
      <c r="HTT14"/>
      <c r="HTU14"/>
      <c r="HTV14"/>
      <c r="HTW14"/>
      <c r="HTX14"/>
      <c r="HTY14"/>
      <c r="HTZ14"/>
      <c r="HUA14"/>
      <c r="HUB14"/>
      <c r="HUC14"/>
      <c r="HUD14"/>
      <c r="HUE14"/>
      <c r="HUF14"/>
      <c r="HUG14"/>
      <c r="HUH14"/>
      <c r="HUI14"/>
      <c r="HUJ14"/>
      <c r="HUK14"/>
      <c r="HUL14"/>
      <c r="HUM14"/>
      <c r="HUN14"/>
      <c r="HUO14"/>
      <c r="HUP14"/>
      <c r="HUQ14"/>
      <c r="HUR14"/>
      <c r="HUS14"/>
      <c r="HUT14"/>
      <c r="HUU14"/>
      <c r="HUV14"/>
      <c r="HUW14"/>
      <c r="HUX14"/>
      <c r="HUY14"/>
      <c r="HUZ14"/>
      <c r="HVA14"/>
      <c r="HVB14"/>
      <c r="HVC14"/>
      <c r="HVD14"/>
      <c r="HVE14"/>
      <c r="HVF14"/>
      <c r="HVG14"/>
      <c r="HVH14"/>
      <c r="HVI14"/>
      <c r="HVJ14"/>
      <c r="HVK14"/>
      <c r="HVL14"/>
      <c r="HVM14"/>
      <c r="HVN14"/>
      <c r="HVO14"/>
      <c r="HVP14"/>
      <c r="HVQ14"/>
      <c r="HVR14"/>
      <c r="HVS14"/>
      <c r="HVT14"/>
      <c r="HVU14"/>
      <c r="HVV14"/>
      <c r="HVW14"/>
      <c r="HVX14"/>
      <c r="HVY14"/>
      <c r="HVZ14"/>
      <c r="HWA14"/>
      <c r="HWB14"/>
      <c r="HWC14"/>
      <c r="HWD14"/>
      <c r="HWE14"/>
      <c r="HWF14"/>
      <c r="HWG14"/>
      <c r="HWH14"/>
      <c r="HWI14"/>
      <c r="HWJ14"/>
      <c r="HWK14"/>
      <c r="HWL14"/>
      <c r="HWM14"/>
      <c r="HWN14"/>
      <c r="HWO14"/>
      <c r="HWP14"/>
      <c r="HWQ14"/>
      <c r="HWR14"/>
      <c r="HWS14"/>
      <c r="HWT14"/>
      <c r="HWU14"/>
      <c r="HWV14"/>
      <c r="HWW14"/>
      <c r="HWX14"/>
      <c r="HWY14"/>
      <c r="HWZ14"/>
      <c r="HXA14"/>
      <c r="HXB14"/>
      <c r="HXC14"/>
      <c r="HXD14"/>
      <c r="HXE14"/>
      <c r="HXF14"/>
      <c r="HXG14"/>
      <c r="HXH14"/>
      <c r="HXI14"/>
      <c r="HXJ14"/>
      <c r="HXK14"/>
      <c r="HXL14"/>
      <c r="HXM14"/>
      <c r="HXN14"/>
      <c r="HXO14"/>
      <c r="HXP14"/>
      <c r="HXQ14"/>
      <c r="HXR14"/>
      <c r="HXS14"/>
      <c r="HXT14"/>
      <c r="HXU14"/>
      <c r="HXV14"/>
      <c r="HXW14"/>
      <c r="HXX14"/>
      <c r="HXY14"/>
      <c r="HXZ14"/>
      <c r="HYA14"/>
      <c r="HYB14"/>
      <c r="HYC14"/>
      <c r="HYD14"/>
      <c r="HYE14"/>
      <c r="HYF14"/>
      <c r="HYG14"/>
      <c r="HYH14"/>
      <c r="HYI14"/>
      <c r="HYJ14"/>
      <c r="HYK14"/>
      <c r="HYL14"/>
      <c r="HYM14"/>
      <c r="HYN14"/>
      <c r="HYO14"/>
      <c r="HYP14"/>
      <c r="HYQ14"/>
      <c r="HYR14"/>
      <c r="HYS14"/>
      <c r="HYT14"/>
      <c r="HYU14"/>
      <c r="HYV14"/>
      <c r="HYW14"/>
      <c r="HYX14"/>
      <c r="HYY14"/>
      <c r="HYZ14"/>
      <c r="HZA14"/>
      <c r="HZB14"/>
      <c r="HZC14"/>
      <c r="HZD14"/>
      <c r="HZE14"/>
      <c r="HZF14"/>
      <c r="HZG14"/>
      <c r="HZH14"/>
      <c r="HZI14"/>
      <c r="HZJ14"/>
      <c r="HZK14"/>
      <c r="HZL14"/>
      <c r="HZM14"/>
      <c r="HZN14"/>
      <c r="HZO14"/>
      <c r="HZP14"/>
      <c r="HZQ14"/>
      <c r="HZR14"/>
      <c r="HZS14"/>
      <c r="HZT14"/>
      <c r="HZU14"/>
      <c r="HZV14"/>
      <c r="HZW14"/>
      <c r="HZX14"/>
      <c r="HZY14"/>
      <c r="HZZ14"/>
      <c r="IAA14"/>
      <c r="IAB14"/>
      <c r="IAC14"/>
      <c r="IAD14"/>
      <c r="IAE14"/>
      <c r="IAF14"/>
      <c r="IAG14"/>
      <c r="IAH14"/>
      <c r="IAI14"/>
      <c r="IAJ14"/>
      <c r="IAK14"/>
      <c r="IAL14"/>
      <c r="IAM14"/>
      <c r="IAN14"/>
      <c r="IAO14"/>
      <c r="IAP14"/>
      <c r="IAQ14"/>
      <c r="IAR14"/>
      <c r="IAS14"/>
      <c r="IAT14"/>
      <c r="IAU14"/>
      <c r="IAV14"/>
      <c r="IAW14"/>
      <c r="IAX14"/>
      <c r="IAY14"/>
      <c r="IAZ14"/>
      <c r="IBA14"/>
      <c r="IBB14"/>
      <c r="IBC14"/>
      <c r="IBD14"/>
      <c r="IBE14"/>
      <c r="IBF14"/>
      <c r="IBG14"/>
      <c r="IBH14"/>
      <c r="IBI14"/>
      <c r="IBJ14"/>
      <c r="IBK14"/>
      <c r="IBL14"/>
      <c r="IBM14"/>
      <c r="IBN14"/>
      <c r="IBO14"/>
      <c r="IBP14"/>
      <c r="IBQ14"/>
      <c r="IBR14"/>
      <c r="IBS14"/>
      <c r="IBT14"/>
      <c r="IBU14"/>
      <c r="IBV14"/>
      <c r="IBW14"/>
      <c r="IBX14"/>
      <c r="IBY14"/>
      <c r="IBZ14"/>
      <c r="ICA14"/>
      <c r="ICB14"/>
      <c r="ICC14"/>
      <c r="ICD14"/>
      <c r="ICE14"/>
      <c r="ICF14"/>
      <c r="ICG14"/>
      <c r="ICH14"/>
      <c r="ICI14"/>
      <c r="ICJ14"/>
      <c r="ICK14"/>
      <c r="ICL14"/>
      <c r="ICM14"/>
      <c r="ICN14"/>
      <c r="ICO14"/>
      <c r="ICP14"/>
      <c r="ICQ14"/>
      <c r="ICR14"/>
      <c r="ICS14"/>
      <c r="ICT14"/>
      <c r="ICU14"/>
      <c r="ICV14"/>
      <c r="ICW14"/>
      <c r="ICX14"/>
      <c r="ICY14"/>
      <c r="ICZ14"/>
      <c r="IDA14"/>
      <c r="IDB14"/>
      <c r="IDC14"/>
      <c r="IDD14"/>
      <c r="IDE14"/>
      <c r="IDF14"/>
      <c r="IDG14"/>
      <c r="IDH14"/>
      <c r="IDI14"/>
      <c r="IDJ14"/>
      <c r="IDK14"/>
      <c r="IDL14"/>
      <c r="IDM14"/>
      <c r="IDN14"/>
      <c r="IDO14"/>
      <c r="IDP14"/>
      <c r="IDQ14"/>
      <c r="IDR14"/>
      <c r="IDS14"/>
      <c r="IDT14"/>
      <c r="IDU14"/>
      <c r="IDV14"/>
      <c r="IDW14"/>
      <c r="IDX14"/>
      <c r="IDY14"/>
      <c r="IDZ14"/>
      <c r="IEA14"/>
      <c r="IEB14"/>
      <c r="IEC14"/>
      <c r="IED14"/>
      <c r="IEE14"/>
      <c r="IEF14"/>
      <c r="IEG14"/>
      <c r="IEH14"/>
      <c r="IEI14"/>
      <c r="IEJ14"/>
      <c r="IEK14"/>
      <c r="IEL14"/>
      <c r="IEM14"/>
      <c r="IEN14"/>
      <c r="IEO14"/>
      <c r="IEP14"/>
      <c r="IEQ14"/>
      <c r="IER14"/>
      <c r="IES14"/>
      <c r="IET14"/>
      <c r="IEU14"/>
      <c r="IEV14"/>
      <c r="IEW14"/>
      <c r="IEX14"/>
      <c r="IEY14"/>
      <c r="IEZ14"/>
      <c r="IFA14"/>
      <c r="IFB14"/>
      <c r="IFC14"/>
      <c r="IFD14"/>
      <c r="IFE14"/>
      <c r="IFF14"/>
      <c r="IFG14"/>
      <c r="IFH14"/>
      <c r="IFI14"/>
      <c r="IFJ14"/>
      <c r="IFK14"/>
      <c r="IFL14"/>
      <c r="IFM14"/>
      <c r="IFN14"/>
      <c r="IFO14"/>
      <c r="IFP14"/>
      <c r="IFQ14"/>
      <c r="IFR14"/>
      <c r="IFS14"/>
      <c r="IFT14"/>
      <c r="IFU14"/>
      <c r="IFV14"/>
      <c r="IFW14"/>
      <c r="IFX14"/>
      <c r="IFY14"/>
      <c r="IFZ14"/>
      <c r="IGA14"/>
      <c r="IGB14"/>
      <c r="IGC14"/>
      <c r="IGD14"/>
      <c r="IGE14"/>
      <c r="IGF14"/>
      <c r="IGG14"/>
      <c r="IGH14"/>
      <c r="IGI14"/>
      <c r="IGJ14"/>
      <c r="IGK14"/>
      <c r="IGL14"/>
      <c r="IGM14"/>
      <c r="IGN14"/>
      <c r="IGO14"/>
      <c r="IGP14"/>
      <c r="IGQ14"/>
      <c r="IGR14"/>
      <c r="IGS14"/>
      <c r="IGT14"/>
      <c r="IGU14"/>
      <c r="IGV14"/>
      <c r="IGW14"/>
      <c r="IGX14"/>
      <c r="IGY14"/>
      <c r="IGZ14"/>
      <c r="IHA14"/>
      <c r="IHB14"/>
      <c r="IHC14"/>
      <c r="IHD14"/>
      <c r="IHE14"/>
      <c r="IHF14"/>
      <c r="IHG14"/>
      <c r="IHH14"/>
      <c r="IHI14"/>
      <c r="IHJ14"/>
      <c r="IHK14"/>
      <c r="IHL14"/>
      <c r="IHM14"/>
      <c r="IHN14"/>
      <c r="IHO14"/>
      <c r="IHP14"/>
      <c r="IHQ14"/>
      <c r="IHR14"/>
      <c r="IHS14"/>
      <c r="IHT14"/>
      <c r="IHU14"/>
      <c r="IHV14"/>
      <c r="IHW14"/>
      <c r="IHX14"/>
      <c r="IHY14"/>
      <c r="IHZ14"/>
      <c r="IIA14"/>
      <c r="IIB14"/>
      <c r="IIC14"/>
      <c r="IID14"/>
      <c r="IIE14"/>
      <c r="IIF14"/>
      <c r="IIG14"/>
      <c r="IIH14"/>
      <c r="III14"/>
      <c r="IIJ14"/>
      <c r="IIK14"/>
      <c r="IIL14"/>
      <c r="IIM14"/>
      <c r="IIN14"/>
      <c r="IIO14"/>
      <c r="IIP14"/>
      <c r="IIQ14"/>
      <c r="IIR14"/>
      <c r="IIS14"/>
      <c r="IIT14"/>
      <c r="IIU14"/>
      <c r="IIV14"/>
      <c r="IIW14"/>
      <c r="IIX14"/>
      <c r="IIY14"/>
      <c r="IIZ14"/>
      <c r="IJA14"/>
      <c r="IJB14"/>
      <c r="IJC14"/>
      <c r="IJD14"/>
      <c r="IJE14"/>
      <c r="IJF14"/>
      <c r="IJG14"/>
      <c r="IJH14"/>
      <c r="IJI14"/>
      <c r="IJJ14"/>
      <c r="IJK14"/>
      <c r="IJL14"/>
      <c r="IJM14"/>
      <c r="IJN14"/>
      <c r="IJO14"/>
      <c r="IJP14"/>
      <c r="IJQ14"/>
      <c r="IJR14"/>
      <c r="IJS14"/>
      <c r="IJT14"/>
      <c r="IJU14"/>
      <c r="IJV14"/>
      <c r="IJW14"/>
      <c r="IJX14"/>
      <c r="IJY14"/>
      <c r="IJZ14"/>
      <c r="IKA14"/>
      <c r="IKB14"/>
      <c r="IKC14"/>
      <c r="IKD14"/>
      <c r="IKE14"/>
      <c r="IKF14"/>
      <c r="IKG14"/>
      <c r="IKH14"/>
      <c r="IKI14"/>
      <c r="IKJ14"/>
      <c r="IKK14"/>
      <c r="IKL14"/>
      <c r="IKM14"/>
      <c r="IKN14"/>
      <c r="IKO14"/>
      <c r="IKP14"/>
      <c r="IKQ14"/>
      <c r="IKR14"/>
      <c r="IKS14"/>
      <c r="IKT14"/>
      <c r="IKU14"/>
      <c r="IKV14"/>
      <c r="IKW14"/>
      <c r="IKX14"/>
      <c r="IKY14"/>
      <c r="IKZ14"/>
      <c r="ILA14"/>
      <c r="ILB14"/>
      <c r="ILC14"/>
      <c r="ILD14"/>
      <c r="ILE14"/>
      <c r="ILF14"/>
      <c r="ILG14"/>
      <c r="ILH14"/>
      <c r="ILI14"/>
      <c r="ILJ14"/>
      <c r="ILK14"/>
      <c r="ILL14"/>
      <c r="ILM14"/>
      <c r="ILN14"/>
      <c r="ILO14"/>
      <c r="ILP14"/>
      <c r="ILQ14"/>
      <c r="ILR14"/>
      <c r="ILS14"/>
      <c r="ILT14"/>
      <c r="ILU14"/>
      <c r="ILV14"/>
      <c r="ILW14"/>
      <c r="ILX14"/>
      <c r="ILY14"/>
      <c r="ILZ14"/>
      <c r="IMA14"/>
      <c r="IMB14"/>
      <c r="IMC14"/>
      <c r="IMD14"/>
      <c r="IME14"/>
      <c r="IMF14"/>
      <c r="IMG14"/>
      <c r="IMH14"/>
      <c r="IMI14"/>
      <c r="IMJ14"/>
      <c r="IMK14"/>
      <c r="IML14"/>
      <c r="IMM14"/>
      <c r="IMN14"/>
      <c r="IMO14"/>
      <c r="IMP14"/>
      <c r="IMQ14"/>
      <c r="IMR14"/>
      <c r="IMS14"/>
      <c r="IMT14"/>
      <c r="IMU14"/>
      <c r="IMV14"/>
      <c r="IMW14"/>
      <c r="IMX14"/>
      <c r="IMY14"/>
      <c r="IMZ14"/>
      <c r="INA14"/>
      <c r="INB14"/>
      <c r="INC14"/>
      <c r="IND14"/>
      <c r="INE14"/>
      <c r="INF14"/>
      <c r="ING14"/>
      <c r="INH14"/>
      <c r="INI14"/>
      <c r="INJ14"/>
      <c r="INK14"/>
      <c r="INL14"/>
      <c r="INM14"/>
      <c r="INN14"/>
      <c r="INO14"/>
      <c r="INP14"/>
      <c r="INQ14"/>
      <c r="INR14"/>
      <c r="INS14"/>
      <c r="INT14"/>
      <c r="INU14"/>
      <c r="INV14"/>
      <c r="INW14"/>
      <c r="INX14"/>
      <c r="INY14"/>
      <c r="INZ14"/>
      <c r="IOA14"/>
      <c r="IOB14"/>
      <c r="IOC14"/>
      <c r="IOD14"/>
      <c r="IOE14"/>
      <c r="IOF14"/>
      <c r="IOG14"/>
      <c r="IOH14"/>
      <c r="IOI14"/>
      <c r="IOJ14"/>
      <c r="IOK14"/>
      <c r="IOL14"/>
      <c r="IOM14"/>
      <c r="ION14"/>
      <c r="IOO14"/>
      <c r="IOP14"/>
      <c r="IOQ14"/>
      <c r="IOR14"/>
      <c r="IOS14"/>
      <c r="IOT14"/>
      <c r="IOU14"/>
      <c r="IOV14"/>
      <c r="IOW14"/>
      <c r="IOX14"/>
      <c r="IOY14"/>
      <c r="IOZ14"/>
      <c r="IPA14"/>
      <c r="IPB14"/>
      <c r="IPC14"/>
      <c r="IPD14"/>
      <c r="IPE14"/>
      <c r="IPF14"/>
      <c r="IPG14"/>
      <c r="IPH14"/>
      <c r="IPI14"/>
      <c r="IPJ14"/>
      <c r="IPK14"/>
      <c r="IPL14"/>
      <c r="IPM14"/>
      <c r="IPN14"/>
      <c r="IPO14"/>
      <c r="IPP14"/>
      <c r="IPQ14"/>
      <c r="IPR14"/>
      <c r="IPS14"/>
      <c r="IPT14"/>
      <c r="IPU14"/>
      <c r="IPV14"/>
      <c r="IPW14"/>
      <c r="IPX14"/>
      <c r="IPY14"/>
      <c r="IPZ14"/>
      <c r="IQA14"/>
      <c r="IQB14"/>
      <c r="IQC14"/>
      <c r="IQD14"/>
      <c r="IQE14"/>
      <c r="IQF14"/>
      <c r="IQG14"/>
      <c r="IQH14"/>
      <c r="IQI14"/>
      <c r="IQJ14"/>
      <c r="IQK14"/>
      <c r="IQL14"/>
      <c r="IQM14"/>
      <c r="IQN14"/>
      <c r="IQO14"/>
      <c r="IQP14"/>
      <c r="IQQ14"/>
      <c r="IQR14"/>
      <c r="IQS14"/>
      <c r="IQT14"/>
      <c r="IQU14"/>
      <c r="IQV14"/>
      <c r="IQW14"/>
      <c r="IQX14"/>
      <c r="IQY14"/>
      <c r="IQZ14"/>
      <c r="IRA14"/>
      <c r="IRB14"/>
      <c r="IRC14"/>
      <c r="IRD14"/>
      <c r="IRE14"/>
      <c r="IRF14"/>
      <c r="IRG14"/>
      <c r="IRH14"/>
      <c r="IRI14"/>
      <c r="IRJ14"/>
      <c r="IRK14"/>
      <c r="IRL14"/>
      <c r="IRM14"/>
      <c r="IRN14"/>
      <c r="IRO14"/>
      <c r="IRP14"/>
      <c r="IRQ14"/>
      <c r="IRR14"/>
      <c r="IRS14"/>
      <c r="IRT14"/>
      <c r="IRU14"/>
      <c r="IRV14"/>
      <c r="IRW14"/>
      <c r="IRX14"/>
      <c r="IRY14"/>
      <c r="IRZ14"/>
      <c r="ISA14"/>
      <c r="ISB14"/>
      <c r="ISC14"/>
      <c r="ISD14"/>
      <c r="ISE14"/>
      <c r="ISF14"/>
      <c r="ISG14"/>
      <c r="ISH14"/>
      <c r="ISI14"/>
      <c r="ISJ14"/>
      <c r="ISK14"/>
      <c r="ISL14"/>
      <c r="ISM14"/>
      <c r="ISN14"/>
      <c r="ISO14"/>
      <c r="ISP14"/>
      <c r="ISQ14"/>
      <c r="ISR14"/>
      <c r="ISS14"/>
      <c r="IST14"/>
      <c r="ISU14"/>
      <c r="ISV14"/>
      <c r="ISW14"/>
      <c r="ISX14"/>
      <c r="ISY14"/>
      <c r="ISZ14"/>
      <c r="ITA14"/>
      <c r="ITB14"/>
      <c r="ITC14"/>
      <c r="ITD14"/>
      <c r="ITE14"/>
      <c r="ITF14"/>
      <c r="ITG14"/>
      <c r="ITH14"/>
      <c r="ITI14"/>
      <c r="ITJ14"/>
      <c r="ITK14"/>
      <c r="ITL14"/>
      <c r="ITM14"/>
      <c r="ITN14"/>
      <c r="ITO14"/>
      <c r="ITP14"/>
      <c r="ITQ14"/>
      <c r="ITR14"/>
      <c r="ITS14"/>
      <c r="ITT14"/>
      <c r="ITU14"/>
      <c r="ITV14"/>
      <c r="ITW14"/>
      <c r="ITX14"/>
      <c r="ITY14"/>
      <c r="ITZ14"/>
      <c r="IUA14"/>
      <c r="IUB14"/>
      <c r="IUC14"/>
      <c r="IUD14"/>
      <c r="IUE14"/>
      <c r="IUF14"/>
      <c r="IUG14"/>
      <c r="IUH14"/>
      <c r="IUI14"/>
      <c r="IUJ14"/>
      <c r="IUK14"/>
      <c r="IUL14"/>
      <c r="IUM14"/>
      <c r="IUN14"/>
      <c r="IUO14"/>
      <c r="IUP14"/>
      <c r="IUQ14"/>
      <c r="IUR14"/>
      <c r="IUS14"/>
      <c r="IUT14"/>
      <c r="IUU14"/>
      <c r="IUV14"/>
      <c r="IUW14"/>
      <c r="IUX14"/>
      <c r="IUY14"/>
      <c r="IUZ14"/>
      <c r="IVA14"/>
      <c r="IVB14"/>
      <c r="IVC14"/>
      <c r="IVD14"/>
      <c r="IVE14"/>
      <c r="IVF14"/>
      <c r="IVG14"/>
      <c r="IVH14"/>
      <c r="IVI14"/>
      <c r="IVJ14"/>
      <c r="IVK14"/>
      <c r="IVL14"/>
      <c r="IVM14"/>
      <c r="IVN14"/>
      <c r="IVO14"/>
      <c r="IVP14"/>
      <c r="IVQ14"/>
      <c r="IVR14"/>
      <c r="IVS14"/>
      <c r="IVT14"/>
      <c r="IVU14"/>
      <c r="IVV14"/>
      <c r="IVW14"/>
      <c r="IVX14"/>
      <c r="IVY14"/>
      <c r="IVZ14"/>
      <c r="IWA14"/>
      <c r="IWB14"/>
      <c r="IWC14"/>
      <c r="IWD14"/>
      <c r="IWE14"/>
      <c r="IWF14"/>
      <c r="IWG14"/>
      <c r="IWH14"/>
      <c r="IWI14"/>
      <c r="IWJ14"/>
      <c r="IWK14"/>
      <c r="IWL14"/>
      <c r="IWM14"/>
      <c r="IWN14"/>
      <c r="IWO14"/>
      <c r="IWP14"/>
      <c r="IWQ14"/>
      <c r="IWR14"/>
      <c r="IWS14"/>
      <c r="IWT14"/>
      <c r="IWU14"/>
      <c r="IWV14"/>
      <c r="IWW14"/>
      <c r="IWX14"/>
      <c r="IWY14"/>
      <c r="IWZ14"/>
      <c r="IXA14"/>
      <c r="IXB14"/>
      <c r="IXC14"/>
      <c r="IXD14"/>
      <c r="IXE14"/>
      <c r="IXF14"/>
      <c r="IXG14"/>
      <c r="IXH14"/>
      <c r="IXI14"/>
      <c r="IXJ14"/>
      <c r="IXK14"/>
      <c r="IXL14"/>
      <c r="IXM14"/>
      <c r="IXN14"/>
      <c r="IXO14"/>
      <c r="IXP14"/>
      <c r="IXQ14"/>
      <c r="IXR14"/>
      <c r="IXS14"/>
      <c r="IXT14"/>
      <c r="IXU14"/>
      <c r="IXV14"/>
      <c r="IXW14"/>
      <c r="IXX14"/>
      <c r="IXY14"/>
      <c r="IXZ14"/>
      <c r="IYA14"/>
      <c r="IYB14"/>
      <c r="IYC14"/>
      <c r="IYD14"/>
      <c r="IYE14"/>
      <c r="IYF14"/>
      <c r="IYG14"/>
      <c r="IYH14"/>
      <c r="IYI14"/>
      <c r="IYJ14"/>
      <c r="IYK14"/>
      <c r="IYL14"/>
      <c r="IYM14"/>
      <c r="IYN14"/>
      <c r="IYO14"/>
      <c r="IYP14"/>
      <c r="IYQ14"/>
      <c r="IYR14"/>
      <c r="IYS14"/>
      <c r="IYT14"/>
      <c r="IYU14"/>
      <c r="IYV14"/>
      <c r="IYW14"/>
      <c r="IYX14"/>
      <c r="IYY14"/>
      <c r="IYZ14"/>
      <c r="IZA14"/>
      <c r="IZB14"/>
      <c r="IZC14"/>
      <c r="IZD14"/>
      <c r="IZE14"/>
      <c r="IZF14"/>
      <c r="IZG14"/>
      <c r="IZH14"/>
      <c r="IZI14"/>
      <c r="IZJ14"/>
      <c r="IZK14"/>
      <c r="IZL14"/>
      <c r="IZM14"/>
      <c r="IZN14"/>
      <c r="IZO14"/>
      <c r="IZP14"/>
      <c r="IZQ14"/>
      <c r="IZR14"/>
      <c r="IZS14"/>
      <c r="IZT14"/>
      <c r="IZU14"/>
      <c r="IZV14"/>
      <c r="IZW14"/>
      <c r="IZX14"/>
      <c r="IZY14"/>
      <c r="IZZ14"/>
      <c r="JAA14"/>
      <c r="JAB14"/>
      <c r="JAC14"/>
      <c r="JAD14"/>
      <c r="JAE14"/>
      <c r="JAF14"/>
      <c r="JAG14"/>
      <c r="JAH14"/>
      <c r="JAI14"/>
      <c r="JAJ14"/>
      <c r="JAK14"/>
      <c r="JAL14"/>
      <c r="JAM14"/>
      <c r="JAN14"/>
      <c r="JAO14"/>
      <c r="JAP14"/>
      <c r="JAQ14"/>
      <c r="JAR14"/>
      <c r="JAS14"/>
      <c r="JAT14"/>
      <c r="JAU14"/>
      <c r="JAV14"/>
      <c r="JAW14"/>
      <c r="JAX14"/>
      <c r="JAY14"/>
      <c r="JAZ14"/>
      <c r="JBA14"/>
      <c r="JBB14"/>
      <c r="JBC14"/>
      <c r="JBD14"/>
      <c r="JBE14"/>
      <c r="JBF14"/>
      <c r="JBG14"/>
      <c r="JBH14"/>
      <c r="JBI14"/>
      <c r="JBJ14"/>
      <c r="JBK14"/>
      <c r="JBL14"/>
      <c r="JBM14"/>
      <c r="JBN14"/>
      <c r="JBO14"/>
      <c r="JBP14"/>
      <c r="JBQ14"/>
      <c r="JBR14"/>
      <c r="JBS14"/>
      <c r="JBT14"/>
      <c r="JBU14"/>
      <c r="JBV14"/>
      <c r="JBW14"/>
      <c r="JBX14"/>
      <c r="JBY14"/>
      <c r="JBZ14"/>
      <c r="JCA14"/>
      <c r="JCB14"/>
      <c r="JCC14"/>
      <c r="JCD14"/>
      <c r="JCE14"/>
      <c r="JCF14"/>
      <c r="JCG14"/>
      <c r="JCH14"/>
      <c r="JCI14"/>
      <c r="JCJ14"/>
      <c r="JCK14"/>
      <c r="JCL14"/>
      <c r="JCM14"/>
      <c r="JCN14"/>
      <c r="JCO14"/>
      <c r="JCP14"/>
      <c r="JCQ14"/>
      <c r="JCR14"/>
      <c r="JCS14"/>
      <c r="JCT14"/>
      <c r="JCU14"/>
      <c r="JCV14"/>
      <c r="JCW14"/>
      <c r="JCX14"/>
      <c r="JCY14"/>
      <c r="JCZ14"/>
      <c r="JDA14"/>
      <c r="JDB14"/>
      <c r="JDC14"/>
      <c r="JDD14"/>
      <c r="JDE14"/>
      <c r="JDF14"/>
      <c r="JDG14"/>
      <c r="JDH14"/>
      <c r="JDI14"/>
      <c r="JDJ14"/>
      <c r="JDK14"/>
      <c r="JDL14"/>
      <c r="JDM14"/>
      <c r="JDN14"/>
      <c r="JDO14"/>
      <c r="JDP14"/>
      <c r="JDQ14"/>
      <c r="JDR14"/>
      <c r="JDS14"/>
      <c r="JDT14"/>
      <c r="JDU14"/>
      <c r="JDV14"/>
      <c r="JDW14"/>
      <c r="JDX14"/>
      <c r="JDY14"/>
      <c r="JDZ14"/>
      <c r="JEA14"/>
      <c r="JEB14"/>
      <c r="JEC14"/>
      <c r="JED14"/>
      <c r="JEE14"/>
      <c r="JEF14"/>
      <c r="JEG14"/>
      <c r="JEH14"/>
      <c r="JEI14"/>
      <c r="JEJ14"/>
      <c r="JEK14"/>
      <c r="JEL14"/>
      <c r="JEM14"/>
      <c r="JEN14"/>
      <c r="JEO14"/>
      <c r="JEP14"/>
      <c r="JEQ14"/>
      <c r="JER14"/>
      <c r="JES14"/>
      <c r="JET14"/>
      <c r="JEU14"/>
      <c r="JEV14"/>
      <c r="JEW14"/>
      <c r="JEX14"/>
      <c r="JEY14"/>
      <c r="JEZ14"/>
      <c r="JFA14"/>
      <c r="JFB14"/>
      <c r="JFC14"/>
      <c r="JFD14"/>
      <c r="JFE14"/>
      <c r="JFF14"/>
      <c r="JFG14"/>
      <c r="JFH14"/>
      <c r="JFI14"/>
      <c r="JFJ14"/>
      <c r="JFK14"/>
      <c r="JFL14"/>
      <c r="JFM14"/>
      <c r="JFN14"/>
      <c r="JFO14"/>
      <c r="JFP14"/>
      <c r="JFQ14"/>
      <c r="JFR14"/>
      <c r="JFS14"/>
      <c r="JFT14"/>
      <c r="JFU14"/>
      <c r="JFV14"/>
      <c r="JFW14"/>
      <c r="JFX14"/>
      <c r="JFY14"/>
      <c r="JFZ14"/>
      <c r="JGA14"/>
      <c r="JGB14"/>
      <c r="JGC14"/>
      <c r="JGD14"/>
      <c r="JGE14"/>
      <c r="JGF14"/>
      <c r="JGG14"/>
      <c r="JGH14"/>
      <c r="JGI14"/>
      <c r="JGJ14"/>
      <c r="JGK14"/>
      <c r="JGL14"/>
      <c r="JGM14"/>
      <c r="JGN14"/>
      <c r="JGO14"/>
      <c r="JGP14"/>
      <c r="JGQ14"/>
      <c r="JGR14"/>
      <c r="JGS14"/>
      <c r="JGT14"/>
      <c r="JGU14"/>
      <c r="JGV14"/>
      <c r="JGW14"/>
      <c r="JGX14"/>
      <c r="JGY14"/>
      <c r="JGZ14"/>
      <c r="JHA14"/>
      <c r="JHB14"/>
      <c r="JHC14"/>
      <c r="JHD14"/>
      <c r="JHE14"/>
      <c r="JHF14"/>
      <c r="JHG14"/>
      <c r="JHH14"/>
      <c r="JHI14"/>
      <c r="JHJ14"/>
      <c r="JHK14"/>
      <c r="JHL14"/>
      <c r="JHM14"/>
      <c r="JHN14"/>
      <c r="JHO14"/>
      <c r="JHP14"/>
      <c r="JHQ14"/>
      <c r="JHR14"/>
      <c r="JHS14"/>
      <c r="JHT14"/>
      <c r="JHU14"/>
      <c r="JHV14"/>
      <c r="JHW14"/>
      <c r="JHX14"/>
      <c r="JHY14"/>
      <c r="JHZ14"/>
      <c r="JIA14"/>
      <c r="JIB14"/>
      <c r="JIC14"/>
      <c r="JID14"/>
      <c r="JIE14"/>
      <c r="JIF14"/>
      <c r="JIG14"/>
      <c r="JIH14"/>
      <c r="JII14"/>
      <c r="JIJ14"/>
      <c r="JIK14"/>
      <c r="JIL14"/>
      <c r="JIM14"/>
      <c r="JIN14"/>
      <c r="JIO14"/>
      <c r="JIP14"/>
      <c r="JIQ14"/>
      <c r="JIR14"/>
      <c r="JIS14"/>
      <c r="JIT14"/>
      <c r="JIU14"/>
      <c r="JIV14"/>
      <c r="JIW14"/>
      <c r="JIX14"/>
      <c r="JIY14"/>
      <c r="JIZ14"/>
      <c r="JJA14"/>
      <c r="JJB14"/>
      <c r="JJC14"/>
      <c r="JJD14"/>
      <c r="JJE14"/>
      <c r="JJF14"/>
      <c r="JJG14"/>
      <c r="JJH14"/>
      <c r="JJI14"/>
      <c r="JJJ14"/>
      <c r="JJK14"/>
      <c r="JJL14"/>
      <c r="JJM14"/>
      <c r="JJN14"/>
      <c r="JJO14"/>
      <c r="JJP14"/>
      <c r="JJQ14"/>
      <c r="JJR14"/>
      <c r="JJS14"/>
      <c r="JJT14"/>
      <c r="JJU14"/>
      <c r="JJV14"/>
      <c r="JJW14"/>
      <c r="JJX14"/>
      <c r="JJY14"/>
      <c r="JJZ14"/>
      <c r="JKA14"/>
      <c r="JKB14"/>
      <c r="JKC14"/>
      <c r="JKD14"/>
      <c r="JKE14"/>
      <c r="JKF14"/>
      <c r="JKG14"/>
      <c r="JKH14"/>
      <c r="JKI14"/>
      <c r="JKJ14"/>
      <c r="JKK14"/>
      <c r="JKL14"/>
      <c r="JKM14"/>
      <c r="JKN14"/>
      <c r="JKO14"/>
      <c r="JKP14"/>
      <c r="JKQ14"/>
      <c r="JKR14"/>
      <c r="JKS14"/>
      <c r="JKT14"/>
      <c r="JKU14"/>
      <c r="JKV14"/>
      <c r="JKW14"/>
      <c r="JKX14"/>
      <c r="JKY14"/>
      <c r="JKZ14"/>
      <c r="JLA14"/>
      <c r="JLB14"/>
      <c r="JLC14"/>
      <c r="JLD14"/>
      <c r="JLE14"/>
      <c r="JLF14"/>
      <c r="JLG14"/>
      <c r="JLH14"/>
      <c r="JLI14"/>
      <c r="JLJ14"/>
      <c r="JLK14"/>
      <c r="JLL14"/>
      <c r="JLM14"/>
      <c r="JLN14"/>
      <c r="JLO14"/>
      <c r="JLP14"/>
      <c r="JLQ14"/>
      <c r="JLR14"/>
      <c r="JLS14"/>
      <c r="JLT14"/>
      <c r="JLU14"/>
      <c r="JLV14"/>
      <c r="JLW14"/>
      <c r="JLX14"/>
      <c r="JLY14"/>
      <c r="JLZ14"/>
      <c r="JMA14"/>
      <c r="JMB14"/>
      <c r="JMC14"/>
      <c r="JMD14"/>
      <c r="JME14"/>
      <c r="JMF14"/>
      <c r="JMG14"/>
      <c r="JMH14"/>
      <c r="JMI14"/>
      <c r="JMJ14"/>
      <c r="JMK14"/>
      <c r="JML14"/>
      <c r="JMM14"/>
      <c r="JMN14"/>
      <c r="JMO14"/>
      <c r="JMP14"/>
      <c r="JMQ14"/>
      <c r="JMR14"/>
      <c r="JMS14"/>
      <c r="JMT14"/>
      <c r="JMU14"/>
      <c r="JMV14"/>
      <c r="JMW14"/>
      <c r="JMX14"/>
      <c r="JMY14"/>
      <c r="JMZ14"/>
      <c r="JNA14"/>
      <c r="JNB14"/>
      <c r="JNC14"/>
      <c r="JND14"/>
      <c r="JNE14"/>
      <c r="JNF14"/>
      <c r="JNG14"/>
      <c r="JNH14"/>
      <c r="JNI14"/>
      <c r="JNJ14"/>
      <c r="JNK14"/>
      <c r="JNL14"/>
      <c r="JNM14"/>
      <c r="JNN14"/>
      <c r="JNO14"/>
      <c r="JNP14"/>
      <c r="JNQ14"/>
      <c r="JNR14"/>
      <c r="JNS14"/>
      <c r="JNT14"/>
      <c r="JNU14"/>
      <c r="JNV14"/>
      <c r="JNW14"/>
      <c r="JNX14"/>
      <c r="JNY14"/>
      <c r="JNZ14"/>
      <c r="JOA14"/>
      <c r="JOB14"/>
      <c r="JOC14"/>
      <c r="JOD14"/>
      <c r="JOE14"/>
      <c r="JOF14"/>
      <c r="JOG14"/>
      <c r="JOH14"/>
      <c r="JOI14"/>
      <c r="JOJ14"/>
      <c r="JOK14"/>
      <c r="JOL14"/>
      <c r="JOM14"/>
      <c r="JON14"/>
      <c r="JOO14"/>
      <c r="JOP14"/>
      <c r="JOQ14"/>
      <c r="JOR14"/>
      <c r="JOS14"/>
      <c r="JOT14"/>
      <c r="JOU14"/>
      <c r="JOV14"/>
      <c r="JOW14"/>
      <c r="JOX14"/>
      <c r="JOY14"/>
      <c r="JOZ14"/>
      <c r="JPA14"/>
      <c r="JPB14"/>
      <c r="JPC14"/>
      <c r="JPD14"/>
      <c r="JPE14"/>
      <c r="JPF14"/>
      <c r="JPG14"/>
      <c r="JPH14"/>
      <c r="JPI14"/>
      <c r="JPJ14"/>
      <c r="JPK14"/>
      <c r="JPL14"/>
      <c r="JPM14"/>
      <c r="JPN14"/>
      <c r="JPO14"/>
      <c r="JPP14"/>
      <c r="JPQ14"/>
      <c r="JPR14"/>
      <c r="JPS14"/>
      <c r="JPT14"/>
      <c r="JPU14"/>
      <c r="JPV14"/>
      <c r="JPW14"/>
      <c r="JPX14"/>
      <c r="JPY14"/>
      <c r="JPZ14"/>
      <c r="JQA14"/>
      <c r="JQB14"/>
      <c r="JQC14"/>
      <c r="JQD14"/>
      <c r="JQE14"/>
      <c r="JQF14"/>
      <c r="JQG14"/>
      <c r="JQH14"/>
      <c r="JQI14"/>
      <c r="JQJ14"/>
      <c r="JQK14"/>
      <c r="JQL14"/>
      <c r="JQM14"/>
      <c r="JQN14"/>
      <c r="JQO14"/>
      <c r="JQP14"/>
      <c r="JQQ14"/>
      <c r="JQR14"/>
      <c r="JQS14"/>
      <c r="JQT14"/>
      <c r="JQU14"/>
      <c r="JQV14"/>
      <c r="JQW14"/>
      <c r="JQX14"/>
      <c r="JQY14"/>
      <c r="JQZ14"/>
      <c r="JRA14"/>
      <c r="JRB14"/>
      <c r="JRC14"/>
      <c r="JRD14"/>
      <c r="JRE14"/>
      <c r="JRF14"/>
      <c r="JRG14"/>
      <c r="JRH14"/>
      <c r="JRI14"/>
      <c r="JRJ14"/>
      <c r="JRK14"/>
      <c r="JRL14"/>
      <c r="JRM14"/>
      <c r="JRN14"/>
      <c r="JRO14"/>
      <c r="JRP14"/>
      <c r="JRQ14"/>
      <c r="JRR14"/>
      <c r="JRS14"/>
      <c r="JRT14"/>
      <c r="JRU14"/>
      <c r="JRV14"/>
      <c r="JRW14"/>
      <c r="JRX14"/>
      <c r="JRY14"/>
      <c r="JRZ14"/>
      <c r="JSA14"/>
      <c r="JSB14"/>
      <c r="JSC14"/>
      <c r="JSD14"/>
      <c r="JSE14"/>
      <c r="JSF14"/>
      <c r="JSG14"/>
      <c r="JSH14"/>
      <c r="JSI14"/>
      <c r="JSJ14"/>
      <c r="JSK14"/>
      <c r="JSL14"/>
      <c r="JSM14"/>
      <c r="JSN14"/>
      <c r="JSO14"/>
      <c r="JSP14"/>
      <c r="JSQ14"/>
      <c r="JSR14"/>
      <c r="JSS14"/>
      <c r="JST14"/>
      <c r="JSU14"/>
      <c r="JSV14"/>
      <c r="JSW14"/>
      <c r="JSX14"/>
      <c r="JSY14"/>
      <c r="JSZ14"/>
      <c r="JTA14"/>
      <c r="JTB14"/>
      <c r="JTC14"/>
      <c r="JTD14"/>
      <c r="JTE14"/>
      <c r="JTF14"/>
      <c r="JTG14"/>
      <c r="JTH14"/>
      <c r="JTI14"/>
      <c r="JTJ14"/>
      <c r="JTK14"/>
      <c r="JTL14"/>
      <c r="JTM14"/>
      <c r="JTN14"/>
      <c r="JTO14"/>
      <c r="JTP14"/>
      <c r="JTQ14"/>
      <c r="JTR14"/>
      <c r="JTS14"/>
      <c r="JTT14"/>
      <c r="JTU14"/>
      <c r="JTV14"/>
      <c r="JTW14"/>
      <c r="JTX14"/>
      <c r="JTY14"/>
      <c r="JTZ14"/>
      <c r="JUA14"/>
      <c r="JUB14"/>
      <c r="JUC14"/>
      <c r="JUD14"/>
      <c r="JUE14"/>
      <c r="JUF14"/>
      <c r="JUG14"/>
      <c r="JUH14"/>
      <c r="JUI14"/>
      <c r="JUJ14"/>
      <c r="JUK14"/>
      <c r="JUL14"/>
      <c r="JUM14"/>
      <c r="JUN14"/>
      <c r="JUO14"/>
      <c r="JUP14"/>
      <c r="JUQ14"/>
      <c r="JUR14"/>
      <c r="JUS14"/>
      <c r="JUT14"/>
      <c r="JUU14"/>
      <c r="JUV14"/>
      <c r="JUW14"/>
      <c r="JUX14"/>
      <c r="JUY14"/>
      <c r="JUZ14"/>
      <c r="JVA14"/>
      <c r="JVB14"/>
      <c r="JVC14"/>
      <c r="JVD14"/>
      <c r="JVE14"/>
      <c r="JVF14"/>
      <c r="JVG14"/>
      <c r="JVH14"/>
      <c r="JVI14"/>
      <c r="JVJ14"/>
      <c r="JVK14"/>
      <c r="JVL14"/>
      <c r="JVM14"/>
      <c r="JVN14"/>
      <c r="JVO14"/>
      <c r="JVP14"/>
      <c r="JVQ14"/>
      <c r="JVR14"/>
      <c r="JVS14"/>
      <c r="JVT14"/>
      <c r="JVU14"/>
      <c r="JVV14"/>
      <c r="JVW14"/>
      <c r="JVX14"/>
      <c r="JVY14"/>
      <c r="JVZ14"/>
      <c r="JWA14"/>
      <c r="JWB14"/>
      <c r="JWC14"/>
      <c r="JWD14"/>
      <c r="JWE14"/>
      <c r="JWF14"/>
      <c r="JWG14"/>
      <c r="JWH14"/>
      <c r="JWI14"/>
      <c r="JWJ14"/>
      <c r="JWK14"/>
      <c r="JWL14"/>
      <c r="JWM14"/>
      <c r="JWN14"/>
      <c r="JWO14"/>
      <c r="JWP14"/>
      <c r="JWQ14"/>
      <c r="JWR14"/>
      <c r="JWS14"/>
      <c r="JWT14"/>
      <c r="JWU14"/>
      <c r="JWV14"/>
      <c r="JWW14"/>
      <c r="JWX14"/>
      <c r="JWY14"/>
      <c r="JWZ14"/>
      <c r="JXA14"/>
      <c r="JXB14"/>
      <c r="JXC14"/>
      <c r="JXD14"/>
      <c r="JXE14"/>
      <c r="JXF14"/>
      <c r="JXG14"/>
      <c r="JXH14"/>
      <c r="JXI14"/>
      <c r="JXJ14"/>
      <c r="JXK14"/>
      <c r="JXL14"/>
      <c r="JXM14"/>
      <c r="JXN14"/>
      <c r="JXO14"/>
      <c r="JXP14"/>
      <c r="JXQ14"/>
      <c r="JXR14"/>
      <c r="JXS14"/>
      <c r="JXT14"/>
      <c r="JXU14"/>
      <c r="JXV14"/>
      <c r="JXW14"/>
      <c r="JXX14"/>
      <c r="JXY14"/>
      <c r="JXZ14"/>
      <c r="JYA14"/>
      <c r="JYB14"/>
      <c r="JYC14"/>
      <c r="JYD14"/>
      <c r="JYE14"/>
      <c r="JYF14"/>
      <c r="JYG14"/>
      <c r="JYH14"/>
      <c r="JYI14"/>
      <c r="JYJ14"/>
      <c r="JYK14"/>
      <c r="JYL14"/>
      <c r="JYM14"/>
      <c r="JYN14"/>
      <c r="JYO14"/>
      <c r="JYP14"/>
      <c r="JYQ14"/>
      <c r="JYR14"/>
      <c r="JYS14"/>
      <c r="JYT14"/>
      <c r="JYU14"/>
      <c r="JYV14"/>
      <c r="JYW14"/>
      <c r="JYX14"/>
      <c r="JYY14"/>
      <c r="JYZ14"/>
      <c r="JZA14"/>
      <c r="JZB14"/>
      <c r="JZC14"/>
      <c r="JZD14"/>
      <c r="JZE14"/>
      <c r="JZF14"/>
      <c r="JZG14"/>
      <c r="JZH14"/>
      <c r="JZI14"/>
      <c r="JZJ14"/>
      <c r="JZK14"/>
      <c r="JZL14"/>
      <c r="JZM14"/>
      <c r="JZN14"/>
      <c r="JZO14"/>
      <c r="JZP14"/>
      <c r="JZQ14"/>
      <c r="JZR14"/>
      <c r="JZS14"/>
      <c r="JZT14"/>
      <c r="JZU14"/>
      <c r="JZV14"/>
      <c r="JZW14"/>
      <c r="JZX14"/>
      <c r="JZY14"/>
      <c r="JZZ14"/>
      <c r="KAA14"/>
      <c r="KAB14"/>
      <c r="KAC14"/>
      <c r="KAD14"/>
      <c r="KAE14"/>
      <c r="KAF14"/>
      <c r="KAG14"/>
      <c r="KAH14"/>
      <c r="KAI14"/>
      <c r="KAJ14"/>
      <c r="KAK14"/>
      <c r="KAL14"/>
      <c r="KAM14"/>
      <c r="KAN14"/>
      <c r="KAO14"/>
      <c r="KAP14"/>
      <c r="KAQ14"/>
      <c r="KAR14"/>
      <c r="KAS14"/>
      <c r="KAT14"/>
      <c r="KAU14"/>
      <c r="KAV14"/>
      <c r="KAW14"/>
      <c r="KAX14"/>
      <c r="KAY14"/>
      <c r="KAZ14"/>
      <c r="KBA14"/>
      <c r="KBB14"/>
      <c r="KBC14"/>
      <c r="KBD14"/>
      <c r="KBE14"/>
      <c r="KBF14"/>
      <c r="KBG14"/>
      <c r="KBH14"/>
      <c r="KBI14"/>
      <c r="KBJ14"/>
      <c r="KBK14"/>
      <c r="KBL14"/>
      <c r="KBM14"/>
      <c r="KBN14"/>
      <c r="KBO14"/>
      <c r="KBP14"/>
      <c r="KBQ14"/>
      <c r="KBR14"/>
      <c r="KBS14"/>
      <c r="KBT14"/>
      <c r="KBU14"/>
      <c r="KBV14"/>
      <c r="KBW14"/>
      <c r="KBX14"/>
      <c r="KBY14"/>
      <c r="KBZ14"/>
      <c r="KCA14"/>
      <c r="KCB14"/>
      <c r="KCC14"/>
      <c r="KCD14"/>
      <c r="KCE14"/>
      <c r="KCF14"/>
      <c r="KCG14"/>
      <c r="KCH14"/>
      <c r="KCI14"/>
      <c r="KCJ14"/>
      <c r="KCK14"/>
      <c r="KCL14"/>
      <c r="KCM14"/>
      <c r="KCN14"/>
      <c r="KCO14"/>
      <c r="KCP14"/>
      <c r="KCQ14"/>
      <c r="KCR14"/>
      <c r="KCS14"/>
      <c r="KCT14"/>
      <c r="KCU14"/>
      <c r="KCV14"/>
      <c r="KCW14"/>
      <c r="KCX14"/>
      <c r="KCY14"/>
      <c r="KCZ14"/>
      <c r="KDA14"/>
      <c r="KDB14"/>
      <c r="KDC14"/>
      <c r="KDD14"/>
      <c r="KDE14"/>
      <c r="KDF14"/>
      <c r="KDG14"/>
      <c r="KDH14"/>
      <c r="KDI14"/>
      <c r="KDJ14"/>
      <c r="KDK14"/>
      <c r="KDL14"/>
      <c r="KDM14"/>
      <c r="KDN14"/>
      <c r="KDO14"/>
      <c r="KDP14"/>
      <c r="KDQ14"/>
      <c r="KDR14"/>
      <c r="KDS14"/>
      <c r="KDT14"/>
      <c r="KDU14"/>
      <c r="KDV14"/>
      <c r="KDW14"/>
      <c r="KDX14"/>
      <c r="KDY14"/>
      <c r="KDZ14"/>
      <c r="KEA14"/>
      <c r="KEB14"/>
      <c r="KEC14"/>
      <c r="KED14"/>
      <c r="KEE14"/>
      <c r="KEF14"/>
      <c r="KEG14"/>
      <c r="KEH14"/>
      <c r="KEI14"/>
      <c r="KEJ14"/>
      <c r="KEK14"/>
      <c r="KEL14"/>
      <c r="KEM14"/>
      <c r="KEN14"/>
      <c r="KEO14"/>
      <c r="KEP14"/>
      <c r="KEQ14"/>
      <c r="KER14"/>
      <c r="KES14"/>
      <c r="KET14"/>
      <c r="KEU14"/>
      <c r="KEV14"/>
      <c r="KEW14"/>
      <c r="KEX14"/>
      <c r="KEY14"/>
      <c r="KEZ14"/>
      <c r="KFA14"/>
      <c r="KFB14"/>
      <c r="KFC14"/>
      <c r="KFD14"/>
      <c r="KFE14"/>
      <c r="KFF14"/>
      <c r="KFG14"/>
      <c r="KFH14"/>
      <c r="KFI14"/>
      <c r="KFJ14"/>
      <c r="KFK14"/>
      <c r="KFL14"/>
      <c r="KFM14"/>
      <c r="KFN14"/>
      <c r="KFO14"/>
      <c r="KFP14"/>
      <c r="KFQ14"/>
      <c r="KFR14"/>
      <c r="KFS14"/>
      <c r="KFT14"/>
      <c r="KFU14"/>
      <c r="KFV14"/>
      <c r="KFW14"/>
      <c r="KFX14"/>
      <c r="KFY14"/>
      <c r="KFZ14"/>
      <c r="KGA14"/>
      <c r="KGB14"/>
      <c r="KGC14"/>
      <c r="KGD14"/>
      <c r="KGE14"/>
      <c r="KGF14"/>
      <c r="KGG14"/>
      <c r="KGH14"/>
      <c r="KGI14"/>
      <c r="KGJ14"/>
      <c r="KGK14"/>
      <c r="KGL14"/>
      <c r="KGM14"/>
      <c r="KGN14"/>
      <c r="KGO14"/>
      <c r="KGP14"/>
      <c r="KGQ14"/>
      <c r="KGR14"/>
      <c r="KGS14"/>
      <c r="KGT14"/>
      <c r="KGU14"/>
      <c r="KGV14"/>
      <c r="KGW14"/>
      <c r="KGX14"/>
      <c r="KGY14"/>
      <c r="KGZ14"/>
      <c r="KHA14"/>
      <c r="KHB14"/>
      <c r="KHC14"/>
      <c r="KHD14"/>
      <c r="KHE14"/>
      <c r="KHF14"/>
      <c r="KHG14"/>
      <c r="KHH14"/>
      <c r="KHI14"/>
      <c r="KHJ14"/>
      <c r="KHK14"/>
      <c r="KHL14"/>
      <c r="KHM14"/>
      <c r="KHN14"/>
      <c r="KHO14"/>
      <c r="KHP14"/>
      <c r="KHQ14"/>
      <c r="KHR14"/>
      <c r="KHS14"/>
      <c r="KHT14"/>
      <c r="KHU14"/>
      <c r="KHV14"/>
      <c r="KHW14"/>
      <c r="KHX14"/>
      <c r="KHY14"/>
      <c r="KHZ14"/>
      <c r="KIA14"/>
      <c r="KIB14"/>
      <c r="KIC14"/>
      <c r="KID14"/>
      <c r="KIE14"/>
      <c r="KIF14"/>
      <c r="KIG14"/>
      <c r="KIH14"/>
      <c r="KII14"/>
      <c r="KIJ14"/>
      <c r="KIK14"/>
      <c r="KIL14"/>
      <c r="KIM14"/>
      <c r="KIN14"/>
      <c r="KIO14"/>
      <c r="KIP14"/>
      <c r="KIQ14"/>
      <c r="KIR14"/>
      <c r="KIS14"/>
      <c r="KIT14"/>
      <c r="KIU14"/>
      <c r="KIV14"/>
      <c r="KIW14"/>
      <c r="KIX14"/>
      <c r="KIY14"/>
      <c r="KIZ14"/>
      <c r="KJA14"/>
      <c r="KJB14"/>
      <c r="KJC14"/>
      <c r="KJD14"/>
      <c r="KJE14"/>
      <c r="KJF14"/>
      <c r="KJG14"/>
      <c r="KJH14"/>
      <c r="KJI14"/>
      <c r="KJJ14"/>
      <c r="KJK14"/>
      <c r="KJL14"/>
      <c r="KJM14"/>
      <c r="KJN14"/>
      <c r="KJO14"/>
      <c r="KJP14"/>
      <c r="KJQ14"/>
      <c r="KJR14"/>
      <c r="KJS14"/>
      <c r="KJT14"/>
      <c r="KJU14"/>
      <c r="KJV14"/>
      <c r="KJW14"/>
      <c r="KJX14"/>
      <c r="KJY14"/>
      <c r="KJZ14"/>
      <c r="KKA14"/>
      <c r="KKB14"/>
      <c r="KKC14"/>
      <c r="KKD14"/>
      <c r="KKE14"/>
      <c r="KKF14"/>
      <c r="KKG14"/>
      <c r="KKH14"/>
      <c r="KKI14"/>
      <c r="KKJ14"/>
      <c r="KKK14"/>
      <c r="KKL14"/>
      <c r="KKM14"/>
      <c r="KKN14"/>
      <c r="KKO14"/>
      <c r="KKP14"/>
      <c r="KKQ14"/>
      <c r="KKR14"/>
      <c r="KKS14"/>
      <c r="KKT14"/>
      <c r="KKU14"/>
      <c r="KKV14"/>
      <c r="KKW14"/>
      <c r="KKX14"/>
      <c r="KKY14"/>
      <c r="KKZ14"/>
      <c r="KLA14"/>
      <c r="KLB14"/>
      <c r="KLC14"/>
      <c r="KLD14"/>
      <c r="KLE14"/>
      <c r="KLF14"/>
      <c r="KLG14"/>
      <c r="KLH14"/>
      <c r="KLI14"/>
      <c r="KLJ14"/>
      <c r="KLK14"/>
      <c r="KLL14"/>
      <c r="KLM14"/>
      <c r="KLN14"/>
      <c r="KLO14"/>
      <c r="KLP14"/>
      <c r="KLQ14"/>
      <c r="KLR14"/>
      <c r="KLS14"/>
      <c r="KLT14"/>
      <c r="KLU14"/>
      <c r="KLV14"/>
      <c r="KLW14"/>
      <c r="KLX14"/>
      <c r="KLY14"/>
      <c r="KLZ14"/>
      <c r="KMA14"/>
      <c r="KMB14"/>
      <c r="KMC14"/>
      <c r="KMD14"/>
      <c r="KME14"/>
      <c r="KMF14"/>
      <c r="KMG14"/>
      <c r="KMH14"/>
      <c r="KMI14"/>
      <c r="KMJ14"/>
      <c r="KMK14"/>
      <c r="KML14"/>
      <c r="KMM14"/>
      <c r="KMN14"/>
      <c r="KMO14"/>
      <c r="KMP14"/>
      <c r="KMQ14"/>
      <c r="KMR14"/>
      <c r="KMS14"/>
      <c r="KMT14"/>
      <c r="KMU14"/>
      <c r="KMV14"/>
      <c r="KMW14"/>
      <c r="KMX14"/>
      <c r="KMY14"/>
      <c r="KMZ14"/>
      <c r="KNA14"/>
      <c r="KNB14"/>
      <c r="KNC14"/>
      <c r="KND14"/>
      <c r="KNE14"/>
      <c r="KNF14"/>
      <c r="KNG14"/>
      <c r="KNH14"/>
      <c r="KNI14"/>
      <c r="KNJ14"/>
      <c r="KNK14"/>
      <c r="KNL14"/>
      <c r="KNM14"/>
      <c r="KNN14"/>
      <c r="KNO14"/>
      <c r="KNP14"/>
      <c r="KNQ14"/>
      <c r="KNR14"/>
      <c r="KNS14"/>
      <c r="KNT14"/>
      <c r="KNU14"/>
      <c r="KNV14"/>
      <c r="KNW14"/>
      <c r="KNX14"/>
      <c r="KNY14"/>
      <c r="KNZ14"/>
      <c r="KOA14"/>
      <c r="KOB14"/>
      <c r="KOC14"/>
      <c r="KOD14"/>
      <c r="KOE14"/>
      <c r="KOF14"/>
      <c r="KOG14"/>
      <c r="KOH14"/>
      <c r="KOI14"/>
      <c r="KOJ14"/>
      <c r="KOK14"/>
      <c r="KOL14"/>
      <c r="KOM14"/>
      <c r="KON14"/>
      <c r="KOO14"/>
      <c r="KOP14"/>
      <c r="KOQ14"/>
      <c r="KOR14"/>
      <c r="KOS14"/>
      <c r="KOT14"/>
      <c r="KOU14"/>
      <c r="KOV14"/>
      <c r="KOW14"/>
      <c r="KOX14"/>
      <c r="KOY14"/>
      <c r="KOZ14"/>
      <c r="KPA14"/>
      <c r="KPB14"/>
      <c r="KPC14"/>
      <c r="KPD14"/>
      <c r="KPE14"/>
      <c r="KPF14"/>
      <c r="KPG14"/>
      <c r="KPH14"/>
      <c r="KPI14"/>
      <c r="KPJ14"/>
      <c r="KPK14"/>
      <c r="KPL14"/>
      <c r="KPM14"/>
      <c r="KPN14"/>
      <c r="KPO14"/>
      <c r="KPP14"/>
      <c r="KPQ14"/>
      <c r="KPR14"/>
      <c r="KPS14"/>
      <c r="KPT14"/>
      <c r="KPU14"/>
      <c r="KPV14"/>
      <c r="KPW14"/>
      <c r="KPX14"/>
      <c r="KPY14"/>
      <c r="KPZ14"/>
      <c r="KQA14"/>
      <c r="KQB14"/>
      <c r="KQC14"/>
      <c r="KQD14"/>
      <c r="KQE14"/>
      <c r="KQF14"/>
      <c r="KQG14"/>
      <c r="KQH14"/>
      <c r="KQI14"/>
      <c r="KQJ14"/>
      <c r="KQK14"/>
      <c r="KQL14"/>
      <c r="KQM14"/>
      <c r="KQN14"/>
      <c r="KQO14"/>
      <c r="KQP14"/>
      <c r="KQQ14"/>
      <c r="KQR14"/>
      <c r="KQS14"/>
      <c r="KQT14"/>
      <c r="KQU14"/>
      <c r="KQV14"/>
      <c r="KQW14"/>
      <c r="KQX14"/>
      <c r="KQY14"/>
      <c r="KQZ14"/>
      <c r="KRA14"/>
      <c r="KRB14"/>
      <c r="KRC14"/>
      <c r="KRD14"/>
      <c r="KRE14"/>
      <c r="KRF14"/>
      <c r="KRG14"/>
      <c r="KRH14"/>
      <c r="KRI14"/>
      <c r="KRJ14"/>
      <c r="KRK14"/>
      <c r="KRL14"/>
      <c r="KRM14"/>
      <c r="KRN14"/>
      <c r="KRO14"/>
      <c r="KRP14"/>
      <c r="KRQ14"/>
      <c r="KRR14"/>
      <c r="KRS14"/>
      <c r="KRT14"/>
      <c r="KRU14"/>
      <c r="KRV14"/>
      <c r="KRW14"/>
      <c r="KRX14"/>
      <c r="KRY14"/>
      <c r="KRZ14"/>
      <c r="KSA14"/>
      <c r="KSB14"/>
      <c r="KSC14"/>
      <c r="KSD14"/>
      <c r="KSE14"/>
      <c r="KSF14"/>
      <c r="KSG14"/>
      <c r="KSH14"/>
      <c r="KSI14"/>
      <c r="KSJ14"/>
      <c r="KSK14"/>
      <c r="KSL14"/>
      <c r="KSM14"/>
      <c r="KSN14"/>
      <c r="KSO14"/>
      <c r="KSP14"/>
      <c r="KSQ14"/>
      <c r="KSR14"/>
      <c r="KSS14"/>
      <c r="KST14"/>
      <c r="KSU14"/>
      <c r="KSV14"/>
      <c r="KSW14"/>
      <c r="KSX14"/>
      <c r="KSY14"/>
      <c r="KSZ14"/>
      <c r="KTA14"/>
      <c r="KTB14"/>
      <c r="KTC14"/>
      <c r="KTD14"/>
      <c r="KTE14"/>
      <c r="KTF14"/>
      <c r="KTG14"/>
      <c r="KTH14"/>
      <c r="KTI14"/>
      <c r="KTJ14"/>
      <c r="KTK14"/>
      <c r="KTL14"/>
      <c r="KTM14"/>
      <c r="KTN14"/>
      <c r="KTO14"/>
      <c r="KTP14"/>
      <c r="KTQ14"/>
      <c r="KTR14"/>
      <c r="KTS14"/>
      <c r="KTT14"/>
      <c r="KTU14"/>
      <c r="KTV14"/>
      <c r="KTW14"/>
      <c r="KTX14"/>
      <c r="KTY14"/>
      <c r="KTZ14"/>
      <c r="KUA14"/>
      <c r="KUB14"/>
      <c r="KUC14"/>
      <c r="KUD14"/>
      <c r="KUE14"/>
      <c r="KUF14"/>
      <c r="KUG14"/>
      <c r="KUH14"/>
      <c r="KUI14"/>
      <c r="KUJ14"/>
      <c r="KUK14"/>
      <c r="KUL14"/>
      <c r="KUM14"/>
      <c r="KUN14"/>
      <c r="KUO14"/>
      <c r="KUP14"/>
      <c r="KUQ14"/>
      <c r="KUR14"/>
      <c r="KUS14"/>
      <c r="KUT14"/>
      <c r="KUU14"/>
      <c r="KUV14"/>
      <c r="KUW14"/>
      <c r="KUX14"/>
      <c r="KUY14"/>
      <c r="KUZ14"/>
      <c r="KVA14"/>
      <c r="KVB14"/>
      <c r="KVC14"/>
      <c r="KVD14"/>
      <c r="KVE14"/>
      <c r="KVF14"/>
      <c r="KVG14"/>
      <c r="KVH14"/>
      <c r="KVI14"/>
      <c r="KVJ14"/>
      <c r="KVK14"/>
      <c r="KVL14"/>
      <c r="KVM14"/>
      <c r="KVN14"/>
      <c r="KVO14"/>
      <c r="KVP14"/>
      <c r="KVQ14"/>
      <c r="KVR14"/>
      <c r="KVS14"/>
      <c r="KVT14"/>
      <c r="KVU14"/>
      <c r="KVV14"/>
      <c r="KVW14"/>
      <c r="KVX14"/>
      <c r="KVY14"/>
      <c r="KVZ14"/>
      <c r="KWA14"/>
      <c r="KWB14"/>
      <c r="KWC14"/>
      <c r="KWD14"/>
      <c r="KWE14"/>
      <c r="KWF14"/>
      <c r="KWG14"/>
      <c r="KWH14"/>
      <c r="KWI14"/>
      <c r="KWJ14"/>
      <c r="KWK14"/>
      <c r="KWL14"/>
      <c r="KWM14"/>
      <c r="KWN14"/>
      <c r="KWO14"/>
      <c r="KWP14"/>
      <c r="KWQ14"/>
      <c r="KWR14"/>
      <c r="KWS14"/>
      <c r="KWT14"/>
      <c r="KWU14"/>
      <c r="KWV14"/>
      <c r="KWW14"/>
      <c r="KWX14"/>
      <c r="KWY14"/>
      <c r="KWZ14"/>
      <c r="KXA14"/>
      <c r="KXB14"/>
      <c r="KXC14"/>
      <c r="KXD14"/>
      <c r="KXE14"/>
      <c r="KXF14"/>
      <c r="KXG14"/>
      <c r="KXH14"/>
      <c r="KXI14"/>
      <c r="KXJ14"/>
      <c r="KXK14"/>
      <c r="KXL14"/>
      <c r="KXM14"/>
      <c r="KXN14"/>
      <c r="KXO14"/>
      <c r="KXP14"/>
      <c r="KXQ14"/>
      <c r="KXR14"/>
      <c r="KXS14"/>
      <c r="KXT14"/>
      <c r="KXU14"/>
      <c r="KXV14"/>
      <c r="KXW14"/>
      <c r="KXX14"/>
      <c r="KXY14"/>
      <c r="KXZ14"/>
      <c r="KYA14"/>
      <c r="KYB14"/>
      <c r="KYC14"/>
      <c r="KYD14"/>
      <c r="KYE14"/>
      <c r="KYF14"/>
      <c r="KYG14"/>
      <c r="KYH14"/>
      <c r="KYI14"/>
      <c r="KYJ14"/>
      <c r="KYK14"/>
      <c r="KYL14"/>
      <c r="KYM14"/>
      <c r="KYN14"/>
      <c r="KYO14"/>
      <c r="KYP14"/>
      <c r="KYQ14"/>
      <c r="KYR14"/>
      <c r="KYS14"/>
      <c r="KYT14"/>
      <c r="KYU14"/>
      <c r="KYV14"/>
      <c r="KYW14"/>
      <c r="KYX14"/>
      <c r="KYY14"/>
      <c r="KYZ14"/>
      <c r="KZA14"/>
      <c r="KZB14"/>
      <c r="KZC14"/>
      <c r="KZD14"/>
      <c r="KZE14"/>
      <c r="KZF14"/>
      <c r="KZG14"/>
      <c r="KZH14"/>
      <c r="KZI14"/>
      <c r="KZJ14"/>
      <c r="KZK14"/>
      <c r="KZL14"/>
      <c r="KZM14"/>
      <c r="KZN14"/>
      <c r="KZO14"/>
      <c r="KZP14"/>
      <c r="KZQ14"/>
      <c r="KZR14"/>
      <c r="KZS14"/>
      <c r="KZT14"/>
      <c r="KZU14"/>
      <c r="KZV14"/>
      <c r="KZW14"/>
      <c r="KZX14"/>
      <c r="KZY14"/>
      <c r="KZZ14"/>
      <c r="LAA14"/>
      <c r="LAB14"/>
      <c r="LAC14"/>
      <c r="LAD14"/>
      <c r="LAE14"/>
      <c r="LAF14"/>
      <c r="LAG14"/>
      <c r="LAH14"/>
      <c r="LAI14"/>
      <c r="LAJ14"/>
      <c r="LAK14"/>
      <c r="LAL14"/>
      <c r="LAM14"/>
      <c r="LAN14"/>
      <c r="LAO14"/>
      <c r="LAP14"/>
      <c r="LAQ14"/>
      <c r="LAR14"/>
      <c r="LAS14"/>
      <c r="LAT14"/>
      <c r="LAU14"/>
      <c r="LAV14"/>
      <c r="LAW14"/>
      <c r="LAX14"/>
      <c r="LAY14"/>
      <c r="LAZ14"/>
      <c r="LBA14"/>
      <c r="LBB14"/>
      <c r="LBC14"/>
      <c r="LBD14"/>
      <c r="LBE14"/>
      <c r="LBF14"/>
      <c r="LBG14"/>
      <c r="LBH14"/>
      <c r="LBI14"/>
      <c r="LBJ14"/>
      <c r="LBK14"/>
      <c r="LBL14"/>
      <c r="LBM14"/>
      <c r="LBN14"/>
      <c r="LBO14"/>
      <c r="LBP14"/>
      <c r="LBQ14"/>
      <c r="LBR14"/>
      <c r="LBS14"/>
      <c r="LBT14"/>
      <c r="LBU14"/>
      <c r="LBV14"/>
      <c r="LBW14"/>
      <c r="LBX14"/>
      <c r="LBY14"/>
      <c r="LBZ14"/>
      <c r="LCA14"/>
      <c r="LCB14"/>
      <c r="LCC14"/>
      <c r="LCD14"/>
      <c r="LCE14"/>
      <c r="LCF14"/>
      <c r="LCG14"/>
      <c r="LCH14"/>
      <c r="LCI14"/>
      <c r="LCJ14"/>
      <c r="LCK14"/>
      <c r="LCL14"/>
      <c r="LCM14"/>
      <c r="LCN14"/>
      <c r="LCO14"/>
      <c r="LCP14"/>
      <c r="LCQ14"/>
      <c r="LCR14"/>
      <c r="LCS14"/>
      <c r="LCT14"/>
      <c r="LCU14"/>
      <c r="LCV14"/>
      <c r="LCW14"/>
      <c r="LCX14"/>
      <c r="LCY14"/>
      <c r="LCZ14"/>
      <c r="LDA14"/>
      <c r="LDB14"/>
      <c r="LDC14"/>
      <c r="LDD14"/>
      <c r="LDE14"/>
      <c r="LDF14"/>
      <c r="LDG14"/>
      <c r="LDH14"/>
      <c r="LDI14"/>
      <c r="LDJ14"/>
      <c r="LDK14"/>
      <c r="LDL14"/>
      <c r="LDM14"/>
      <c r="LDN14"/>
      <c r="LDO14"/>
      <c r="LDP14"/>
      <c r="LDQ14"/>
      <c r="LDR14"/>
      <c r="LDS14"/>
      <c r="LDT14"/>
      <c r="LDU14"/>
      <c r="LDV14"/>
      <c r="LDW14"/>
      <c r="LDX14"/>
      <c r="LDY14"/>
      <c r="LDZ14"/>
      <c r="LEA14"/>
      <c r="LEB14"/>
      <c r="LEC14"/>
      <c r="LED14"/>
      <c r="LEE14"/>
      <c r="LEF14"/>
      <c r="LEG14"/>
      <c r="LEH14"/>
      <c r="LEI14"/>
      <c r="LEJ14"/>
      <c r="LEK14"/>
      <c r="LEL14"/>
      <c r="LEM14"/>
      <c r="LEN14"/>
      <c r="LEO14"/>
      <c r="LEP14"/>
      <c r="LEQ14"/>
      <c r="LER14"/>
      <c r="LES14"/>
      <c r="LET14"/>
      <c r="LEU14"/>
      <c r="LEV14"/>
      <c r="LEW14"/>
      <c r="LEX14"/>
      <c r="LEY14"/>
      <c r="LEZ14"/>
      <c r="LFA14"/>
      <c r="LFB14"/>
      <c r="LFC14"/>
      <c r="LFD14"/>
      <c r="LFE14"/>
      <c r="LFF14"/>
      <c r="LFG14"/>
      <c r="LFH14"/>
      <c r="LFI14"/>
      <c r="LFJ14"/>
      <c r="LFK14"/>
      <c r="LFL14"/>
      <c r="LFM14"/>
      <c r="LFN14"/>
      <c r="LFO14"/>
      <c r="LFP14"/>
      <c r="LFQ14"/>
      <c r="LFR14"/>
      <c r="LFS14"/>
      <c r="LFT14"/>
      <c r="LFU14"/>
      <c r="LFV14"/>
      <c r="LFW14"/>
      <c r="LFX14"/>
      <c r="LFY14"/>
      <c r="LFZ14"/>
      <c r="LGA14"/>
      <c r="LGB14"/>
      <c r="LGC14"/>
      <c r="LGD14"/>
      <c r="LGE14"/>
      <c r="LGF14"/>
      <c r="LGG14"/>
      <c r="LGH14"/>
      <c r="LGI14"/>
      <c r="LGJ14"/>
      <c r="LGK14"/>
      <c r="LGL14"/>
      <c r="LGM14"/>
      <c r="LGN14"/>
      <c r="LGO14"/>
      <c r="LGP14"/>
      <c r="LGQ14"/>
      <c r="LGR14"/>
      <c r="LGS14"/>
      <c r="LGT14"/>
      <c r="LGU14"/>
      <c r="LGV14"/>
      <c r="LGW14"/>
      <c r="LGX14"/>
      <c r="LGY14"/>
      <c r="LGZ14"/>
      <c r="LHA14"/>
      <c r="LHB14"/>
      <c r="LHC14"/>
      <c r="LHD14"/>
      <c r="LHE14"/>
      <c r="LHF14"/>
      <c r="LHG14"/>
      <c r="LHH14"/>
      <c r="LHI14"/>
      <c r="LHJ14"/>
      <c r="LHK14"/>
      <c r="LHL14"/>
      <c r="LHM14"/>
      <c r="LHN14"/>
      <c r="LHO14"/>
      <c r="LHP14"/>
      <c r="LHQ14"/>
      <c r="LHR14"/>
      <c r="LHS14"/>
      <c r="LHT14"/>
      <c r="LHU14"/>
      <c r="LHV14"/>
      <c r="LHW14"/>
      <c r="LHX14"/>
      <c r="LHY14"/>
      <c r="LHZ14"/>
      <c r="LIA14"/>
      <c r="LIB14"/>
      <c r="LIC14"/>
      <c r="LID14"/>
      <c r="LIE14"/>
      <c r="LIF14"/>
      <c r="LIG14"/>
      <c r="LIH14"/>
      <c r="LII14"/>
      <c r="LIJ14"/>
      <c r="LIK14"/>
      <c r="LIL14"/>
      <c r="LIM14"/>
      <c r="LIN14"/>
      <c r="LIO14"/>
      <c r="LIP14"/>
      <c r="LIQ14"/>
      <c r="LIR14"/>
      <c r="LIS14"/>
      <c r="LIT14"/>
      <c r="LIU14"/>
      <c r="LIV14"/>
      <c r="LIW14"/>
      <c r="LIX14"/>
      <c r="LIY14"/>
      <c r="LIZ14"/>
      <c r="LJA14"/>
      <c r="LJB14"/>
      <c r="LJC14"/>
      <c r="LJD14"/>
      <c r="LJE14"/>
      <c r="LJF14"/>
      <c r="LJG14"/>
      <c r="LJH14"/>
      <c r="LJI14"/>
      <c r="LJJ14"/>
      <c r="LJK14"/>
      <c r="LJL14"/>
      <c r="LJM14"/>
      <c r="LJN14"/>
      <c r="LJO14"/>
      <c r="LJP14"/>
      <c r="LJQ14"/>
      <c r="LJR14"/>
      <c r="LJS14"/>
      <c r="LJT14"/>
      <c r="LJU14"/>
      <c r="LJV14"/>
      <c r="LJW14"/>
      <c r="LJX14"/>
      <c r="LJY14"/>
      <c r="LJZ14"/>
      <c r="LKA14"/>
      <c r="LKB14"/>
      <c r="LKC14"/>
      <c r="LKD14"/>
      <c r="LKE14"/>
      <c r="LKF14"/>
      <c r="LKG14"/>
      <c r="LKH14"/>
      <c r="LKI14"/>
      <c r="LKJ14"/>
      <c r="LKK14"/>
      <c r="LKL14"/>
      <c r="LKM14"/>
      <c r="LKN14"/>
      <c r="LKO14"/>
      <c r="LKP14"/>
      <c r="LKQ14"/>
      <c r="LKR14"/>
      <c r="LKS14"/>
      <c r="LKT14"/>
      <c r="LKU14"/>
      <c r="LKV14"/>
      <c r="LKW14"/>
      <c r="LKX14"/>
      <c r="LKY14"/>
      <c r="LKZ14"/>
      <c r="LLA14"/>
      <c r="LLB14"/>
      <c r="LLC14"/>
      <c r="LLD14"/>
      <c r="LLE14"/>
      <c r="LLF14"/>
      <c r="LLG14"/>
      <c r="LLH14"/>
      <c r="LLI14"/>
      <c r="LLJ14"/>
      <c r="LLK14"/>
      <c r="LLL14"/>
      <c r="LLM14"/>
      <c r="LLN14"/>
      <c r="LLO14"/>
      <c r="LLP14"/>
      <c r="LLQ14"/>
      <c r="LLR14"/>
      <c r="LLS14"/>
      <c r="LLT14"/>
      <c r="LLU14"/>
      <c r="LLV14"/>
      <c r="LLW14"/>
      <c r="LLX14"/>
      <c r="LLY14"/>
      <c r="LLZ14"/>
      <c r="LMA14"/>
      <c r="LMB14"/>
      <c r="LMC14"/>
      <c r="LMD14"/>
      <c r="LME14"/>
      <c r="LMF14"/>
      <c r="LMG14"/>
      <c r="LMH14"/>
      <c r="LMI14"/>
      <c r="LMJ14"/>
      <c r="LMK14"/>
      <c r="LML14"/>
      <c r="LMM14"/>
      <c r="LMN14"/>
      <c r="LMO14"/>
      <c r="LMP14"/>
      <c r="LMQ14"/>
      <c r="LMR14"/>
      <c r="LMS14"/>
      <c r="LMT14"/>
      <c r="LMU14"/>
      <c r="LMV14"/>
      <c r="LMW14"/>
      <c r="LMX14"/>
      <c r="LMY14"/>
      <c r="LMZ14"/>
      <c r="LNA14"/>
      <c r="LNB14"/>
      <c r="LNC14"/>
      <c r="LND14"/>
      <c r="LNE14"/>
      <c r="LNF14"/>
      <c r="LNG14"/>
      <c r="LNH14"/>
      <c r="LNI14"/>
      <c r="LNJ14"/>
      <c r="LNK14"/>
      <c r="LNL14"/>
      <c r="LNM14"/>
      <c r="LNN14"/>
      <c r="LNO14"/>
      <c r="LNP14"/>
      <c r="LNQ14"/>
      <c r="LNR14"/>
      <c r="LNS14"/>
      <c r="LNT14"/>
      <c r="LNU14"/>
      <c r="LNV14"/>
      <c r="LNW14"/>
      <c r="LNX14"/>
      <c r="LNY14"/>
      <c r="LNZ14"/>
      <c r="LOA14"/>
      <c r="LOB14"/>
      <c r="LOC14"/>
      <c r="LOD14"/>
      <c r="LOE14"/>
      <c r="LOF14"/>
      <c r="LOG14"/>
      <c r="LOH14"/>
      <c r="LOI14"/>
      <c r="LOJ14"/>
      <c r="LOK14"/>
      <c r="LOL14"/>
      <c r="LOM14"/>
      <c r="LON14"/>
      <c r="LOO14"/>
      <c r="LOP14"/>
      <c r="LOQ14"/>
      <c r="LOR14"/>
      <c r="LOS14"/>
      <c r="LOT14"/>
      <c r="LOU14"/>
      <c r="LOV14"/>
      <c r="LOW14"/>
      <c r="LOX14"/>
      <c r="LOY14"/>
      <c r="LOZ14"/>
      <c r="LPA14"/>
      <c r="LPB14"/>
      <c r="LPC14"/>
      <c r="LPD14"/>
      <c r="LPE14"/>
      <c r="LPF14"/>
      <c r="LPG14"/>
      <c r="LPH14"/>
      <c r="LPI14"/>
      <c r="LPJ14"/>
      <c r="LPK14"/>
      <c r="LPL14"/>
      <c r="LPM14"/>
      <c r="LPN14"/>
      <c r="LPO14"/>
      <c r="LPP14"/>
      <c r="LPQ14"/>
      <c r="LPR14"/>
      <c r="LPS14"/>
      <c r="LPT14"/>
      <c r="LPU14"/>
      <c r="LPV14"/>
      <c r="LPW14"/>
      <c r="LPX14"/>
      <c r="LPY14"/>
      <c r="LPZ14"/>
      <c r="LQA14"/>
      <c r="LQB14"/>
      <c r="LQC14"/>
      <c r="LQD14"/>
      <c r="LQE14"/>
      <c r="LQF14"/>
      <c r="LQG14"/>
      <c r="LQH14"/>
      <c r="LQI14"/>
      <c r="LQJ14"/>
      <c r="LQK14"/>
      <c r="LQL14"/>
      <c r="LQM14"/>
      <c r="LQN14"/>
      <c r="LQO14"/>
      <c r="LQP14"/>
      <c r="LQQ14"/>
      <c r="LQR14"/>
      <c r="LQS14"/>
      <c r="LQT14"/>
      <c r="LQU14"/>
      <c r="LQV14"/>
      <c r="LQW14"/>
      <c r="LQX14"/>
      <c r="LQY14"/>
      <c r="LQZ14"/>
      <c r="LRA14"/>
      <c r="LRB14"/>
      <c r="LRC14"/>
      <c r="LRD14"/>
      <c r="LRE14"/>
      <c r="LRF14"/>
      <c r="LRG14"/>
      <c r="LRH14"/>
      <c r="LRI14"/>
      <c r="LRJ14"/>
      <c r="LRK14"/>
      <c r="LRL14"/>
      <c r="LRM14"/>
      <c r="LRN14"/>
      <c r="LRO14"/>
      <c r="LRP14"/>
      <c r="LRQ14"/>
      <c r="LRR14"/>
      <c r="LRS14"/>
      <c r="LRT14"/>
      <c r="LRU14"/>
      <c r="LRV14"/>
      <c r="LRW14"/>
      <c r="LRX14"/>
      <c r="LRY14"/>
      <c r="LRZ14"/>
      <c r="LSA14"/>
      <c r="LSB14"/>
      <c r="LSC14"/>
      <c r="LSD14"/>
      <c r="LSE14"/>
      <c r="LSF14"/>
      <c r="LSG14"/>
      <c r="LSH14"/>
      <c r="LSI14"/>
      <c r="LSJ14"/>
      <c r="LSK14"/>
      <c r="LSL14"/>
      <c r="LSM14"/>
      <c r="LSN14"/>
      <c r="LSO14"/>
      <c r="LSP14"/>
      <c r="LSQ14"/>
      <c r="LSR14"/>
      <c r="LSS14"/>
      <c r="LST14"/>
      <c r="LSU14"/>
      <c r="LSV14"/>
      <c r="LSW14"/>
      <c r="LSX14"/>
      <c r="LSY14"/>
      <c r="LSZ14"/>
      <c r="LTA14"/>
      <c r="LTB14"/>
      <c r="LTC14"/>
      <c r="LTD14"/>
      <c r="LTE14"/>
      <c r="LTF14"/>
      <c r="LTG14"/>
      <c r="LTH14"/>
      <c r="LTI14"/>
      <c r="LTJ14"/>
      <c r="LTK14"/>
      <c r="LTL14"/>
      <c r="LTM14"/>
      <c r="LTN14"/>
      <c r="LTO14"/>
      <c r="LTP14"/>
      <c r="LTQ14"/>
      <c r="LTR14"/>
      <c r="LTS14"/>
      <c r="LTT14"/>
      <c r="LTU14"/>
      <c r="LTV14"/>
      <c r="LTW14"/>
      <c r="LTX14"/>
      <c r="LTY14"/>
      <c r="LTZ14"/>
      <c r="LUA14"/>
      <c r="LUB14"/>
      <c r="LUC14"/>
      <c r="LUD14"/>
      <c r="LUE14"/>
      <c r="LUF14"/>
      <c r="LUG14"/>
      <c r="LUH14"/>
      <c r="LUI14"/>
      <c r="LUJ14"/>
      <c r="LUK14"/>
      <c r="LUL14"/>
      <c r="LUM14"/>
      <c r="LUN14"/>
      <c r="LUO14"/>
      <c r="LUP14"/>
      <c r="LUQ14"/>
      <c r="LUR14"/>
      <c r="LUS14"/>
      <c r="LUT14"/>
      <c r="LUU14"/>
      <c r="LUV14"/>
      <c r="LUW14"/>
      <c r="LUX14"/>
      <c r="LUY14"/>
      <c r="LUZ14"/>
      <c r="LVA14"/>
      <c r="LVB14"/>
      <c r="LVC14"/>
      <c r="LVD14"/>
      <c r="LVE14"/>
      <c r="LVF14"/>
      <c r="LVG14"/>
      <c r="LVH14"/>
      <c r="LVI14"/>
      <c r="LVJ14"/>
      <c r="LVK14"/>
      <c r="LVL14"/>
      <c r="LVM14"/>
      <c r="LVN14"/>
      <c r="LVO14"/>
      <c r="LVP14"/>
      <c r="LVQ14"/>
      <c r="LVR14"/>
      <c r="LVS14"/>
      <c r="LVT14"/>
      <c r="LVU14"/>
      <c r="LVV14"/>
      <c r="LVW14"/>
      <c r="LVX14"/>
      <c r="LVY14"/>
      <c r="LVZ14"/>
      <c r="LWA14"/>
      <c r="LWB14"/>
      <c r="LWC14"/>
      <c r="LWD14"/>
      <c r="LWE14"/>
      <c r="LWF14"/>
      <c r="LWG14"/>
      <c r="LWH14"/>
      <c r="LWI14"/>
      <c r="LWJ14"/>
      <c r="LWK14"/>
      <c r="LWL14"/>
      <c r="LWM14"/>
      <c r="LWN14"/>
      <c r="LWO14"/>
      <c r="LWP14"/>
      <c r="LWQ14"/>
      <c r="LWR14"/>
      <c r="LWS14"/>
      <c r="LWT14"/>
      <c r="LWU14"/>
      <c r="LWV14"/>
      <c r="LWW14"/>
      <c r="LWX14"/>
      <c r="LWY14"/>
      <c r="LWZ14"/>
      <c r="LXA14"/>
      <c r="LXB14"/>
      <c r="LXC14"/>
      <c r="LXD14"/>
      <c r="LXE14"/>
      <c r="LXF14"/>
      <c r="LXG14"/>
      <c r="LXH14"/>
      <c r="LXI14"/>
      <c r="LXJ14"/>
      <c r="LXK14"/>
      <c r="LXL14"/>
      <c r="LXM14"/>
      <c r="LXN14"/>
      <c r="LXO14"/>
      <c r="LXP14"/>
      <c r="LXQ14"/>
      <c r="LXR14"/>
      <c r="LXS14"/>
      <c r="LXT14"/>
      <c r="LXU14"/>
      <c r="LXV14"/>
      <c r="LXW14"/>
      <c r="LXX14"/>
      <c r="LXY14"/>
      <c r="LXZ14"/>
      <c r="LYA14"/>
      <c r="LYB14"/>
      <c r="LYC14"/>
      <c r="LYD14"/>
      <c r="LYE14"/>
      <c r="LYF14"/>
      <c r="LYG14"/>
      <c r="LYH14"/>
      <c r="LYI14"/>
      <c r="LYJ14"/>
      <c r="LYK14"/>
      <c r="LYL14"/>
      <c r="LYM14"/>
      <c r="LYN14"/>
      <c r="LYO14"/>
      <c r="LYP14"/>
      <c r="LYQ14"/>
      <c r="LYR14"/>
      <c r="LYS14"/>
      <c r="LYT14"/>
      <c r="LYU14"/>
      <c r="LYV14"/>
      <c r="LYW14"/>
      <c r="LYX14"/>
      <c r="LYY14"/>
      <c r="LYZ14"/>
      <c r="LZA14"/>
      <c r="LZB14"/>
      <c r="LZC14"/>
      <c r="LZD14"/>
      <c r="LZE14"/>
      <c r="LZF14"/>
      <c r="LZG14"/>
      <c r="LZH14"/>
      <c r="LZI14"/>
      <c r="LZJ14"/>
      <c r="LZK14"/>
      <c r="LZL14"/>
      <c r="LZM14"/>
      <c r="LZN14"/>
      <c r="LZO14"/>
      <c r="LZP14"/>
      <c r="LZQ14"/>
      <c r="LZR14"/>
      <c r="LZS14"/>
      <c r="LZT14"/>
      <c r="LZU14"/>
      <c r="LZV14"/>
      <c r="LZW14"/>
      <c r="LZX14"/>
      <c r="LZY14"/>
      <c r="LZZ14"/>
      <c r="MAA14"/>
      <c r="MAB14"/>
      <c r="MAC14"/>
      <c r="MAD14"/>
      <c r="MAE14"/>
      <c r="MAF14"/>
      <c r="MAG14"/>
      <c r="MAH14"/>
      <c r="MAI14"/>
      <c r="MAJ14"/>
      <c r="MAK14"/>
      <c r="MAL14"/>
      <c r="MAM14"/>
      <c r="MAN14"/>
      <c r="MAO14"/>
      <c r="MAP14"/>
      <c r="MAQ14"/>
      <c r="MAR14"/>
      <c r="MAS14"/>
      <c r="MAT14"/>
      <c r="MAU14"/>
      <c r="MAV14"/>
      <c r="MAW14"/>
      <c r="MAX14"/>
      <c r="MAY14"/>
      <c r="MAZ14"/>
      <c r="MBA14"/>
      <c r="MBB14"/>
      <c r="MBC14"/>
      <c r="MBD14"/>
      <c r="MBE14"/>
      <c r="MBF14"/>
      <c r="MBG14"/>
      <c r="MBH14"/>
      <c r="MBI14"/>
      <c r="MBJ14"/>
      <c r="MBK14"/>
      <c r="MBL14"/>
      <c r="MBM14"/>
      <c r="MBN14"/>
      <c r="MBO14"/>
      <c r="MBP14"/>
      <c r="MBQ14"/>
      <c r="MBR14"/>
      <c r="MBS14"/>
      <c r="MBT14"/>
      <c r="MBU14"/>
      <c r="MBV14"/>
      <c r="MBW14"/>
      <c r="MBX14"/>
      <c r="MBY14"/>
      <c r="MBZ14"/>
      <c r="MCA14"/>
      <c r="MCB14"/>
      <c r="MCC14"/>
      <c r="MCD14"/>
      <c r="MCE14"/>
      <c r="MCF14"/>
      <c r="MCG14"/>
      <c r="MCH14"/>
      <c r="MCI14"/>
      <c r="MCJ14"/>
      <c r="MCK14"/>
      <c r="MCL14"/>
      <c r="MCM14"/>
      <c r="MCN14"/>
      <c r="MCO14"/>
      <c r="MCP14"/>
      <c r="MCQ14"/>
      <c r="MCR14"/>
      <c r="MCS14"/>
      <c r="MCT14"/>
      <c r="MCU14"/>
      <c r="MCV14"/>
      <c r="MCW14"/>
      <c r="MCX14"/>
      <c r="MCY14"/>
      <c r="MCZ14"/>
      <c r="MDA14"/>
      <c r="MDB14"/>
      <c r="MDC14"/>
      <c r="MDD14"/>
      <c r="MDE14"/>
      <c r="MDF14"/>
      <c r="MDG14"/>
      <c r="MDH14"/>
      <c r="MDI14"/>
      <c r="MDJ14"/>
      <c r="MDK14"/>
      <c r="MDL14"/>
      <c r="MDM14"/>
      <c r="MDN14"/>
      <c r="MDO14"/>
      <c r="MDP14"/>
      <c r="MDQ14"/>
      <c r="MDR14"/>
      <c r="MDS14"/>
      <c r="MDT14"/>
      <c r="MDU14"/>
      <c r="MDV14"/>
      <c r="MDW14"/>
      <c r="MDX14"/>
      <c r="MDY14"/>
      <c r="MDZ14"/>
      <c r="MEA14"/>
      <c r="MEB14"/>
      <c r="MEC14"/>
      <c r="MED14"/>
      <c r="MEE14"/>
      <c r="MEF14"/>
      <c r="MEG14"/>
      <c r="MEH14"/>
      <c r="MEI14"/>
      <c r="MEJ14"/>
      <c r="MEK14"/>
      <c r="MEL14"/>
      <c r="MEM14"/>
      <c r="MEN14"/>
      <c r="MEO14"/>
      <c r="MEP14"/>
      <c r="MEQ14"/>
      <c r="MER14"/>
      <c r="MES14"/>
      <c r="MET14"/>
      <c r="MEU14"/>
      <c r="MEV14"/>
      <c r="MEW14"/>
      <c r="MEX14"/>
      <c r="MEY14"/>
      <c r="MEZ14"/>
      <c r="MFA14"/>
      <c r="MFB14"/>
      <c r="MFC14"/>
      <c r="MFD14"/>
      <c r="MFE14"/>
      <c r="MFF14"/>
      <c r="MFG14"/>
      <c r="MFH14"/>
      <c r="MFI14"/>
      <c r="MFJ14"/>
      <c r="MFK14"/>
      <c r="MFL14"/>
      <c r="MFM14"/>
      <c r="MFN14"/>
      <c r="MFO14"/>
      <c r="MFP14"/>
      <c r="MFQ14"/>
      <c r="MFR14"/>
      <c r="MFS14"/>
      <c r="MFT14"/>
      <c r="MFU14"/>
      <c r="MFV14"/>
      <c r="MFW14"/>
      <c r="MFX14"/>
      <c r="MFY14"/>
      <c r="MFZ14"/>
      <c r="MGA14"/>
      <c r="MGB14"/>
      <c r="MGC14"/>
      <c r="MGD14"/>
      <c r="MGE14"/>
      <c r="MGF14"/>
      <c r="MGG14"/>
      <c r="MGH14"/>
      <c r="MGI14"/>
      <c r="MGJ14"/>
      <c r="MGK14"/>
      <c r="MGL14"/>
      <c r="MGM14"/>
      <c r="MGN14"/>
      <c r="MGO14"/>
      <c r="MGP14"/>
      <c r="MGQ14"/>
      <c r="MGR14"/>
      <c r="MGS14"/>
      <c r="MGT14"/>
      <c r="MGU14"/>
      <c r="MGV14"/>
      <c r="MGW14"/>
      <c r="MGX14"/>
      <c r="MGY14"/>
      <c r="MGZ14"/>
      <c r="MHA14"/>
      <c r="MHB14"/>
      <c r="MHC14"/>
      <c r="MHD14"/>
      <c r="MHE14"/>
      <c r="MHF14"/>
      <c r="MHG14"/>
      <c r="MHH14"/>
      <c r="MHI14"/>
      <c r="MHJ14"/>
      <c r="MHK14"/>
      <c r="MHL14"/>
      <c r="MHM14"/>
      <c r="MHN14"/>
      <c r="MHO14"/>
      <c r="MHP14"/>
      <c r="MHQ14"/>
      <c r="MHR14"/>
      <c r="MHS14"/>
      <c r="MHT14"/>
      <c r="MHU14"/>
      <c r="MHV14"/>
      <c r="MHW14"/>
      <c r="MHX14"/>
      <c r="MHY14"/>
      <c r="MHZ14"/>
      <c r="MIA14"/>
      <c r="MIB14"/>
      <c r="MIC14"/>
      <c r="MID14"/>
      <c r="MIE14"/>
      <c r="MIF14"/>
      <c r="MIG14"/>
      <c r="MIH14"/>
      <c r="MII14"/>
      <c r="MIJ14"/>
      <c r="MIK14"/>
      <c r="MIL14"/>
      <c r="MIM14"/>
      <c r="MIN14"/>
      <c r="MIO14"/>
      <c r="MIP14"/>
      <c r="MIQ14"/>
      <c r="MIR14"/>
      <c r="MIS14"/>
      <c r="MIT14"/>
      <c r="MIU14"/>
      <c r="MIV14"/>
      <c r="MIW14"/>
      <c r="MIX14"/>
      <c r="MIY14"/>
      <c r="MIZ14"/>
      <c r="MJA14"/>
      <c r="MJB14"/>
      <c r="MJC14"/>
      <c r="MJD14"/>
      <c r="MJE14"/>
      <c r="MJF14"/>
      <c r="MJG14"/>
      <c r="MJH14"/>
      <c r="MJI14"/>
      <c r="MJJ14"/>
      <c r="MJK14"/>
      <c r="MJL14"/>
      <c r="MJM14"/>
      <c r="MJN14"/>
      <c r="MJO14"/>
      <c r="MJP14"/>
      <c r="MJQ14"/>
      <c r="MJR14"/>
      <c r="MJS14"/>
      <c r="MJT14"/>
      <c r="MJU14"/>
      <c r="MJV14"/>
      <c r="MJW14"/>
      <c r="MJX14"/>
      <c r="MJY14"/>
      <c r="MJZ14"/>
      <c r="MKA14"/>
      <c r="MKB14"/>
      <c r="MKC14"/>
      <c r="MKD14"/>
      <c r="MKE14"/>
      <c r="MKF14"/>
      <c r="MKG14"/>
      <c r="MKH14"/>
      <c r="MKI14"/>
      <c r="MKJ14"/>
      <c r="MKK14"/>
      <c r="MKL14"/>
      <c r="MKM14"/>
      <c r="MKN14"/>
      <c r="MKO14"/>
      <c r="MKP14"/>
      <c r="MKQ14"/>
      <c r="MKR14"/>
      <c r="MKS14"/>
      <c r="MKT14"/>
      <c r="MKU14"/>
      <c r="MKV14"/>
      <c r="MKW14"/>
      <c r="MKX14"/>
      <c r="MKY14"/>
      <c r="MKZ14"/>
      <c r="MLA14"/>
      <c r="MLB14"/>
      <c r="MLC14"/>
      <c r="MLD14"/>
      <c r="MLE14"/>
      <c r="MLF14"/>
      <c r="MLG14"/>
      <c r="MLH14"/>
      <c r="MLI14"/>
      <c r="MLJ14"/>
      <c r="MLK14"/>
      <c r="MLL14"/>
      <c r="MLM14"/>
      <c r="MLN14"/>
      <c r="MLO14"/>
      <c r="MLP14"/>
      <c r="MLQ14"/>
      <c r="MLR14"/>
      <c r="MLS14"/>
      <c r="MLT14"/>
      <c r="MLU14"/>
      <c r="MLV14"/>
      <c r="MLW14"/>
      <c r="MLX14"/>
      <c r="MLY14"/>
      <c r="MLZ14"/>
      <c r="MMA14"/>
      <c r="MMB14"/>
      <c r="MMC14"/>
      <c r="MMD14"/>
      <c r="MME14"/>
      <c r="MMF14"/>
      <c r="MMG14"/>
      <c r="MMH14"/>
      <c r="MMI14"/>
      <c r="MMJ14"/>
      <c r="MMK14"/>
      <c r="MML14"/>
      <c r="MMM14"/>
      <c r="MMN14"/>
      <c r="MMO14"/>
      <c r="MMP14"/>
      <c r="MMQ14"/>
      <c r="MMR14"/>
      <c r="MMS14"/>
      <c r="MMT14"/>
      <c r="MMU14"/>
      <c r="MMV14"/>
      <c r="MMW14"/>
      <c r="MMX14"/>
      <c r="MMY14"/>
      <c r="MMZ14"/>
      <c r="MNA14"/>
      <c r="MNB14"/>
      <c r="MNC14"/>
      <c r="MND14"/>
      <c r="MNE14"/>
      <c r="MNF14"/>
      <c r="MNG14"/>
      <c r="MNH14"/>
      <c r="MNI14"/>
      <c r="MNJ14"/>
      <c r="MNK14"/>
      <c r="MNL14"/>
      <c r="MNM14"/>
      <c r="MNN14"/>
      <c r="MNO14"/>
      <c r="MNP14"/>
      <c r="MNQ14"/>
      <c r="MNR14"/>
      <c r="MNS14"/>
      <c r="MNT14"/>
      <c r="MNU14"/>
      <c r="MNV14"/>
      <c r="MNW14"/>
      <c r="MNX14"/>
      <c r="MNY14"/>
      <c r="MNZ14"/>
      <c r="MOA14"/>
      <c r="MOB14"/>
      <c r="MOC14"/>
      <c r="MOD14"/>
      <c r="MOE14"/>
      <c r="MOF14"/>
      <c r="MOG14"/>
      <c r="MOH14"/>
      <c r="MOI14"/>
      <c r="MOJ14"/>
      <c r="MOK14"/>
      <c r="MOL14"/>
      <c r="MOM14"/>
      <c r="MON14"/>
      <c r="MOO14"/>
      <c r="MOP14"/>
      <c r="MOQ14"/>
      <c r="MOR14"/>
      <c r="MOS14"/>
      <c r="MOT14"/>
      <c r="MOU14"/>
      <c r="MOV14"/>
      <c r="MOW14"/>
      <c r="MOX14"/>
      <c r="MOY14"/>
      <c r="MOZ14"/>
      <c r="MPA14"/>
      <c r="MPB14"/>
      <c r="MPC14"/>
      <c r="MPD14"/>
      <c r="MPE14"/>
      <c r="MPF14"/>
      <c r="MPG14"/>
      <c r="MPH14"/>
      <c r="MPI14"/>
      <c r="MPJ14"/>
      <c r="MPK14"/>
      <c r="MPL14"/>
      <c r="MPM14"/>
      <c r="MPN14"/>
      <c r="MPO14"/>
      <c r="MPP14"/>
      <c r="MPQ14"/>
      <c r="MPR14"/>
      <c r="MPS14"/>
      <c r="MPT14"/>
      <c r="MPU14"/>
      <c r="MPV14"/>
      <c r="MPW14"/>
      <c r="MPX14"/>
      <c r="MPY14"/>
      <c r="MPZ14"/>
      <c r="MQA14"/>
      <c r="MQB14"/>
      <c r="MQC14"/>
      <c r="MQD14"/>
      <c r="MQE14"/>
      <c r="MQF14"/>
      <c r="MQG14"/>
      <c r="MQH14"/>
      <c r="MQI14"/>
      <c r="MQJ14"/>
      <c r="MQK14"/>
      <c r="MQL14"/>
      <c r="MQM14"/>
      <c r="MQN14"/>
      <c r="MQO14"/>
      <c r="MQP14"/>
      <c r="MQQ14"/>
      <c r="MQR14"/>
      <c r="MQS14"/>
      <c r="MQT14"/>
      <c r="MQU14"/>
      <c r="MQV14"/>
      <c r="MQW14"/>
      <c r="MQX14"/>
      <c r="MQY14"/>
      <c r="MQZ14"/>
      <c r="MRA14"/>
      <c r="MRB14"/>
      <c r="MRC14"/>
      <c r="MRD14"/>
      <c r="MRE14"/>
      <c r="MRF14"/>
      <c r="MRG14"/>
      <c r="MRH14"/>
      <c r="MRI14"/>
      <c r="MRJ14"/>
      <c r="MRK14"/>
      <c r="MRL14"/>
      <c r="MRM14"/>
      <c r="MRN14"/>
      <c r="MRO14"/>
      <c r="MRP14"/>
      <c r="MRQ14"/>
      <c r="MRR14"/>
      <c r="MRS14"/>
      <c r="MRT14"/>
      <c r="MRU14"/>
      <c r="MRV14"/>
      <c r="MRW14"/>
      <c r="MRX14"/>
      <c r="MRY14"/>
      <c r="MRZ14"/>
      <c r="MSA14"/>
      <c r="MSB14"/>
      <c r="MSC14"/>
      <c r="MSD14"/>
      <c r="MSE14"/>
      <c r="MSF14"/>
      <c r="MSG14"/>
      <c r="MSH14"/>
      <c r="MSI14"/>
      <c r="MSJ14"/>
      <c r="MSK14"/>
      <c r="MSL14"/>
      <c r="MSM14"/>
      <c r="MSN14"/>
      <c r="MSO14"/>
      <c r="MSP14"/>
      <c r="MSQ14"/>
      <c r="MSR14"/>
      <c r="MSS14"/>
      <c r="MST14"/>
      <c r="MSU14"/>
      <c r="MSV14"/>
      <c r="MSW14"/>
      <c r="MSX14"/>
      <c r="MSY14"/>
      <c r="MSZ14"/>
      <c r="MTA14"/>
      <c r="MTB14"/>
      <c r="MTC14"/>
      <c r="MTD14"/>
      <c r="MTE14"/>
      <c r="MTF14"/>
      <c r="MTG14"/>
      <c r="MTH14"/>
      <c r="MTI14"/>
      <c r="MTJ14"/>
      <c r="MTK14"/>
      <c r="MTL14"/>
      <c r="MTM14"/>
      <c r="MTN14"/>
      <c r="MTO14"/>
      <c r="MTP14"/>
      <c r="MTQ14"/>
      <c r="MTR14"/>
      <c r="MTS14"/>
      <c r="MTT14"/>
      <c r="MTU14"/>
      <c r="MTV14"/>
      <c r="MTW14"/>
      <c r="MTX14"/>
      <c r="MTY14"/>
      <c r="MTZ14"/>
      <c r="MUA14"/>
      <c r="MUB14"/>
      <c r="MUC14"/>
      <c r="MUD14"/>
      <c r="MUE14"/>
      <c r="MUF14"/>
      <c r="MUG14"/>
      <c r="MUH14"/>
      <c r="MUI14"/>
      <c r="MUJ14"/>
      <c r="MUK14"/>
      <c r="MUL14"/>
      <c r="MUM14"/>
      <c r="MUN14"/>
      <c r="MUO14"/>
      <c r="MUP14"/>
      <c r="MUQ14"/>
      <c r="MUR14"/>
      <c r="MUS14"/>
      <c r="MUT14"/>
      <c r="MUU14"/>
      <c r="MUV14"/>
      <c r="MUW14"/>
      <c r="MUX14"/>
      <c r="MUY14"/>
      <c r="MUZ14"/>
      <c r="MVA14"/>
      <c r="MVB14"/>
      <c r="MVC14"/>
      <c r="MVD14"/>
      <c r="MVE14"/>
      <c r="MVF14"/>
      <c r="MVG14"/>
      <c r="MVH14"/>
      <c r="MVI14"/>
      <c r="MVJ14"/>
      <c r="MVK14"/>
      <c r="MVL14"/>
      <c r="MVM14"/>
      <c r="MVN14"/>
      <c r="MVO14"/>
      <c r="MVP14"/>
      <c r="MVQ14"/>
      <c r="MVR14"/>
      <c r="MVS14"/>
      <c r="MVT14"/>
      <c r="MVU14"/>
      <c r="MVV14"/>
      <c r="MVW14"/>
      <c r="MVX14"/>
      <c r="MVY14"/>
      <c r="MVZ14"/>
      <c r="MWA14"/>
      <c r="MWB14"/>
      <c r="MWC14"/>
      <c r="MWD14"/>
      <c r="MWE14"/>
      <c r="MWF14"/>
      <c r="MWG14"/>
      <c r="MWH14"/>
      <c r="MWI14"/>
      <c r="MWJ14"/>
      <c r="MWK14"/>
      <c r="MWL14"/>
      <c r="MWM14"/>
      <c r="MWN14"/>
      <c r="MWO14"/>
      <c r="MWP14"/>
      <c r="MWQ14"/>
      <c r="MWR14"/>
      <c r="MWS14"/>
      <c r="MWT14"/>
      <c r="MWU14"/>
      <c r="MWV14"/>
      <c r="MWW14"/>
      <c r="MWX14"/>
      <c r="MWY14"/>
      <c r="MWZ14"/>
      <c r="MXA14"/>
      <c r="MXB14"/>
      <c r="MXC14"/>
      <c r="MXD14"/>
      <c r="MXE14"/>
      <c r="MXF14"/>
      <c r="MXG14"/>
      <c r="MXH14"/>
      <c r="MXI14"/>
      <c r="MXJ14"/>
      <c r="MXK14"/>
      <c r="MXL14"/>
      <c r="MXM14"/>
      <c r="MXN14"/>
      <c r="MXO14"/>
      <c r="MXP14"/>
      <c r="MXQ14"/>
      <c r="MXR14"/>
      <c r="MXS14"/>
      <c r="MXT14"/>
      <c r="MXU14"/>
      <c r="MXV14"/>
      <c r="MXW14"/>
      <c r="MXX14"/>
      <c r="MXY14"/>
      <c r="MXZ14"/>
      <c r="MYA14"/>
      <c r="MYB14"/>
      <c r="MYC14"/>
      <c r="MYD14"/>
      <c r="MYE14"/>
      <c r="MYF14"/>
      <c r="MYG14"/>
      <c r="MYH14"/>
      <c r="MYI14"/>
      <c r="MYJ14"/>
      <c r="MYK14"/>
      <c r="MYL14"/>
      <c r="MYM14"/>
      <c r="MYN14"/>
      <c r="MYO14"/>
      <c r="MYP14"/>
      <c r="MYQ14"/>
      <c r="MYR14"/>
      <c r="MYS14"/>
      <c r="MYT14"/>
      <c r="MYU14"/>
      <c r="MYV14"/>
      <c r="MYW14"/>
      <c r="MYX14"/>
      <c r="MYY14"/>
      <c r="MYZ14"/>
      <c r="MZA14"/>
      <c r="MZB14"/>
      <c r="MZC14"/>
      <c r="MZD14"/>
      <c r="MZE14"/>
      <c r="MZF14"/>
      <c r="MZG14"/>
      <c r="MZH14"/>
      <c r="MZI14"/>
      <c r="MZJ14"/>
      <c r="MZK14"/>
      <c r="MZL14"/>
      <c r="MZM14"/>
      <c r="MZN14"/>
      <c r="MZO14"/>
      <c r="MZP14"/>
      <c r="MZQ14"/>
      <c r="MZR14"/>
      <c r="MZS14"/>
      <c r="MZT14"/>
      <c r="MZU14"/>
      <c r="MZV14"/>
      <c r="MZW14"/>
      <c r="MZX14"/>
      <c r="MZY14"/>
      <c r="MZZ14"/>
      <c r="NAA14"/>
      <c r="NAB14"/>
      <c r="NAC14"/>
      <c r="NAD14"/>
      <c r="NAE14"/>
      <c r="NAF14"/>
      <c r="NAG14"/>
      <c r="NAH14"/>
      <c r="NAI14"/>
      <c r="NAJ14"/>
      <c r="NAK14"/>
      <c r="NAL14"/>
      <c r="NAM14"/>
      <c r="NAN14"/>
      <c r="NAO14"/>
      <c r="NAP14"/>
      <c r="NAQ14"/>
      <c r="NAR14"/>
      <c r="NAS14"/>
      <c r="NAT14"/>
      <c r="NAU14"/>
      <c r="NAV14"/>
      <c r="NAW14"/>
      <c r="NAX14"/>
      <c r="NAY14"/>
      <c r="NAZ14"/>
      <c r="NBA14"/>
      <c r="NBB14"/>
      <c r="NBC14"/>
      <c r="NBD14"/>
      <c r="NBE14"/>
      <c r="NBF14"/>
      <c r="NBG14"/>
      <c r="NBH14"/>
      <c r="NBI14"/>
      <c r="NBJ14"/>
      <c r="NBK14"/>
      <c r="NBL14"/>
      <c r="NBM14"/>
      <c r="NBN14"/>
      <c r="NBO14"/>
      <c r="NBP14"/>
      <c r="NBQ14"/>
      <c r="NBR14"/>
      <c r="NBS14"/>
      <c r="NBT14"/>
      <c r="NBU14"/>
      <c r="NBV14"/>
      <c r="NBW14"/>
      <c r="NBX14"/>
      <c r="NBY14"/>
      <c r="NBZ14"/>
      <c r="NCA14"/>
      <c r="NCB14"/>
      <c r="NCC14"/>
      <c r="NCD14"/>
      <c r="NCE14"/>
      <c r="NCF14"/>
      <c r="NCG14"/>
      <c r="NCH14"/>
      <c r="NCI14"/>
      <c r="NCJ14"/>
      <c r="NCK14"/>
      <c r="NCL14"/>
      <c r="NCM14"/>
      <c r="NCN14"/>
      <c r="NCO14"/>
      <c r="NCP14"/>
      <c r="NCQ14"/>
      <c r="NCR14"/>
      <c r="NCS14"/>
      <c r="NCT14"/>
      <c r="NCU14"/>
      <c r="NCV14"/>
      <c r="NCW14"/>
      <c r="NCX14"/>
      <c r="NCY14"/>
      <c r="NCZ14"/>
      <c r="NDA14"/>
      <c r="NDB14"/>
      <c r="NDC14"/>
      <c r="NDD14"/>
      <c r="NDE14"/>
      <c r="NDF14"/>
      <c r="NDG14"/>
      <c r="NDH14"/>
      <c r="NDI14"/>
      <c r="NDJ14"/>
      <c r="NDK14"/>
      <c r="NDL14"/>
      <c r="NDM14"/>
      <c r="NDN14"/>
      <c r="NDO14"/>
      <c r="NDP14"/>
      <c r="NDQ14"/>
      <c r="NDR14"/>
      <c r="NDS14"/>
      <c r="NDT14"/>
      <c r="NDU14"/>
      <c r="NDV14"/>
      <c r="NDW14"/>
      <c r="NDX14"/>
      <c r="NDY14"/>
      <c r="NDZ14"/>
      <c r="NEA14"/>
      <c r="NEB14"/>
      <c r="NEC14"/>
      <c r="NED14"/>
      <c r="NEE14"/>
      <c r="NEF14"/>
      <c r="NEG14"/>
      <c r="NEH14"/>
      <c r="NEI14"/>
      <c r="NEJ14"/>
      <c r="NEK14"/>
      <c r="NEL14"/>
      <c r="NEM14"/>
      <c r="NEN14"/>
      <c r="NEO14"/>
      <c r="NEP14"/>
      <c r="NEQ14"/>
      <c r="NER14"/>
      <c r="NES14"/>
      <c r="NET14"/>
      <c r="NEU14"/>
      <c r="NEV14"/>
      <c r="NEW14"/>
      <c r="NEX14"/>
      <c r="NEY14"/>
      <c r="NEZ14"/>
      <c r="NFA14"/>
      <c r="NFB14"/>
      <c r="NFC14"/>
      <c r="NFD14"/>
      <c r="NFE14"/>
      <c r="NFF14"/>
      <c r="NFG14"/>
      <c r="NFH14"/>
      <c r="NFI14"/>
      <c r="NFJ14"/>
      <c r="NFK14"/>
      <c r="NFL14"/>
      <c r="NFM14"/>
      <c r="NFN14"/>
      <c r="NFO14"/>
      <c r="NFP14"/>
      <c r="NFQ14"/>
      <c r="NFR14"/>
      <c r="NFS14"/>
      <c r="NFT14"/>
      <c r="NFU14"/>
      <c r="NFV14"/>
      <c r="NFW14"/>
      <c r="NFX14"/>
      <c r="NFY14"/>
      <c r="NFZ14"/>
      <c r="NGA14"/>
      <c r="NGB14"/>
      <c r="NGC14"/>
      <c r="NGD14"/>
      <c r="NGE14"/>
      <c r="NGF14"/>
      <c r="NGG14"/>
      <c r="NGH14"/>
      <c r="NGI14"/>
      <c r="NGJ14"/>
      <c r="NGK14"/>
      <c r="NGL14"/>
      <c r="NGM14"/>
      <c r="NGN14"/>
      <c r="NGO14"/>
      <c r="NGP14"/>
      <c r="NGQ14"/>
      <c r="NGR14"/>
      <c r="NGS14"/>
      <c r="NGT14"/>
      <c r="NGU14"/>
      <c r="NGV14"/>
      <c r="NGW14"/>
      <c r="NGX14"/>
      <c r="NGY14"/>
      <c r="NGZ14"/>
      <c r="NHA14"/>
      <c r="NHB14"/>
      <c r="NHC14"/>
      <c r="NHD14"/>
      <c r="NHE14"/>
      <c r="NHF14"/>
      <c r="NHG14"/>
      <c r="NHH14"/>
      <c r="NHI14"/>
      <c r="NHJ14"/>
      <c r="NHK14"/>
      <c r="NHL14"/>
      <c r="NHM14"/>
      <c r="NHN14"/>
      <c r="NHO14"/>
      <c r="NHP14"/>
      <c r="NHQ14"/>
      <c r="NHR14"/>
      <c r="NHS14"/>
      <c r="NHT14"/>
      <c r="NHU14"/>
      <c r="NHV14"/>
      <c r="NHW14"/>
      <c r="NHX14"/>
      <c r="NHY14"/>
      <c r="NHZ14"/>
      <c r="NIA14"/>
      <c r="NIB14"/>
      <c r="NIC14"/>
      <c r="NID14"/>
      <c r="NIE14"/>
      <c r="NIF14"/>
      <c r="NIG14"/>
      <c r="NIH14"/>
      <c r="NII14"/>
      <c r="NIJ14"/>
      <c r="NIK14"/>
      <c r="NIL14"/>
      <c r="NIM14"/>
      <c r="NIN14"/>
      <c r="NIO14"/>
      <c r="NIP14"/>
      <c r="NIQ14"/>
      <c r="NIR14"/>
      <c r="NIS14"/>
      <c r="NIT14"/>
      <c r="NIU14"/>
      <c r="NIV14"/>
      <c r="NIW14"/>
      <c r="NIX14"/>
      <c r="NIY14"/>
      <c r="NIZ14"/>
      <c r="NJA14"/>
      <c r="NJB14"/>
      <c r="NJC14"/>
      <c r="NJD14"/>
      <c r="NJE14"/>
      <c r="NJF14"/>
      <c r="NJG14"/>
      <c r="NJH14"/>
      <c r="NJI14"/>
      <c r="NJJ14"/>
      <c r="NJK14"/>
      <c r="NJL14"/>
      <c r="NJM14"/>
      <c r="NJN14"/>
      <c r="NJO14"/>
      <c r="NJP14"/>
      <c r="NJQ14"/>
      <c r="NJR14"/>
      <c r="NJS14"/>
      <c r="NJT14"/>
      <c r="NJU14"/>
      <c r="NJV14"/>
      <c r="NJW14"/>
      <c r="NJX14"/>
      <c r="NJY14"/>
      <c r="NJZ14"/>
      <c r="NKA14"/>
      <c r="NKB14"/>
      <c r="NKC14"/>
      <c r="NKD14"/>
      <c r="NKE14"/>
      <c r="NKF14"/>
      <c r="NKG14"/>
      <c r="NKH14"/>
      <c r="NKI14"/>
      <c r="NKJ14"/>
      <c r="NKK14"/>
      <c r="NKL14"/>
      <c r="NKM14"/>
      <c r="NKN14"/>
      <c r="NKO14"/>
      <c r="NKP14"/>
      <c r="NKQ14"/>
      <c r="NKR14"/>
      <c r="NKS14"/>
      <c r="NKT14"/>
      <c r="NKU14"/>
      <c r="NKV14"/>
      <c r="NKW14"/>
      <c r="NKX14"/>
      <c r="NKY14"/>
      <c r="NKZ14"/>
      <c r="NLA14"/>
      <c r="NLB14"/>
      <c r="NLC14"/>
      <c r="NLD14"/>
      <c r="NLE14"/>
      <c r="NLF14"/>
      <c r="NLG14"/>
      <c r="NLH14"/>
      <c r="NLI14"/>
      <c r="NLJ14"/>
      <c r="NLK14"/>
      <c r="NLL14"/>
      <c r="NLM14"/>
      <c r="NLN14"/>
      <c r="NLO14"/>
      <c r="NLP14"/>
      <c r="NLQ14"/>
      <c r="NLR14"/>
      <c r="NLS14"/>
      <c r="NLT14"/>
      <c r="NLU14"/>
      <c r="NLV14"/>
      <c r="NLW14"/>
      <c r="NLX14"/>
      <c r="NLY14"/>
      <c r="NLZ14"/>
      <c r="NMA14"/>
      <c r="NMB14"/>
      <c r="NMC14"/>
      <c r="NMD14"/>
      <c r="NME14"/>
      <c r="NMF14"/>
      <c r="NMG14"/>
      <c r="NMH14"/>
      <c r="NMI14"/>
      <c r="NMJ14"/>
      <c r="NMK14"/>
      <c r="NML14"/>
      <c r="NMM14"/>
      <c r="NMN14"/>
      <c r="NMO14"/>
      <c r="NMP14"/>
      <c r="NMQ14"/>
      <c r="NMR14"/>
      <c r="NMS14"/>
      <c r="NMT14"/>
      <c r="NMU14"/>
      <c r="NMV14"/>
      <c r="NMW14"/>
      <c r="NMX14"/>
      <c r="NMY14"/>
      <c r="NMZ14"/>
      <c r="NNA14"/>
      <c r="NNB14"/>
      <c r="NNC14"/>
      <c r="NND14"/>
      <c r="NNE14"/>
      <c r="NNF14"/>
      <c r="NNG14"/>
      <c r="NNH14"/>
      <c r="NNI14"/>
      <c r="NNJ14"/>
      <c r="NNK14"/>
      <c r="NNL14"/>
      <c r="NNM14"/>
      <c r="NNN14"/>
      <c r="NNO14"/>
      <c r="NNP14"/>
      <c r="NNQ14"/>
      <c r="NNR14"/>
      <c r="NNS14"/>
      <c r="NNT14"/>
      <c r="NNU14"/>
      <c r="NNV14"/>
      <c r="NNW14"/>
      <c r="NNX14"/>
      <c r="NNY14"/>
      <c r="NNZ14"/>
      <c r="NOA14"/>
      <c r="NOB14"/>
      <c r="NOC14"/>
      <c r="NOD14"/>
      <c r="NOE14"/>
      <c r="NOF14"/>
      <c r="NOG14"/>
      <c r="NOH14"/>
      <c r="NOI14"/>
      <c r="NOJ14"/>
      <c r="NOK14"/>
      <c r="NOL14"/>
      <c r="NOM14"/>
      <c r="NON14"/>
      <c r="NOO14"/>
      <c r="NOP14"/>
      <c r="NOQ14"/>
      <c r="NOR14"/>
      <c r="NOS14"/>
      <c r="NOT14"/>
      <c r="NOU14"/>
      <c r="NOV14"/>
      <c r="NOW14"/>
      <c r="NOX14"/>
      <c r="NOY14"/>
      <c r="NOZ14"/>
      <c r="NPA14"/>
      <c r="NPB14"/>
      <c r="NPC14"/>
      <c r="NPD14"/>
      <c r="NPE14"/>
      <c r="NPF14"/>
      <c r="NPG14"/>
      <c r="NPH14"/>
      <c r="NPI14"/>
      <c r="NPJ14"/>
      <c r="NPK14"/>
      <c r="NPL14"/>
      <c r="NPM14"/>
      <c r="NPN14"/>
      <c r="NPO14"/>
      <c r="NPP14"/>
      <c r="NPQ14"/>
      <c r="NPR14"/>
      <c r="NPS14"/>
      <c r="NPT14"/>
      <c r="NPU14"/>
      <c r="NPV14"/>
      <c r="NPW14"/>
      <c r="NPX14"/>
      <c r="NPY14"/>
      <c r="NPZ14"/>
      <c r="NQA14"/>
      <c r="NQB14"/>
      <c r="NQC14"/>
      <c r="NQD14"/>
      <c r="NQE14"/>
      <c r="NQF14"/>
      <c r="NQG14"/>
      <c r="NQH14"/>
      <c r="NQI14"/>
      <c r="NQJ14"/>
      <c r="NQK14"/>
      <c r="NQL14"/>
      <c r="NQM14"/>
      <c r="NQN14"/>
      <c r="NQO14"/>
      <c r="NQP14"/>
      <c r="NQQ14"/>
      <c r="NQR14"/>
      <c r="NQS14"/>
      <c r="NQT14"/>
      <c r="NQU14"/>
      <c r="NQV14"/>
      <c r="NQW14"/>
      <c r="NQX14"/>
      <c r="NQY14"/>
      <c r="NQZ14"/>
      <c r="NRA14"/>
      <c r="NRB14"/>
      <c r="NRC14"/>
      <c r="NRD14"/>
      <c r="NRE14"/>
      <c r="NRF14"/>
      <c r="NRG14"/>
      <c r="NRH14"/>
      <c r="NRI14"/>
      <c r="NRJ14"/>
      <c r="NRK14"/>
      <c r="NRL14"/>
      <c r="NRM14"/>
      <c r="NRN14"/>
      <c r="NRO14"/>
      <c r="NRP14"/>
      <c r="NRQ14"/>
      <c r="NRR14"/>
      <c r="NRS14"/>
      <c r="NRT14"/>
      <c r="NRU14"/>
      <c r="NRV14"/>
      <c r="NRW14"/>
      <c r="NRX14"/>
      <c r="NRY14"/>
      <c r="NRZ14"/>
      <c r="NSA14"/>
      <c r="NSB14"/>
      <c r="NSC14"/>
      <c r="NSD14"/>
      <c r="NSE14"/>
      <c r="NSF14"/>
      <c r="NSG14"/>
      <c r="NSH14"/>
      <c r="NSI14"/>
      <c r="NSJ14"/>
      <c r="NSK14"/>
      <c r="NSL14"/>
      <c r="NSM14"/>
      <c r="NSN14"/>
      <c r="NSO14"/>
      <c r="NSP14"/>
      <c r="NSQ14"/>
      <c r="NSR14"/>
      <c r="NSS14"/>
      <c r="NST14"/>
      <c r="NSU14"/>
      <c r="NSV14"/>
      <c r="NSW14"/>
      <c r="NSX14"/>
      <c r="NSY14"/>
      <c r="NSZ14"/>
      <c r="NTA14"/>
      <c r="NTB14"/>
      <c r="NTC14"/>
      <c r="NTD14"/>
      <c r="NTE14"/>
      <c r="NTF14"/>
      <c r="NTG14"/>
      <c r="NTH14"/>
      <c r="NTI14"/>
      <c r="NTJ14"/>
      <c r="NTK14"/>
      <c r="NTL14"/>
      <c r="NTM14"/>
      <c r="NTN14"/>
      <c r="NTO14"/>
      <c r="NTP14"/>
      <c r="NTQ14"/>
      <c r="NTR14"/>
      <c r="NTS14"/>
      <c r="NTT14"/>
      <c r="NTU14"/>
      <c r="NTV14"/>
      <c r="NTW14"/>
      <c r="NTX14"/>
      <c r="NTY14"/>
      <c r="NTZ14"/>
      <c r="NUA14"/>
      <c r="NUB14"/>
      <c r="NUC14"/>
      <c r="NUD14"/>
      <c r="NUE14"/>
      <c r="NUF14"/>
      <c r="NUG14"/>
      <c r="NUH14"/>
      <c r="NUI14"/>
      <c r="NUJ14"/>
      <c r="NUK14"/>
      <c r="NUL14"/>
      <c r="NUM14"/>
      <c r="NUN14"/>
      <c r="NUO14"/>
      <c r="NUP14"/>
      <c r="NUQ14"/>
      <c r="NUR14"/>
      <c r="NUS14"/>
      <c r="NUT14"/>
      <c r="NUU14"/>
      <c r="NUV14"/>
      <c r="NUW14"/>
      <c r="NUX14"/>
      <c r="NUY14"/>
      <c r="NUZ14"/>
      <c r="NVA14"/>
      <c r="NVB14"/>
      <c r="NVC14"/>
      <c r="NVD14"/>
      <c r="NVE14"/>
      <c r="NVF14"/>
      <c r="NVG14"/>
      <c r="NVH14"/>
      <c r="NVI14"/>
      <c r="NVJ14"/>
      <c r="NVK14"/>
      <c r="NVL14"/>
      <c r="NVM14"/>
      <c r="NVN14"/>
      <c r="NVO14"/>
      <c r="NVP14"/>
      <c r="NVQ14"/>
      <c r="NVR14"/>
      <c r="NVS14"/>
      <c r="NVT14"/>
      <c r="NVU14"/>
      <c r="NVV14"/>
      <c r="NVW14"/>
      <c r="NVX14"/>
      <c r="NVY14"/>
      <c r="NVZ14"/>
      <c r="NWA14"/>
      <c r="NWB14"/>
      <c r="NWC14"/>
      <c r="NWD14"/>
      <c r="NWE14"/>
      <c r="NWF14"/>
      <c r="NWG14"/>
      <c r="NWH14"/>
      <c r="NWI14"/>
      <c r="NWJ14"/>
      <c r="NWK14"/>
      <c r="NWL14"/>
      <c r="NWM14"/>
      <c r="NWN14"/>
      <c r="NWO14"/>
      <c r="NWP14"/>
      <c r="NWQ14"/>
      <c r="NWR14"/>
      <c r="NWS14"/>
      <c r="NWT14"/>
      <c r="NWU14"/>
      <c r="NWV14"/>
      <c r="NWW14"/>
      <c r="NWX14"/>
      <c r="NWY14"/>
      <c r="NWZ14"/>
      <c r="NXA14"/>
      <c r="NXB14"/>
      <c r="NXC14"/>
      <c r="NXD14"/>
      <c r="NXE14"/>
      <c r="NXF14"/>
      <c r="NXG14"/>
      <c r="NXH14"/>
      <c r="NXI14"/>
      <c r="NXJ14"/>
      <c r="NXK14"/>
      <c r="NXL14"/>
      <c r="NXM14"/>
      <c r="NXN14"/>
      <c r="NXO14"/>
      <c r="NXP14"/>
      <c r="NXQ14"/>
      <c r="NXR14"/>
      <c r="NXS14"/>
      <c r="NXT14"/>
      <c r="NXU14"/>
      <c r="NXV14"/>
      <c r="NXW14"/>
      <c r="NXX14"/>
      <c r="NXY14"/>
      <c r="NXZ14"/>
      <c r="NYA14"/>
      <c r="NYB14"/>
      <c r="NYC14"/>
      <c r="NYD14"/>
      <c r="NYE14"/>
      <c r="NYF14"/>
      <c r="NYG14"/>
      <c r="NYH14"/>
      <c r="NYI14"/>
      <c r="NYJ14"/>
      <c r="NYK14"/>
      <c r="NYL14"/>
      <c r="NYM14"/>
      <c r="NYN14"/>
      <c r="NYO14"/>
      <c r="NYP14"/>
      <c r="NYQ14"/>
      <c r="NYR14"/>
      <c r="NYS14"/>
      <c r="NYT14"/>
      <c r="NYU14"/>
      <c r="NYV14"/>
      <c r="NYW14"/>
      <c r="NYX14"/>
      <c r="NYY14"/>
      <c r="NYZ14"/>
      <c r="NZA14"/>
      <c r="NZB14"/>
      <c r="NZC14"/>
      <c r="NZD14"/>
      <c r="NZE14"/>
      <c r="NZF14"/>
      <c r="NZG14"/>
      <c r="NZH14"/>
      <c r="NZI14"/>
      <c r="NZJ14"/>
      <c r="NZK14"/>
      <c r="NZL14"/>
      <c r="NZM14"/>
      <c r="NZN14"/>
      <c r="NZO14"/>
      <c r="NZP14"/>
      <c r="NZQ14"/>
      <c r="NZR14"/>
      <c r="NZS14"/>
      <c r="NZT14"/>
      <c r="NZU14"/>
      <c r="NZV14"/>
      <c r="NZW14"/>
      <c r="NZX14"/>
      <c r="NZY14"/>
      <c r="NZZ14"/>
      <c r="OAA14"/>
      <c r="OAB14"/>
      <c r="OAC14"/>
      <c r="OAD14"/>
      <c r="OAE14"/>
      <c r="OAF14"/>
      <c r="OAG14"/>
      <c r="OAH14"/>
      <c r="OAI14"/>
      <c r="OAJ14"/>
      <c r="OAK14"/>
      <c r="OAL14"/>
      <c r="OAM14"/>
      <c r="OAN14"/>
      <c r="OAO14"/>
      <c r="OAP14"/>
      <c r="OAQ14"/>
      <c r="OAR14"/>
      <c r="OAS14"/>
      <c r="OAT14"/>
      <c r="OAU14"/>
      <c r="OAV14"/>
      <c r="OAW14"/>
      <c r="OAX14"/>
      <c r="OAY14"/>
      <c r="OAZ14"/>
      <c r="OBA14"/>
      <c r="OBB14"/>
      <c r="OBC14"/>
      <c r="OBD14"/>
      <c r="OBE14"/>
      <c r="OBF14"/>
      <c r="OBG14"/>
      <c r="OBH14"/>
      <c r="OBI14"/>
      <c r="OBJ14"/>
      <c r="OBK14"/>
      <c r="OBL14"/>
      <c r="OBM14"/>
      <c r="OBN14"/>
      <c r="OBO14"/>
      <c r="OBP14"/>
      <c r="OBQ14"/>
      <c r="OBR14"/>
      <c r="OBS14"/>
      <c r="OBT14"/>
      <c r="OBU14"/>
      <c r="OBV14"/>
      <c r="OBW14"/>
      <c r="OBX14"/>
      <c r="OBY14"/>
      <c r="OBZ14"/>
      <c r="OCA14"/>
      <c r="OCB14"/>
      <c r="OCC14"/>
      <c r="OCD14"/>
      <c r="OCE14"/>
      <c r="OCF14"/>
      <c r="OCG14"/>
      <c r="OCH14"/>
      <c r="OCI14"/>
      <c r="OCJ14"/>
      <c r="OCK14"/>
      <c r="OCL14"/>
      <c r="OCM14"/>
      <c r="OCN14"/>
      <c r="OCO14"/>
      <c r="OCP14"/>
      <c r="OCQ14"/>
      <c r="OCR14"/>
      <c r="OCS14"/>
      <c r="OCT14"/>
      <c r="OCU14"/>
      <c r="OCV14"/>
      <c r="OCW14"/>
      <c r="OCX14"/>
      <c r="OCY14"/>
      <c r="OCZ14"/>
      <c r="ODA14"/>
      <c r="ODB14"/>
      <c r="ODC14"/>
      <c r="ODD14"/>
      <c r="ODE14"/>
      <c r="ODF14"/>
      <c r="ODG14"/>
      <c r="ODH14"/>
      <c r="ODI14"/>
      <c r="ODJ14"/>
      <c r="ODK14"/>
      <c r="ODL14"/>
      <c r="ODM14"/>
      <c r="ODN14"/>
      <c r="ODO14"/>
      <c r="ODP14"/>
      <c r="ODQ14"/>
      <c r="ODR14"/>
      <c r="ODS14"/>
      <c r="ODT14"/>
      <c r="ODU14"/>
      <c r="ODV14"/>
      <c r="ODW14"/>
      <c r="ODX14"/>
      <c r="ODY14"/>
      <c r="ODZ14"/>
      <c r="OEA14"/>
      <c r="OEB14"/>
      <c r="OEC14"/>
      <c r="OED14"/>
      <c r="OEE14"/>
      <c r="OEF14"/>
      <c r="OEG14"/>
      <c r="OEH14"/>
      <c r="OEI14"/>
      <c r="OEJ14"/>
      <c r="OEK14"/>
      <c r="OEL14"/>
      <c r="OEM14"/>
      <c r="OEN14"/>
      <c r="OEO14"/>
      <c r="OEP14"/>
      <c r="OEQ14"/>
      <c r="OER14"/>
      <c r="OES14"/>
      <c r="OET14"/>
      <c r="OEU14"/>
      <c r="OEV14"/>
      <c r="OEW14"/>
      <c r="OEX14"/>
      <c r="OEY14"/>
      <c r="OEZ14"/>
      <c r="OFA14"/>
      <c r="OFB14"/>
      <c r="OFC14"/>
      <c r="OFD14"/>
      <c r="OFE14"/>
      <c r="OFF14"/>
      <c r="OFG14"/>
      <c r="OFH14"/>
      <c r="OFI14"/>
      <c r="OFJ14"/>
      <c r="OFK14"/>
      <c r="OFL14"/>
      <c r="OFM14"/>
      <c r="OFN14"/>
      <c r="OFO14"/>
      <c r="OFP14"/>
      <c r="OFQ14"/>
      <c r="OFR14"/>
      <c r="OFS14"/>
      <c r="OFT14"/>
      <c r="OFU14"/>
      <c r="OFV14"/>
      <c r="OFW14"/>
      <c r="OFX14"/>
      <c r="OFY14"/>
      <c r="OFZ14"/>
      <c r="OGA14"/>
      <c r="OGB14"/>
      <c r="OGC14"/>
      <c r="OGD14"/>
      <c r="OGE14"/>
      <c r="OGF14"/>
      <c r="OGG14"/>
      <c r="OGH14"/>
      <c r="OGI14"/>
      <c r="OGJ14"/>
      <c r="OGK14"/>
      <c r="OGL14"/>
      <c r="OGM14"/>
      <c r="OGN14"/>
      <c r="OGO14"/>
      <c r="OGP14"/>
      <c r="OGQ14"/>
      <c r="OGR14"/>
      <c r="OGS14"/>
      <c r="OGT14"/>
      <c r="OGU14"/>
      <c r="OGV14"/>
      <c r="OGW14"/>
      <c r="OGX14"/>
      <c r="OGY14"/>
      <c r="OGZ14"/>
      <c r="OHA14"/>
      <c r="OHB14"/>
      <c r="OHC14"/>
      <c r="OHD14"/>
      <c r="OHE14"/>
      <c r="OHF14"/>
      <c r="OHG14"/>
      <c r="OHH14"/>
      <c r="OHI14"/>
      <c r="OHJ14"/>
      <c r="OHK14"/>
      <c r="OHL14"/>
      <c r="OHM14"/>
      <c r="OHN14"/>
      <c r="OHO14"/>
      <c r="OHP14"/>
      <c r="OHQ14"/>
      <c r="OHR14"/>
      <c r="OHS14"/>
      <c r="OHT14"/>
      <c r="OHU14"/>
      <c r="OHV14"/>
      <c r="OHW14"/>
      <c r="OHX14"/>
      <c r="OHY14"/>
      <c r="OHZ14"/>
      <c r="OIA14"/>
      <c r="OIB14"/>
      <c r="OIC14"/>
      <c r="OID14"/>
      <c r="OIE14"/>
      <c r="OIF14"/>
      <c r="OIG14"/>
      <c r="OIH14"/>
      <c r="OII14"/>
      <c r="OIJ14"/>
      <c r="OIK14"/>
      <c r="OIL14"/>
      <c r="OIM14"/>
      <c r="OIN14"/>
      <c r="OIO14"/>
      <c r="OIP14"/>
      <c r="OIQ14"/>
      <c r="OIR14"/>
      <c r="OIS14"/>
      <c r="OIT14"/>
      <c r="OIU14"/>
      <c r="OIV14"/>
      <c r="OIW14"/>
      <c r="OIX14"/>
      <c r="OIY14"/>
      <c r="OIZ14"/>
      <c r="OJA14"/>
      <c r="OJB14"/>
      <c r="OJC14"/>
      <c r="OJD14"/>
      <c r="OJE14"/>
      <c r="OJF14"/>
      <c r="OJG14"/>
      <c r="OJH14"/>
      <c r="OJI14"/>
      <c r="OJJ14"/>
      <c r="OJK14"/>
      <c r="OJL14"/>
      <c r="OJM14"/>
      <c r="OJN14"/>
      <c r="OJO14"/>
      <c r="OJP14"/>
      <c r="OJQ14"/>
      <c r="OJR14"/>
      <c r="OJS14"/>
      <c r="OJT14"/>
      <c r="OJU14"/>
      <c r="OJV14"/>
      <c r="OJW14"/>
      <c r="OJX14"/>
      <c r="OJY14"/>
      <c r="OJZ14"/>
      <c r="OKA14"/>
      <c r="OKB14"/>
      <c r="OKC14"/>
      <c r="OKD14"/>
      <c r="OKE14"/>
      <c r="OKF14"/>
      <c r="OKG14"/>
      <c r="OKH14"/>
      <c r="OKI14"/>
      <c r="OKJ14"/>
      <c r="OKK14"/>
      <c r="OKL14"/>
      <c r="OKM14"/>
      <c r="OKN14"/>
      <c r="OKO14"/>
      <c r="OKP14"/>
      <c r="OKQ14"/>
      <c r="OKR14"/>
      <c r="OKS14"/>
      <c r="OKT14"/>
      <c r="OKU14"/>
      <c r="OKV14"/>
      <c r="OKW14"/>
      <c r="OKX14"/>
      <c r="OKY14"/>
      <c r="OKZ14"/>
      <c r="OLA14"/>
      <c r="OLB14"/>
      <c r="OLC14"/>
      <c r="OLD14"/>
      <c r="OLE14"/>
      <c r="OLF14"/>
      <c r="OLG14"/>
      <c r="OLH14"/>
      <c r="OLI14"/>
      <c r="OLJ14"/>
      <c r="OLK14"/>
      <c r="OLL14"/>
      <c r="OLM14"/>
      <c r="OLN14"/>
      <c r="OLO14"/>
      <c r="OLP14"/>
      <c r="OLQ14"/>
      <c r="OLR14"/>
      <c r="OLS14"/>
      <c r="OLT14"/>
      <c r="OLU14"/>
      <c r="OLV14"/>
      <c r="OLW14"/>
      <c r="OLX14"/>
      <c r="OLY14"/>
      <c r="OLZ14"/>
      <c r="OMA14"/>
      <c r="OMB14"/>
      <c r="OMC14"/>
      <c r="OMD14"/>
      <c r="OME14"/>
      <c r="OMF14"/>
      <c r="OMG14"/>
      <c r="OMH14"/>
      <c r="OMI14"/>
      <c r="OMJ14"/>
      <c r="OMK14"/>
      <c r="OML14"/>
      <c r="OMM14"/>
      <c r="OMN14"/>
      <c r="OMO14"/>
      <c r="OMP14"/>
      <c r="OMQ14"/>
      <c r="OMR14"/>
      <c r="OMS14"/>
      <c r="OMT14"/>
      <c r="OMU14"/>
      <c r="OMV14"/>
      <c r="OMW14"/>
      <c r="OMX14"/>
      <c r="OMY14"/>
      <c r="OMZ14"/>
      <c r="ONA14"/>
      <c r="ONB14"/>
      <c r="ONC14"/>
      <c r="OND14"/>
      <c r="ONE14"/>
      <c r="ONF14"/>
      <c r="ONG14"/>
      <c r="ONH14"/>
      <c r="ONI14"/>
      <c r="ONJ14"/>
      <c r="ONK14"/>
      <c r="ONL14"/>
      <c r="ONM14"/>
      <c r="ONN14"/>
      <c r="ONO14"/>
      <c r="ONP14"/>
      <c r="ONQ14"/>
      <c r="ONR14"/>
      <c r="ONS14"/>
      <c r="ONT14"/>
      <c r="ONU14"/>
      <c r="ONV14"/>
      <c r="ONW14"/>
      <c r="ONX14"/>
      <c r="ONY14"/>
      <c r="ONZ14"/>
      <c r="OOA14"/>
      <c r="OOB14"/>
      <c r="OOC14"/>
      <c r="OOD14"/>
      <c r="OOE14"/>
      <c r="OOF14"/>
      <c r="OOG14"/>
      <c r="OOH14"/>
      <c r="OOI14"/>
      <c r="OOJ14"/>
      <c r="OOK14"/>
      <c r="OOL14"/>
      <c r="OOM14"/>
      <c r="OON14"/>
      <c r="OOO14"/>
      <c r="OOP14"/>
      <c r="OOQ14"/>
      <c r="OOR14"/>
      <c r="OOS14"/>
      <c r="OOT14"/>
      <c r="OOU14"/>
      <c r="OOV14"/>
      <c r="OOW14"/>
      <c r="OOX14"/>
      <c r="OOY14"/>
      <c r="OOZ14"/>
      <c r="OPA14"/>
      <c r="OPB14"/>
      <c r="OPC14"/>
      <c r="OPD14"/>
      <c r="OPE14"/>
      <c r="OPF14"/>
      <c r="OPG14"/>
      <c r="OPH14"/>
      <c r="OPI14"/>
      <c r="OPJ14"/>
      <c r="OPK14"/>
      <c r="OPL14"/>
      <c r="OPM14"/>
      <c r="OPN14"/>
      <c r="OPO14"/>
      <c r="OPP14"/>
      <c r="OPQ14"/>
      <c r="OPR14"/>
      <c r="OPS14"/>
      <c r="OPT14"/>
      <c r="OPU14"/>
      <c r="OPV14"/>
      <c r="OPW14"/>
      <c r="OPX14"/>
      <c r="OPY14"/>
      <c r="OPZ14"/>
      <c r="OQA14"/>
      <c r="OQB14"/>
      <c r="OQC14"/>
      <c r="OQD14"/>
      <c r="OQE14"/>
      <c r="OQF14"/>
      <c r="OQG14"/>
      <c r="OQH14"/>
      <c r="OQI14"/>
      <c r="OQJ14"/>
      <c r="OQK14"/>
      <c r="OQL14"/>
      <c r="OQM14"/>
      <c r="OQN14"/>
      <c r="OQO14"/>
      <c r="OQP14"/>
      <c r="OQQ14"/>
      <c r="OQR14"/>
      <c r="OQS14"/>
      <c r="OQT14"/>
      <c r="OQU14"/>
      <c r="OQV14"/>
      <c r="OQW14"/>
      <c r="OQX14"/>
      <c r="OQY14"/>
      <c r="OQZ14"/>
      <c r="ORA14"/>
      <c r="ORB14"/>
      <c r="ORC14"/>
      <c r="ORD14"/>
      <c r="ORE14"/>
      <c r="ORF14"/>
      <c r="ORG14"/>
      <c r="ORH14"/>
      <c r="ORI14"/>
      <c r="ORJ14"/>
      <c r="ORK14"/>
      <c r="ORL14"/>
      <c r="ORM14"/>
      <c r="ORN14"/>
      <c r="ORO14"/>
      <c r="ORP14"/>
      <c r="ORQ14"/>
      <c r="ORR14"/>
      <c r="ORS14"/>
      <c r="ORT14"/>
      <c r="ORU14"/>
      <c r="ORV14"/>
      <c r="ORW14"/>
      <c r="ORX14"/>
      <c r="ORY14"/>
      <c r="ORZ14"/>
      <c r="OSA14"/>
      <c r="OSB14"/>
      <c r="OSC14"/>
      <c r="OSD14"/>
      <c r="OSE14"/>
      <c r="OSF14"/>
      <c r="OSG14"/>
      <c r="OSH14"/>
      <c r="OSI14"/>
      <c r="OSJ14"/>
      <c r="OSK14"/>
      <c r="OSL14"/>
      <c r="OSM14"/>
      <c r="OSN14"/>
      <c r="OSO14"/>
      <c r="OSP14"/>
      <c r="OSQ14"/>
      <c r="OSR14"/>
      <c r="OSS14"/>
      <c r="OST14"/>
      <c r="OSU14"/>
      <c r="OSV14"/>
      <c r="OSW14"/>
      <c r="OSX14"/>
      <c r="OSY14"/>
      <c r="OSZ14"/>
      <c r="OTA14"/>
      <c r="OTB14"/>
      <c r="OTC14"/>
      <c r="OTD14"/>
      <c r="OTE14"/>
      <c r="OTF14"/>
      <c r="OTG14"/>
      <c r="OTH14"/>
      <c r="OTI14"/>
      <c r="OTJ14"/>
      <c r="OTK14"/>
      <c r="OTL14"/>
      <c r="OTM14"/>
      <c r="OTN14"/>
      <c r="OTO14"/>
      <c r="OTP14"/>
      <c r="OTQ14"/>
      <c r="OTR14"/>
      <c r="OTS14"/>
      <c r="OTT14"/>
      <c r="OTU14"/>
      <c r="OTV14"/>
      <c r="OTW14"/>
      <c r="OTX14"/>
      <c r="OTY14"/>
      <c r="OTZ14"/>
      <c r="OUA14"/>
      <c r="OUB14"/>
      <c r="OUC14"/>
      <c r="OUD14"/>
      <c r="OUE14"/>
      <c r="OUF14"/>
      <c r="OUG14"/>
      <c r="OUH14"/>
      <c r="OUI14"/>
      <c r="OUJ14"/>
      <c r="OUK14"/>
      <c r="OUL14"/>
      <c r="OUM14"/>
      <c r="OUN14"/>
      <c r="OUO14"/>
      <c r="OUP14"/>
      <c r="OUQ14"/>
      <c r="OUR14"/>
      <c r="OUS14"/>
      <c r="OUT14"/>
      <c r="OUU14"/>
      <c r="OUV14"/>
      <c r="OUW14"/>
      <c r="OUX14"/>
      <c r="OUY14"/>
      <c r="OUZ14"/>
      <c r="OVA14"/>
      <c r="OVB14"/>
      <c r="OVC14"/>
      <c r="OVD14"/>
      <c r="OVE14"/>
      <c r="OVF14"/>
      <c r="OVG14"/>
      <c r="OVH14"/>
      <c r="OVI14"/>
      <c r="OVJ14"/>
      <c r="OVK14"/>
      <c r="OVL14"/>
      <c r="OVM14"/>
      <c r="OVN14"/>
      <c r="OVO14"/>
      <c r="OVP14"/>
      <c r="OVQ14"/>
      <c r="OVR14"/>
      <c r="OVS14"/>
      <c r="OVT14"/>
      <c r="OVU14"/>
      <c r="OVV14"/>
      <c r="OVW14"/>
      <c r="OVX14"/>
      <c r="OVY14"/>
      <c r="OVZ14"/>
      <c r="OWA14"/>
      <c r="OWB14"/>
      <c r="OWC14"/>
      <c r="OWD14"/>
      <c r="OWE14"/>
      <c r="OWF14"/>
      <c r="OWG14"/>
      <c r="OWH14"/>
      <c r="OWI14"/>
      <c r="OWJ14"/>
      <c r="OWK14"/>
      <c r="OWL14"/>
      <c r="OWM14"/>
      <c r="OWN14"/>
      <c r="OWO14"/>
      <c r="OWP14"/>
      <c r="OWQ14"/>
      <c r="OWR14"/>
      <c r="OWS14"/>
      <c r="OWT14"/>
      <c r="OWU14"/>
      <c r="OWV14"/>
      <c r="OWW14"/>
      <c r="OWX14"/>
      <c r="OWY14"/>
      <c r="OWZ14"/>
      <c r="OXA14"/>
      <c r="OXB14"/>
      <c r="OXC14"/>
      <c r="OXD14"/>
      <c r="OXE14"/>
      <c r="OXF14"/>
      <c r="OXG14"/>
      <c r="OXH14"/>
      <c r="OXI14"/>
      <c r="OXJ14"/>
      <c r="OXK14"/>
      <c r="OXL14"/>
      <c r="OXM14"/>
      <c r="OXN14"/>
      <c r="OXO14"/>
      <c r="OXP14"/>
      <c r="OXQ14"/>
      <c r="OXR14"/>
      <c r="OXS14"/>
      <c r="OXT14"/>
      <c r="OXU14"/>
      <c r="OXV14"/>
      <c r="OXW14"/>
      <c r="OXX14"/>
      <c r="OXY14"/>
      <c r="OXZ14"/>
      <c r="OYA14"/>
      <c r="OYB14"/>
      <c r="OYC14"/>
      <c r="OYD14"/>
      <c r="OYE14"/>
      <c r="OYF14"/>
      <c r="OYG14"/>
      <c r="OYH14"/>
      <c r="OYI14"/>
      <c r="OYJ14"/>
      <c r="OYK14"/>
      <c r="OYL14"/>
      <c r="OYM14"/>
      <c r="OYN14"/>
      <c r="OYO14"/>
      <c r="OYP14"/>
      <c r="OYQ14"/>
      <c r="OYR14"/>
      <c r="OYS14"/>
      <c r="OYT14"/>
      <c r="OYU14"/>
      <c r="OYV14"/>
      <c r="OYW14"/>
      <c r="OYX14"/>
      <c r="OYY14"/>
      <c r="OYZ14"/>
      <c r="OZA14"/>
      <c r="OZB14"/>
      <c r="OZC14"/>
      <c r="OZD14"/>
      <c r="OZE14"/>
      <c r="OZF14"/>
      <c r="OZG14"/>
      <c r="OZH14"/>
      <c r="OZI14"/>
      <c r="OZJ14"/>
      <c r="OZK14"/>
      <c r="OZL14"/>
      <c r="OZM14"/>
      <c r="OZN14"/>
      <c r="OZO14"/>
      <c r="OZP14"/>
      <c r="OZQ14"/>
      <c r="OZR14"/>
      <c r="OZS14"/>
      <c r="OZT14"/>
      <c r="OZU14"/>
      <c r="OZV14"/>
      <c r="OZW14"/>
      <c r="OZX14"/>
      <c r="OZY14"/>
      <c r="OZZ14"/>
      <c r="PAA14"/>
      <c r="PAB14"/>
      <c r="PAC14"/>
      <c r="PAD14"/>
      <c r="PAE14"/>
      <c r="PAF14"/>
      <c r="PAG14"/>
      <c r="PAH14"/>
      <c r="PAI14"/>
      <c r="PAJ14"/>
      <c r="PAK14"/>
      <c r="PAL14"/>
      <c r="PAM14"/>
      <c r="PAN14"/>
      <c r="PAO14"/>
      <c r="PAP14"/>
      <c r="PAQ14"/>
      <c r="PAR14"/>
      <c r="PAS14"/>
      <c r="PAT14"/>
      <c r="PAU14"/>
      <c r="PAV14"/>
      <c r="PAW14"/>
      <c r="PAX14"/>
      <c r="PAY14"/>
      <c r="PAZ14"/>
      <c r="PBA14"/>
      <c r="PBB14"/>
      <c r="PBC14"/>
      <c r="PBD14"/>
      <c r="PBE14"/>
      <c r="PBF14"/>
      <c r="PBG14"/>
      <c r="PBH14"/>
      <c r="PBI14"/>
      <c r="PBJ14"/>
      <c r="PBK14"/>
      <c r="PBL14"/>
      <c r="PBM14"/>
      <c r="PBN14"/>
      <c r="PBO14"/>
      <c r="PBP14"/>
      <c r="PBQ14"/>
      <c r="PBR14"/>
      <c r="PBS14"/>
      <c r="PBT14"/>
      <c r="PBU14"/>
      <c r="PBV14"/>
      <c r="PBW14"/>
      <c r="PBX14"/>
      <c r="PBY14"/>
      <c r="PBZ14"/>
      <c r="PCA14"/>
      <c r="PCB14"/>
      <c r="PCC14"/>
      <c r="PCD14"/>
      <c r="PCE14"/>
      <c r="PCF14"/>
      <c r="PCG14"/>
      <c r="PCH14"/>
      <c r="PCI14"/>
      <c r="PCJ14"/>
      <c r="PCK14"/>
      <c r="PCL14"/>
      <c r="PCM14"/>
      <c r="PCN14"/>
      <c r="PCO14"/>
      <c r="PCP14"/>
      <c r="PCQ14"/>
      <c r="PCR14"/>
      <c r="PCS14"/>
      <c r="PCT14"/>
      <c r="PCU14"/>
      <c r="PCV14"/>
      <c r="PCW14"/>
      <c r="PCX14"/>
      <c r="PCY14"/>
      <c r="PCZ14"/>
      <c r="PDA14"/>
      <c r="PDB14"/>
      <c r="PDC14"/>
      <c r="PDD14"/>
      <c r="PDE14"/>
      <c r="PDF14"/>
      <c r="PDG14"/>
      <c r="PDH14"/>
      <c r="PDI14"/>
      <c r="PDJ14"/>
      <c r="PDK14"/>
      <c r="PDL14"/>
      <c r="PDM14"/>
      <c r="PDN14"/>
      <c r="PDO14"/>
      <c r="PDP14"/>
      <c r="PDQ14"/>
      <c r="PDR14"/>
      <c r="PDS14"/>
      <c r="PDT14"/>
      <c r="PDU14"/>
      <c r="PDV14"/>
      <c r="PDW14"/>
      <c r="PDX14"/>
      <c r="PDY14"/>
      <c r="PDZ14"/>
      <c r="PEA14"/>
      <c r="PEB14"/>
      <c r="PEC14"/>
      <c r="PED14"/>
      <c r="PEE14"/>
      <c r="PEF14"/>
      <c r="PEG14"/>
      <c r="PEH14"/>
      <c r="PEI14"/>
      <c r="PEJ14"/>
      <c r="PEK14"/>
      <c r="PEL14"/>
      <c r="PEM14"/>
      <c r="PEN14"/>
      <c r="PEO14"/>
      <c r="PEP14"/>
      <c r="PEQ14"/>
      <c r="PER14"/>
      <c r="PES14"/>
      <c r="PET14"/>
      <c r="PEU14"/>
      <c r="PEV14"/>
      <c r="PEW14"/>
      <c r="PEX14"/>
      <c r="PEY14"/>
      <c r="PEZ14"/>
      <c r="PFA14"/>
      <c r="PFB14"/>
      <c r="PFC14"/>
      <c r="PFD14"/>
      <c r="PFE14"/>
      <c r="PFF14"/>
      <c r="PFG14"/>
      <c r="PFH14"/>
      <c r="PFI14"/>
      <c r="PFJ14"/>
      <c r="PFK14"/>
      <c r="PFL14"/>
      <c r="PFM14"/>
      <c r="PFN14"/>
      <c r="PFO14"/>
      <c r="PFP14"/>
      <c r="PFQ14"/>
      <c r="PFR14"/>
      <c r="PFS14"/>
      <c r="PFT14"/>
      <c r="PFU14"/>
      <c r="PFV14"/>
      <c r="PFW14"/>
      <c r="PFX14"/>
      <c r="PFY14"/>
      <c r="PFZ14"/>
      <c r="PGA14"/>
      <c r="PGB14"/>
      <c r="PGC14"/>
      <c r="PGD14"/>
      <c r="PGE14"/>
      <c r="PGF14"/>
      <c r="PGG14"/>
      <c r="PGH14"/>
      <c r="PGI14"/>
      <c r="PGJ14"/>
      <c r="PGK14"/>
      <c r="PGL14"/>
      <c r="PGM14"/>
      <c r="PGN14"/>
      <c r="PGO14"/>
      <c r="PGP14"/>
      <c r="PGQ14"/>
      <c r="PGR14"/>
      <c r="PGS14"/>
      <c r="PGT14"/>
      <c r="PGU14"/>
      <c r="PGV14"/>
      <c r="PGW14"/>
      <c r="PGX14"/>
      <c r="PGY14"/>
      <c r="PGZ14"/>
      <c r="PHA14"/>
      <c r="PHB14"/>
      <c r="PHC14"/>
      <c r="PHD14"/>
      <c r="PHE14"/>
      <c r="PHF14"/>
      <c r="PHG14"/>
      <c r="PHH14"/>
      <c r="PHI14"/>
      <c r="PHJ14"/>
      <c r="PHK14"/>
      <c r="PHL14"/>
      <c r="PHM14"/>
      <c r="PHN14"/>
      <c r="PHO14"/>
      <c r="PHP14"/>
      <c r="PHQ14"/>
      <c r="PHR14"/>
      <c r="PHS14"/>
      <c r="PHT14"/>
      <c r="PHU14"/>
      <c r="PHV14"/>
      <c r="PHW14"/>
      <c r="PHX14"/>
      <c r="PHY14"/>
      <c r="PHZ14"/>
      <c r="PIA14"/>
      <c r="PIB14"/>
      <c r="PIC14"/>
      <c r="PID14"/>
      <c r="PIE14"/>
      <c r="PIF14"/>
      <c r="PIG14"/>
      <c r="PIH14"/>
      <c r="PII14"/>
      <c r="PIJ14"/>
      <c r="PIK14"/>
      <c r="PIL14"/>
      <c r="PIM14"/>
      <c r="PIN14"/>
      <c r="PIO14"/>
      <c r="PIP14"/>
      <c r="PIQ14"/>
      <c r="PIR14"/>
      <c r="PIS14"/>
      <c r="PIT14"/>
      <c r="PIU14"/>
      <c r="PIV14"/>
      <c r="PIW14"/>
      <c r="PIX14"/>
      <c r="PIY14"/>
      <c r="PIZ14"/>
      <c r="PJA14"/>
      <c r="PJB14"/>
      <c r="PJC14"/>
      <c r="PJD14"/>
      <c r="PJE14"/>
      <c r="PJF14"/>
      <c r="PJG14"/>
      <c r="PJH14"/>
      <c r="PJI14"/>
      <c r="PJJ14"/>
      <c r="PJK14"/>
      <c r="PJL14"/>
      <c r="PJM14"/>
      <c r="PJN14"/>
      <c r="PJO14"/>
      <c r="PJP14"/>
      <c r="PJQ14"/>
      <c r="PJR14"/>
      <c r="PJS14"/>
      <c r="PJT14"/>
      <c r="PJU14"/>
      <c r="PJV14"/>
      <c r="PJW14"/>
      <c r="PJX14"/>
      <c r="PJY14"/>
      <c r="PJZ14"/>
      <c r="PKA14"/>
      <c r="PKB14"/>
      <c r="PKC14"/>
      <c r="PKD14"/>
      <c r="PKE14"/>
      <c r="PKF14"/>
      <c r="PKG14"/>
      <c r="PKH14"/>
      <c r="PKI14"/>
      <c r="PKJ14"/>
      <c r="PKK14"/>
      <c r="PKL14"/>
      <c r="PKM14"/>
      <c r="PKN14"/>
      <c r="PKO14"/>
      <c r="PKP14"/>
      <c r="PKQ14"/>
      <c r="PKR14"/>
      <c r="PKS14"/>
      <c r="PKT14"/>
      <c r="PKU14"/>
      <c r="PKV14"/>
      <c r="PKW14"/>
      <c r="PKX14"/>
      <c r="PKY14"/>
      <c r="PKZ14"/>
      <c r="PLA14"/>
      <c r="PLB14"/>
      <c r="PLC14"/>
      <c r="PLD14"/>
      <c r="PLE14"/>
      <c r="PLF14"/>
      <c r="PLG14"/>
      <c r="PLH14"/>
      <c r="PLI14"/>
      <c r="PLJ14"/>
      <c r="PLK14"/>
      <c r="PLL14"/>
      <c r="PLM14"/>
      <c r="PLN14"/>
      <c r="PLO14"/>
      <c r="PLP14"/>
      <c r="PLQ14"/>
      <c r="PLR14"/>
      <c r="PLS14"/>
      <c r="PLT14"/>
      <c r="PLU14"/>
      <c r="PLV14"/>
      <c r="PLW14"/>
      <c r="PLX14"/>
      <c r="PLY14"/>
      <c r="PLZ14"/>
      <c r="PMA14"/>
      <c r="PMB14"/>
      <c r="PMC14"/>
      <c r="PMD14"/>
      <c r="PME14"/>
      <c r="PMF14"/>
      <c r="PMG14"/>
      <c r="PMH14"/>
      <c r="PMI14"/>
      <c r="PMJ14"/>
      <c r="PMK14"/>
      <c r="PML14"/>
      <c r="PMM14"/>
      <c r="PMN14"/>
      <c r="PMO14"/>
      <c r="PMP14"/>
      <c r="PMQ14"/>
      <c r="PMR14"/>
      <c r="PMS14"/>
      <c r="PMT14"/>
      <c r="PMU14"/>
      <c r="PMV14"/>
      <c r="PMW14"/>
      <c r="PMX14"/>
      <c r="PMY14"/>
      <c r="PMZ14"/>
      <c r="PNA14"/>
      <c r="PNB14"/>
      <c r="PNC14"/>
      <c r="PND14"/>
      <c r="PNE14"/>
      <c r="PNF14"/>
      <c r="PNG14"/>
      <c r="PNH14"/>
      <c r="PNI14"/>
      <c r="PNJ14"/>
      <c r="PNK14"/>
      <c r="PNL14"/>
      <c r="PNM14"/>
      <c r="PNN14"/>
      <c r="PNO14"/>
      <c r="PNP14"/>
      <c r="PNQ14"/>
      <c r="PNR14"/>
      <c r="PNS14"/>
      <c r="PNT14"/>
      <c r="PNU14"/>
      <c r="PNV14"/>
      <c r="PNW14"/>
      <c r="PNX14"/>
      <c r="PNY14"/>
      <c r="PNZ14"/>
      <c r="POA14"/>
      <c r="POB14"/>
      <c r="POC14"/>
      <c r="POD14"/>
      <c r="POE14"/>
      <c r="POF14"/>
      <c r="POG14"/>
      <c r="POH14"/>
      <c r="POI14"/>
      <c r="POJ14"/>
      <c r="POK14"/>
      <c r="POL14"/>
      <c r="POM14"/>
      <c r="PON14"/>
      <c r="POO14"/>
      <c r="POP14"/>
      <c r="POQ14"/>
      <c r="POR14"/>
      <c r="POS14"/>
      <c r="POT14"/>
      <c r="POU14"/>
      <c r="POV14"/>
      <c r="POW14"/>
      <c r="POX14"/>
      <c r="POY14"/>
      <c r="POZ14"/>
      <c r="PPA14"/>
      <c r="PPB14"/>
      <c r="PPC14"/>
      <c r="PPD14"/>
      <c r="PPE14"/>
      <c r="PPF14"/>
      <c r="PPG14"/>
      <c r="PPH14"/>
      <c r="PPI14"/>
      <c r="PPJ14"/>
      <c r="PPK14"/>
      <c r="PPL14"/>
      <c r="PPM14"/>
      <c r="PPN14"/>
      <c r="PPO14"/>
      <c r="PPP14"/>
      <c r="PPQ14"/>
      <c r="PPR14"/>
      <c r="PPS14"/>
      <c r="PPT14"/>
      <c r="PPU14"/>
      <c r="PPV14"/>
      <c r="PPW14"/>
      <c r="PPX14"/>
      <c r="PPY14"/>
      <c r="PPZ14"/>
      <c r="PQA14"/>
      <c r="PQB14"/>
      <c r="PQC14"/>
      <c r="PQD14"/>
      <c r="PQE14"/>
      <c r="PQF14"/>
      <c r="PQG14"/>
      <c r="PQH14"/>
      <c r="PQI14"/>
      <c r="PQJ14"/>
      <c r="PQK14"/>
      <c r="PQL14"/>
      <c r="PQM14"/>
      <c r="PQN14"/>
      <c r="PQO14"/>
      <c r="PQP14"/>
      <c r="PQQ14"/>
      <c r="PQR14"/>
      <c r="PQS14"/>
      <c r="PQT14"/>
      <c r="PQU14"/>
      <c r="PQV14"/>
      <c r="PQW14"/>
      <c r="PQX14"/>
      <c r="PQY14"/>
      <c r="PQZ14"/>
      <c r="PRA14"/>
      <c r="PRB14"/>
      <c r="PRC14"/>
      <c r="PRD14"/>
      <c r="PRE14"/>
      <c r="PRF14"/>
      <c r="PRG14"/>
      <c r="PRH14"/>
      <c r="PRI14"/>
      <c r="PRJ14"/>
      <c r="PRK14"/>
      <c r="PRL14"/>
      <c r="PRM14"/>
      <c r="PRN14"/>
      <c r="PRO14"/>
      <c r="PRP14"/>
      <c r="PRQ14"/>
      <c r="PRR14"/>
      <c r="PRS14"/>
      <c r="PRT14"/>
      <c r="PRU14"/>
      <c r="PRV14"/>
      <c r="PRW14"/>
      <c r="PRX14"/>
      <c r="PRY14"/>
      <c r="PRZ14"/>
      <c r="PSA14"/>
      <c r="PSB14"/>
      <c r="PSC14"/>
      <c r="PSD14"/>
      <c r="PSE14"/>
      <c r="PSF14"/>
      <c r="PSG14"/>
      <c r="PSH14"/>
      <c r="PSI14"/>
      <c r="PSJ14"/>
      <c r="PSK14"/>
      <c r="PSL14"/>
      <c r="PSM14"/>
      <c r="PSN14"/>
      <c r="PSO14"/>
      <c r="PSP14"/>
      <c r="PSQ14"/>
      <c r="PSR14"/>
      <c r="PSS14"/>
      <c r="PST14"/>
      <c r="PSU14"/>
      <c r="PSV14"/>
      <c r="PSW14"/>
      <c r="PSX14"/>
      <c r="PSY14"/>
      <c r="PSZ14"/>
      <c r="PTA14"/>
      <c r="PTB14"/>
      <c r="PTC14"/>
      <c r="PTD14"/>
      <c r="PTE14"/>
      <c r="PTF14"/>
      <c r="PTG14"/>
      <c r="PTH14"/>
      <c r="PTI14"/>
      <c r="PTJ14"/>
      <c r="PTK14"/>
      <c r="PTL14"/>
      <c r="PTM14"/>
      <c r="PTN14"/>
      <c r="PTO14"/>
      <c r="PTP14"/>
      <c r="PTQ14"/>
      <c r="PTR14"/>
      <c r="PTS14"/>
      <c r="PTT14"/>
      <c r="PTU14"/>
      <c r="PTV14"/>
      <c r="PTW14"/>
      <c r="PTX14"/>
      <c r="PTY14"/>
      <c r="PTZ14"/>
      <c r="PUA14"/>
      <c r="PUB14"/>
      <c r="PUC14"/>
      <c r="PUD14"/>
      <c r="PUE14"/>
      <c r="PUF14"/>
      <c r="PUG14"/>
      <c r="PUH14"/>
      <c r="PUI14"/>
      <c r="PUJ14"/>
      <c r="PUK14"/>
      <c r="PUL14"/>
      <c r="PUM14"/>
      <c r="PUN14"/>
      <c r="PUO14"/>
      <c r="PUP14"/>
      <c r="PUQ14"/>
      <c r="PUR14"/>
      <c r="PUS14"/>
      <c r="PUT14"/>
      <c r="PUU14"/>
      <c r="PUV14"/>
      <c r="PUW14"/>
      <c r="PUX14"/>
      <c r="PUY14"/>
      <c r="PUZ14"/>
      <c r="PVA14"/>
      <c r="PVB14"/>
      <c r="PVC14"/>
      <c r="PVD14"/>
      <c r="PVE14"/>
      <c r="PVF14"/>
      <c r="PVG14"/>
      <c r="PVH14"/>
      <c r="PVI14"/>
      <c r="PVJ14"/>
      <c r="PVK14"/>
      <c r="PVL14"/>
      <c r="PVM14"/>
      <c r="PVN14"/>
      <c r="PVO14"/>
      <c r="PVP14"/>
      <c r="PVQ14"/>
      <c r="PVR14"/>
      <c r="PVS14"/>
      <c r="PVT14"/>
      <c r="PVU14"/>
      <c r="PVV14"/>
      <c r="PVW14"/>
      <c r="PVX14"/>
      <c r="PVY14"/>
      <c r="PVZ14"/>
      <c r="PWA14"/>
      <c r="PWB14"/>
      <c r="PWC14"/>
      <c r="PWD14"/>
      <c r="PWE14"/>
      <c r="PWF14"/>
      <c r="PWG14"/>
      <c r="PWH14"/>
      <c r="PWI14"/>
      <c r="PWJ14"/>
      <c r="PWK14"/>
      <c r="PWL14"/>
      <c r="PWM14"/>
      <c r="PWN14"/>
      <c r="PWO14"/>
      <c r="PWP14"/>
      <c r="PWQ14"/>
      <c r="PWR14"/>
      <c r="PWS14"/>
      <c r="PWT14"/>
      <c r="PWU14"/>
      <c r="PWV14"/>
      <c r="PWW14"/>
      <c r="PWX14"/>
      <c r="PWY14"/>
      <c r="PWZ14"/>
      <c r="PXA14"/>
      <c r="PXB14"/>
      <c r="PXC14"/>
      <c r="PXD14"/>
      <c r="PXE14"/>
      <c r="PXF14"/>
      <c r="PXG14"/>
      <c r="PXH14"/>
      <c r="PXI14"/>
      <c r="PXJ14"/>
      <c r="PXK14"/>
      <c r="PXL14"/>
      <c r="PXM14"/>
      <c r="PXN14"/>
      <c r="PXO14"/>
      <c r="PXP14"/>
      <c r="PXQ14"/>
      <c r="PXR14"/>
      <c r="PXS14"/>
      <c r="PXT14"/>
      <c r="PXU14"/>
      <c r="PXV14"/>
      <c r="PXW14"/>
      <c r="PXX14"/>
      <c r="PXY14"/>
      <c r="PXZ14"/>
      <c r="PYA14"/>
      <c r="PYB14"/>
      <c r="PYC14"/>
      <c r="PYD14"/>
      <c r="PYE14"/>
      <c r="PYF14"/>
      <c r="PYG14"/>
      <c r="PYH14"/>
      <c r="PYI14"/>
      <c r="PYJ14"/>
      <c r="PYK14"/>
      <c r="PYL14"/>
      <c r="PYM14"/>
      <c r="PYN14"/>
      <c r="PYO14"/>
      <c r="PYP14"/>
      <c r="PYQ14"/>
      <c r="PYR14"/>
      <c r="PYS14"/>
      <c r="PYT14"/>
      <c r="PYU14"/>
      <c r="PYV14"/>
      <c r="PYW14"/>
      <c r="PYX14"/>
      <c r="PYY14"/>
      <c r="PYZ14"/>
      <c r="PZA14"/>
      <c r="PZB14"/>
      <c r="PZC14"/>
      <c r="PZD14"/>
      <c r="PZE14"/>
      <c r="PZF14"/>
      <c r="PZG14"/>
      <c r="PZH14"/>
      <c r="PZI14"/>
      <c r="PZJ14"/>
      <c r="PZK14"/>
      <c r="PZL14"/>
      <c r="PZM14"/>
      <c r="PZN14"/>
      <c r="PZO14"/>
      <c r="PZP14"/>
      <c r="PZQ14"/>
      <c r="PZR14"/>
      <c r="PZS14"/>
      <c r="PZT14"/>
      <c r="PZU14"/>
      <c r="PZV14"/>
      <c r="PZW14"/>
      <c r="PZX14"/>
      <c r="PZY14"/>
      <c r="PZZ14"/>
      <c r="QAA14"/>
      <c r="QAB14"/>
      <c r="QAC14"/>
      <c r="QAD14"/>
      <c r="QAE14"/>
      <c r="QAF14"/>
      <c r="QAG14"/>
      <c r="QAH14"/>
      <c r="QAI14"/>
      <c r="QAJ14"/>
      <c r="QAK14"/>
      <c r="QAL14"/>
      <c r="QAM14"/>
      <c r="QAN14"/>
      <c r="QAO14"/>
      <c r="QAP14"/>
      <c r="QAQ14"/>
      <c r="QAR14"/>
      <c r="QAS14"/>
      <c r="QAT14"/>
      <c r="QAU14"/>
      <c r="QAV14"/>
      <c r="QAW14"/>
      <c r="QAX14"/>
      <c r="QAY14"/>
      <c r="QAZ14"/>
      <c r="QBA14"/>
      <c r="QBB14"/>
      <c r="QBC14"/>
      <c r="QBD14"/>
      <c r="QBE14"/>
      <c r="QBF14"/>
      <c r="QBG14"/>
      <c r="QBH14"/>
      <c r="QBI14"/>
      <c r="QBJ14"/>
      <c r="QBK14"/>
      <c r="QBL14"/>
      <c r="QBM14"/>
      <c r="QBN14"/>
      <c r="QBO14"/>
      <c r="QBP14"/>
      <c r="QBQ14"/>
      <c r="QBR14"/>
      <c r="QBS14"/>
      <c r="QBT14"/>
      <c r="QBU14"/>
      <c r="QBV14"/>
      <c r="QBW14"/>
      <c r="QBX14"/>
      <c r="QBY14"/>
      <c r="QBZ14"/>
      <c r="QCA14"/>
      <c r="QCB14"/>
      <c r="QCC14"/>
      <c r="QCD14"/>
      <c r="QCE14"/>
      <c r="QCF14"/>
      <c r="QCG14"/>
      <c r="QCH14"/>
      <c r="QCI14"/>
      <c r="QCJ14"/>
      <c r="QCK14"/>
      <c r="QCL14"/>
      <c r="QCM14"/>
      <c r="QCN14"/>
      <c r="QCO14"/>
      <c r="QCP14"/>
      <c r="QCQ14"/>
      <c r="QCR14"/>
      <c r="QCS14"/>
      <c r="QCT14"/>
      <c r="QCU14"/>
      <c r="QCV14"/>
      <c r="QCW14"/>
      <c r="QCX14"/>
      <c r="QCY14"/>
      <c r="QCZ14"/>
      <c r="QDA14"/>
      <c r="QDB14"/>
      <c r="QDC14"/>
      <c r="QDD14"/>
      <c r="QDE14"/>
      <c r="QDF14"/>
      <c r="QDG14"/>
      <c r="QDH14"/>
      <c r="QDI14"/>
      <c r="QDJ14"/>
      <c r="QDK14"/>
      <c r="QDL14"/>
      <c r="QDM14"/>
      <c r="QDN14"/>
      <c r="QDO14"/>
      <c r="QDP14"/>
      <c r="QDQ14"/>
      <c r="QDR14"/>
      <c r="QDS14"/>
      <c r="QDT14"/>
      <c r="QDU14"/>
      <c r="QDV14"/>
      <c r="QDW14"/>
      <c r="QDX14"/>
      <c r="QDY14"/>
      <c r="QDZ14"/>
      <c r="QEA14"/>
      <c r="QEB14"/>
      <c r="QEC14"/>
      <c r="QED14"/>
      <c r="QEE14"/>
      <c r="QEF14"/>
      <c r="QEG14"/>
      <c r="QEH14"/>
      <c r="QEI14"/>
      <c r="QEJ14"/>
      <c r="QEK14"/>
      <c r="QEL14"/>
      <c r="QEM14"/>
      <c r="QEN14"/>
      <c r="QEO14"/>
      <c r="QEP14"/>
      <c r="QEQ14"/>
      <c r="QER14"/>
      <c r="QES14"/>
      <c r="QET14"/>
      <c r="QEU14"/>
      <c r="QEV14"/>
      <c r="QEW14"/>
      <c r="QEX14"/>
      <c r="QEY14"/>
      <c r="QEZ14"/>
      <c r="QFA14"/>
      <c r="QFB14"/>
      <c r="QFC14"/>
      <c r="QFD14"/>
      <c r="QFE14"/>
      <c r="QFF14"/>
      <c r="QFG14"/>
      <c r="QFH14"/>
      <c r="QFI14"/>
      <c r="QFJ14"/>
      <c r="QFK14"/>
      <c r="QFL14"/>
      <c r="QFM14"/>
      <c r="QFN14"/>
      <c r="QFO14"/>
      <c r="QFP14"/>
      <c r="QFQ14"/>
      <c r="QFR14"/>
      <c r="QFS14"/>
      <c r="QFT14"/>
      <c r="QFU14"/>
      <c r="QFV14"/>
      <c r="QFW14"/>
      <c r="QFX14"/>
      <c r="QFY14"/>
      <c r="QFZ14"/>
      <c r="QGA14"/>
      <c r="QGB14"/>
      <c r="QGC14"/>
      <c r="QGD14"/>
      <c r="QGE14"/>
      <c r="QGF14"/>
      <c r="QGG14"/>
      <c r="QGH14"/>
      <c r="QGI14"/>
      <c r="QGJ14"/>
      <c r="QGK14"/>
      <c r="QGL14"/>
      <c r="QGM14"/>
      <c r="QGN14"/>
      <c r="QGO14"/>
      <c r="QGP14"/>
      <c r="QGQ14"/>
      <c r="QGR14"/>
      <c r="QGS14"/>
      <c r="QGT14"/>
      <c r="QGU14"/>
      <c r="QGV14"/>
      <c r="QGW14"/>
      <c r="QGX14"/>
      <c r="QGY14"/>
      <c r="QGZ14"/>
      <c r="QHA14"/>
      <c r="QHB14"/>
      <c r="QHC14"/>
      <c r="QHD14"/>
      <c r="QHE14"/>
      <c r="QHF14"/>
      <c r="QHG14"/>
      <c r="QHH14"/>
      <c r="QHI14"/>
      <c r="QHJ14"/>
      <c r="QHK14"/>
      <c r="QHL14"/>
      <c r="QHM14"/>
      <c r="QHN14"/>
      <c r="QHO14"/>
      <c r="QHP14"/>
      <c r="QHQ14"/>
      <c r="QHR14"/>
      <c r="QHS14"/>
      <c r="QHT14"/>
      <c r="QHU14"/>
      <c r="QHV14"/>
      <c r="QHW14"/>
      <c r="QHX14"/>
      <c r="QHY14"/>
      <c r="QHZ14"/>
      <c r="QIA14"/>
      <c r="QIB14"/>
      <c r="QIC14"/>
      <c r="QID14"/>
      <c r="QIE14"/>
      <c r="QIF14"/>
      <c r="QIG14"/>
      <c r="QIH14"/>
      <c r="QII14"/>
      <c r="QIJ14"/>
      <c r="QIK14"/>
      <c r="QIL14"/>
      <c r="QIM14"/>
      <c r="QIN14"/>
      <c r="QIO14"/>
      <c r="QIP14"/>
      <c r="QIQ14"/>
      <c r="QIR14"/>
      <c r="QIS14"/>
      <c r="QIT14"/>
      <c r="QIU14"/>
      <c r="QIV14"/>
      <c r="QIW14"/>
      <c r="QIX14"/>
      <c r="QIY14"/>
      <c r="QIZ14"/>
      <c r="QJA14"/>
      <c r="QJB14"/>
      <c r="QJC14"/>
      <c r="QJD14"/>
      <c r="QJE14"/>
      <c r="QJF14"/>
      <c r="QJG14"/>
      <c r="QJH14"/>
      <c r="QJI14"/>
      <c r="QJJ14"/>
      <c r="QJK14"/>
      <c r="QJL14"/>
      <c r="QJM14"/>
      <c r="QJN14"/>
      <c r="QJO14"/>
      <c r="QJP14"/>
      <c r="QJQ14"/>
      <c r="QJR14"/>
      <c r="QJS14"/>
      <c r="QJT14"/>
      <c r="QJU14"/>
      <c r="QJV14"/>
      <c r="QJW14"/>
      <c r="QJX14"/>
      <c r="QJY14"/>
      <c r="QJZ14"/>
      <c r="QKA14"/>
      <c r="QKB14"/>
      <c r="QKC14"/>
      <c r="QKD14"/>
      <c r="QKE14"/>
      <c r="QKF14"/>
      <c r="QKG14"/>
      <c r="QKH14"/>
      <c r="QKI14"/>
      <c r="QKJ14"/>
      <c r="QKK14"/>
      <c r="QKL14"/>
      <c r="QKM14"/>
      <c r="QKN14"/>
      <c r="QKO14"/>
      <c r="QKP14"/>
      <c r="QKQ14"/>
      <c r="QKR14"/>
      <c r="QKS14"/>
      <c r="QKT14"/>
      <c r="QKU14"/>
      <c r="QKV14"/>
      <c r="QKW14"/>
      <c r="QKX14"/>
      <c r="QKY14"/>
      <c r="QKZ14"/>
      <c r="QLA14"/>
      <c r="QLB14"/>
      <c r="QLC14"/>
      <c r="QLD14"/>
      <c r="QLE14"/>
      <c r="QLF14"/>
      <c r="QLG14"/>
      <c r="QLH14"/>
      <c r="QLI14"/>
      <c r="QLJ14"/>
      <c r="QLK14"/>
      <c r="QLL14"/>
      <c r="QLM14"/>
      <c r="QLN14"/>
      <c r="QLO14"/>
      <c r="QLP14"/>
      <c r="QLQ14"/>
      <c r="QLR14"/>
      <c r="QLS14"/>
      <c r="QLT14"/>
      <c r="QLU14"/>
      <c r="QLV14"/>
      <c r="QLW14"/>
      <c r="QLX14"/>
      <c r="QLY14"/>
      <c r="QLZ14"/>
      <c r="QMA14"/>
      <c r="QMB14"/>
      <c r="QMC14"/>
      <c r="QMD14"/>
      <c r="QME14"/>
      <c r="QMF14"/>
      <c r="QMG14"/>
      <c r="QMH14"/>
      <c r="QMI14"/>
      <c r="QMJ14"/>
      <c r="QMK14"/>
      <c r="QML14"/>
      <c r="QMM14"/>
      <c r="QMN14"/>
      <c r="QMO14"/>
      <c r="QMP14"/>
      <c r="QMQ14"/>
      <c r="QMR14"/>
      <c r="QMS14"/>
      <c r="QMT14"/>
      <c r="QMU14"/>
      <c r="QMV14"/>
      <c r="QMW14"/>
      <c r="QMX14"/>
      <c r="QMY14"/>
      <c r="QMZ14"/>
      <c r="QNA14"/>
      <c r="QNB14"/>
      <c r="QNC14"/>
      <c r="QND14"/>
      <c r="QNE14"/>
      <c r="QNF14"/>
      <c r="QNG14"/>
      <c r="QNH14"/>
      <c r="QNI14"/>
      <c r="QNJ14"/>
      <c r="QNK14"/>
      <c r="QNL14"/>
      <c r="QNM14"/>
      <c r="QNN14"/>
      <c r="QNO14"/>
      <c r="QNP14"/>
      <c r="QNQ14"/>
      <c r="QNR14"/>
      <c r="QNS14"/>
      <c r="QNT14"/>
      <c r="QNU14"/>
      <c r="QNV14"/>
      <c r="QNW14"/>
      <c r="QNX14"/>
      <c r="QNY14"/>
      <c r="QNZ14"/>
      <c r="QOA14"/>
      <c r="QOB14"/>
      <c r="QOC14"/>
      <c r="QOD14"/>
      <c r="QOE14"/>
      <c r="QOF14"/>
      <c r="QOG14"/>
      <c r="QOH14"/>
      <c r="QOI14"/>
      <c r="QOJ14"/>
      <c r="QOK14"/>
      <c r="QOL14"/>
      <c r="QOM14"/>
      <c r="QON14"/>
      <c r="QOO14"/>
      <c r="QOP14"/>
      <c r="QOQ14"/>
      <c r="QOR14"/>
      <c r="QOS14"/>
      <c r="QOT14"/>
      <c r="QOU14"/>
      <c r="QOV14"/>
      <c r="QOW14"/>
      <c r="QOX14"/>
      <c r="QOY14"/>
      <c r="QOZ14"/>
      <c r="QPA14"/>
      <c r="QPB14"/>
      <c r="QPC14"/>
      <c r="QPD14"/>
      <c r="QPE14"/>
      <c r="QPF14"/>
      <c r="QPG14"/>
      <c r="QPH14"/>
      <c r="QPI14"/>
      <c r="QPJ14"/>
      <c r="QPK14"/>
      <c r="QPL14"/>
      <c r="QPM14"/>
      <c r="QPN14"/>
      <c r="QPO14"/>
      <c r="QPP14"/>
      <c r="QPQ14"/>
      <c r="QPR14"/>
      <c r="QPS14"/>
      <c r="QPT14"/>
      <c r="QPU14"/>
      <c r="QPV14"/>
      <c r="QPW14"/>
      <c r="QPX14"/>
      <c r="QPY14"/>
      <c r="QPZ14"/>
      <c r="QQA14"/>
      <c r="QQB14"/>
      <c r="QQC14"/>
      <c r="QQD14"/>
      <c r="QQE14"/>
      <c r="QQF14"/>
      <c r="QQG14"/>
      <c r="QQH14"/>
      <c r="QQI14"/>
      <c r="QQJ14"/>
      <c r="QQK14"/>
      <c r="QQL14"/>
      <c r="QQM14"/>
      <c r="QQN14"/>
      <c r="QQO14"/>
      <c r="QQP14"/>
      <c r="QQQ14"/>
      <c r="QQR14"/>
      <c r="QQS14"/>
      <c r="QQT14"/>
      <c r="QQU14"/>
      <c r="QQV14"/>
      <c r="QQW14"/>
      <c r="QQX14"/>
      <c r="QQY14"/>
      <c r="QQZ14"/>
      <c r="QRA14"/>
      <c r="QRB14"/>
      <c r="QRC14"/>
      <c r="QRD14"/>
      <c r="QRE14"/>
      <c r="QRF14"/>
      <c r="QRG14"/>
      <c r="QRH14"/>
      <c r="QRI14"/>
      <c r="QRJ14"/>
      <c r="QRK14"/>
      <c r="QRL14"/>
      <c r="QRM14"/>
      <c r="QRN14"/>
      <c r="QRO14"/>
      <c r="QRP14"/>
      <c r="QRQ14"/>
      <c r="QRR14"/>
      <c r="QRS14"/>
      <c r="QRT14"/>
      <c r="QRU14"/>
      <c r="QRV14"/>
      <c r="QRW14"/>
      <c r="QRX14"/>
      <c r="QRY14"/>
      <c r="QRZ14"/>
      <c r="QSA14"/>
      <c r="QSB14"/>
      <c r="QSC14"/>
      <c r="QSD14"/>
      <c r="QSE14"/>
      <c r="QSF14"/>
      <c r="QSG14"/>
      <c r="QSH14"/>
      <c r="QSI14"/>
      <c r="QSJ14"/>
      <c r="QSK14"/>
      <c r="QSL14"/>
      <c r="QSM14"/>
      <c r="QSN14"/>
      <c r="QSO14"/>
      <c r="QSP14"/>
      <c r="QSQ14"/>
      <c r="QSR14"/>
      <c r="QSS14"/>
      <c r="QST14"/>
      <c r="QSU14"/>
      <c r="QSV14"/>
      <c r="QSW14"/>
      <c r="QSX14"/>
      <c r="QSY14"/>
      <c r="QSZ14"/>
      <c r="QTA14"/>
      <c r="QTB14"/>
      <c r="QTC14"/>
      <c r="QTD14"/>
      <c r="QTE14"/>
      <c r="QTF14"/>
      <c r="QTG14"/>
      <c r="QTH14"/>
      <c r="QTI14"/>
      <c r="QTJ14"/>
      <c r="QTK14"/>
      <c r="QTL14"/>
      <c r="QTM14"/>
      <c r="QTN14"/>
      <c r="QTO14"/>
      <c r="QTP14"/>
      <c r="QTQ14"/>
      <c r="QTR14"/>
      <c r="QTS14"/>
      <c r="QTT14"/>
      <c r="QTU14"/>
      <c r="QTV14"/>
      <c r="QTW14"/>
      <c r="QTX14"/>
      <c r="QTY14"/>
      <c r="QTZ14"/>
      <c r="QUA14"/>
      <c r="QUB14"/>
      <c r="QUC14"/>
      <c r="QUD14"/>
      <c r="QUE14"/>
      <c r="QUF14"/>
      <c r="QUG14"/>
      <c r="QUH14"/>
      <c r="QUI14"/>
      <c r="QUJ14"/>
      <c r="QUK14"/>
      <c r="QUL14"/>
      <c r="QUM14"/>
      <c r="QUN14"/>
      <c r="QUO14"/>
      <c r="QUP14"/>
      <c r="QUQ14"/>
      <c r="QUR14"/>
      <c r="QUS14"/>
      <c r="QUT14"/>
      <c r="QUU14"/>
      <c r="QUV14"/>
      <c r="QUW14"/>
      <c r="QUX14"/>
      <c r="QUY14"/>
      <c r="QUZ14"/>
      <c r="QVA14"/>
      <c r="QVB14"/>
      <c r="QVC14"/>
      <c r="QVD14"/>
      <c r="QVE14"/>
      <c r="QVF14"/>
      <c r="QVG14"/>
      <c r="QVH14"/>
      <c r="QVI14"/>
      <c r="QVJ14"/>
      <c r="QVK14"/>
      <c r="QVL14"/>
      <c r="QVM14"/>
      <c r="QVN14"/>
      <c r="QVO14"/>
      <c r="QVP14"/>
      <c r="QVQ14"/>
      <c r="QVR14"/>
      <c r="QVS14"/>
      <c r="QVT14"/>
      <c r="QVU14"/>
      <c r="QVV14"/>
      <c r="QVW14"/>
      <c r="QVX14"/>
      <c r="QVY14"/>
      <c r="QVZ14"/>
      <c r="QWA14"/>
      <c r="QWB14"/>
      <c r="QWC14"/>
      <c r="QWD14"/>
      <c r="QWE14"/>
      <c r="QWF14"/>
      <c r="QWG14"/>
      <c r="QWH14"/>
      <c r="QWI14"/>
      <c r="QWJ14"/>
      <c r="QWK14"/>
      <c r="QWL14"/>
      <c r="QWM14"/>
      <c r="QWN14"/>
      <c r="QWO14"/>
      <c r="QWP14"/>
      <c r="QWQ14"/>
      <c r="QWR14"/>
      <c r="QWS14"/>
      <c r="QWT14"/>
      <c r="QWU14"/>
      <c r="QWV14"/>
      <c r="QWW14"/>
      <c r="QWX14"/>
      <c r="QWY14"/>
      <c r="QWZ14"/>
      <c r="QXA14"/>
      <c r="QXB14"/>
      <c r="QXC14"/>
      <c r="QXD14"/>
      <c r="QXE14"/>
      <c r="QXF14"/>
      <c r="QXG14"/>
      <c r="QXH14"/>
      <c r="QXI14"/>
      <c r="QXJ14"/>
      <c r="QXK14"/>
      <c r="QXL14"/>
      <c r="QXM14"/>
      <c r="QXN14"/>
      <c r="QXO14"/>
      <c r="QXP14"/>
      <c r="QXQ14"/>
      <c r="QXR14"/>
      <c r="QXS14"/>
      <c r="QXT14"/>
      <c r="QXU14"/>
      <c r="QXV14"/>
      <c r="QXW14"/>
      <c r="QXX14"/>
      <c r="QXY14"/>
      <c r="QXZ14"/>
      <c r="QYA14"/>
      <c r="QYB14"/>
      <c r="QYC14"/>
      <c r="QYD14"/>
      <c r="QYE14"/>
      <c r="QYF14"/>
      <c r="QYG14"/>
      <c r="QYH14"/>
      <c r="QYI14"/>
      <c r="QYJ14"/>
      <c r="QYK14"/>
      <c r="QYL14"/>
      <c r="QYM14"/>
      <c r="QYN14"/>
      <c r="QYO14"/>
      <c r="QYP14"/>
      <c r="QYQ14"/>
      <c r="QYR14"/>
      <c r="QYS14"/>
      <c r="QYT14"/>
      <c r="QYU14"/>
      <c r="QYV14"/>
      <c r="QYW14"/>
      <c r="QYX14"/>
      <c r="QYY14"/>
      <c r="QYZ14"/>
      <c r="QZA14"/>
      <c r="QZB14"/>
      <c r="QZC14"/>
      <c r="QZD14"/>
      <c r="QZE14"/>
      <c r="QZF14"/>
      <c r="QZG14"/>
      <c r="QZH14"/>
      <c r="QZI14"/>
      <c r="QZJ14"/>
      <c r="QZK14"/>
      <c r="QZL14"/>
      <c r="QZM14"/>
      <c r="QZN14"/>
      <c r="QZO14"/>
      <c r="QZP14"/>
      <c r="QZQ14"/>
      <c r="QZR14"/>
      <c r="QZS14"/>
      <c r="QZT14"/>
      <c r="QZU14"/>
      <c r="QZV14"/>
      <c r="QZW14"/>
      <c r="QZX14"/>
      <c r="QZY14"/>
      <c r="QZZ14"/>
      <c r="RAA14"/>
      <c r="RAB14"/>
      <c r="RAC14"/>
      <c r="RAD14"/>
      <c r="RAE14"/>
      <c r="RAF14"/>
      <c r="RAG14"/>
      <c r="RAH14"/>
      <c r="RAI14"/>
      <c r="RAJ14"/>
      <c r="RAK14"/>
      <c r="RAL14"/>
      <c r="RAM14"/>
      <c r="RAN14"/>
      <c r="RAO14"/>
      <c r="RAP14"/>
      <c r="RAQ14"/>
      <c r="RAR14"/>
      <c r="RAS14"/>
      <c r="RAT14"/>
      <c r="RAU14"/>
      <c r="RAV14"/>
      <c r="RAW14"/>
      <c r="RAX14"/>
      <c r="RAY14"/>
      <c r="RAZ14"/>
      <c r="RBA14"/>
      <c r="RBB14"/>
      <c r="RBC14"/>
      <c r="RBD14"/>
      <c r="RBE14"/>
      <c r="RBF14"/>
      <c r="RBG14"/>
      <c r="RBH14"/>
      <c r="RBI14"/>
      <c r="RBJ14"/>
      <c r="RBK14"/>
      <c r="RBL14"/>
      <c r="RBM14"/>
      <c r="RBN14"/>
      <c r="RBO14"/>
      <c r="RBP14"/>
      <c r="RBQ14"/>
      <c r="RBR14"/>
      <c r="RBS14"/>
      <c r="RBT14"/>
      <c r="RBU14"/>
      <c r="RBV14"/>
      <c r="RBW14"/>
      <c r="RBX14"/>
      <c r="RBY14"/>
      <c r="RBZ14"/>
      <c r="RCA14"/>
      <c r="RCB14"/>
      <c r="RCC14"/>
      <c r="RCD14"/>
      <c r="RCE14"/>
      <c r="RCF14"/>
      <c r="RCG14"/>
      <c r="RCH14"/>
      <c r="RCI14"/>
      <c r="RCJ14"/>
      <c r="RCK14"/>
      <c r="RCL14"/>
      <c r="RCM14"/>
      <c r="RCN14"/>
      <c r="RCO14"/>
      <c r="RCP14"/>
      <c r="RCQ14"/>
      <c r="RCR14"/>
      <c r="RCS14"/>
      <c r="RCT14"/>
      <c r="RCU14"/>
      <c r="RCV14"/>
      <c r="RCW14"/>
      <c r="RCX14"/>
      <c r="RCY14"/>
      <c r="RCZ14"/>
      <c r="RDA14"/>
      <c r="RDB14"/>
      <c r="RDC14"/>
      <c r="RDD14"/>
      <c r="RDE14"/>
      <c r="RDF14"/>
      <c r="RDG14"/>
      <c r="RDH14"/>
      <c r="RDI14"/>
      <c r="RDJ14"/>
      <c r="RDK14"/>
      <c r="RDL14"/>
      <c r="RDM14"/>
      <c r="RDN14"/>
      <c r="RDO14"/>
      <c r="RDP14"/>
      <c r="RDQ14"/>
      <c r="RDR14"/>
      <c r="RDS14"/>
      <c r="RDT14"/>
      <c r="RDU14"/>
      <c r="RDV14"/>
      <c r="RDW14"/>
      <c r="RDX14"/>
      <c r="RDY14"/>
      <c r="RDZ14"/>
      <c r="REA14"/>
      <c r="REB14"/>
      <c r="REC14"/>
      <c r="RED14"/>
      <c r="REE14"/>
      <c r="REF14"/>
      <c r="REG14"/>
      <c r="REH14"/>
      <c r="REI14"/>
      <c r="REJ14"/>
      <c r="REK14"/>
      <c r="REL14"/>
      <c r="REM14"/>
      <c r="REN14"/>
      <c r="REO14"/>
      <c r="REP14"/>
      <c r="REQ14"/>
      <c r="RER14"/>
      <c r="RES14"/>
      <c r="RET14"/>
      <c r="REU14"/>
      <c r="REV14"/>
      <c r="REW14"/>
      <c r="REX14"/>
      <c r="REY14"/>
      <c r="REZ14"/>
      <c r="RFA14"/>
      <c r="RFB14"/>
      <c r="RFC14"/>
      <c r="RFD14"/>
      <c r="RFE14"/>
      <c r="RFF14"/>
      <c r="RFG14"/>
      <c r="RFH14"/>
      <c r="RFI14"/>
      <c r="RFJ14"/>
      <c r="RFK14"/>
      <c r="RFL14"/>
      <c r="RFM14"/>
      <c r="RFN14"/>
      <c r="RFO14"/>
      <c r="RFP14"/>
      <c r="RFQ14"/>
      <c r="RFR14"/>
      <c r="RFS14"/>
      <c r="RFT14"/>
      <c r="RFU14"/>
      <c r="RFV14"/>
      <c r="RFW14"/>
      <c r="RFX14"/>
      <c r="RFY14"/>
      <c r="RFZ14"/>
      <c r="RGA14"/>
      <c r="RGB14"/>
      <c r="RGC14"/>
      <c r="RGD14"/>
      <c r="RGE14"/>
      <c r="RGF14"/>
      <c r="RGG14"/>
      <c r="RGH14"/>
      <c r="RGI14"/>
      <c r="RGJ14"/>
      <c r="RGK14"/>
      <c r="RGL14"/>
      <c r="RGM14"/>
      <c r="RGN14"/>
      <c r="RGO14"/>
      <c r="RGP14"/>
      <c r="RGQ14"/>
      <c r="RGR14"/>
      <c r="RGS14"/>
      <c r="RGT14"/>
      <c r="RGU14"/>
      <c r="RGV14"/>
      <c r="RGW14"/>
      <c r="RGX14"/>
      <c r="RGY14"/>
      <c r="RGZ14"/>
      <c r="RHA14"/>
      <c r="RHB14"/>
      <c r="RHC14"/>
      <c r="RHD14"/>
      <c r="RHE14"/>
      <c r="RHF14"/>
      <c r="RHG14"/>
      <c r="RHH14"/>
      <c r="RHI14"/>
      <c r="RHJ14"/>
      <c r="RHK14"/>
      <c r="RHL14"/>
      <c r="RHM14"/>
      <c r="RHN14"/>
      <c r="RHO14"/>
      <c r="RHP14"/>
      <c r="RHQ14"/>
      <c r="RHR14"/>
      <c r="RHS14"/>
      <c r="RHT14"/>
      <c r="RHU14"/>
      <c r="RHV14"/>
      <c r="RHW14"/>
      <c r="RHX14"/>
      <c r="RHY14"/>
      <c r="RHZ14"/>
      <c r="RIA14"/>
      <c r="RIB14"/>
      <c r="RIC14"/>
      <c r="RID14"/>
      <c r="RIE14"/>
      <c r="RIF14"/>
      <c r="RIG14"/>
      <c r="RIH14"/>
      <c r="RII14"/>
      <c r="RIJ14"/>
      <c r="RIK14"/>
      <c r="RIL14"/>
      <c r="RIM14"/>
      <c r="RIN14"/>
      <c r="RIO14"/>
      <c r="RIP14"/>
      <c r="RIQ14"/>
      <c r="RIR14"/>
      <c r="RIS14"/>
      <c r="RIT14"/>
      <c r="RIU14"/>
      <c r="RIV14"/>
      <c r="RIW14"/>
      <c r="RIX14"/>
      <c r="RIY14"/>
      <c r="RIZ14"/>
      <c r="RJA14"/>
      <c r="RJB14"/>
      <c r="RJC14"/>
      <c r="RJD14"/>
      <c r="RJE14"/>
      <c r="RJF14"/>
      <c r="RJG14"/>
      <c r="RJH14"/>
      <c r="RJI14"/>
      <c r="RJJ14"/>
      <c r="RJK14"/>
      <c r="RJL14"/>
      <c r="RJM14"/>
      <c r="RJN14"/>
      <c r="RJO14"/>
      <c r="RJP14"/>
      <c r="RJQ14"/>
      <c r="RJR14"/>
      <c r="RJS14"/>
      <c r="RJT14"/>
      <c r="RJU14"/>
      <c r="RJV14"/>
      <c r="RJW14"/>
      <c r="RJX14"/>
      <c r="RJY14"/>
      <c r="RJZ14"/>
      <c r="RKA14"/>
      <c r="RKB14"/>
      <c r="RKC14"/>
      <c r="RKD14"/>
      <c r="RKE14"/>
      <c r="RKF14"/>
      <c r="RKG14"/>
      <c r="RKH14"/>
      <c r="RKI14"/>
      <c r="RKJ14"/>
      <c r="RKK14"/>
      <c r="RKL14"/>
      <c r="RKM14"/>
      <c r="RKN14"/>
      <c r="RKO14"/>
      <c r="RKP14"/>
      <c r="RKQ14"/>
      <c r="RKR14"/>
      <c r="RKS14"/>
      <c r="RKT14"/>
      <c r="RKU14"/>
      <c r="RKV14"/>
      <c r="RKW14"/>
      <c r="RKX14"/>
      <c r="RKY14"/>
      <c r="RKZ14"/>
      <c r="RLA14"/>
      <c r="RLB14"/>
      <c r="RLC14"/>
      <c r="RLD14"/>
      <c r="RLE14"/>
      <c r="RLF14"/>
      <c r="RLG14"/>
      <c r="RLH14"/>
      <c r="RLI14"/>
      <c r="RLJ14"/>
      <c r="RLK14"/>
      <c r="RLL14"/>
      <c r="RLM14"/>
      <c r="RLN14"/>
      <c r="RLO14"/>
      <c r="RLP14"/>
      <c r="RLQ14"/>
      <c r="RLR14"/>
      <c r="RLS14"/>
      <c r="RLT14"/>
      <c r="RLU14"/>
      <c r="RLV14"/>
      <c r="RLW14"/>
      <c r="RLX14"/>
      <c r="RLY14"/>
      <c r="RLZ14"/>
      <c r="RMA14"/>
      <c r="RMB14"/>
      <c r="RMC14"/>
      <c r="RMD14"/>
      <c r="RME14"/>
      <c r="RMF14"/>
      <c r="RMG14"/>
      <c r="RMH14"/>
      <c r="RMI14"/>
      <c r="RMJ14"/>
      <c r="RMK14"/>
      <c r="RML14"/>
      <c r="RMM14"/>
      <c r="RMN14"/>
      <c r="RMO14"/>
      <c r="RMP14"/>
      <c r="RMQ14"/>
      <c r="RMR14"/>
      <c r="RMS14"/>
      <c r="RMT14"/>
      <c r="RMU14"/>
      <c r="RMV14"/>
      <c r="RMW14"/>
      <c r="RMX14"/>
      <c r="RMY14"/>
      <c r="RMZ14"/>
      <c r="RNA14"/>
      <c r="RNB14"/>
      <c r="RNC14"/>
      <c r="RND14"/>
      <c r="RNE14"/>
      <c r="RNF14"/>
      <c r="RNG14"/>
      <c r="RNH14"/>
      <c r="RNI14"/>
      <c r="RNJ14"/>
      <c r="RNK14"/>
      <c r="RNL14"/>
      <c r="RNM14"/>
      <c r="RNN14"/>
      <c r="RNO14"/>
      <c r="RNP14"/>
      <c r="RNQ14"/>
      <c r="RNR14"/>
      <c r="RNS14"/>
      <c r="RNT14"/>
      <c r="RNU14"/>
      <c r="RNV14"/>
      <c r="RNW14"/>
      <c r="RNX14"/>
      <c r="RNY14"/>
      <c r="RNZ14"/>
      <c r="ROA14"/>
      <c r="ROB14"/>
      <c r="ROC14"/>
      <c r="ROD14"/>
      <c r="ROE14"/>
      <c r="ROF14"/>
      <c r="ROG14"/>
      <c r="ROH14"/>
      <c r="ROI14"/>
      <c r="ROJ14"/>
      <c r="ROK14"/>
      <c r="ROL14"/>
      <c r="ROM14"/>
      <c r="RON14"/>
      <c r="ROO14"/>
      <c r="ROP14"/>
      <c r="ROQ14"/>
      <c r="ROR14"/>
      <c r="ROS14"/>
      <c r="ROT14"/>
      <c r="ROU14"/>
      <c r="ROV14"/>
      <c r="ROW14"/>
      <c r="ROX14"/>
      <c r="ROY14"/>
      <c r="ROZ14"/>
      <c r="RPA14"/>
      <c r="RPB14"/>
      <c r="RPC14"/>
      <c r="RPD14"/>
      <c r="RPE14"/>
      <c r="RPF14"/>
      <c r="RPG14"/>
      <c r="RPH14"/>
      <c r="RPI14"/>
      <c r="RPJ14"/>
      <c r="RPK14"/>
      <c r="RPL14"/>
      <c r="RPM14"/>
      <c r="RPN14"/>
      <c r="RPO14"/>
      <c r="RPP14"/>
      <c r="RPQ14"/>
      <c r="RPR14"/>
      <c r="RPS14"/>
      <c r="RPT14"/>
      <c r="RPU14"/>
      <c r="RPV14"/>
      <c r="RPW14"/>
      <c r="RPX14"/>
      <c r="RPY14"/>
      <c r="RPZ14"/>
      <c r="RQA14"/>
      <c r="RQB14"/>
      <c r="RQC14"/>
      <c r="RQD14"/>
      <c r="RQE14"/>
      <c r="RQF14"/>
      <c r="RQG14"/>
      <c r="RQH14"/>
      <c r="RQI14"/>
      <c r="RQJ14"/>
      <c r="RQK14"/>
      <c r="RQL14"/>
      <c r="RQM14"/>
      <c r="RQN14"/>
      <c r="RQO14"/>
      <c r="RQP14"/>
      <c r="RQQ14"/>
      <c r="RQR14"/>
      <c r="RQS14"/>
      <c r="RQT14"/>
      <c r="RQU14"/>
      <c r="RQV14"/>
      <c r="RQW14"/>
      <c r="RQX14"/>
      <c r="RQY14"/>
      <c r="RQZ14"/>
      <c r="RRA14"/>
      <c r="RRB14"/>
      <c r="RRC14"/>
      <c r="RRD14"/>
      <c r="RRE14"/>
      <c r="RRF14"/>
      <c r="RRG14"/>
      <c r="RRH14"/>
      <c r="RRI14"/>
      <c r="RRJ14"/>
      <c r="RRK14"/>
      <c r="RRL14"/>
      <c r="RRM14"/>
      <c r="RRN14"/>
      <c r="RRO14"/>
      <c r="RRP14"/>
      <c r="RRQ14"/>
      <c r="RRR14"/>
      <c r="RRS14"/>
      <c r="RRT14"/>
      <c r="RRU14"/>
      <c r="RRV14"/>
      <c r="RRW14"/>
      <c r="RRX14"/>
      <c r="RRY14"/>
      <c r="RRZ14"/>
      <c r="RSA14"/>
      <c r="RSB14"/>
      <c r="RSC14"/>
      <c r="RSD14"/>
      <c r="RSE14"/>
      <c r="RSF14"/>
      <c r="RSG14"/>
      <c r="RSH14"/>
      <c r="RSI14"/>
      <c r="RSJ14"/>
      <c r="RSK14"/>
      <c r="RSL14"/>
      <c r="RSM14"/>
      <c r="RSN14"/>
      <c r="RSO14"/>
      <c r="RSP14"/>
      <c r="RSQ14"/>
      <c r="RSR14"/>
      <c r="RSS14"/>
      <c r="RST14"/>
      <c r="RSU14"/>
      <c r="RSV14"/>
      <c r="RSW14"/>
      <c r="RSX14"/>
      <c r="RSY14"/>
      <c r="RSZ14"/>
      <c r="RTA14"/>
      <c r="RTB14"/>
      <c r="RTC14"/>
      <c r="RTD14"/>
      <c r="RTE14"/>
      <c r="RTF14"/>
      <c r="RTG14"/>
      <c r="RTH14"/>
      <c r="RTI14"/>
      <c r="RTJ14"/>
      <c r="RTK14"/>
      <c r="RTL14"/>
      <c r="RTM14"/>
      <c r="RTN14"/>
      <c r="RTO14"/>
      <c r="RTP14"/>
      <c r="RTQ14"/>
      <c r="RTR14"/>
      <c r="RTS14"/>
      <c r="RTT14"/>
      <c r="RTU14"/>
      <c r="RTV14"/>
      <c r="RTW14"/>
      <c r="RTX14"/>
      <c r="RTY14"/>
      <c r="RTZ14"/>
      <c r="RUA14"/>
      <c r="RUB14"/>
      <c r="RUC14"/>
      <c r="RUD14"/>
      <c r="RUE14"/>
      <c r="RUF14"/>
      <c r="RUG14"/>
      <c r="RUH14"/>
      <c r="RUI14"/>
      <c r="RUJ14"/>
      <c r="RUK14"/>
      <c r="RUL14"/>
      <c r="RUM14"/>
      <c r="RUN14"/>
      <c r="RUO14"/>
      <c r="RUP14"/>
      <c r="RUQ14"/>
      <c r="RUR14"/>
      <c r="RUS14"/>
      <c r="RUT14"/>
      <c r="RUU14"/>
      <c r="RUV14"/>
      <c r="RUW14"/>
      <c r="RUX14"/>
      <c r="RUY14"/>
      <c r="RUZ14"/>
      <c r="RVA14"/>
      <c r="RVB14"/>
      <c r="RVC14"/>
      <c r="RVD14"/>
      <c r="RVE14"/>
      <c r="RVF14"/>
      <c r="RVG14"/>
      <c r="RVH14"/>
      <c r="RVI14"/>
      <c r="RVJ14"/>
      <c r="RVK14"/>
      <c r="RVL14"/>
      <c r="RVM14"/>
      <c r="RVN14"/>
      <c r="RVO14"/>
      <c r="RVP14"/>
      <c r="RVQ14"/>
      <c r="RVR14"/>
      <c r="RVS14"/>
      <c r="RVT14"/>
      <c r="RVU14"/>
      <c r="RVV14"/>
      <c r="RVW14"/>
      <c r="RVX14"/>
      <c r="RVY14"/>
      <c r="RVZ14"/>
      <c r="RWA14"/>
      <c r="RWB14"/>
      <c r="RWC14"/>
      <c r="RWD14"/>
      <c r="RWE14"/>
      <c r="RWF14"/>
      <c r="RWG14"/>
      <c r="RWH14"/>
      <c r="RWI14"/>
      <c r="RWJ14"/>
      <c r="RWK14"/>
      <c r="RWL14"/>
      <c r="RWM14"/>
      <c r="RWN14"/>
      <c r="RWO14"/>
      <c r="RWP14"/>
      <c r="RWQ14"/>
      <c r="RWR14"/>
      <c r="RWS14"/>
      <c r="RWT14"/>
      <c r="RWU14"/>
      <c r="RWV14"/>
      <c r="RWW14"/>
      <c r="RWX14"/>
      <c r="RWY14"/>
      <c r="RWZ14"/>
      <c r="RXA14"/>
      <c r="RXB14"/>
      <c r="RXC14"/>
      <c r="RXD14"/>
      <c r="RXE14"/>
      <c r="RXF14"/>
      <c r="RXG14"/>
      <c r="RXH14"/>
      <c r="RXI14"/>
      <c r="RXJ14"/>
      <c r="RXK14"/>
      <c r="RXL14"/>
      <c r="RXM14"/>
      <c r="RXN14"/>
      <c r="RXO14"/>
      <c r="RXP14"/>
      <c r="RXQ14"/>
      <c r="RXR14"/>
      <c r="RXS14"/>
      <c r="RXT14"/>
      <c r="RXU14"/>
      <c r="RXV14"/>
      <c r="RXW14"/>
      <c r="RXX14"/>
      <c r="RXY14"/>
      <c r="RXZ14"/>
      <c r="RYA14"/>
      <c r="RYB14"/>
      <c r="RYC14"/>
      <c r="RYD14"/>
      <c r="RYE14"/>
      <c r="RYF14"/>
      <c r="RYG14"/>
      <c r="RYH14"/>
      <c r="RYI14"/>
      <c r="RYJ14"/>
      <c r="RYK14"/>
      <c r="RYL14"/>
      <c r="RYM14"/>
      <c r="RYN14"/>
      <c r="RYO14"/>
      <c r="RYP14"/>
      <c r="RYQ14"/>
      <c r="RYR14"/>
      <c r="RYS14"/>
      <c r="RYT14"/>
      <c r="RYU14"/>
      <c r="RYV14"/>
      <c r="RYW14"/>
      <c r="RYX14"/>
      <c r="RYY14"/>
      <c r="RYZ14"/>
      <c r="RZA14"/>
      <c r="RZB14"/>
      <c r="RZC14"/>
      <c r="RZD14"/>
      <c r="RZE14"/>
      <c r="RZF14"/>
      <c r="RZG14"/>
      <c r="RZH14"/>
      <c r="RZI14"/>
      <c r="RZJ14"/>
      <c r="RZK14"/>
      <c r="RZL14"/>
      <c r="RZM14"/>
      <c r="RZN14"/>
      <c r="RZO14"/>
      <c r="RZP14"/>
      <c r="RZQ14"/>
      <c r="RZR14"/>
      <c r="RZS14"/>
      <c r="RZT14"/>
      <c r="RZU14"/>
      <c r="RZV14"/>
      <c r="RZW14"/>
      <c r="RZX14"/>
      <c r="RZY14"/>
      <c r="RZZ14"/>
      <c r="SAA14"/>
      <c r="SAB14"/>
      <c r="SAC14"/>
      <c r="SAD14"/>
      <c r="SAE14"/>
      <c r="SAF14"/>
      <c r="SAG14"/>
      <c r="SAH14"/>
      <c r="SAI14"/>
      <c r="SAJ14"/>
      <c r="SAK14"/>
      <c r="SAL14"/>
      <c r="SAM14"/>
      <c r="SAN14"/>
      <c r="SAO14"/>
      <c r="SAP14"/>
      <c r="SAQ14"/>
      <c r="SAR14"/>
      <c r="SAS14"/>
      <c r="SAT14"/>
      <c r="SAU14"/>
      <c r="SAV14"/>
      <c r="SAW14"/>
      <c r="SAX14"/>
      <c r="SAY14"/>
      <c r="SAZ14"/>
      <c r="SBA14"/>
      <c r="SBB14"/>
      <c r="SBC14"/>
      <c r="SBD14"/>
      <c r="SBE14"/>
      <c r="SBF14"/>
      <c r="SBG14"/>
      <c r="SBH14"/>
      <c r="SBI14"/>
      <c r="SBJ14"/>
      <c r="SBK14"/>
      <c r="SBL14"/>
      <c r="SBM14"/>
      <c r="SBN14"/>
      <c r="SBO14"/>
      <c r="SBP14"/>
      <c r="SBQ14"/>
      <c r="SBR14"/>
      <c r="SBS14"/>
      <c r="SBT14"/>
      <c r="SBU14"/>
      <c r="SBV14"/>
      <c r="SBW14"/>
      <c r="SBX14"/>
      <c r="SBY14"/>
      <c r="SBZ14"/>
      <c r="SCA14"/>
      <c r="SCB14"/>
      <c r="SCC14"/>
      <c r="SCD14"/>
      <c r="SCE14"/>
      <c r="SCF14"/>
      <c r="SCG14"/>
      <c r="SCH14"/>
      <c r="SCI14"/>
      <c r="SCJ14"/>
      <c r="SCK14"/>
      <c r="SCL14"/>
      <c r="SCM14"/>
      <c r="SCN14"/>
      <c r="SCO14"/>
      <c r="SCP14"/>
      <c r="SCQ14"/>
      <c r="SCR14"/>
      <c r="SCS14"/>
      <c r="SCT14"/>
      <c r="SCU14"/>
      <c r="SCV14"/>
      <c r="SCW14"/>
      <c r="SCX14"/>
      <c r="SCY14"/>
      <c r="SCZ14"/>
      <c r="SDA14"/>
      <c r="SDB14"/>
      <c r="SDC14"/>
      <c r="SDD14"/>
      <c r="SDE14"/>
      <c r="SDF14"/>
      <c r="SDG14"/>
      <c r="SDH14"/>
      <c r="SDI14"/>
      <c r="SDJ14"/>
      <c r="SDK14"/>
      <c r="SDL14"/>
      <c r="SDM14"/>
      <c r="SDN14"/>
      <c r="SDO14"/>
      <c r="SDP14"/>
      <c r="SDQ14"/>
      <c r="SDR14"/>
      <c r="SDS14"/>
      <c r="SDT14"/>
      <c r="SDU14"/>
      <c r="SDV14"/>
      <c r="SDW14"/>
      <c r="SDX14"/>
      <c r="SDY14"/>
      <c r="SDZ14"/>
      <c r="SEA14"/>
      <c r="SEB14"/>
      <c r="SEC14"/>
      <c r="SED14"/>
      <c r="SEE14"/>
      <c r="SEF14"/>
      <c r="SEG14"/>
      <c r="SEH14"/>
      <c r="SEI14"/>
      <c r="SEJ14"/>
      <c r="SEK14"/>
      <c r="SEL14"/>
      <c r="SEM14"/>
      <c r="SEN14"/>
      <c r="SEO14"/>
      <c r="SEP14"/>
      <c r="SEQ14"/>
      <c r="SER14"/>
      <c r="SES14"/>
      <c r="SET14"/>
      <c r="SEU14"/>
      <c r="SEV14"/>
      <c r="SEW14"/>
      <c r="SEX14"/>
      <c r="SEY14"/>
      <c r="SEZ14"/>
      <c r="SFA14"/>
      <c r="SFB14"/>
      <c r="SFC14"/>
      <c r="SFD14"/>
      <c r="SFE14"/>
      <c r="SFF14"/>
      <c r="SFG14"/>
      <c r="SFH14"/>
      <c r="SFI14"/>
      <c r="SFJ14"/>
      <c r="SFK14"/>
      <c r="SFL14"/>
      <c r="SFM14"/>
      <c r="SFN14"/>
      <c r="SFO14"/>
      <c r="SFP14"/>
      <c r="SFQ14"/>
      <c r="SFR14"/>
      <c r="SFS14"/>
      <c r="SFT14"/>
      <c r="SFU14"/>
      <c r="SFV14"/>
      <c r="SFW14"/>
      <c r="SFX14"/>
      <c r="SFY14"/>
      <c r="SFZ14"/>
      <c r="SGA14"/>
      <c r="SGB14"/>
      <c r="SGC14"/>
      <c r="SGD14"/>
      <c r="SGE14"/>
      <c r="SGF14"/>
      <c r="SGG14"/>
      <c r="SGH14"/>
      <c r="SGI14"/>
      <c r="SGJ14"/>
      <c r="SGK14"/>
      <c r="SGL14"/>
      <c r="SGM14"/>
      <c r="SGN14"/>
      <c r="SGO14"/>
      <c r="SGP14"/>
      <c r="SGQ14"/>
      <c r="SGR14"/>
      <c r="SGS14"/>
      <c r="SGT14"/>
      <c r="SGU14"/>
      <c r="SGV14"/>
      <c r="SGW14"/>
      <c r="SGX14"/>
      <c r="SGY14"/>
      <c r="SGZ14"/>
      <c r="SHA14"/>
      <c r="SHB14"/>
      <c r="SHC14"/>
      <c r="SHD14"/>
      <c r="SHE14"/>
      <c r="SHF14"/>
      <c r="SHG14"/>
      <c r="SHH14"/>
      <c r="SHI14"/>
      <c r="SHJ14"/>
      <c r="SHK14"/>
      <c r="SHL14"/>
      <c r="SHM14"/>
      <c r="SHN14"/>
      <c r="SHO14"/>
      <c r="SHP14"/>
      <c r="SHQ14"/>
      <c r="SHR14"/>
      <c r="SHS14"/>
      <c r="SHT14"/>
      <c r="SHU14"/>
      <c r="SHV14"/>
      <c r="SHW14"/>
      <c r="SHX14"/>
      <c r="SHY14"/>
      <c r="SHZ14"/>
      <c r="SIA14"/>
      <c r="SIB14"/>
      <c r="SIC14"/>
      <c r="SID14"/>
      <c r="SIE14"/>
      <c r="SIF14"/>
      <c r="SIG14"/>
      <c r="SIH14"/>
      <c r="SII14"/>
      <c r="SIJ14"/>
      <c r="SIK14"/>
      <c r="SIL14"/>
      <c r="SIM14"/>
      <c r="SIN14"/>
      <c r="SIO14"/>
      <c r="SIP14"/>
      <c r="SIQ14"/>
      <c r="SIR14"/>
      <c r="SIS14"/>
      <c r="SIT14"/>
      <c r="SIU14"/>
      <c r="SIV14"/>
      <c r="SIW14"/>
      <c r="SIX14"/>
      <c r="SIY14"/>
      <c r="SIZ14"/>
      <c r="SJA14"/>
      <c r="SJB14"/>
      <c r="SJC14"/>
      <c r="SJD14"/>
      <c r="SJE14"/>
      <c r="SJF14"/>
      <c r="SJG14"/>
      <c r="SJH14"/>
      <c r="SJI14"/>
      <c r="SJJ14"/>
      <c r="SJK14"/>
      <c r="SJL14"/>
      <c r="SJM14"/>
      <c r="SJN14"/>
      <c r="SJO14"/>
      <c r="SJP14"/>
      <c r="SJQ14"/>
      <c r="SJR14"/>
      <c r="SJS14"/>
      <c r="SJT14"/>
      <c r="SJU14"/>
      <c r="SJV14"/>
      <c r="SJW14"/>
      <c r="SJX14"/>
      <c r="SJY14"/>
      <c r="SJZ14"/>
      <c r="SKA14"/>
      <c r="SKB14"/>
      <c r="SKC14"/>
      <c r="SKD14"/>
      <c r="SKE14"/>
      <c r="SKF14"/>
      <c r="SKG14"/>
      <c r="SKH14"/>
      <c r="SKI14"/>
      <c r="SKJ14"/>
      <c r="SKK14"/>
      <c r="SKL14"/>
      <c r="SKM14"/>
      <c r="SKN14"/>
      <c r="SKO14"/>
      <c r="SKP14"/>
      <c r="SKQ14"/>
      <c r="SKR14"/>
      <c r="SKS14"/>
      <c r="SKT14"/>
      <c r="SKU14"/>
      <c r="SKV14"/>
      <c r="SKW14"/>
      <c r="SKX14"/>
      <c r="SKY14"/>
      <c r="SKZ14"/>
      <c r="SLA14"/>
      <c r="SLB14"/>
      <c r="SLC14"/>
      <c r="SLD14"/>
      <c r="SLE14"/>
      <c r="SLF14"/>
      <c r="SLG14"/>
      <c r="SLH14"/>
      <c r="SLI14"/>
      <c r="SLJ14"/>
      <c r="SLK14"/>
      <c r="SLL14"/>
      <c r="SLM14"/>
      <c r="SLN14"/>
      <c r="SLO14"/>
      <c r="SLP14"/>
      <c r="SLQ14"/>
      <c r="SLR14"/>
      <c r="SLS14"/>
      <c r="SLT14"/>
      <c r="SLU14"/>
      <c r="SLV14"/>
      <c r="SLW14"/>
      <c r="SLX14"/>
      <c r="SLY14"/>
      <c r="SLZ14"/>
      <c r="SMA14"/>
      <c r="SMB14"/>
      <c r="SMC14"/>
      <c r="SMD14"/>
      <c r="SME14"/>
      <c r="SMF14"/>
      <c r="SMG14"/>
      <c r="SMH14"/>
      <c r="SMI14"/>
      <c r="SMJ14"/>
      <c r="SMK14"/>
      <c r="SML14"/>
      <c r="SMM14"/>
      <c r="SMN14"/>
      <c r="SMO14"/>
      <c r="SMP14"/>
      <c r="SMQ14"/>
      <c r="SMR14"/>
      <c r="SMS14"/>
      <c r="SMT14"/>
      <c r="SMU14"/>
      <c r="SMV14"/>
      <c r="SMW14"/>
      <c r="SMX14"/>
      <c r="SMY14"/>
      <c r="SMZ14"/>
      <c r="SNA14"/>
      <c r="SNB14"/>
      <c r="SNC14"/>
      <c r="SND14"/>
      <c r="SNE14"/>
      <c r="SNF14"/>
      <c r="SNG14"/>
      <c r="SNH14"/>
      <c r="SNI14"/>
      <c r="SNJ14"/>
      <c r="SNK14"/>
      <c r="SNL14"/>
      <c r="SNM14"/>
      <c r="SNN14"/>
      <c r="SNO14"/>
      <c r="SNP14"/>
      <c r="SNQ14"/>
      <c r="SNR14"/>
      <c r="SNS14"/>
      <c r="SNT14"/>
      <c r="SNU14"/>
      <c r="SNV14"/>
      <c r="SNW14"/>
      <c r="SNX14"/>
      <c r="SNY14"/>
      <c r="SNZ14"/>
      <c r="SOA14"/>
      <c r="SOB14"/>
      <c r="SOC14"/>
      <c r="SOD14"/>
      <c r="SOE14"/>
      <c r="SOF14"/>
      <c r="SOG14"/>
      <c r="SOH14"/>
      <c r="SOI14"/>
      <c r="SOJ14"/>
      <c r="SOK14"/>
      <c r="SOL14"/>
      <c r="SOM14"/>
      <c r="SON14"/>
      <c r="SOO14"/>
      <c r="SOP14"/>
      <c r="SOQ14"/>
      <c r="SOR14"/>
      <c r="SOS14"/>
      <c r="SOT14"/>
      <c r="SOU14"/>
      <c r="SOV14"/>
      <c r="SOW14"/>
      <c r="SOX14"/>
      <c r="SOY14"/>
      <c r="SOZ14"/>
      <c r="SPA14"/>
      <c r="SPB14"/>
      <c r="SPC14"/>
      <c r="SPD14"/>
      <c r="SPE14"/>
      <c r="SPF14"/>
      <c r="SPG14"/>
      <c r="SPH14"/>
      <c r="SPI14"/>
      <c r="SPJ14"/>
      <c r="SPK14"/>
      <c r="SPL14"/>
      <c r="SPM14"/>
      <c r="SPN14"/>
      <c r="SPO14"/>
      <c r="SPP14"/>
      <c r="SPQ14"/>
      <c r="SPR14"/>
      <c r="SPS14"/>
      <c r="SPT14"/>
      <c r="SPU14"/>
      <c r="SPV14"/>
      <c r="SPW14"/>
      <c r="SPX14"/>
      <c r="SPY14"/>
      <c r="SPZ14"/>
      <c r="SQA14"/>
      <c r="SQB14"/>
      <c r="SQC14"/>
      <c r="SQD14"/>
      <c r="SQE14"/>
      <c r="SQF14"/>
      <c r="SQG14"/>
      <c r="SQH14"/>
      <c r="SQI14"/>
      <c r="SQJ14"/>
      <c r="SQK14"/>
      <c r="SQL14"/>
      <c r="SQM14"/>
      <c r="SQN14"/>
      <c r="SQO14"/>
      <c r="SQP14"/>
      <c r="SQQ14"/>
      <c r="SQR14"/>
      <c r="SQS14"/>
      <c r="SQT14"/>
      <c r="SQU14"/>
      <c r="SQV14"/>
      <c r="SQW14"/>
      <c r="SQX14"/>
      <c r="SQY14"/>
      <c r="SQZ14"/>
      <c r="SRA14"/>
      <c r="SRB14"/>
      <c r="SRC14"/>
      <c r="SRD14"/>
      <c r="SRE14"/>
      <c r="SRF14"/>
      <c r="SRG14"/>
      <c r="SRH14"/>
      <c r="SRI14"/>
      <c r="SRJ14"/>
      <c r="SRK14"/>
      <c r="SRL14"/>
      <c r="SRM14"/>
      <c r="SRN14"/>
      <c r="SRO14"/>
      <c r="SRP14"/>
      <c r="SRQ14"/>
      <c r="SRR14"/>
      <c r="SRS14"/>
      <c r="SRT14"/>
      <c r="SRU14"/>
      <c r="SRV14"/>
      <c r="SRW14"/>
      <c r="SRX14"/>
      <c r="SRY14"/>
      <c r="SRZ14"/>
      <c r="SSA14"/>
      <c r="SSB14"/>
      <c r="SSC14"/>
      <c r="SSD14"/>
      <c r="SSE14"/>
      <c r="SSF14"/>
      <c r="SSG14"/>
      <c r="SSH14"/>
      <c r="SSI14"/>
      <c r="SSJ14"/>
      <c r="SSK14"/>
      <c r="SSL14"/>
      <c r="SSM14"/>
      <c r="SSN14"/>
      <c r="SSO14"/>
      <c r="SSP14"/>
      <c r="SSQ14"/>
      <c r="SSR14"/>
      <c r="SSS14"/>
      <c r="SST14"/>
      <c r="SSU14"/>
      <c r="SSV14"/>
      <c r="SSW14"/>
      <c r="SSX14"/>
      <c r="SSY14"/>
      <c r="SSZ14"/>
      <c r="STA14"/>
      <c r="STB14"/>
      <c r="STC14"/>
      <c r="STD14"/>
      <c r="STE14"/>
      <c r="STF14"/>
      <c r="STG14"/>
      <c r="STH14"/>
      <c r="STI14"/>
      <c r="STJ14"/>
      <c r="STK14"/>
      <c r="STL14"/>
      <c r="STM14"/>
      <c r="STN14"/>
      <c r="STO14"/>
      <c r="STP14"/>
      <c r="STQ14"/>
      <c r="STR14"/>
      <c r="STS14"/>
      <c r="STT14"/>
      <c r="STU14"/>
      <c r="STV14"/>
      <c r="STW14"/>
      <c r="STX14"/>
      <c r="STY14"/>
      <c r="STZ14"/>
      <c r="SUA14"/>
      <c r="SUB14"/>
      <c r="SUC14"/>
      <c r="SUD14"/>
      <c r="SUE14"/>
      <c r="SUF14"/>
      <c r="SUG14"/>
      <c r="SUH14"/>
      <c r="SUI14"/>
      <c r="SUJ14"/>
      <c r="SUK14"/>
      <c r="SUL14"/>
      <c r="SUM14"/>
      <c r="SUN14"/>
      <c r="SUO14"/>
      <c r="SUP14"/>
      <c r="SUQ14"/>
      <c r="SUR14"/>
      <c r="SUS14"/>
      <c r="SUT14"/>
      <c r="SUU14"/>
      <c r="SUV14"/>
      <c r="SUW14"/>
      <c r="SUX14"/>
      <c r="SUY14"/>
      <c r="SUZ14"/>
      <c r="SVA14"/>
      <c r="SVB14"/>
      <c r="SVC14"/>
      <c r="SVD14"/>
      <c r="SVE14"/>
      <c r="SVF14"/>
      <c r="SVG14"/>
      <c r="SVH14"/>
      <c r="SVI14"/>
      <c r="SVJ14"/>
      <c r="SVK14"/>
      <c r="SVL14"/>
      <c r="SVM14"/>
      <c r="SVN14"/>
      <c r="SVO14"/>
      <c r="SVP14"/>
      <c r="SVQ14"/>
      <c r="SVR14"/>
      <c r="SVS14"/>
      <c r="SVT14"/>
      <c r="SVU14"/>
      <c r="SVV14"/>
      <c r="SVW14"/>
      <c r="SVX14"/>
      <c r="SVY14"/>
      <c r="SVZ14"/>
      <c r="SWA14"/>
      <c r="SWB14"/>
      <c r="SWC14"/>
      <c r="SWD14"/>
      <c r="SWE14"/>
      <c r="SWF14"/>
      <c r="SWG14"/>
      <c r="SWH14"/>
      <c r="SWI14"/>
      <c r="SWJ14"/>
      <c r="SWK14"/>
      <c r="SWL14"/>
      <c r="SWM14"/>
      <c r="SWN14"/>
      <c r="SWO14"/>
      <c r="SWP14"/>
      <c r="SWQ14"/>
      <c r="SWR14"/>
      <c r="SWS14"/>
      <c r="SWT14"/>
      <c r="SWU14"/>
      <c r="SWV14"/>
      <c r="SWW14"/>
      <c r="SWX14"/>
      <c r="SWY14"/>
      <c r="SWZ14"/>
      <c r="SXA14"/>
      <c r="SXB14"/>
      <c r="SXC14"/>
      <c r="SXD14"/>
      <c r="SXE14"/>
      <c r="SXF14"/>
      <c r="SXG14"/>
      <c r="SXH14"/>
      <c r="SXI14"/>
      <c r="SXJ14"/>
      <c r="SXK14"/>
      <c r="SXL14"/>
      <c r="SXM14"/>
      <c r="SXN14"/>
      <c r="SXO14"/>
      <c r="SXP14"/>
      <c r="SXQ14"/>
      <c r="SXR14"/>
      <c r="SXS14"/>
      <c r="SXT14"/>
      <c r="SXU14"/>
      <c r="SXV14"/>
      <c r="SXW14"/>
      <c r="SXX14"/>
      <c r="SXY14"/>
      <c r="SXZ14"/>
      <c r="SYA14"/>
      <c r="SYB14"/>
      <c r="SYC14"/>
      <c r="SYD14"/>
      <c r="SYE14"/>
      <c r="SYF14"/>
      <c r="SYG14"/>
      <c r="SYH14"/>
      <c r="SYI14"/>
      <c r="SYJ14"/>
      <c r="SYK14"/>
      <c r="SYL14"/>
      <c r="SYM14"/>
      <c r="SYN14"/>
      <c r="SYO14"/>
      <c r="SYP14"/>
      <c r="SYQ14"/>
      <c r="SYR14"/>
      <c r="SYS14"/>
      <c r="SYT14"/>
      <c r="SYU14"/>
      <c r="SYV14"/>
      <c r="SYW14"/>
      <c r="SYX14"/>
      <c r="SYY14"/>
      <c r="SYZ14"/>
      <c r="SZA14"/>
      <c r="SZB14"/>
      <c r="SZC14"/>
      <c r="SZD14"/>
      <c r="SZE14"/>
      <c r="SZF14"/>
      <c r="SZG14"/>
      <c r="SZH14"/>
      <c r="SZI14"/>
      <c r="SZJ14"/>
      <c r="SZK14"/>
      <c r="SZL14"/>
      <c r="SZM14"/>
      <c r="SZN14"/>
      <c r="SZO14"/>
      <c r="SZP14"/>
      <c r="SZQ14"/>
      <c r="SZR14"/>
      <c r="SZS14"/>
      <c r="SZT14"/>
      <c r="SZU14"/>
      <c r="SZV14"/>
      <c r="SZW14"/>
      <c r="SZX14"/>
      <c r="SZY14"/>
      <c r="SZZ14"/>
      <c r="TAA14"/>
      <c r="TAB14"/>
      <c r="TAC14"/>
      <c r="TAD14"/>
      <c r="TAE14"/>
      <c r="TAF14"/>
      <c r="TAG14"/>
      <c r="TAH14"/>
      <c r="TAI14"/>
      <c r="TAJ14"/>
      <c r="TAK14"/>
      <c r="TAL14"/>
      <c r="TAM14"/>
      <c r="TAN14"/>
      <c r="TAO14"/>
      <c r="TAP14"/>
      <c r="TAQ14"/>
      <c r="TAR14"/>
      <c r="TAS14"/>
      <c r="TAT14"/>
      <c r="TAU14"/>
      <c r="TAV14"/>
      <c r="TAW14"/>
      <c r="TAX14"/>
      <c r="TAY14"/>
      <c r="TAZ14"/>
      <c r="TBA14"/>
      <c r="TBB14"/>
      <c r="TBC14"/>
      <c r="TBD14"/>
      <c r="TBE14"/>
      <c r="TBF14"/>
      <c r="TBG14"/>
      <c r="TBH14"/>
      <c r="TBI14"/>
      <c r="TBJ14"/>
      <c r="TBK14"/>
      <c r="TBL14"/>
      <c r="TBM14"/>
      <c r="TBN14"/>
      <c r="TBO14"/>
      <c r="TBP14"/>
      <c r="TBQ14"/>
      <c r="TBR14"/>
      <c r="TBS14"/>
      <c r="TBT14"/>
      <c r="TBU14"/>
      <c r="TBV14"/>
      <c r="TBW14"/>
      <c r="TBX14"/>
      <c r="TBY14"/>
      <c r="TBZ14"/>
      <c r="TCA14"/>
      <c r="TCB14"/>
      <c r="TCC14"/>
      <c r="TCD14"/>
      <c r="TCE14"/>
      <c r="TCF14"/>
      <c r="TCG14"/>
      <c r="TCH14"/>
      <c r="TCI14"/>
      <c r="TCJ14"/>
      <c r="TCK14"/>
      <c r="TCL14"/>
      <c r="TCM14"/>
      <c r="TCN14"/>
      <c r="TCO14"/>
      <c r="TCP14"/>
      <c r="TCQ14"/>
      <c r="TCR14"/>
      <c r="TCS14"/>
      <c r="TCT14"/>
      <c r="TCU14"/>
      <c r="TCV14"/>
      <c r="TCW14"/>
      <c r="TCX14"/>
      <c r="TCY14"/>
      <c r="TCZ14"/>
      <c r="TDA14"/>
      <c r="TDB14"/>
      <c r="TDC14"/>
      <c r="TDD14"/>
      <c r="TDE14"/>
      <c r="TDF14"/>
      <c r="TDG14"/>
      <c r="TDH14"/>
      <c r="TDI14"/>
      <c r="TDJ14"/>
      <c r="TDK14"/>
      <c r="TDL14"/>
      <c r="TDM14"/>
      <c r="TDN14"/>
      <c r="TDO14"/>
      <c r="TDP14"/>
      <c r="TDQ14"/>
      <c r="TDR14"/>
      <c r="TDS14"/>
      <c r="TDT14"/>
      <c r="TDU14"/>
      <c r="TDV14"/>
      <c r="TDW14"/>
      <c r="TDX14"/>
      <c r="TDY14"/>
      <c r="TDZ14"/>
      <c r="TEA14"/>
      <c r="TEB14"/>
      <c r="TEC14"/>
      <c r="TED14"/>
      <c r="TEE14"/>
      <c r="TEF14"/>
      <c r="TEG14"/>
      <c r="TEH14"/>
      <c r="TEI14"/>
      <c r="TEJ14"/>
      <c r="TEK14"/>
      <c r="TEL14"/>
      <c r="TEM14"/>
      <c r="TEN14"/>
      <c r="TEO14"/>
      <c r="TEP14"/>
      <c r="TEQ14"/>
      <c r="TER14"/>
      <c r="TES14"/>
      <c r="TET14"/>
      <c r="TEU14"/>
      <c r="TEV14"/>
      <c r="TEW14"/>
      <c r="TEX14"/>
      <c r="TEY14"/>
      <c r="TEZ14"/>
      <c r="TFA14"/>
      <c r="TFB14"/>
      <c r="TFC14"/>
      <c r="TFD14"/>
      <c r="TFE14"/>
      <c r="TFF14"/>
      <c r="TFG14"/>
      <c r="TFH14"/>
      <c r="TFI14"/>
      <c r="TFJ14"/>
      <c r="TFK14"/>
      <c r="TFL14"/>
      <c r="TFM14"/>
      <c r="TFN14"/>
      <c r="TFO14"/>
      <c r="TFP14"/>
      <c r="TFQ14"/>
      <c r="TFR14"/>
      <c r="TFS14"/>
      <c r="TFT14"/>
      <c r="TFU14"/>
      <c r="TFV14"/>
      <c r="TFW14"/>
      <c r="TFX14"/>
      <c r="TFY14"/>
      <c r="TFZ14"/>
      <c r="TGA14"/>
      <c r="TGB14"/>
      <c r="TGC14"/>
      <c r="TGD14"/>
      <c r="TGE14"/>
      <c r="TGF14"/>
      <c r="TGG14"/>
      <c r="TGH14"/>
      <c r="TGI14"/>
      <c r="TGJ14"/>
      <c r="TGK14"/>
      <c r="TGL14"/>
      <c r="TGM14"/>
      <c r="TGN14"/>
      <c r="TGO14"/>
      <c r="TGP14"/>
      <c r="TGQ14"/>
      <c r="TGR14"/>
      <c r="TGS14"/>
      <c r="TGT14"/>
      <c r="TGU14"/>
      <c r="TGV14"/>
      <c r="TGW14"/>
      <c r="TGX14"/>
      <c r="TGY14"/>
      <c r="TGZ14"/>
      <c r="THA14"/>
      <c r="THB14"/>
      <c r="THC14"/>
      <c r="THD14"/>
      <c r="THE14"/>
      <c r="THF14"/>
      <c r="THG14"/>
      <c r="THH14"/>
      <c r="THI14"/>
      <c r="THJ14"/>
      <c r="THK14"/>
      <c r="THL14"/>
      <c r="THM14"/>
      <c r="THN14"/>
      <c r="THO14"/>
      <c r="THP14"/>
      <c r="THQ14"/>
      <c r="THR14"/>
      <c r="THS14"/>
      <c r="THT14"/>
      <c r="THU14"/>
      <c r="THV14"/>
      <c r="THW14"/>
      <c r="THX14"/>
      <c r="THY14"/>
      <c r="THZ14"/>
      <c r="TIA14"/>
      <c r="TIB14"/>
      <c r="TIC14"/>
      <c r="TID14"/>
      <c r="TIE14"/>
      <c r="TIF14"/>
      <c r="TIG14"/>
      <c r="TIH14"/>
      <c r="TII14"/>
      <c r="TIJ14"/>
      <c r="TIK14"/>
      <c r="TIL14"/>
      <c r="TIM14"/>
      <c r="TIN14"/>
      <c r="TIO14"/>
      <c r="TIP14"/>
      <c r="TIQ14"/>
      <c r="TIR14"/>
      <c r="TIS14"/>
      <c r="TIT14"/>
      <c r="TIU14"/>
      <c r="TIV14"/>
      <c r="TIW14"/>
      <c r="TIX14"/>
      <c r="TIY14"/>
      <c r="TIZ14"/>
      <c r="TJA14"/>
      <c r="TJB14"/>
      <c r="TJC14"/>
      <c r="TJD14"/>
      <c r="TJE14"/>
      <c r="TJF14"/>
      <c r="TJG14"/>
      <c r="TJH14"/>
      <c r="TJI14"/>
      <c r="TJJ14"/>
      <c r="TJK14"/>
      <c r="TJL14"/>
      <c r="TJM14"/>
      <c r="TJN14"/>
      <c r="TJO14"/>
      <c r="TJP14"/>
      <c r="TJQ14"/>
      <c r="TJR14"/>
      <c r="TJS14"/>
      <c r="TJT14"/>
      <c r="TJU14"/>
      <c r="TJV14"/>
      <c r="TJW14"/>
      <c r="TJX14"/>
      <c r="TJY14"/>
      <c r="TJZ14"/>
      <c r="TKA14"/>
      <c r="TKB14"/>
      <c r="TKC14"/>
      <c r="TKD14"/>
      <c r="TKE14"/>
      <c r="TKF14"/>
      <c r="TKG14"/>
      <c r="TKH14"/>
      <c r="TKI14"/>
      <c r="TKJ14"/>
      <c r="TKK14"/>
      <c r="TKL14"/>
      <c r="TKM14"/>
      <c r="TKN14"/>
      <c r="TKO14"/>
      <c r="TKP14"/>
      <c r="TKQ14"/>
      <c r="TKR14"/>
      <c r="TKS14"/>
      <c r="TKT14"/>
      <c r="TKU14"/>
      <c r="TKV14"/>
      <c r="TKW14"/>
      <c r="TKX14"/>
      <c r="TKY14"/>
      <c r="TKZ14"/>
      <c r="TLA14"/>
      <c r="TLB14"/>
      <c r="TLC14"/>
      <c r="TLD14"/>
      <c r="TLE14"/>
      <c r="TLF14"/>
      <c r="TLG14"/>
      <c r="TLH14"/>
      <c r="TLI14"/>
      <c r="TLJ14"/>
      <c r="TLK14"/>
      <c r="TLL14"/>
      <c r="TLM14"/>
      <c r="TLN14"/>
      <c r="TLO14"/>
      <c r="TLP14"/>
      <c r="TLQ14"/>
      <c r="TLR14"/>
      <c r="TLS14"/>
      <c r="TLT14"/>
      <c r="TLU14"/>
      <c r="TLV14"/>
      <c r="TLW14"/>
      <c r="TLX14"/>
      <c r="TLY14"/>
      <c r="TLZ14"/>
      <c r="TMA14"/>
      <c r="TMB14"/>
      <c r="TMC14"/>
      <c r="TMD14"/>
      <c r="TME14"/>
      <c r="TMF14"/>
      <c r="TMG14"/>
      <c r="TMH14"/>
      <c r="TMI14"/>
      <c r="TMJ14"/>
      <c r="TMK14"/>
      <c r="TML14"/>
      <c r="TMM14"/>
      <c r="TMN14"/>
      <c r="TMO14"/>
      <c r="TMP14"/>
      <c r="TMQ14"/>
      <c r="TMR14"/>
      <c r="TMS14"/>
      <c r="TMT14"/>
      <c r="TMU14"/>
      <c r="TMV14"/>
      <c r="TMW14"/>
      <c r="TMX14"/>
      <c r="TMY14"/>
      <c r="TMZ14"/>
      <c r="TNA14"/>
      <c r="TNB14"/>
      <c r="TNC14"/>
      <c r="TND14"/>
      <c r="TNE14"/>
      <c r="TNF14"/>
      <c r="TNG14"/>
      <c r="TNH14"/>
      <c r="TNI14"/>
      <c r="TNJ14"/>
      <c r="TNK14"/>
      <c r="TNL14"/>
      <c r="TNM14"/>
      <c r="TNN14"/>
      <c r="TNO14"/>
      <c r="TNP14"/>
      <c r="TNQ14"/>
      <c r="TNR14"/>
      <c r="TNS14"/>
      <c r="TNT14"/>
      <c r="TNU14"/>
      <c r="TNV14"/>
      <c r="TNW14"/>
      <c r="TNX14"/>
      <c r="TNY14"/>
      <c r="TNZ14"/>
      <c r="TOA14"/>
      <c r="TOB14"/>
      <c r="TOC14"/>
      <c r="TOD14"/>
      <c r="TOE14"/>
      <c r="TOF14"/>
      <c r="TOG14"/>
      <c r="TOH14"/>
      <c r="TOI14"/>
      <c r="TOJ14"/>
      <c r="TOK14"/>
      <c r="TOL14"/>
      <c r="TOM14"/>
      <c r="TON14"/>
      <c r="TOO14"/>
      <c r="TOP14"/>
      <c r="TOQ14"/>
      <c r="TOR14"/>
      <c r="TOS14"/>
      <c r="TOT14"/>
      <c r="TOU14"/>
      <c r="TOV14"/>
      <c r="TOW14"/>
      <c r="TOX14"/>
      <c r="TOY14"/>
      <c r="TOZ14"/>
      <c r="TPA14"/>
      <c r="TPB14"/>
      <c r="TPC14"/>
      <c r="TPD14"/>
      <c r="TPE14"/>
      <c r="TPF14"/>
      <c r="TPG14"/>
      <c r="TPH14"/>
      <c r="TPI14"/>
      <c r="TPJ14"/>
      <c r="TPK14"/>
      <c r="TPL14"/>
      <c r="TPM14"/>
      <c r="TPN14"/>
      <c r="TPO14"/>
      <c r="TPP14"/>
      <c r="TPQ14"/>
      <c r="TPR14"/>
      <c r="TPS14"/>
      <c r="TPT14"/>
      <c r="TPU14"/>
      <c r="TPV14"/>
      <c r="TPW14"/>
      <c r="TPX14"/>
      <c r="TPY14"/>
      <c r="TPZ14"/>
      <c r="TQA14"/>
      <c r="TQB14"/>
      <c r="TQC14"/>
      <c r="TQD14"/>
      <c r="TQE14"/>
      <c r="TQF14"/>
      <c r="TQG14"/>
      <c r="TQH14"/>
      <c r="TQI14"/>
      <c r="TQJ14"/>
      <c r="TQK14"/>
      <c r="TQL14"/>
      <c r="TQM14"/>
      <c r="TQN14"/>
      <c r="TQO14"/>
      <c r="TQP14"/>
      <c r="TQQ14"/>
      <c r="TQR14"/>
      <c r="TQS14"/>
      <c r="TQT14"/>
      <c r="TQU14"/>
      <c r="TQV14"/>
      <c r="TQW14"/>
      <c r="TQX14"/>
      <c r="TQY14"/>
      <c r="TQZ14"/>
      <c r="TRA14"/>
      <c r="TRB14"/>
      <c r="TRC14"/>
      <c r="TRD14"/>
      <c r="TRE14"/>
      <c r="TRF14"/>
      <c r="TRG14"/>
      <c r="TRH14"/>
      <c r="TRI14"/>
      <c r="TRJ14"/>
      <c r="TRK14"/>
      <c r="TRL14"/>
      <c r="TRM14"/>
      <c r="TRN14"/>
      <c r="TRO14"/>
      <c r="TRP14"/>
      <c r="TRQ14"/>
      <c r="TRR14"/>
      <c r="TRS14"/>
      <c r="TRT14"/>
      <c r="TRU14"/>
      <c r="TRV14"/>
      <c r="TRW14"/>
      <c r="TRX14"/>
      <c r="TRY14"/>
      <c r="TRZ14"/>
      <c r="TSA14"/>
      <c r="TSB14"/>
      <c r="TSC14"/>
      <c r="TSD14"/>
      <c r="TSE14"/>
      <c r="TSF14"/>
      <c r="TSG14"/>
      <c r="TSH14"/>
      <c r="TSI14"/>
      <c r="TSJ14"/>
      <c r="TSK14"/>
      <c r="TSL14"/>
      <c r="TSM14"/>
      <c r="TSN14"/>
      <c r="TSO14"/>
      <c r="TSP14"/>
      <c r="TSQ14"/>
      <c r="TSR14"/>
      <c r="TSS14"/>
      <c r="TST14"/>
      <c r="TSU14"/>
      <c r="TSV14"/>
      <c r="TSW14"/>
      <c r="TSX14"/>
      <c r="TSY14"/>
      <c r="TSZ14"/>
      <c r="TTA14"/>
      <c r="TTB14"/>
      <c r="TTC14"/>
      <c r="TTD14"/>
      <c r="TTE14"/>
      <c r="TTF14"/>
      <c r="TTG14"/>
      <c r="TTH14"/>
      <c r="TTI14"/>
      <c r="TTJ14"/>
      <c r="TTK14"/>
      <c r="TTL14"/>
      <c r="TTM14"/>
      <c r="TTN14"/>
      <c r="TTO14"/>
      <c r="TTP14"/>
      <c r="TTQ14"/>
      <c r="TTR14"/>
      <c r="TTS14"/>
      <c r="TTT14"/>
      <c r="TTU14"/>
      <c r="TTV14"/>
      <c r="TTW14"/>
      <c r="TTX14"/>
      <c r="TTY14"/>
      <c r="TTZ14"/>
      <c r="TUA14"/>
      <c r="TUB14"/>
      <c r="TUC14"/>
      <c r="TUD14"/>
      <c r="TUE14"/>
      <c r="TUF14"/>
      <c r="TUG14"/>
      <c r="TUH14"/>
      <c r="TUI14"/>
      <c r="TUJ14"/>
      <c r="TUK14"/>
      <c r="TUL14"/>
      <c r="TUM14"/>
      <c r="TUN14"/>
      <c r="TUO14"/>
      <c r="TUP14"/>
      <c r="TUQ14"/>
      <c r="TUR14"/>
      <c r="TUS14"/>
      <c r="TUT14"/>
      <c r="TUU14"/>
      <c r="TUV14"/>
      <c r="TUW14"/>
      <c r="TUX14"/>
      <c r="TUY14"/>
      <c r="TUZ14"/>
      <c r="TVA14"/>
      <c r="TVB14"/>
      <c r="TVC14"/>
      <c r="TVD14"/>
      <c r="TVE14"/>
      <c r="TVF14"/>
      <c r="TVG14"/>
      <c r="TVH14"/>
      <c r="TVI14"/>
      <c r="TVJ14"/>
      <c r="TVK14"/>
      <c r="TVL14"/>
      <c r="TVM14"/>
      <c r="TVN14"/>
      <c r="TVO14"/>
      <c r="TVP14"/>
      <c r="TVQ14"/>
      <c r="TVR14"/>
      <c r="TVS14"/>
      <c r="TVT14"/>
      <c r="TVU14"/>
      <c r="TVV14"/>
      <c r="TVW14"/>
      <c r="TVX14"/>
      <c r="TVY14"/>
      <c r="TVZ14"/>
      <c r="TWA14"/>
      <c r="TWB14"/>
      <c r="TWC14"/>
      <c r="TWD14"/>
      <c r="TWE14"/>
      <c r="TWF14"/>
      <c r="TWG14"/>
      <c r="TWH14"/>
      <c r="TWI14"/>
      <c r="TWJ14"/>
      <c r="TWK14"/>
      <c r="TWL14"/>
      <c r="TWM14"/>
      <c r="TWN14"/>
      <c r="TWO14"/>
      <c r="TWP14"/>
      <c r="TWQ14"/>
      <c r="TWR14"/>
      <c r="TWS14"/>
      <c r="TWT14"/>
      <c r="TWU14"/>
      <c r="TWV14"/>
      <c r="TWW14"/>
      <c r="TWX14"/>
      <c r="TWY14"/>
      <c r="TWZ14"/>
      <c r="TXA14"/>
      <c r="TXB14"/>
      <c r="TXC14"/>
      <c r="TXD14"/>
      <c r="TXE14"/>
      <c r="TXF14"/>
      <c r="TXG14"/>
      <c r="TXH14"/>
      <c r="TXI14"/>
      <c r="TXJ14"/>
      <c r="TXK14"/>
      <c r="TXL14"/>
      <c r="TXM14"/>
      <c r="TXN14"/>
      <c r="TXO14"/>
      <c r="TXP14"/>
      <c r="TXQ14"/>
      <c r="TXR14"/>
      <c r="TXS14"/>
      <c r="TXT14"/>
      <c r="TXU14"/>
      <c r="TXV14"/>
      <c r="TXW14"/>
      <c r="TXX14"/>
      <c r="TXY14"/>
      <c r="TXZ14"/>
      <c r="TYA14"/>
      <c r="TYB14"/>
      <c r="TYC14"/>
      <c r="TYD14"/>
      <c r="TYE14"/>
      <c r="TYF14"/>
      <c r="TYG14"/>
      <c r="TYH14"/>
      <c r="TYI14"/>
      <c r="TYJ14"/>
      <c r="TYK14"/>
      <c r="TYL14"/>
      <c r="TYM14"/>
      <c r="TYN14"/>
      <c r="TYO14"/>
      <c r="TYP14"/>
      <c r="TYQ14"/>
      <c r="TYR14"/>
      <c r="TYS14"/>
      <c r="TYT14"/>
      <c r="TYU14"/>
      <c r="TYV14"/>
      <c r="TYW14"/>
      <c r="TYX14"/>
      <c r="TYY14"/>
      <c r="TYZ14"/>
      <c r="TZA14"/>
      <c r="TZB14"/>
      <c r="TZC14"/>
      <c r="TZD14"/>
      <c r="TZE14"/>
      <c r="TZF14"/>
      <c r="TZG14"/>
      <c r="TZH14"/>
      <c r="TZI14"/>
      <c r="TZJ14"/>
      <c r="TZK14"/>
      <c r="TZL14"/>
      <c r="TZM14"/>
      <c r="TZN14"/>
      <c r="TZO14"/>
      <c r="TZP14"/>
      <c r="TZQ14"/>
      <c r="TZR14"/>
      <c r="TZS14"/>
      <c r="TZT14"/>
      <c r="TZU14"/>
      <c r="TZV14"/>
      <c r="TZW14"/>
      <c r="TZX14"/>
      <c r="TZY14"/>
      <c r="TZZ14"/>
      <c r="UAA14"/>
      <c r="UAB14"/>
      <c r="UAC14"/>
      <c r="UAD14"/>
      <c r="UAE14"/>
      <c r="UAF14"/>
      <c r="UAG14"/>
      <c r="UAH14"/>
      <c r="UAI14"/>
      <c r="UAJ14"/>
      <c r="UAK14"/>
      <c r="UAL14"/>
      <c r="UAM14"/>
      <c r="UAN14"/>
      <c r="UAO14"/>
      <c r="UAP14"/>
      <c r="UAQ14"/>
      <c r="UAR14"/>
      <c r="UAS14"/>
      <c r="UAT14"/>
      <c r="UAU14"/>
      <c r="UAV14"/>
      <c r="UAW14"/>
      <c r="UAX14"/>
      <c r="UAY14"/>
      <c r="UAZ14"/>
      <c r="UBA14"/>
      <c r="UBB14"/>
      <c r="UBC14"/>
      <c r="UBD14"/>
      <c r="UBE14"/>
      <c r="UBF14"/>
      <c r="UBG14"/>
      <c r="UBH14"/>
      <c r="UBI14"/>
      <c r="UBJ14"/>
      <c r="UBK14"/>
      <c r="UBL14"/>
      <c r="UBM14"/>
      <c r="UBN14"/>
      <c r="UBO14"/>
      <c r="UBP14"/>
      <c r="UBQ14"/>
      <c r="UBR14"/>
      <c r="UBS14"/>
      <c r="UBT14"/>
      <c r="UBU14"/>
      <c r="UBV14"/>
      <c r="UBW14"/>
      <c r="UBX14"/>
      <c r="UBY14"/>
      <c r="UBZ14"/>
      <c r="UCA14"/>
      <c r="UCB14"/>
      <c r="UCC14"/>
      <c r="UCD14"/>
      <c r="UCE14"/>
      <c r="UCF14"/>
      <c r="UCG14"/>
      <c r="UCH14"/>
      <c r="UCI14"/>
      <c r="UCJ14"/>
      <c r="UCK14"/>
      <c r="UCL14"/>
      <c r="UCM14"/>
      <c r="UCN14"/>
      <c r="UCO14"/>
      <c r="UCP14"/>
      <c r="UCQ14"/>
      <c r="UCR14"/>
      <c r="UCS14"/>
      <c r="UCT14"/>
      <c r="UCU14"/>
      <c r="UCV14"/>
      <c r="UCW14"/>
      <c r="UCX14"/>
      <c r="UCY14"/>
      <c r="UCZ14"/>
      <c r="UDA14"/>
      <c r="UDB14"/>
      <c r="UDC14"/>
      <c r="UDD14"/>
      <c r="UDE14"/>
      <c r="UDF14"/>
      <c r="UDG14"/>
      <c r="UDH14"/>
      <c r="UDI14"/>
      <c r="UDJ14"/>
      <c r="UDK14"/>
      <c r="UDL14"/>
      <c r="UDM14"/>
      <c r="UDN14"/>
      <c r="UDO14"/>
      <c r="UDP14"/>
      <c r="UDQ14"/>
      <c r="UDR14"/>
      <c r="UDS14"/>
      <c r="UDT14"/>
      <c r="UDU14"/>
      <c r="UDV14"/>
      <c r="UDW14"/>
      <c r="UDX14"/>
      <c r="UDY14"/>
      <c r="UDZ14"/>
      <c r="UEA14"/>
      <c r="UEB14"/>
      <c r="UEC14"/>
      <c r="UED14"/>
      <c r="UEE14"/>
      <c r="UEF14"/>
      <c r="UEG14"/>
      <c r="UEH14"/>
      <c r="UEI14"/>
      <c r="UEJ14"/>
      <c r="UEK14"/>
      <c r="UEL14"/>
      <c r="UEM14"/>
      <c r="UEN14"/>
      <c r="UEO14"/>
      <c r="UEP14"/>
      <c r="UEQ14"/>
      <c r="UER14"/>
      <c r="UES14"/>
      <c r="UET14"/>
      <c r="UEU14"/>
      <c r="UEV14"/>
      <c r="UEW14"/>
      <c r="UEX14"/>
      <c r="UEY14"/>
      <c r="UEZ14"/>
      <c r="UFA14"/>
      <c r="UFB14"/>
      <c r="UFC14"/>
      <c r="UFD14"/>
      <c r="UFE14"/>
      <c r="UFF14"/>
      <c r="UFG14"/>
      <c r="UFH14"/>
      <c r="UFI14"/>
      <c r="UFJ14"/>
      <c r="UFK14"/>
      <c r="UFL14"/>
      <c r="UFM14"/>
      <c r="UFN14"/>
      <c r="UFO14"/>
      <c r="UFP14"/>
      <c r="UFQ14"/>
      <c r="UFR14"/>
      <c r="UFS14"/>
      <c r="UFT14"/>
      <c r="UFU14"/>
      <c r="UFV14"/>
      <c r="UFW14"/>
      <c r="UFX14"/>
      <c r="UFY14"/>
      <c r="UFZ14"/>
      <c r="UGA14"/>
      <c r="UGB14"/>
      <c r="UGC14"/>
      <c r="UGD14"/>
      <c r="UGE14"/>
      <c r="UGF14"/>
      <c r="UGG14"/>
      <c r="UGH14"/>
      <c r="UGI14"/>
      <c r="UGJ14"/>
      <c r="UGK14"/>
      <c r="UGL14"/>
      <c r="UGM14"/>
      <c r="UGN14"/>
      <c r="UGO14"/>
      <c r="UGP14"/>
      <c r="UGQ14"/>
      <c r="UGR14"/>
      <c r="UGS14"/>
      <c r="UGT14"/>
      <c r="UGU14"/>
      <c r="UGV14"/>
      <c r="UGW14"/>
      <c r="UGX14"/>
      <c r="UGY14"/>
      <c r="UGZ14"/>
      <c r="UHA14"/>
      <c r="UHB14"/>
      <c r="UHC14"/>
      <c r="UHD14"/>
      <c r="UHE14"/>
      <c r="UHF14"/>
      <c r="UHG14"/>
      <c r="UHH14"/>
      <c r="UHI14"/>
      <c r="UHJ14"/>
      <c r="UHK14"/>
      <c r="UHL14"/>
      <c r="UHM14"/>
      <c r="UHN14"/>
      <c r="UHO14"/>
      <c r="UHP14"/>
      <c r="UHQ14"/>
      <c r="UHR14"/>
      <c r="UHS14"/>
      <c r="UHT14"/>
      <c r="UHU14"/>
      <c r="UHV14"/>
      <c r="UHW14"/>
      <c r="UHX14"/>
      <c r="UHY14"/>
      <c r="UHZ14"/>
      <c r="UIA14"/>
      <c r="UIB14"/>
      <c r="UIC14"/>
      <c r="UID14"/>
      <c r="UIE14"/>
      <c r="UIF14"/>
      <c r="UIG14"/>
      <c r="UIH14"/>
      <c r="UII14"/>
      <c r="UIJ14"/>
      <c r="UIK14"/>
      <c r="UIL14"/>
      <c r="UIM14"/>
      <c r="UIN14"/>
      <c r="UIO14"/>
      <c r="UIP14"/>
      <c r="UIQ14"/>
      <c r="UIR14"/>
      <c r="UIS14"/>
      <c r="UIT14"/>
      <c r="UIU14"/>
      <c r="UIV14"/>
      <c r="UIW14"/>
      <c r="UIX14"/>
      <c r="UIY14"/>
      <c r="UIZ14"/>
      <c r="UJA14"/>
      <c r="UJB14"/>
      <c r="UJC14"/>
      <c r="UJD14"/>
      <c r="UJE14"/>
      <c r="UJF14"/>
      <c r="UJG14"/>
      <c r="UJH14"/>
      <c r="UJI14"/>
      <c r="UJJ14"/>
      <c r="UJK14"/>
      <c r="UJL14"/>
      <c r="UJM14"/>
      <c r="UJN14"/>
      <c r="UJO14"/>
      <c r="UJP14"/>
      <c r="UJQ14"/>
      <c r="UJR14"/>
      <c r="UJS14"/>
      <c r="UJT14"/>
      <c r="UJU14"/>
      <c r="UJV14"/>
      <c r="UJW14"/>
      <c r="UJX14"/>
      <c r="UJY14"/>
      <c r="UJZ14"/>
      <c r="UKA14"/>
      <c r="UKB14"/>
      <c r="UKC14"/>
      <c r="UKD14"/>
      <c r="UKE14"/>
      <c r="UKF14"/>
      <c r="UKG14"/>
      <c r="UKH14"/>
      <c r="UKI14"/>
      <c r="UKJ14"/>
      <c r="UKK14"/>
      <c r="UKL14"/>
      <c r="UKM14"/>
      <c r="UKN14"/>
      <c r="UKO14"/>
      <c r="UKP14"/>
      <c r="UKQ14"/>
      <c r="UKR14"/>
      <c r="UKS14"/>
      <c r="UKT14"/>
      <c r="UKU14"/>
      <c r="UKV14"/>
      <c r="UKW14"/>
      <c r="UKX14"/>
      <c r="UKY14"/>
      <c r="UKZ14"/>
      <c r="ULA14"/>
      <c r="ULB14"/>
      <c r="ULC14"/>
      <c r="ULD14"/>
      <c r="ULE14"/>
      <c r="ULF14"/>
      <c r="ULG14"/>
      <c r="ULH14"/>
      <c r="ULI14"/>
      <c r="ULJ14"/>
      <c r="ULK14"/>
      <c r="ULL14"/>
      <c r="ULM14"/>
      <c r="ULN14"/>
      <c r="ULO14"/>
      <c r="ULP14"/>
      <c r="ULQ14"/>
      <c r="ULR14"/>
      <c r="ULS14"/>
      <c r="ULT14"/>
      <c r="ULU14"/>
      <c r="ULV14"/>
      <c r="ULW14"/>
      <c r="ULX14"/>
      <c r="ULY14"/>
      <c r="ULZ14"/>
      <c r="UMA14"/>
      <c r="UMB14"/>
      <c r="UMC14"/>
      <c r="UMD14"/>
      <c r="UME14"/>
      <c r="UMF14"/>
      <c r="UMG14"/>
      <c r="UMH14"/>
      <c r="UMI14"/>
      <c r="UMJ14"/>
      <c r="UMK14"/>
      <c r="UML14"/>
      <c r="UMM14"/>
      <c r="UMN14"/>
      <c r="UMO14"/>
      <c r="UMP14"/>
      <c r="UMQ14"/>
      <c r="UMR14"/>
      <c r="UMS14"/>
      <c r="UMT14"/>
      <c r="UMU14"/>
      <c r="UMV14"/>
      <c r="UMW14"/>
      <c r="UMX14"/>
      <c r="UMY14"/>
      <c r="UMZ14"/>
      <c r="UNA14"/>
      <c r="UNB14"/>
      <c r="UNC14"/>
      <c r="UND14"/>
      <c r="UNE14"/>
      <c r="UNF14"/>
      <c r="UNG14"/>
      <c r="UNH14"/>
      <c r="UNI14"/>
      <c r="UNJ14"/>
      <c r="UNK14"/>
      <c r="UNL14"/>
      <c r="UNM14"/>
      <c r="UNN14"/>
      <c r="UNO14"/>
      <c r="UNP14"/>
      <c r="UNQ14"/>
      <c r="UNR14"/>
      <c r="UNS14"/>
      <c r="UNT14"/>
      <c r="UNU14"/>
      <c r="UNV14"/>
      <c r="UNW14"/>
      <c r="UNX14"/>
      <c r="UNY14"/>
      <c r="UNZ14"/>
      <c r="UOA14"/>
      <c r="UOB14"/>
      <c r="UOC14"/>
      <c r="UOD14"/>
      <c r="UOE14"/>
      <c r="UOF14"/>
      <c r="UOG14"/>
      <c r="UOH14"/>
      <c r="UOI14"/>
      <c r="UOJ14"/>
      <c r="UOK14"/>
      <c r="UOL14"/>
      <c r="UOM14"/>
      <c r="UON14"/>
      <c r="UOO14"/>
      <c r="UOP14"/>
      <c r="UOQ14"/>
      <c r="UOR14"/>
      <c r="UOS14"/>
      <c r="UOT14"/>
      <c r="UOU14"/>
      <c r="UOV14"/>
      <c r="UOW14"/>
      <c r="UOX14"/>
      <c r="UOY14"/>
      <c r="UOZ14"/>
      <c r="UPA14"/>
      <c r="UPB14"/>
      <c r="UPC14"/>
      <c r="UPD14"/>
      <c r="UPE14"/>
      <c r="UPF14"/>
      <c r="UPG14"/>
      <c r="UPH14"/>
      <c r="UPI14"/>
      <c r="UPJ14"/>
      <c r="UPK14"/>
      <c r="UPL14"/>
      <c r="UPM14"/>
      <c r="UPN14"/>
      <c r="UPO14"/>
      <c r="UPP14"/>
      <c r="UPQ14"/>
      <c r="UPR14"/>
      <c r="UPS14"/>
      <c r="UPT14"/>
      <c r="UPU14"/>
      <c r="UPV14"/>
      <c r="UPW14"/>
      <c r="UPX14"/>
      <c r="UPY14"/>
      <c r="UPZ14"/>
      <c r="UQA14"/>
      <c r="UQB14"/>
      <c r="UQC14"/>
      <c r="UQD14"/>
      <c r="UQE14"/>
      <c r="UQF14"/>
      <c r="UQG14"/>
      <c r="UQH14"/>
      <c r="UQI14"/>
      <c r="UQJ14"/>
      <c r="UQK14"/>
      <c r="UQL14"/>
      <c r="UQM14"/>
      <c r="UQN14"/>
      <c r="UQO14"/>
      <c r="UQP14"/>
      <c r="UQQ14"/>
      <c r="UQR14"/>
      <c r="UQS14"/>
      <c r="UQT14"/>
      <c r="UQU14"/>
      <c r="UQV14"/>
      <c r="UQW14"/>
      <c r="UQX14"/>
      <c r="UQY14"/>
      <c r="UQZ14"/>
      <c r="URA14"/>
      <c r="URB14"/>
      <c r="URC14"/>
      <c r="URD14"/>
      <c r="URE14"/>
      <c r="URF14"/>
      <c r="URG14"/>
      <c r="URH14"/>
      <c r="URI14"/>
      <c r="URJ14"/>
      <c r="URK14"/>
      <c r="URL14"/>
      <c r="URM14"/>
      <c r="URN14"/>
      <c r="URO14"/>
      <c r="URP14"/>
      <c r="URQ14"/>
      <c r="URR14"/>
      <c r="URS14"/>
      <c r="URT14"/>
      <c r="URU14"/>
      <c r="URV14"/>
      <c r="URW14"/>
      <c r="URX14"/>
      <c r="URY14"/>
      <c r="URZ14"/>
      <c r="USA14"/>
      <c r="USB14"/>
      <c r="USC14"/>
      <c r="USD14"/>
      <c r="USE14"/>
      <c r="USF14"/>
      <c r="USG14"/>
      <c r="USH14"/>
      <c r="USI14"/>
      <c r="USJ14"/>
      <c r="USK14"/>
      <c r="USL14"/>
      <c r="USM14"/>
      <c r="USN14"/>
      <c r="USO14"/>
      <c r="USP14"/>
      <c r="USQ14"/>
      <c r="USR14"/>
      <c r="USS14"/>
      <c r="UST14"/>
      <c r="USU14"/>
      <c r="USV14"/>
      <c r="USW14"/>
      <c r="USX14"/>
      <c r="USY14"/>
      <c r="USZ14"/>
      <c r="UTA14"/>
      <c r="UTB14"/>
      <c r="UTC14"/>
      <c r="UTD14"/>
      <c r="UTE14"/>
      <c r="UTF14"/>
      <c r="UTG14"/>
      <c r="UTH14"/>
      <c r="UTI14"/>
      <c r="UTJ14"/>
      <c r="UTK14"/>
      <c r="UTL14"/>
      <c r="UTM14"/>
      <c r="UTN14"/>
      <c r="UTO14"/>
      <c r="UTP14"/>
      <c r="UTQ14"/>
      <c r="UTR14"/>
      <c r="UTS14"/>
      <c r="UTT14"/>
      <c r="UTU14"/>
      <c r="UTV14"/>
      <c r="UTW14"/>
      <c r="UTX14"/>
      <c r="UTY14"/>
      <c r="UTZ14"/>
      <c r="UUA14"/>
      <c r="UUB14"/>
      <c r="UUC14"/>
      <c r="UUD14"/>
      <c r="UUE14"/>
      <c r="UUF14"/>
      <c r="UUG14"/>
      <c r="UUH14"/>
      <c r="UUI14"/>
      <c r="UUJ14"/>
      <c r="UUK14"/>
      <c r="UUL14"/>
      <c r="UUM14"/>
      <c r="UUN14"/>
      <c r="UUO14"/>
      <c r="UUP14"/>
      <c r="UUQ14"/>
      <c r="UUR14"/>
      <c r="UUS14"/>
      <c r="UUT14"/>
      <c r="UUU14"/>
      <c r="UUV14"/>
      <c r="UUW14"/>
      <c r="UUX14"/>
      <c r="UUY14"/>
      <c r="UUZ14"/>
      <c r="UVA14"/>
      <c r="UVB14"/>
      <c r="UVC14"/>
      <c r="UVD14"/>
      <c r="UVE14"/>
      <c r="UVF14"/>
      <c r="UVG14"/>
      <c r="UVH14"/>
      <c r="UVI14"/>
      <c r="UVJ14"/>
      <c r="UVK14"/>
      <c r="UVL14"/>
      <c r="UVM14"/>
      <c r="UVN14"/>
      <c r="UVO14"/>
      <c r="UVP14"/>
      <c r="UVQ14"/>
      <c r="UVR14"/>
      <c r="UVS14"/>
      <c r="UVT14"/>
      <c r="UVU14"/>
      <c r="UVV14"/>
      <c r="UVW14"/>
      <c r="UVX14"/>
      <c r="UVY14"/>
      <c r="UVZ14"/>
      <c r="UWA14"/>
      <c r="UWB14"/>
      <c r="UWC14"/>
      <c r="UWD14"/>
      <c r="UWE14"/>
      <c r="UWF14"/>
      <c r="UWG14"/>
      <c r="UWH14"/>
      <c r="UWI14"/>
      <c r="UWJ14"/>
      <c r="UWK14"/>
      <c r="UWL14"/>
      <c r="UWM14"/>
      <c r="UWN14"/>
      <c r="UWO14"/>
      <c r="UWP14"/>
      <c r="UWQ14"/>
      <c r="UWR14"/>
      <c r="UWS14"/>
      <c r="UWT14"/>
      <c r="UWU14"/>
      <c r="UWV14"/>
      <c r="UWW14"/>
      <c r="UWX14"/>
      <c r="UWY14"/>
      <c r="UWZ14"/>
      <c r="UXA14"/>
      <c r="UXB14"/>
      <c r="UXC14"/>
      <c r="UXD14"/>
      <c r="UXE14"/>
      <c r="UXF14"/>
      <c r="UXG14"/>
      <c r="UXH14"/>
      <c r="UXI14"/>
      <c r="UXJ14"/>
      <c r="UXK14"/>
      <c r="UXL14"/>
      <c r="UXM14"/>
      <c r="UXN14"/>
      <c r="UXO14"/>
      <c r="UXP14"/>
      <c r="UXQ14"/>
      <c r="UXR14"/>
      <c r="UXS14"/>
      <c r="UXT14"/>
      <c r="UXU14"/>
      <c r="UXV14"/>
      <c r="UXW14"/>
      <c r="UXX14"/>
      <c r="UXY14"/>
      <c r="UXZ14"/>
      <c r="UYA14"/>
      <c r="UYB14"/>
      <c r="UYC14"/>
      <c r="UYD14"/>
      <c r="UYE14"/>
      <c r="UYF14"/>
      <c r="UYG14"/>
      <c r="UYH14"/>
      <c r="UYI14"/>
      <c r="UYJ14"/>
      <c r="UYK14"/>
      <c r="UYL14"/>
      <c r="UYM14"/>
      <c r="UYN14"/>
      <c r="UYO14"/>
      <c r="UYP14"/>
      <c r="UYQ14"/>
      <c r="UYR14"/>
      <c r="UYS14"/>
      <c r="UYT14"/>
      <c r="UYU14"/>
      <c r="UYV14"/>
      <c r="UYW14"/>
      <c r="UYX14"/>
      <c r="UYY14"/>
      <c r="UYZ14"/>
      <c r="UZA14"/>
      <c r="UZB14"/>
      <c r="UZC14"/>
      <c r="UZD14"/>
      <c r="UZE14"/>
      <c r="UZF14"/>
      <c r="UZG14"/>
      <c r="UZH14"/>
      <c r="UZI14"/>
      <c r="UZJ14"/>
      <c r="UZK14"/>
      <c r="UZL14"/>
      <c r="UZM14"/>
      <c r="UZN14"/>
      <c r="UZO14"/>
      <c r="UZP14"/>
      <c r="UZQ14"/>
      <c r="UZR14"/>
      <c r="UZS14"/>
      <c r="UZT14"/>
      <c r="UZU14"/>
      <c r="UZV14"/>
      <c r="UZW14"/>
      <c r="UZX14"/>
      <c r="UZY14"/>
      <c r="UZZ14"/>
      <c r="VAA14"/>
      <c r="VAB14"/>
      <c r="VAC14"/>
      <c r="VAD14"/>
      <c r="VAE14"/>
      <c r="VAF14"/>
      <c r="VAG14"/>
      <c r="VAH14"/>
      <c r="VAI14"/>
      <c r="VAJ14"/>
      <c r="VAK14"/>
      <c r="VAL14"/>
      <c r="VAM14"/>
      <c r="VAN14"/>
      <c r="VAO14"/>
      <c r="VAP14"/>
      <c r="VAQ14"/>
      <c r="VAR14"/>
      <c r="VAS14"/>
      <c r="VAT14"/>
      <c r="VAU14"/>
      <c r="VAV14"/>
      <c r="VAW14"/>
      <c r="VAX14"/>
      <c r="VAY14"/>
      <c r="VAZ14"/>
      <c r="VBA14"/>
      <c r="VBB14"/>
      <c r="VBC14"/>
      <c r="VBD14"/>
      <c r="VBE14"/>
      <c r="VBF14"/>
      <c r="VBG14"/>
      <c r="VBH14"/>
      <c r="VBI14"/>
      <c r="VBJ14"/>
      <c r="VBK14"/>
      <c r="VBL14"/>
      <c r="VBM14"/>
      <c r="VBN14"/>
      <c r="VBO14"/>
      <c r="VBP14"/>
      <c r="VBQ14"/>
      <c r="VBR14"/>
      <c r="VBS14"/>
      <c r="VBT14"/>
      <c r="VBU14"/>
      <c r="VBV14"/>
      <c r="VBW14"/>
      <c r="VBX14"/>
      <c r="VBY14"/>
      <c r="VBZ14"/>
      <c r="VCA14"/>
      <c r="VCB14"/>
      <c r="VCC14"/>
      <c r="VCD14"/>
      <c r="VCE14"/>
      <c r="VCF14"/>
      <c r="VCG14"/>
      <c r="VCH14"/>
      <c r="VCI14"/>
      <c r="VCJ14"/>
      <c r="VCK14"/>
      <c r="VCL14"/>
      <c r="VCM14"/>
      <c r="VCN14"/>
      <c r="VCO14"/>
      <c r="VCP14"/>
      <c r="VCQ14"/>
      <c r="VCR14"/>
      <c r="VCS14"/>
      <c r="VCT14"/>
      <c r="VCU14"/>
      <c r="VCV14"/>
      <c r="VCW14"/>
      <c r="VCX14"/>
      <c r="VCY14"/>
      <c r="VCZ14"/>
      <c r="VDA14"/>
      <c r="VDB14"/>
      <c r="VDC14"/>
      <c r="VDD14"/>
      <c r="VDE14"/>
      <c r="VDF14"/>
      <c r="VDG14"/>
      <c r="VDH14"/>
      <c r="VDI14"/>
      <c r="VDJ14"/>
      <c r="VDK14"/>
      <c r="VDL14"/>
      <c r="VDM14"/>
      <c r="VDN14"/>
      <c r="VDO14"/>
      <c r="VDP14"/>
      <c r="VDQ14"/>
      <c r="VDR14"/>
      <c r="VDS14"/>
      <c r="VDT14"/>
      <c r="VDU14"/>
      <c r="VDV14"/>
      <c r="VDW14"/>
      <c r="VDX14"/>
      <c r="VDY14"/>
      <c r="VDZ14"/>
      <c r="VEA14"/>
      <c r="VEB14"/>
      <c r="VEC14"/>
      <c r="VED14"/>
      <c r="VEE14"/>
      <c r="VEF14"/>
      <c r="VEG14"/>
      <c r="VEH14"/>
      <c r="VEI14"/>
      <c r="VEJ14"/>
      <c r="VEK14"/>
      <c r="VEL14"/>
      <c r="VEM14"/>
      <c r="VEN14"/>
      <c r="VEO14"/>
      <c r="VEP14"/>
      <c r="VEQ14"/>
      <c r="VER14"/>
      <c r="VES14"/>
      <c r="VET14"/>
      <c r="VEU14"/>
      <c r="VEV14"/>
      <c r="VEW14"/>
      <c r="VEX14"/>
      <c r="VEY14"/>
      <c r="VEZ14"/>
      <c r="VFA14"/>
      <c r="VFB14"/>
      <c r="VFC14"/>
      <c r="VFD14"/>
      <c r="VFE14"/>
      <c r="VFF14"/>
      <c r="VFG14"/>
      <c r="VFH14"/>
      <c r="VFI14"/>
      <c r="VFJ14"/>
      <c r="VFK14"/>
      <c r="VFL14"/>
      <c r="VFM14"/>
      <c r="VFN14"/>
      <c r="VFO14"/>
      <c r="VFP14"/>
      <c r="VFQ14"/>
      <c r="VFR14"/>
      <c r="VFS14"/>
      <c r="VFT14"/>
      <c r="VFU14"/>
      <c r="VFV14"/>
      <c r="VFW14"/>
      <c r="VFX14"/>
      <c r="VFY14"/>
      <c r="VFZ14"/>
      <c r="VGA14"/>
      <c r="VGB14"/>
      <c r="VGC14"/>
      <c r="VGD14"/>
      <c r="VGE14"/>
      <c r="VGF14"/>
      <c r="VGG14"/>
      <c r="VGH14"/>
      <c r="VGI14"/>
      <c r="VGJ14"/>
      <c r="VGK14"/>
      <c r="VGL14"/>
      <c r="VGM14"/>
      <c r="VGN14"/>
      <c r="VGO14"/>
      <c r="VGP14"/>
      <c r="VGQ14"/>
      <c r="VGR14"/>
      <c r="VGS14"/>
      <c r="VGT14"/>
      <c r="VGU14"/>
      <c r="VGV14"/>
      <c r="VGW14"/>
      <c r="VGX14"/>
      <c r="VGY14"/>
      <c r="VGZ14"/>
      <c r="VHA14"/>
      <c r="VHB14"/>
      <c r="VHC14"/>
      <c r="VHD14"/>
      <c r="VHE14"/>
      <c r="VHF14"/>
      <c r="VHG14"/>
      <c r="VHH14"/>
      <c r="VHI14"/>
      <c r="VHJ14"/>
      <c r="VHK14"/>
      <c r="VHL14"/>
      <c r="VHM14"/>
      <c r="VHN14"/>
      <c r="VHO14"/>
      <c r="VHP14"/>
      <c r="VHQ14"/>
      <c r="VHR14"/>
      <c r="VHS14"/>
      <c r="VHT14"/>
      <c r="VHU14"/>
      <c r="VHV14"/>
      <c r="VHW14"/>
      <c r="VHX14"/>
      <c r="VHY14"/>
      <c r="VHZ14"/>
      <c r="VIA14"/>
      <c r="VIB14"/>
      <c r="VIC14"/>
      <c r="VID14"/>
      <c r="VIE14"/>
      <c r="VIF14"/>
      <c r="VIG14"/>
      <c r="VIH14"/>
      <c r="VII14"/>
      <c r="VIJ14"/>
      <c r="VIK14"/>
      <c r="VIL14"/>
      <c r="VIM14"/>
      <c r="VIN14"/>
      <c r="VIO14"/>
      <c r="VIP14"/>
      <c r="VIQ14"/>
      <c r="VIR14"/>
      <c r="VIS14"/>
      <c r="VIT14"/>
      <c r="VIU14"/>
      <c r="VIV14"/>
      <c r="VIW14"/>
      <c r="VIX14"/>
      <c r="VIY14"/>
      <c r="VIZ14"/>
      <c r="VJA14"/>
      <c r="VJB14"/>
      <c r="VJC14"/>
      <c r="VJD14"/>
      <c r="VJE14"/>
      <c r="VJF14"/>
      <c r="VJG14"/>
      <c r="VJH14"/>
      <c r="VJI14"/>
      <c r="VJJ14"/>
      <c r="VJK14"/>
      <c r="VJL14"/>
      <c r="VJM14"/>
      <c r="VJN14"/>
      <c r="VJO14"/>
      <c r="VJP14"/>
      <c r="VJQ14"/>
      <c r="VJR14"/>
      <c r="VJS14"/>
      <c r="VJT14"/>
      <c r="VJU14"/>
      <c r="VJV14"/>
      <c r="VJW14"/>
      <c r="VJX14"/>
      <c r="VJY14"/>
      <c r="VJZ14"/>
      <c r="VKA14"/>
      <c r="VKB14"/>
      <c r="VKC14"/>
      <c r="VKD14"/>
      <c r="VKE14"/>
      <c r="VKF14"/>
      <c r="VKG14"/>
      <c r="VKH14"/>
      <c r="VKI14"/>
      <c r="VKJ14"/>
      <c r="VKK14"/>
      <c r="VKL14"/>
      <c r="VKM14"/>
      <c r="VKN14"/>
      <c r="VKO14"/>
      <c r="VKP14"/>
      <c r="VKQ14"/>
      <c r="VKR14"/>
      <c r="VKS14"/>
      <c r="VKT14"/>
      <c r="VKU14"/>
      <c r="VKV14"/>
      <c r="VKW14"/>
      <c r="VKX14"/>
      <c r="VKY14"/>
      <c r="VKZ14"/>
      <c r="VLA14"/>
      <c r="VLB14"/>
      <c r="VLC14"/>
      <c r="VLD14"/>
      <c r="VLE14"/>
      <c r="VLF14"/>
      <c r="VLG14"/>
      <c r="VLH14"/>
      <c r="VLI14"/>
      <c r="VLJ14"/>
      <c r="VLK14"/>
      <c r="VLL14"/>
      <c r="VLM14"/>
      <c r="VLN14"/>
      <c r="VLO14"/>
      <c r="VLP14"/>
      <c r="VLQ14"/>
      <c r="VLR14"/>
      <c r="VLS14"/>
      <c r="VLT14"/>
      <c r="VLU14"/>
      <c r="VLV14"/>
      <c r="VLW14"/>
      <c r="VLX14"/>
      <c r="VLY14"/>
      <c r="VLZ14"/>
      <c r="VMA14"/>
      <c r="VMB14"/>
      <c r="VMC14"/>
      <c r="VMD14"/>
      <c r="VME14"/>
      <c r="VMF14"/>
      <c r="VMG14"/>
      <c r="VMH14"/>
      <c r="VMI14"/>
      <c r="VMJ14"/>
      <c r="VMK14"/>
      <c r="VML14"/>
      <c r="VMM14"/>
      <c r="VMN14"/>
      <c r="VMO14"/>
      <c r="VMP14"/>
      <c r="VMQ14"/>
      <c r="VMR14"/>
      <c r="VMS14"/>
      <c r="VMT14"/>
      <c r="VMU14"/>
      <c r="VMV14"/>
      <c r="VMW14"/>
      <c r="VMX14"/>
      <c r="VMY14"/>
      <c r="VMZ14"/>
      <c r="VNA14"/>
      <c r="VNB14"/>
      <c r="VNC14"/>
      <c r="VND14"/>
      <c r="VNE14"/>
      <c r="VNF14"/>
      <c r="VNG14"/>
      <c r="VNH14"/>
      <c r="VNI14"/>
      <c r="VNJ14"/>
      <c r="VNK14"/>
      <c r="VNL14"/>
      <c r="VNM14"/>
      <c r="VNN14"/>
      <c r="VNO14"/>
      <c r="VNP14"/>
      <c r="VNQ14"/>
      <c r="VNR14"/>
      <c r="VNS14"/>
      <c r="VNT14"/>
      <c r="VNU14"/>
      <c r="VNV14"/>
      <c r="VNW14"/>
      <c r="VNX14"/>
      <c r="VNY14"/>
      <c r="VNZ14"/>
      <c r="VOA14"/>
      <c r="VOB14"/>
      <c r="VOC14"/>
      <c r="VOD14"/>
      <c r="VOE14"/>
      <c r="VOF14"/>
      <c r="VOG14"/>
      <c r="VOH14"/>
      <c r="VOI14"/>
      <c r="VOJ14"/>
      <c r="VOK14"/>
      <c r="VOL14"/>
      <c r="VOM14"/>
      <c r="VON14"/>
      <c r="VOO14"/>
      <c r="VOP14"/>
      <c r="VOQ14"/>
      <c r="VOR14"/>
      <c r="VOS14"/>
      <c r="VOT14"/>
      <c r="VOU14"/>
      <c r="VOV14"/>
      <c r="VOW14"/>
      <c r="VOX14"/>
      <c r="VOY14"/>
      <c r="VOZ14"/>
      <c r="VPA14"/>
      <c r="VPB14"/>
      <c r="VPC14"/>
      <c r="VPD14"/>
      <c r="VPE14"/>
      <c r="VPF14"/>
      <c r="VPG14"/>
      <c r="VPH14"/>
      <c r="VPI14"/>
      <c r="VPJ14"/>
      <c r="VPK14"/>
      <c r="VPL14"/>
      <c r="VPM14"/>
      <c r="VPN14"/>
      <c r="VPO14"/>
      <c r="VPP14"/>
      <c r="VPQ14"/>
      <c r="VPR14"/>
      <c r="VPS14"/>
      <c r="VPT14"/>
      <c r="VPU14"/>
      <c r="VPV14"/>
      <c r="VPW14"/>
      <c r="VPX14"/>
      <c r="VPY14"/>
      <c r="VPZ14"/>
      <c r="VQA14"/>
      <c r="VQB14"/>
      <c r="VQC14"/>
      <c r="VQD14"/>
      <c r="VQE14"/>
      <c r="VQF14"/>
      <c r="VQG14"/>
      <c r="VQH14"/>
      <c r="VQI14"/>
      <c r="VQJ14"/>
      <c r="VQK14"/>
      <c r="VQL14"/>
      <c r="VQM14"/>
      <c r="VQN14"/>
      <c r="VQO14"/>
      <c r="VQP14"/>
      <c r="VQQ14"/>
      <c r="VQR14"/>
      <c r="VQS14"/>
      <c r="VQT14"/>
      <c r="VQU14"/>
      <c r="VQV14"/>
      <c r="VQW14"/>
      <c r="VQX14"/>
      <c r="VQY14"/>
      <c r="VQZ14"/>
      <c r="VRA14"/>
      <c r="VRB14"/>
      <c r="VRC14"/>
      <c r="VRD14"/>
      <c r="VRE14"/>
      <c r="VRF14"/>
      <c r="VRG14"/>
      <c r="VRH14"/>
      <c r="VRI14"/>
      <c r="VRJ14"/>
      <c r="VRK14"/>
      <c r="VRL14"/>
      <c r="VRM14"/>
      <c r="VRN14"/>
      <c r="VRO14"/>
      <c r="VRP14"/>
      <c r="VRQ14"/>
      <c r="VRR14"/>
      <c r="VRS14"/>
      <c r="VRT14"/>
      <c r="VRU14"/>
      <c r="VRV14"/>
      <c r="VRW14"/>
      <c r="VRX14"/>
      <c r="VRY14"/>
      <c r="VRZ14"/>
      <c r="VSA14"/>
      <c r="VSB14"/>
      <c r="VSC14"/>
      <c r="VSD14"/>
      <c r="VSE14"/>
      <c r="VSF14"/>
      <c r="VSG14"/>
      <c r="VSH14"/>
      <c r="VSI14"/>
      <c r="VSJ14"/>
      <c r="VSK14"/>
      <c r="VSL14"/>
      <c r="VSM14"/>
      <c r="VSN14"/>
      <c r="VSO14"/>
      <c r="VSP14"/>
      <c r="VSQ14"/>
      <c r="VSR14"/>
      <c r="VSS14"/>
      <c r="VST14"/>
      <c r="VSU14"/>
      <c r="VSV14"/>
      <c r="VSW14"/>
      <c r="VSX14"/>
      <c r="VSY14"/>
      <c r="VSZ14"/>
      <c r="VTA14"/>
      <c r="VTB14"/>
      <c r="VTC14"/>
      <c r="VTD14"/>
      <c r="VTE14"/>
      <c r="VTF14"/>
      <c r="VTG14"/>
      <c r="VTH14"/>
      <c r="VTI14"/>
      <c r="VTJ14"/>
      <c r="VTK14"/>
      <c r="VTL14"/>
      <c r="VTM14"/>
      <c r="VTN14"/>
      <c r="VTO14"/>
      <c r="VTP14"/>
      <c r="VTQ14"/>
      <c r="VTR14"/>
      <c r="VTS14"/>
      <c r="VTT14"/>
      <c r="VTU14"/>
      <c r="VTV14"/>
      <c r="VTW14"/>
      <c r="VTX14"/>
      <c r="VTY14"/>
      <c r="VTZ14"/>
      <c r="VUA14"/>
      <c r="VUB14"/>
      <c r="VUC14"/>
      <c r="VUD14"/>
      <c r="VUE14"/>
      <c r="VUF14"/>
      <c r="VUG14"/>
      <c r="VUH14"/>
      <c r="VUI14"/>
      <c r="VUJ14"/>
      <c r="VUK14"/>
      <c r="VUL14"/>
      <c r="VUM14"/>
      <c r="VUN14"/>
      <c r="VUO14"/>
      <c r="VUP14"/>
      <c r="VUQ14"/>
      <c r="VUR14"/>
      <c r="VUS14"/>
      <c r="VUT14"/>
      <c r="VUU14"/>
      <c r="VUV14"/>
      <c r="VUW14"/>
      <c r="VUX14"/>
      <c r="VUY14"/>
      <c r="VUZ14"/>
      <c r="VVA14"/>
      <c r="VVB14"/>
      <c r="VVC14"/>
      <c r="VVD14"/>
      <c r="VVE14"/>
      <c r="VVF14"/>
      <c r="VVG14"/>
      <c r="VVH14"/>
      <c r="VVI14"/>
      <c r="VVJ14"/>
      <c r="VVK14"/>
      <c r="VVL14"/>
      <c r="VVM14"/>
      <c r="VVN14"/>
      <c r="VVO14"/>
      <c r="VVP14"/>
      <c r="VVQ14"/>
      <c r="VVR14"/>
      <c r="VVS14"/>
      <c r="VVT14"/>
      <c r="VVU14"/>
      <c r="VVV14"/>
      <c r="VVW14"/>
      <c r="VVX14"/>
      <c r="VVY14"/>
      <c r="VVZ14"/>
      <c r="VWA14"/>
      <c r="VWB14"/>
      <c r="VWC14"/>
      <c r="VWD14"/>
      <c r="VWE14"/>
      <c r="VWF14"/>
      <c r="VWG14"/>
      <c r="VWH14"/>
      <c r="VWI14"/>
      <c r="VWJ14"/>
      <c r="VWK14"/>
      <c r="VWL14"/>
      <c r="VWM14"/>
      <c r="VWN14"/>
      <c r="VWO14"/>
      <c r="VWP14"/>
      <c r="VWQ14"/>
      <c r="VWR14"/>
      <c r="VWS14"/>
      <c r="VWT14"/>
      <c r="VWU14"/>
      <c r="VWV14"/>
      <c r="VWW14"/>
      <c r="VWX14"/>
      <c r="VWY14"/>
      <c r="VWZ14"/>
      <c r="VXA14"/>
      <c r="VXB14"/>
      <c r="VXC14"/>
      <c r="VXD14"/>
      <c r="VXE14"/>
      <c r="VXF14"/>
      <c r="VXG14"/>
      <c r="VXH14"/>
      <c r="VXI14"/>
      <c r="VXJ14"/>
      <c r="VXK14"/>
      <c r="VXL14"/>
      <c r="VXM14"/>
      <c r="VXN14"/>
      <c r="VXO14"/>
      <c r="VXP14"/>
      <c r="VXQ14"/>
      <c r="VXR14"/>
      <c r="VXS14"/>
      <c r="VXT14"/>
      <c r="VXU14"/>
      <c r="VXV14"/>
      <c r="VXW14"/>
      <c r="VXX14"/>
      <c r="VXY14"/>
      <c r="VXZ14"/>
      <c r="VYA14"/>
      <c r="VYB14"/>
      <c r="VYC14"/>
      <c r="VYD14"/>
      <c r="VYE14"/>
      <c r="VYF14"/>
      <c r="VYG14"/>
      <c r="VYH14"/>
      <c r="VYI14"/>
      <c r="VYJ14"/>
      <c r="VYK14"/>
      <c r="VYL14"/>
      <c r="VYM14"/>
      <c r="VYN14"/>
      <c r="VYO14"/>
      <c r="VYP14"/>
      <c r="VYQ14"/>
      <c r="VYR14"/>
      <c r="VYS14"/>
      <c r="VYT14"/>
      <c r="VYU14"/>
      <c r="VYV14"/>
      <c r="VYW14"/>
      <c r="VYX14"/>
      <c r="VYY14"/>
      <c r="VYZ14"/>
      <c r="VZA14"/>
      <c r="VZB14"/>
      <c r="VZC14"/>
      <c r="VZD14"/>
      <c r="VZE14"/>
      <c r="VZF14"/>
      <c r="VZG14"/>
      <c r="VZH14"/>
      <c r="VZI14"/>
      <c r="VZJ14"/>
      <c r="VZK14"/>
      <c r="VZL14"/>
      <c r="VZM14"/>
      <c r="VZN14"/>
      <c r="VZO14"/>
      <c r="VZP14"/>
      <c r="VZQ14"/>
      <c r="VZR14"/>
      <c r="VZS14"/>
      <c r="VZT14"/>
      <c r="VZU14"/>
      <c r="VZV14"/>
      <c r="VZW14"/>
      <c r="VZX14"/>
      <c r="VZY14"/>
      <c r="VZZ14"/>
      <c r="WAA14"/>
      <c r="WAB14"/>
      <c r="WAC14"/>
      <c r="WAD14"/>
      <c r="WAE14"/>
      <c r="WAF14"/>
      <c r="WAG14"/>
      <c r="WAH14"/>
      <c r="WAI14"/>
      <c r="WAJ14"/>
      <c r="WAK14"/>
      <c r="WAL14"/>
      <c r="WAM14"/>
      <c r="WAN14"/>
      <c r="WAO14"/>
      <c r="WAP14"/>
      <c r="WAQ14"/>
      <c r="WAR14"/>
      <c r="WAS14"/>
      <c r="WAT14"/>
      <c r="WAU14"/>
      <c r="WAV14"/>
      <c r="WAW14"/>
      <c r="WAX14"/>
      <c r="WAY14"/>
      <c r="WAZ14"/>
      <c r="WBA14"/>
      <c r="WBB14"/>
      <c r="WBC14"/>
      <c r="WBD14"/>
      <c r="WBE14"/>
      <c r="WBF14"/>
      <c r="WBG14"/>
      <c r="WBH14"/>
      <c r="WBI14"/>
      <c r="WBJ14"/>
      <c r="WBK14"/>
      <c r="WBL14"/>
      <c r="WBM14"/>
      <c r="WBN14"/>
      <c r="WBO14"/>
      <c r="WBP14"/>
      <c r="WBQ14"/>
      <c r="WBR14"/>
      <c r="WBS14"/>
      <c r="WBT14"/>
      <c r="WBU14"/>
      <c r="WBV14"/>
      <c r="WBW14"/>
      <c r="WBX14"/>
      <c r="WBY14"/>
      <c r="WBZ14"/>
      <c r="WCA14"/>
      <c r="WCB14"/>
      <c r="WCC14"/>
      <c r="WCD14"/>
      <c r="WCE14"/>
      <c r="WCF14"/>
      <c r="WCG14"/>
      <c r="WCH14"/>
      <c r="WCI14"/>
      <c r="WCJ14"/>
      <c r="WCK14"/>
      <c r="WCL14"/>
      <c r="WCM14"/>
      <c r="WCN14"/>
      <c r="WCO14"/>
      <c r="WCP14"/>
      <c r="WCQ14"/>
      <c r="WCR14"/>
      <c r="WCS14"/>
      <c r="WCT14"/>
      <c r="WCU14"/>
      <c r="WCV14"/>
      <c r="WCW14"/>
      <c r="WCX14"/>
      <c r="WCY14"/>
      <c r="WCZ14"/>
      <c r="WDA14"/>
      <c r="WDB14"/>
      <c r="WDC14"/>
      <c r="WDD14"/>
      <c r="WDE14"/>
      <c r="WDF14"/>
      <c r="WDG14"/>
      <c r="WDH14"/>
      <c r="WDI14"/>
      <c r="WDJ14"/>
      <c r="WDK14"/>
      <c r="WDL14"/>
      <c r="WDM14"/>
      <c r="WDN14"/>
      <c r="WDO14"/>
      <c r="WDP14"/>
      <c r="WDQ14"/>
      <c r="WDR14"/>
      <c r="WDS14"/>
      <c r="WDT14"/>
      <c r="WDU14"/>
      <c r="WDV14"/>
      <c r="WDW14"/>
      <c r="WDX14"/>
      <c r="WDY14"/>
      <c r="WDZ14"/>
      <c r="WEA14"/>
      <c r="WEB14"/>
      <c r="WEC14"/>
      <c r="WED14"/>
      <c r="WEE14"/>
      <c r="WEF14"/>
      <c r="WEG14"/>
      <c r="WEH14"/>
      <c r="WEI14"/>
      <c r="WEJ14"/>
      <c r="WEK14"/>
      <c r="WEL14"/>
      <c r="WEM14"/>
      <c r="WEN14"/>
      <c r="WEO14"/>
      <c r="WEP14"/>
      <c r="WEQ14"/>
      <c r="WER14"/>
      <c r="WES14"/>
      <c r="WET14"/>
      <c r="WEU14"/>
      <c r="WEV14"/>
      <c r="WEW14"/>
      <c r="WEX14"/>
      <c r="WEY14"/>
      <c r="WEZ14"/>
      <c r="WFA14"/>
      <c r="WFB14"/>
      <c r="WFC14"/>
      <c r="WFD14"/>
      <c r="WFE14"/>
      <c r="WFF14"/>
      <c r="WFG14"/>
      <c r="WFH14"/>
      <c r="WFI14"/>
      <c r="WFJ14"/>
      <c r="WFK14"/>
      <c r="WFL14"/>
      <c r="WFM14"/>
      <c r="WFN14"/>
      <c r="WFO14"/>
      <c r="WFP14"/>
      <c r="WFQ14"/>
      <c r="WFR14"/>
      <c r="WFS14"/>
      <c r="WFT14"/>
      <c r="WFU14"/>
      <c r="WFV14"/>
      <c r="WFW14"/>
      <c r="WFX14"/>
      <c r="WFY14"/>
      <c r="WFZ14"/>
      <c r="WGA14"/>
      <c r="WGB14"/>
      <c r="WGC14"/>
      <c r="WGD14"/>
      <c r="WGE14"/>
      <c r="WGF14"/>
      <c r="WGG14"/>
      <c r="WGH14"/>
      <c r="WGI14"/>
      <c r="WGJ14"/>
      <c r="WGK14"/>
      <c r="WGL14"/>
      <c r="WGM14"/>
      <c r="WGN14"/>
      <c r="WGO14"/>
      <c r="WGP14"/>
      <c r="WGQ14"/>
      <c r="WGR14"/>
      <c r="WGS14"/>
      <c r="WGT14"/>
      <c r="WGU14"/>
      <c r="WGV14"/>
      <c r="WGW14"/>
      <c r="WGX14"/>
      <c r="WGY14"/>
      <c r="WGZ14"/>
      <c r="WHA14"/>
      <c r="WHB14"/>
      <c r="WHC14"/>
      <c r="WHD14"/>
      <c r="WHE14"/>
      <c r="WHF14"/>
      <c r="WHG14"/>
      <c r="WHH14"/>
      <c r="WHI14"/>
      <c r="WHJ14"/>
      <c r="WHK14"/>
      <c r="WHL14"/>
      <c r="WHM14"/>
      <c r="WHN14"/>
      <c r="WHO14"/>
      <c r="WHP14"/>
      <c r="WHQ14"/>
      <c r="WHR14"/>
      <c r="WHS14"/>
      <c r="WHT14"/>
      <c r="WHU14"/>
      <c r="WHV14"/>
      <c r="WHW14"/>
      <c r="WHX14"/>
      <c r="WHY14"/>
      <c r="WHZ14"/>
      <c r="WIA14"/>
      <c r="WIB14"/>
      <c r="WIC14"/>
      <c r="WID14"/>
      <c r="WIE14"/>
      <c r="WIF14"/>
      <c r="WIG14"/>
      <c r="WIH14"/>
      <c r="WII14"/>
      <c r="WIJ14"/>
      <c r="WIK14"/>
      <c r="WIL14"/>
      <c r="WIM14"/>
      <c r="WIN14"/>
      <c r="WIO14"/>
      <c r="WIP14"/>
      <c r="WIQ14"/>
      <c r="WIR14"/>
      <c r="WIS14"/>
      <c r="WIT14"/>
      <c r="WIU14"/>
      <c r="WIV14"/>
      <c r="WIW14"/>
      <c r="WIX14"/>
      <c r="WIY14"/>
      <c r="WIZ14"/>
      <c r="WJA14"/>
      <c r="WJB14"/>
      <c r="WJC14"/>
      <c r="WJD14"/>
      <c r="WJE14"/>
      <c r="WJF14"/>
      <c r="WJG14"/>
      <c r="WJH14"/>
      <c r="WJI14"/>
      <c r="WJJ14"/>
      <c r="WJK14"/>
      <c r="WJL14"/>
      <c r="WJM14"/>
      <c r="WJN14"/>
      <c r="WJO14"/>
      <c r="WJP14"/>
      <c r="WJQ14"/>
      <c r="WJR14"/>
      <c r="WJS14"/>
      <c r="WJT14"/>
      <c r="WJU14"/>
      <c r="WJV14"/>
      <c r="WJW14"/>
      <c r="WJX14"/>
      <c r="WJY14"/>
      <c r="WJZ14"/>
      <c r="WKA14"/>
      <c r="WKB14"/>
      <c r="WKC14"/>
      <c r="WKD14"/>
      <c r="WKE14"/>
      <c r="WKF14"/>
      <c r="WKG14"/>
      <c r="WKH14"/>
      <c r="WKI14"/>
      <c r="WKJ14"/>
      <c r="WKK14"/>
      <c r="WKL14"/>
      <c r="WKM14"/>
      <c r="WKN14"/>
      <c r="WKO14"/>
      <c r="WKP14"/>
      <c r="WKQ14"/>
      <c r="WKR14"/>
      <c r="WKS14"/>
      <c r="WKT14"/>
      <c r="WKU14"/>
      <c r="WKV14"/>
      <c r="WKW14"/>
      <c r="WKX14"/>
      <c r="WKY14"/>
      <c r="WKZ14"/>
      <c r="WLA14"/>
      <c r="WLB14"/>
      <c r="WLC14"/>
      <c r="WLD14"/>
      <c r="WLE14"/>
      <c r="WLF14"/>
      <c r="WLG14"/>
      <c r="WLH14"/>
      <c r="WLI14"/>
      <c r="WLJ14"/>
      <c r="WLK14"/>
      <c r="WLL14"/>
      <c r="WLM14"/>
      <c r="WLN14"/>
      <c r="WLO14"/>
      <c r="WLP14"/>
      <c r="WLQ14"/>
      <c r="WLR14"/>
      <c r="WLS14"/>
      <c r="WLT14"/>
      <c r="WLU14"/>
      <c r="WLV14"/>
      <c r="WLW14"/>
      <c r="WLX14"/>
      <c r="WLY14"/>
      <c r="WLZ14"/>
      <c r="WMA14"/>
      <c r="WMB14"/>
      <c r="WMC14"/>
      <c r="WMD14"/>
      <c r="WME14"/>
      <c r="WMF14"/>
      <c r="WMG14"/>
      <c r="WMH14"/>
      <c r="WMI14"/>
      <c r="WMJ14"/>
      <c r="WMK14"/>
      <c r="WML14"/>
      <c r="WMM14"/>
      <c r="WMN14"/>
      <c r="WMO14"/>
      <c r="WMP14"/>
      <c r="WMQ14"/>
      <c r="WMR14"/>
      <c r="WMS14"/>
      <c r="WMT14"/>
      <c r="WMU14"/>
      <c r="WMV14"/>
      <c r="WMW14"/>
      <c r="WMX14"/>
      <c r="WMY14"/>
      <c r="WMZ14"/>
      <c r="WNA14"/>
      <c r="WNB14"/>
      <c r="WNC14"/>
      <c r="WND14"/>
      <c r="WNE14"/>
      <c r="WNF14"/>
      <c r="WNG14"/>
      <c r="WNH14"/>
      <c r="WNI14"/>
      <c r="WNJ14"/>
      <c r="WNK14"/>
      <c r="WNL14"/>
      <c r="WNM14"/>
      <c r="WNN14"/>
      <c r="WNO14"/>
      <c r="WNP14"/>
      <c r="WNQ14"/>
      <c r="WNR14"/>
      <c r="WNS14"/>
      <c r="WNT14"/>
      <c r="WNU14"/>
      <c r="WNV14"/>
      <c r="WNW14"/>
      <c r="WNX14"/>
      <c r="WNY14"/>
      <c r="WNZ14"/>
      <c r="WOA14"/>
      <c r="WOB14"/>
      <c r="WOC14"/>
      <c r="WOD14"/>
      <c r="WOE14"/>
      <c r="WOF14"/>
      <c r="WOG14"/>
      <c r="WOH14"/>
      <c r="WOI14"/>
      <c r="WOJ14"/>
      <c r="WOK14"/>
      <c r="WOL14"/>
      <c r="WOM14"/>
      <c r="WON14"/>
      <c r="WOO14"/>
      <c r="WOP14"/>
      <c r="WOQ14"/>
      <c r="WOR14"/>
      <c r="WOS14"/>
      <c r="WOT14"/>
      <c r="WOU14"/>
      <c r="WOV14"/>
      <c r="WOW14"/>
      <c r="WOX14"/>
      <c r="WOY14"/>
      <c r="WOZ14"/>
      <c r="WPA14"/>
      <c r="WPB14"/>
      <c r="WPC14"/>
      <c r="WPD14"/>
      <c r="WPE14"/>
      <c r="WPF14"/>
      <c r="WPG14"/>
      <c r="WPH14"/>
      <c r="WPI14"/>
      <c r="WPJ14"/>
      <c r="WPK14"/>
      <c r="WPL14"/>
      <c r="WPM14"/>
      <c r="WPN14"/>
      <c r="WPO14"/>
      <c r="WPP14"/>
      <c r="WPQ14"/>
      <c r="WPR14"/>
      <c r="WPS14"/>
      <c r="WPT14"/>
      <c r="WPU14"/>
      <c r="WPV14"/>
      <c r="WPW14"/>
      <c r="WPX14"/>
      <c r="WPY14"/>
      <c r="WPZ14"/>
      <c r="WQA14"/>
      <c r="WQB14"/>
      <c r="WQC14"/>
      <c r="WQD14"/>
      <c r="WQE14"/>
      <c r="WQF14"/>
      <c r="WQG14"/>
      <c r="WQH14"/>
      <c r="WQI14"/>
      <c r="WQJ14"/>
      <c r="WQK14"/>
      <c r="WQL14"/>
      <c r="WQM14"/>
      <c r="WQN14"/>
      <c r="WQO14"/>
      <c r="WQP14"/>
      <c r="WQQ14"/>
      <c r="WQR14"/>
      <c r="WQS14"/>
      <c r="WQT14"/>
      <c r="WQU14"/>
      <c r="WQV14"/>
      <c r="WQW14"/>
      <c r="WQX14"/>
      <c r="WQY14"/>
      <c r="WQZ14"/>
      <c r="WRA14"/>
      <c r="WRB14"/>
      <c r="WRC14"/>
      <c r="WRD14"/>
      <c r="WRE14"/>
      <c r="WRF14"/>
      <c r="WRG14"/>
      <c r="WRH14"/>
      <c r="WRI14"/>
      <c r="WRJ14"/>
      <c r="WRK14"/>
      <c r="WRL14"/>
      <c r="WRM14"/>
      <c r="WRN14"/>
      <c r="WRO14"/>
      <c r="WRP14"/>
      <c r="WRQ14"/>
      <c r="WRR14"/>
      <c r="WRS14"/>
      <c r="WRT14"/>
      <c r="WRU14"/>
      <c r="WRV14"/>
      <c r="WRW14"/>
      <c r="WRX14"/>
      <c r="WRY14"/>
      <c r="WRZ14"/>
      <c r="WSA14"/>
      <c r="WSB14"/>
      <c r="WSC14"/>
      <c r="WSD14"/>
      <c r="WSE14"/>
      <c r="WSF14"/>
      <c r="WSG14"/>
      <c r="WSH14"/>
      <c r="WSI14"/>
      <c r="WSJ14"/>
      <c r="WSK14"/>
      <c r="WSL14"/>
      <c r="WSM14"/>
      <c r="WSN14"/>
      <c r="WSO14"/>
      <c r="WSP14"/>
      <c r="WSQ14"/>
      <c r="WSR14"/>
      <c r="WSS14"/>
      <c r="WST14"/>
      <c r="WSU14"/>
      <c r="WSV14"/>
      <c r="WSW14"/>
      <c r="WSX14"/>
      <c r="WSY14"/>
      <c r="WSZ14"/>
      <c r="WTA14"/>
      <c r="WTB14"/>
      <c r="WTC14"/>
      <c r="WTD14"/>
      <c r="WTE14"/>
      <c r="WTF14"/>
      <c r="WTG14"/>
      <c r="WTH14"/>
      <c r="WTI14"/>
      <c r="WTJ14"/>
      <c r="WTK14"/>
      <c r="WTL14"/>
      <c r="WTM14"/>
      <c r="WTN14"/>
      <c r="WTO14"/>
      <c r="WTP14"/>
      <c r="WTQ14"/>
      <c r="WTR14"/>
      <c r="WTS14"/>
      <c r="WTT14"/>
      <c r="WTU14"/>
      <c r="WTV14"/>
      <c r="WTW14"/>
      <c r="WTX14"/>
      <c r="WTY14"/>
      <c r="WTZ14"/>
      <c r="WUA14"/>
      <c r="WUB14"/>
      <c r="WUC14"/>
      <c r="WUD14"/>
      <c r="WUE14"/>
      <c r="WUF14"/>
      <c r="WUG14"/>
      <c r="WUH14"/>
      <c r="WUI14"/>
      <c r="WUJ14"/>
      <c r="WUK14"/>
      <c r="WUL14"/>
      <c r="WUM14"/>
      <c r="WUN14"/>
      <c r="WUO14"/>
      <c r="WUP14"/>
      <c r="WUQ14"/>
      <c r="WUR14"/>
      <c r="WUS14"/>
      <c r="WUT14"/>
      <c r="WUU14"/>
      <c r="WUV14"/>
      <c r="WUW14"/>
      <c r="WUX14"/>
      <c r="WUY14"/>
      <c r="WUZ14"/>
      <c r="WVA14"/>
      <c r="WVB14"/>
      <c r="WVC14"/>
      <c r="WVD14"/>
      <c r="WVE14"/>
      <c r="WVF14"/>
      <c r="WVG14"/>
      <c r="WVH14"/>
      <c r="WVI14"/>
      <c r="WVJ14"/>
      <c r="WVK14"/>
      <c r="WVL14"/>
      <c r="WVM14"/>
      <c r="WVN14"/>
      <c r="WVO14"/>
      <c r="WVP14"/>
      <c r="WVQ14"/>
      <c r="WVR14"/>
      <c r="WVS14"/>
      <c r="WVT14"/>
      <c r="WVU14"/>
      <c r="WVV14"/>
      <c r="WVW14"/>
      <c r="WVX14"/>
      <c r="WVY14"/>
      <c r="WVZ14"/>
      <c r="WWA14"/>
      <c r="WWB14"/>
      <c r="WWC14"/>
      <c r="WWD14"/>
      <c r="WWE14"/>
      <c r="WWF14"/>
      <c r="WWG14"/>
      <c r="WWH14"/>
      <c r="WWI14"/>
      <c r="WWJ14"/>
      <c r="WWK14"/>
      <c r="WWL14"/>
      <c r="WWM14"/>
      <c r="WWN14"/>
      <c r="WWO14"/>
      <c r="WWP14"/>
      <c r="WWQ14"/>
      <c r="WWR14"/>
      <c r="WWS14"/>
      <c r="WWT14"/>
      <c r="WWU14"/>
      <c r="WWV14"/>
      <c r="WWW14"/>
      <c r="WWX14"/>
      <c r="WWY14"/>
      <c r="WWZ14"/>
      <c r="WXA14"/>
      <c r="WXB14"/>
      <c r="WXC14"/>
      <c r="WXD14"/>
      <c r="WXE14"/>
      <c r="WXF14"/>
      <c r="WXG14"/>
      <c r="WXH14"/>
      <c r="WXI14"/>
      <c r="WXJ14"/>
      <c r="WXK14"/>
      <c r="WXL14"/>
      <c r="WXM14"/>
      <c r="WXN14"/>
      <c r="WXO14"/>
      <c r="WXP14"/>
      <c r="WXQ14"/>
      <c r="WXR14"/>
      <c r="WXS14"/>
      <c r="WXT14"/>
      <c r="WXU14"/>
      <c r="WXV14"/>
      <c r="WXW14"/>
      <c r="WXX14"/>
      <c r="WXY14"/>
      <c r="WXZ14"/>
      <c r="WYA14"/>
      <c r="WYB14"/>
      <c r="WYC14"/>
      <c r="WYD14"/>
      <c r="WYE14"/>
      <c r="WYF14"/>
      <c r="WYG14"/>
      <c r="WYH14"/>
      <c r="WYI14"/>
      <c r="WYJ14"/>
      <c r="WYK14"/>
      <c r="WYL14"/>
      <c r="WYM14"/>
      <c r="WYN14"/>
      <c r="WYO14"/>
      <c r="WYP14"/>
      <c r="WYQ14"/>
      <c r="WYR14"/>
      <c r="WYS14"/>
      <c r="WYT14"/>
      <c r="WYU14"/>
      <c r="WYV14"/>
      <c r="WYW14"/>
      <c r="WYX14"/>
      <c r="WYY14"/>
      <c r="WYZ14"/>
      <c r="WZA14"/>
      <c r="WZB14"/>
      <c r="WZC14"/>
      <c r="WZD14"/>
      <c r="WZE14"/>
      <c r="WZF14"/>
      <c r="WZG14"/>
      <c r="WZH14"/>
      <c r="WZI14"/>
      <c r="WZJ14"/>
      <c r="WZK14"/>
      <c r="WZL14"/>
      <c r="WZM14"/>
      <c r="WZN14"/>
      <c r="WZO14"/>
      <c r="WZP14"/>
      <c r="WZQ14"/>
      <c r="WZR14"/>
      <c r="WZS14"/>
      <c r="WZT14"/>
      <c r="WZU14"/>
      <c r="WZV14"/>
      <c r="WZW14"/>
      <c r="WZX14"/>
      <c r="WZY14"/>
      <c r="WZZ14"/>
      <c r="XAA14"/>
      <c r="XAB14"/>
      <c r="XAC14"/>
      <c r="XAD14"/>
      <c r="XAE14"/>
      <c r="XAF14"/>
      <c r="XAG14"/>
      <c r="XAH14"/>
      <c r="XAI14"/>
      <c r="XAJ14"/>
      <c r="XAK14"/>
      <c r="XAL14"/>
      <c r="XAM14"/>
      <c r="XAN14"/>
      <c r="XAO14"/>
      <c r="XAP14"/>
      <c r="XAQ14"/>
      <c r="XAR14"/>
      <c r="XAS14"/>
      <c r="XAT14"/>
      <c r="XAU14"/>
      <c r="XAV14"/>
      <c r="XAW14"/>
      <c r="XAX14"/>
      <c r="XAY14"/>
      <c r="XAZ14"/>
      <c r="XBA14"/>
      <c r="XBB14"/>
      <c r="XBC14"/>
      <c r="XBD14"/>
      <c r="XBE14"/>
      <c r="XBF14"/>
      <c r="XBG14"/>
      <c r="XBH14"/>
      <c r="XBI14"/>
      <c r="XBJ14"/>
      <c r="XBK14"/>
      <c r="XBL14"/>
      <c r="XBM14"/>
      <c r="XBN14"/>
      <c r="XBO14"/>
      <c r="XBP14"/>
      <c r="XBQ14"/>
      <c r="XBR14"/>
      <c r="XBS14"/>
      <c r="XBT14"/>
      <c r="XBU14"/>
      <c r="XBV14"/>
      <c r="XBW14"/>
      <c r="XBX14"/>
      <c r="XBY14"/>
      <c r="XBZ14"/>
      <c r="XCA14"/>
      <c r="XCB14"/>
      <c r="XCC14"/>
      <c r="XCD14"/>
      <c r="XCE14"/>
      <c r="XCF14"/>
      <c r="XCG14"/>
      <c r="XCH14"/>
      <c r="XCI14"/>
      <c r="XCJ14"/>
      <c r="XCK14"/>
      <c r="XCL14"/>
      <c r="XCM14"/>
      <c r="XCN14"/>
      <c r="XCO14"/>
      <c r="XCP14"/>
      <c r="XCQ14"/>
      <c r="XCR14"/>
      <c r="XCS14"/>
      <c r="XCT14"/>
      <c r="XCU14"/>
      <c r="XCV14"/>
      <c r="XCW14"/>
      <c r="XCX14"/>
      <c r="XCY14"/>
      <c r="XCZ14"/>
      <c r="XDA14"/>
      <c r="XDB14"/>
      <c r="XDC14"/>
      <c r="XDD14"/>
      <c r="XDE14"/>
      <c r="XDF14"/>
      <c r="XDG14"/>
      <c r="XDH14"/>
      <c r="XDI14"/>
      <c r="XDJ14"/>
      <c r="XDK14"/>
      <c r="XDL14"/>
      <c r="XDM14"/>
      <c r="XDN14"/>
      <c r="XDO14"/>
      <c r="XDP14"/>
      <c r="XDQ14"/>
      <c r="XDR14"/>
      <c r="XDS14"/>
      <c r="XDT14"/>
      <c r="XDU14"/>
      <c r="XDV14"/>
      <c r="XDW14"/>
      <c r="XDX14"/>
      <c r="XDY14"/>
      <c r="XDZ14"/>
      <c r="XEA14"/>
      <c r="XEB14"/>
      <c r="XEC14"/>
      <c r="XED14"/>
      <c r="XEE14"/>
      <c r="XEF14"/>
      <c r="XEG14"/>
      <c r="XEH14"/>
      <c r="XEI14"/>
      <c r="XEJ14"/>
      <c r="XEK14"/>
      <c r="XEL14"/>
      <c r="XEM14"/>
      <c r="XEN14"/>
      <c r="XEO14"/>
      <c r="XEP14"/>
      <c r="XEQ14"/>
      <c r="XER14"/>
      <c r="XES14"/>
      <c r="XET14"/>
      <c r="XEU14"/>
      <c r="XEV14"/>
      <c r="XEW14"/>
      <c r="XEX14"/>
      <c r="XEY14"/>
      <c r="XEZ14"/>
      <c r="XFA14"/>
      <c r="XFB14"/>
    </row>
    <row r="15" spans="1:16382" s="44" customFormat="1" x14ac:dyDescent="0.35">
      <c r="A15"/>
      <c r="B15" t="s">
        <v>914</v>
      </c>
      <c r="C15" s="25" t="s">
        <v>253</v>
      </c>
      <c r="D15" s="26" t="s">
        <v>254</v>
      </c>
      <c r="E15" s="26" t="s">
        <v>255</v>
      </c>
      <c r="F15" s="26"/>
      <c r="G15" s="26"/>
      <c r="H15" s="26"/>
      <c r="I15" s="26" t="s">
        <v>258</v>
      </c>
      <c r="J15" s="27"/>
      <c r="K15" s="26" t="s">
        <v>82</v>
      </c>
      <c r="L15" s="37">
        <v>2250</v>
      </c>
      <c r="M15" s="37">
        <v>2250</v>
      </c>
      <c r="N15" s="16">
        <f t="shared" si="0"/>
        <v>-4414.2151898734173</v>
      </c>
      <c r="O15" s="37">
        <v>2250</v>
      </c>
      <c r="P15" s="37">
        <v>2250</v>
      </c>
      <c r="Q15" s="16">
        <f t="shared" si="1"/>
        <v>-476.48571428571432</v>
      </c>
      <c r="R15" s="37">
        <v>1000</v>
      </c>
      <c r="S15" s="37">
        <v>1000</v>
      </c>
      <c r="T15" s="16">
        <f t="shared" si="2"/>
        <v>-152.68852459016395</v>
      </c>
      <c r="U15" s="37">
        <v>0</v>
      </c>
      <c r="V15" s="37">
        <v>0</v>
      </c>
      <c r="W15" s="16">
        <f t="shared" si="3"/>
        <v>0</v>
      </c>
      <c r="X15" s="37">
        <v>0</v>
      </c>
      <c r="Y15" s="37">
        <v>0</v>
      </c>
      <c r="Z15" s="16">
        <f t="shared" si="4"/>
        <v>0</v>
      </c>
      <c r="AA15" s="37">
        <v>0</v>
      </c>
      <c r="AB15" s="37">
        <v>0</v>
      </c>
      <c r="AC15" s="16">
        <f t="shared" si="5"/>
        <v>0</v>
      </c>
      <c r="AD15" s="31" t="s">
        <v>82</v>
      </c>
      <c r="AE15" s="5">
        <v>1</v>
      </c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  <c r="AJY15"/>
      <c r="AJZ15"/>
      <c r="AKA15"/>
      <c r="AKB15"/>
      <c r="AKC15"/>
      <c r="AKD15"/>
      <c r="AKE15"/>
      <c r="AKF15"/>
      <c r="AKG15"/>
      <c r="AKH15"/>
      <c r="AKI15"/>
      <c r="AKJ15"/>
      <c r="AKK15"/>
      <c r="AKL15"/>
      <c r="AKM15"/>
      <c r="AKN15"/>
      <c r="AKO15"/>
      <c r="AKP15"/>
      <c r="AKQ15"/>
      <c r="AKR15"/>
      <c r="AKS15"/>
      <c r="AKT15"/>
      <c r="AKU15"/>
      <c r="AKV15"/>
      <c r="AKW15"/>
      <c r="AKX15"/>
      <c r="AKY15"/>
      <c r="AKZ15"/>
      <c r="ALA15"/>
      <c r="ALB15"/>
      <c r="ALC15"/>
      <c r="ALD15"/>
      <c r="ALE15"/>
      <c r="ALF15"/>
      <c r="ALG15"/>
      <c r="ALH15"/>
      <c r="ALI15"/>
      <c r="ALJ15"/>
      <c r="ALK15"/>
      <c r="ALL15"/>
      <c r="ALM15"/>
      <c r="ALN15"/>
      <c r="ALO15"/>
      <c r="ALP15"/>
      <c r="ALQ15"/>
      <c r="ALR15"/>
      <c r="ALS15"/>
      <c r="ALT15"/>
      <c r="ALU15"/>
      <c r="ALV15"/>
      <c r="ALW15"/>
      <c r="ALX15"/>
      <c r="ALY15"/>
      <c r="ALZ15"/>
      <c r="AMA15"/>
      <c r="AMB15"/>
      <c r="AMC15"/>
      <c r="AMD15"/>
      <c r="AME15"/>
      <c r="AMF15"/>
      <c r="AMG15"/>
      <c r="AMH15"/>
      <c r="AMI15"/>
      <c r="AMJ15"/>
      <c r="AMK15"/>
      <c r="AML15"/>
      <c r="AMM15"/>
      <c r="AMN15"/>
      <c r="AMO15"/>
      <c r="AMP15"/>
      <c r="AMQ15"/>
      <c r="AMR15"/>
      <c r="AMS15"/>
      <c r="AMT15"/>
      <c r="AMU15"/>
      <c r="AMV15"/>
      <c r="AMW15"/>
      <c r="AMX15"/>
      <c r="AMY15"/>
      <c r="AMZ15"/>
      <c r="ANA15"/>
      <c r="ANB15"/>
      <c r="ANC15"/>
      <c r="AND15"/>
      <c r="ANE15"/>
      <c r="ANF15"/>
      <c r="ANG15"/>
      <c r="ANH15"/>
      <c r="ANI15"/>
      <c r="ANJ15"/>
      <c r="ANK15"/>
      <c r="ANL15"/>
      <c r="ANM15"/>
      <c r="ANN15"/>
      <c r="ANO15"/>
      <c r="ANP15"/>
      <c r="ANQ15"/>
      <c r="ANR15"/>
      <c r="ANS15"/>
      <c r="ANT15"/>
      <c r="ANU15"/>
      <c r="ANV15"/>
      <c r="ANW15"/>
      <c r="ANX15"/>
      <c r="ANY15"/>
      <c r="ANZ15"/>
      <c r="AOA15"/>
      <c r="AOB15"/>
      <c r="AOC15"/>
      <c r="AOD15"/>
      <c r="AOE15"/>
      <c r="AOF15"/>
      <c r="AOG15"/>
      <c r="AOH15"/>
      <c r="AOI15"/>
      <c r="AOJ15"/>
      <c r="AOK15"/>
      <c r="AOL15"/>
      <c r="AOM15"/>
      <c r="AON15"/>
      <c r="AOO15"/>
      <c r="AOP15"/>
      <c r="AOQ15"/>
      <c r="AOR15"/>
      <c r="AOS15"/>
      <c r="AOT15"/>
      <c r="AOU15"/>
      <c r="AOV15"/>
      <c r="AOW15"/>
      <c r="AOX15"/>
      <c r="AOY15"/>
      <c r="AOZ15"/>
      <c r="APA15"/>
      <c r="APB15"/>
      <c r="APC15"/>
      <c r="APD15"/>
      <c r="APE15"/>
      <c r="APF15"/>
      <c r="APG15"/>
      <c r="APH15"/>
      <c r="API15"/>
      <c r="APJ15"/>
      <c r="APK15"/>
      <c r="APL15"/>
      <c r="APM15"/>
      <c r="APN15"/>
      <c r="APO15"/>
      <c r="APP15"/>
      <c r="APQ15"/>
      <c r="APR15"/>
      <c r="APS15"/>
      <c r="APT15"/>
      <c r="APU15"/>
      <c r="APV15"/>
      <c r="APW15"/>
      <c r="APX15"/>
      <c r="APY15"/>
      <c r="APZ15"/>
      <c r="AQA15"/>
      <c r="AQB15"/>
      <c r="AQC15"/>
      <c r="AQD15"/>
      <c r="AQE15"/>
      <c r="AQF15"/>
      <c r="AQG15"/>
      <c r="AQH15"/>
      <c r="AQI15"/>
      <c r="AQJ15"/>
      <c r="AQK15"/>
      <c r="AQL15"/>
      <c r="AQM15"/>
      <c r="AQN15"/>
      <c r="AQO15"/>
      <c r="AQP15"/>
      <c r="AQQ15"/>
      <c r="AQR15"/>
      <c r="AQS15"/>
      <c r="AQT15"/>
      <c r="AQU15"/>
      <c r="AQV15"/>
      <c r="AQW15"/>
      <c r="AQX15"/>
      <c r="AQY15"/>
      <c r="AQZ15"/>
      <c r="ARA15"/>
      <c r="ARB15"/>
      <c r="ARC15"/>
      <c r="ARD15"/>
      <c r="ARE15"/>
      <c r="ARF15"/>
      <c r="ARG15"/>
      <c r="ARH15"/>
      <c r="ARI15"/>
      <c r="ARJ15"/>
      <c r="ARK15"/>
      <c r="ARL15"/>
      <c r="ARM15"/>
      <c r="ARN15"/>
      <c r="ARO15"/>
      <c r="ARP15"/>
      <c r="ARQ15"/>
      <c r="ARR15"/>
      <c r="ARS15"/>
      <c r="ART15"/>
      <c r="ARU15"/>
      <c r="ARV15"/>
      <c r="ARW15"/>
      <c r="ARX15"/>
      <c r="ARY15"/>
      <c r="ARZ15"/>
      <c r="ASA15"/>
      <c r="ASB15"/>
      <c r="ASC15"/>
      <c r="ASD15"/>
      <c r="ASE15"/>
      <c r="ASF15"/>
      <c r="ASG15"/>
      <c r="ASH15"/>
      <c r="ASI15"/>
      <c r="ASJ15"/>
      <c r="ASK15"/>
      <c r="ASL15"/>
      <c r="ASM15"/>
      <c r="ASN15"/>
      <c r="ASO15"/>
      <c r="ASP15"/>
      <c r="ASQ15"/>
      <c r="ASR15"/>
      <c r="ASS15"/>
      <c r="AST15"/>
      <c r="ASU15"/>
      <c r="ASV15"/>
      <c r="ASW15"/>
      <c r="ASX15"/>
      <c r="ASY15"/>
      <c r="ASZ15"/>
      <c r="ATA15"/>
      <c r="ATB15"/>
      <c r="ATC15"/>
      <c r="ATD15"/>
      <c r="ATE15"/>
      <c r="ATF15"/>
      <c r="ATG15"/>
      <c r="ATH15"/>
      <c r="ATI15"/>
      <c r="ATJ15"/>
      <c r="ATK15"/>
      <c r="ATL15"/>
      <c r="ATM15"/>
      <c r="ATN15"/>
      <c r="ATO15"/>
      <c r="ATP15"/>
      <c r="ATQ15"/>
      <c r="ATR15"/>
      <c r="ATS15"/>
      <c r="ATT15"/>
      <c r="ATU15"/>
      <c r="ATV15"/>
      <c r="ATW15"/>
      <c r="ATX15"/>
      <c r="ATY15"/>
      <c r="ATZ15"/>
      <c r="AUA15"/>
      <c r="AUB15"/>
      <c r="AUC15"/>
      <c r="AUD15"/>
      <c r="AUE15"/>
      <c r="AUF15"/>
      <c r="AUG15"/>
      <c r="AUH15"/>
      <c r="AUI15"/>
      <c r="AUJ15"/>
      <c r="AUK15"/>
      <c r="AUL15"/>
      <c r="AUM15"/>
      <c r="AUN15"/>
      <c r="AUO15"/>
      <c r="AUP15"/>
      <c r="AUQ15"/>
      <c r="AUR15"/>
      <c r="AUS15"/>
      <c r="AUT15"/>
      <c r="AUU15"/>
      <c r="AUV15"/>
      <c r="AUW15"/>
      <c r="AUX15"/>
      <c r="AUY15"/>
      <c r="AUZ15"/>
      <c r="AVA15"/>
      <c r="AVB15"/>
      <c r="AVC15"/>
      <c r="AVD15"/>
      <c r="AVE15"/>
      <c r="AVF15"/>
      <c r="AVG15"/>
      <c r="AVH15"/>
      <c r="AVI15"/>
      <c r="AVJ15"/>
      <c r="AVK15"/>
      <c r="AVL15"/>
      <c r="AVM15"/>
      <c r="AVN15"/>
      <c r="AVO15"/>
      <c r="AVP15"/>
      <c r="AVQ15"/>
      <c r="AVR15"/>
      <c r="AVS15"/>
      <c r="AVT15"/>
      <c r="AVU15"/>
      <c r="AVV15"/>
      <c r="AVW15"/>
      <c r="AVX15"/>
      <c r="AVY15"/>
      <c r="AVZ15"/>
      <c r="AWA15"/>
      <c r="AWB15"/>
      <c r="AWC15"/>
      <c r="AWD15"/>
      <c r="AWE15"/>
      <c r="AWF15"/>
      <c r="AWG15"/>
      <c r="AWH15"/>
      <c r="AWI15"/>
      <c r="AWJ15"/>
      <c r="AWK15"/>
      <c r="AWL15"/>
      <c r="AWM15"/>
      <c r="AWN15"/>
      <c r="AWO15"/>
      <c r="AWP15"/>
      <c r="AWQ15"/>
      <c r="AWR15"/>
      <c r="AWS15"/>
      <c r="AWT15"/>
      <c r="AWU15"/>
      <c r="AWV15"/>
      <c r="AWW15"/>
      <c r="AWX15"/>
      <c r="AWY15"/>
      <c r="AWZ15"/>
      <c r="AXA15"/>
      <c r="AXB15"/>
      <c r="AXC15"/>
      <c r="AXD15"/>
      <c r="AXE15"/>
      <c r="AXF15"/>
      <c r="AXG15"/>
      <c r="AXH15"/>
      <c r="AXI15"/>
      <c r="AXJ15"/>
      <c r="AXK15"/>
      <c r="AXL15"/>
      <c r="AXM15"/>
      <c r="AXN15"/>
      <c r="AXO15"/>
      <c r="AXP15"/>
      <c r="AXQ15"/>
      <c r="AXR15"/>
      <c r="AXS15"/>
      <c r="AXT15"/>
      <c r="AXU15"/>
      <c r="AXV15"/>
      <c r="AXW15"/>
      <c r="AXX15"/>
      <c r="AXY15"/>
      <c r="AXZ15"/>
      <c r="AYA15"/>
      <c r="AYB15"/>
      <c r="AYC15"/>
      <c r="AYD15"/>
      <c r="AYE15"/>
      <c r="AYF15"/>
      <c r="AYG15"/>
      <c r="AYH15"/>
      <c r="AYI15"/>
      <c r="AYJ15"/>
      <c r="AYK15"/>
      <c r="AYL15"/>
      <c r="AYM15"/>
      <c r="AYN15"/>
      <c r="AYO15"/>
      <c r="AYP15"/>
      <c r="AYQ15"/>
      <c r="AYR15"/>
      <c r="AYS15"/>
      <c r="AYT15"/>
      <c r="AYU15"/>
      <c r="AYV15"/>
      <c r="AYW15"/>
      <c r="AYX15"/>
      <c r="AYY15"/>
      <c r="AYZ15"/>
      <c r="AZA15"/>
      <c r="AZB15"/>
      <c r="AZC15"/>
      <c r="AZD15"/>
      <c r="AZE15"/>
      <c r="AZF15"/>
      <c r="AZG15"/>
      <c r="AZH15"/>
      <c r="AZI15"/>
      <c r="AZJ15"/>
      <c r="AZK15"/>
      <c r="AZL15"/>
      <c r="AZM15"/>
      <c r="AZN15"/>
      <c r="AZO15"/>
      <c r="AZP15"/>
      <c r="AZQ15"/>
      <c r="AZR15"/>
      <c r="AZS15"/>
      <c r="AZT15"/>
      <c r="AZU15"/>
      <c r="AZV15"/>
      <c r="AZW15"/>
      <c r="AZX15"/>
      <c r="AZY15"/>
      <c r="AZZ15"/>
      <c r="BAA15"/>
      <c r="BAB15"/>
      <c r="BAC15"/>
      <c r="BAD15"/>
      <c r="BAE15"/>
      <c r="BAF15"/>
      <c r="BAG15"/>
      <c r="BAH15"/>
      <c r="BAI15"/>
      <c r="BAJ15"/>
      <c r="BAK15"/>
      <c r="BAL15"/>
      <c r="BAM15"/>
      <c r="BAN15"/>
      <c r="BAO15"/>
      <c r="BAP15"/>
      <c r="BAQ15"/>
      <c r="BAR15"/>
      <c r="BAS15"/>
      <c r="BAT15"/>
      <c r="BAU15"/>
      <c r="BAV15"/>
      <c r="BAW15"/>
      <c r="BAX15"/>
      <c r="BAY15"/>
      <c r="BAZ15"/>
      <c r="BBA15"/>
      <c r="BBB15"/>
      <c r="BBC15"/>
      <c r="BBD15"/>
      <c r="BBE15"/>
      <c r="BBF15"/>
      <c r="BBG15"/>
      <c r="BBH15"/>
      <c r="BBI15"/>
      <c r="BBJ15"/>
      <c r="BBK15"/>
      <c r="BBL15"/>
      <c r="BBM15"/>
      <c r="BBN15"/>
      <c r="BBO15"/>
      <c r="BBP15"/>
      <c r="BBQ15"/>
      <c r="BBR15"/>
      <c r="BBS15"/>
      <c r="BBT15"/>
      <c r="BBU15"/>
      <c r="BBV15"/>
      <c r="BBW15"/>
      <c r="BBX15"/>
      <c r="BBY15"/>
      <c r="BBZ15"/>
      <c r="BCA15"/>
      <c r="BCB15"/>
      <c r="BCC15"/>
      <c r="BCD15"/>
      <c r="BCE15"/>
      <c r="BCF15"/>
      <c r="BCG15"/>
      <c r="BCH15"/>
      <c r="BCI15"/>
      <c r="BCJ15"/>
      <c r="BCK15"/>
      <c r="BCL15"/>
      <c r="BCM15"/>
      <c r="BCN15"/>
      <c r="BCO15"/>
      <c r="BCP15"/>
      <c r="BCQ15"/>
      <c r="BCR15"/>
      <c r="BCS15"/>
      <c r="BCT15"/>
      <c r="BCU15"/>
      <c r="BCV15"/>
      <c r="BCW15"/>
      <c r="BCX15"/>
      <c r="BCY15"/>
      <c r="BCZ15"/>
      <c r="BDA15"/>
      <c r="BDB15"/>
      <c r="BDC15"/>
      <c r="BDD15"/>
      <c r="BDE15"/>
      <c r="BDF15"/>
      <c r="BDG15"/>
      <c r="BDH15"/>
      <c r="BDI15"/>
      <c r="BDJ15"/>
      <c r="BDK15"/>
      <c r="BDL15"/>
      <c r="BDM15"/>
      <c r="BDN15"/>
      <c r="BDO15"/>
      <c r="BDP15"/>
      <c r="BDQ15"/>
      <c r="BDR15"/>
      <c r="BDS15"/>
      <c r="BDT15"/>
      <c r="BDU15"/>
      <c r="BDV15"/>
      <c r="BDW15"/>
      <c r="BDX15"/>
      <c r="BDY15"/>
      <c r="BDZ15"/>
      <c r="BEA15"/>
      <c r="BEB15"/>
      <c r="BEC15"/>
      <c r="BED15"/>
      <c r="BEE15"/>
      <c r="BEF15"/>
      <c r="BEG15"/>
      <c r="BEH15"/>
      <c r="BEI15"/>
      <c r="BEJ15"/>
      <c r="BEK15"/>
      <c r="BEL15"/>
      <c r="BEM15"/>
      <c r="BEN15"/>
      <c r="BEO15"/>
      <c r="BEP15"/>
      <c r="BEQ15"/>
      <c r="BER15"/>
      <c r="BES15"/>
      <c r="BET15"/>
      <c r="BEU15"/>
      <c r="BEV15"/>
      <c r="BEW15"/>
      <c r="BEX15"/>
      <c r="BEY15"/>
      <c r="BEZ15"/>
      <c r="BFA15"/>
      <c r="BFB15"/>
      <c r="BFC15"/>
      <c r="BFD15"/>
      <c r="BFE15"/>
      <c r="BFF15"/>
      <c r="BFG15"/>
      <c r="BFH15"/>
      <c r="BFI15"/>
      <c r="BFJ15"/>
      <c r="BFK15"/>
      <c r="BFL15"/>
      <c r="BFM15"/>
      <c r="BFN15"/>
      <c r="BFO15"/>
      <c r="BFP15"/>
      <c r="BFQ15"/>
      <c r="BFR15"/>
      <c r="BFS15"/>
      <c r="BFT15"/>
      <c r="BFU15"/>
      <c r="BFV15"/>
      <c r="BFW15"/>
      <c r="BFX15"/>
      <c r="BFY15"/>
      <c r="BFZ15"/>
      <c r="BGA15"/>
      <c r="BGB15"/>
      <c r="BGC15"/>
      <c r="BGD15"/>
      <c r="BGE15"/>
      <c r="BGF15"/>
      <c r="BGG15"/>
      <c r="BGH15"/>
      <c r="BGI15"/>
      <c r="BGJ15"/>
      <c r="BGK15"/>
      <c r="BGL15"/>
      <c r="BGM15"/>
      <c r="BGN15"/>
      <c r="BGO15"/>
      <c r="BGP15"/>
      <c r="BGQ15"/>
      <c r="BGR15"/>
      <c r="BGS15"/>
      <c r="BGT15"/>
      <c r="BGU15"/>
      <c r="BGV15"/>
      <c r="BGW15"/>
      <c r="BGX15"/>
      <c r="BGY15"/>
      <c r="BGZ15"/>
      <c r="BHA15"/>
      <c r="BHB15"/>
      <c r="BHC15"/>
      <c r="BHD15"/>
      <c r="BHE15"/>
      <c r="BHF15"/>
      <c r="BHG15"/>
      <c r="BHH15"/>
      <c r="BHI15"/>
      <c r="BHJ15"/>
      <c r="BHK15"/>
      <c r="BHL15"/>
      <c r="BHM15"/>
      <c r="BHN15"/>
      <c r="BHO15"/>
      <c r="BHP15"/>
      <c r="BHQ15"/>
      <c r="BHR15"/>
      <c r="BHS15"/>
      <c r="BHT15"/>
      <c r="BHU15"/>
      <c r="BHV15"/>
      <c r="BHW15"/>
      <c r="BHX15"/>
      <c r="BHY15"/>
      <c r="BHZ15"/>
      <c r="BIA15"/>
      <c r="BIB15"/>
      <c r="BIC15"/>
      <c r="BID15"/>
      <c r="BIE15"/>
      <c r="BIF15"/>
      <c r="BIG15"/>
      <c r="BIH15"/>
      <c r="BII15"/>
      <c r="BIJ15"/>
      <c r="BIK15"/>
      <c r="BIL15"/>
      <c r="BIM15"/>
      <c r="BIN15"/>
      <c r="BIO15"/>
      <c r="BIP15"/>
      <c r="BIQ15"/>
      <c r="BIR15"/>
      <c r="BIS15"/>
      <c r="BIT15"/>
      <c r="BIU15"/>
      <c r="BIV15"/>
      <c r="BIW15"/>
      <c r="BIX15"/>
      <c r="BIY15"/>
      <c r="BIZ15"/>
      <c r="BJA15"/>
      <c r="BJB15"/>
      <c r="BJC15"/>
      <c r="BJD15"/>
      <c r="BJE15"/>
      <c r="BJF15"/>
      <c r="BJG15"/>
      <c r="BJH15"/>
      <c r="BJI15"/>
      <c r="BJJ15"/>
      <c r="BJK15"/>
      <c r="BJL15"/>
      <c r="BJM15"/>
      <c r="BJN15"/>
      <c r="BJO15"/>
      <c r="BJP15"/>
      <c r="BJQ15"/>
      <c r="BJR15"/>
      <c r="BJS15"/>
      <c r="BJT15"/>
      <c r="BJU15"/>
      <c r="BJV15"/>
      <c r="BJW15"/>
      <c r="BJX15"/>
      <c r="BJY15"/>
      <c r="BJZ15"/>
      <c r="BKA15"/>
      <c r="BKB15"/>
      <c r="BKC15"/>
      <c r="BKD15"/>
      <c r="BKE15"/>
      <c r="BKF15"/>
      <c r="BKG15"/>
      <c r="BKH15"/>
      <c r="BKI15"/>
      <c r="BKJ15"/>
      <c r="BKK15"/>
      <c r="BKL15"/>
      <c r="BKM15"/>
      <c r="BKN15"/>
      <c r="BKO15"/>
      <c r="BKP15"/>
      <c r="BKQ15"/>
      <c r="BKR15"/>
      <c r="BKS15"/>
      <c r="BKT15"/>
      <c r="BKU15"/>
      <c r="BKV15"/>
      <c r="BKW15"/>
      <c r="BKX15"/>
      <c r="BKY15"/>
      <c r="BKZ15"/>
      <c r="BLA15"/>
      <c r="BLB15"/>
      <c r="BLC15"/>
      <c r="BLD15"/>
      <c r="BLE15"/>
      <c r="BLF15"/>
      <c r="BLG15"/>
      <c r="BLH15"/>
      <c r="BLI15"/>
      <c r="BLJ15"/>
      <c r="BLK15"/>
      <c r="BLL15"/>
      <c r="BLM15"/>
      <c r="BLN15"/>
      <c r="BLO15"/>
      <c r="BLP15"/>
      <c r="BLQ15"/>
      <c r="BLR15"/>
      <c r="BLS15"/>
      <c r="BLT15"/>
      <c r="BLU15"/>
      <c r="BLV15"/>
      <c r="BLW15"/>
      <c r="BLX15"/>
      <c r="BLY15"/>
      <c r="BLZ15"/>
      <c r="BMA15"/>
      <c r="BMB15"/>
      <c r="BMC15"/>
      <c r="BMD15"/>
      <c r="BME15"/>
      <c r="BMF15"/>
      <c r="BMG15"/>
      <c r="BMH15"/>
      <c r="BMI15"/>
      <c r="BMJ15"/>
      <c r="BMK15"/>
      <c r="BML15"/>
      <c r="BMM15"/>
      <c r="BMN15"/>
      <c r="BMO15"/>
      <c r="BMP15"/>
      <c r="BMQ15"/>
      <c r="BMR15"/>
      <c r="BMS15"/>
      <c r="BMT15"/>
      <c r="BMU15"/>
      <c r="BMV15"/>
      <c r="BMW15"/>
      <c r="BMX15"/>
      <c r="BMY15"/>
      <c r="BMZ15"/>
      <c r="BNA15"/>
      <c r="BNB15"/>
      <c r="BNC15"/>
      <c r="BND15"/>
      <c r="BNE15"/>
      <c r="BNF15"/>
      <c r="BNG15"/>
      <c r="BNH15"/>
      <c r="BNI15"/>
      <c r="BNJ15"/>
      <c r="BNK15"/>
      <c r="BNL15"/>
      <c r="BNM15"/>
      <c r="BNN15"/>
      <c r="BNO15"/>
      <c r="BNP15"/>
      <c r="BNQ15"/>
      <c r="BNR15"/>
      <c r="BNS15"/>
      <c r="BNT15"/>
      <c r="BNU15"/>
      <c r="BNV15"/>
      <c r="BNW15"/>
      <c r="BNX15"/>
      <c r="BNY15"/>
      <c r="BNZ15"/>
      <c r="BOA15"/>
      <c r="BOB15"/>
      <c r="BOC15"/>
      <c r="BOD15"/>
      <c r="BOE15"/>
      <c r="BOF15"/>
      <c r="BOG15"/>
      <c r="BOH15"/>
      <c r="BOI15"/>
      <c r="BOJ15"/>
      <c r="BOK15"/>
      <c r="BOL15"/>
      <c r="BOM15"/>
      <c r="BON15"/>
      <c r="BOO15"/>
      <c r="BOP15"/>
      <c r="BOQ15"/>
      <c r="BOR15"/>
      <c r="BOS15"/>
      <c r="BOT15"/>
      <c r="BOU15"/>
      <c r="BOV15"/>
      <c r="BOW15"/>
      <c r="BOX15"/>
      <c r="BOY15"/>
      <c r="BOZ15"/>
      <c r="BPA15"/>
      <c r="BPB15"/>
      <c r="BPC15"/>
      <c r="BPD15"/>
      <c r="BPE15"/>
      <c r="BPF15"/>
      <c r="BPG15"/>
      <c r="BPH15"/>
      <c r="BPI15"/>
      <c r="BPJ15"/>
      <c r="BPK15"/>
      <c r="BPL15"/>
      <c r="BPM15"/>
      <c r="BPN15"/>
      <c r="BPO15"/>
      <c r="BPP15"/>
      <c r="BPQ15"/>
      <c r="BPR15"/>
      <c r="BPS15"/>
      <c r="BPT15"/>
      <c r="BPU15"/>
      <c r="BPV15"/>
      <c r="BPW15"/>
      <c r="BPX15"/>
      <c r="BPY15"/>
      <c r="BPZ15"/>
      <c r="BQA15"/>
      <c r="BQB15"/>
      <c r="BQC15"/>
      <c r="BQD15"/>
      <c r="BQE15"/>
      <c r="BQF15"/>
      <c r="BQG15"/>
      <c r="BQH15"/>
      <c r="BQI15"/>
      <c r="BQJ15"/>
      <c r="BQK15"/>
      <c r="BQL15"/>
      <c r="BQM15"/>
      <c r="BQN15"/>
      <c r="BQO15"/>
      <c r="BQP15"/>
      <c r="BQQ15"/>
      <c r="BQR15"/>
      <c r="BQS15"/>
      <c r="BQT15"/>
      <c r="BQU15"/>
      <c r="BQV15"/>
      <c r="BQW15"/>
      <c r="BQX15"/>
      <c r="BQY15"/>
      <c r="BQZ15"/>
      <c r="BRA15"/>
      <c r="BRB15"/>
      <c r="BRC15"/>
      <c r="BRD15"/>
      <c r="BRE15"/>
      <c r="BRF15"/>
      <c r="BRG15"/>
      <c r="BRH15"/>
      <c r="BRI15"/>
      <c r="BRJ15"/>
      <c r="BRK15"/>
      <c r="BRL15"/>
      <c r="BRM15"/>
      <c r="BRN15"/>
      <c r="BRO15"/>
      <c r="BRP15"/>
      <c r="BRQ15"/>
      <c r="BRR15"/>
      <c r="BRS15"/>
      <c r="BRT15"/>
      <c r="BRU15"/>
      <c r="BRV15"/>
      <c r="BRW15"/>
      <c r="BRX15"/>
      <c r="BRY15"/>
      <c r="BRZ15"/>
      <c r="BSA15"/>
      <c r="BSB15"/>
      <c r="BSC15"/>
      <c r="BSD15"/>
      <c r="BSE15"/>
      <c r="BSF15"/>
      <c r="BSG15"/>
      <c r="BSH15"/>
      <c r="BSI15"/>
      <c r="BSJ15"/>
      <c r="BSK15"/>
      <c r="BSL15"/>
      <c r="BSM15"/>
      <c r="BSN15"/>
      <c r="BSO15"/>
      <c r="BSP15"/>
      <c r="BSQ15"/>
      <c r="BSR15"/>
      <c r="BSS15"/>
      <c r="BST15"/>
      <c r="BSU15"/>
      <c r="BSV15"/>
      <c r="BSW15"/>
      <c r="BSX15"/>
      <c r="BSY15"/>
      <c r="BSZ15"/>
      <c r="BTA15"/>
      <c r="BTB15"/>
      <c r="BTC15"/>
      <c r="BTD15"/>
      <c r="BTE15"/>
      <c r="BTF15"/>
      <c r="BTG15"/>
      <c r="BTH15"/>
      <c r="BTI15"/>
      <c r="BTJ15"/>
      <c r="BTK15"/>
      <c r="BTL15"/>
      <c r="BTM15"/>
      <c r="BTN15"/>
      <c r="BTO15"/>
      <c r="BTP15"/>
      <c r="BTQ15"/>
      <c r="BTR15"/>
      <c r="BTS15"/>
      <c r="BTT15"/>
      <c r="BTU15"/>
      <c r="BTV15"/>
      <c r="BTW15"/>
      <c r="BTX15"/>
      <c r="BTY15"/>
      <c r="BTZ15"/>
      <c r="BUA15"/>
      <c r="BUB15"/>
      <c r="BUC15"/>
      <c r="BUD15"/>
      <c r="BUE15"/>
      <c r="BUF15"/>
      <c r="BUG15"/>
      <c r="BUH15"/>
      <c r="BUI15"/>
      <c r="BUJ15"/>
      <c r="BUK15"/>
      <c r="BUL15"/>
      <c r="BUM15"/>
      <c r="BUN15"/>
      <c r="BUO15"/>
      <c r="BUP15"/>
      <c r="BUQ15"/>
      <c r="BUR15"/>
      <c r="BUS15"/>
      <c r="BUT15"/>
      <c r="BUU15"/>
      <c r="BUV15"/>
      <c r="BUW15"/>
      <c r="BUX15"/>
      <c r="BUY15"/>
      <c r="BUZ15"/>
      <c r="BVA15"/>
      <c r="BVB15"/>
      <c r="BVC15"/>
      <c r="BVD15"/>
      <c r="BVE15"/>
      <c r="BVF15"/>
      <c r="BVG15"/>
      <c r="BVH15"/>
      <c r="BVI15"/>
      <c r="BVJ15"/>
      <c r="BVK15"/>
      <c r="BVL15"/>
      <c r="BVM15"/>
      <c r="BVN15"/>
      <c r="BVO15"/>
      <c r="BVP15"/>
      <c r="BVQ15"/>
      <c r="BVR15"/>
      <c r="BVS15"/>
      <c r="BVT15"/>
      <c r="BVU15"/>
      <c r="BVV15"/>
      <c r="BVW15"/>
      <c r="BVX15"/>
      <c r="BVY15"/>
      <c r="BVZ15"/>
      <c r="BWA15"/>
      <c r="BWB15"/>
      <c r="BWC15"/>
      <c r="BWD15"/>
      <c r="BWE15"/>
      <c r="BWF15"/>
      <c r="BWG15"/>
      <c r="BWH15"/>
      <c r="BWI15"/>
      <c r="BWJ15"/>
      <c r="BWK15"/>
      <c r="BWL15"/>
      <c r="BWM15"/>
      <c r="BWN15"/>
      <c r="BWO15"/>
      <c r="BWP15"/>
      <c r="BWQ15"/>
      <c r="BWR15"/>
      <c r="BWS15"/>
      <c r="BWT15"/>
      <c r="BWU15"/>
      <c r="BWV15"/>
      <c r="BWW15"/>
      <c r="BWX15"/>
      <c r="BWY15"/>
      <c r="BWZ15"/>
      <c r="BXA15"/>
      <c r="BXB15"/>
      <c r="BXC15"/>
      <c r="BXD15"/>
      <c r="BXE15"/>
      <c r="BXF15"/>
      <c r="BXG15"/>
      <c r="BXH15"/>
      <c r="BXI15"/>
      <c r="BXJ15"/>
      <c r="BXK15"/>
      <c r="BXL15"/>
      <c r="BXM15"/>
      <c r="BXN15"/>
      <c r="BXO15"/>
      <c r="BXP15"/>
      <c r="BXQ15"/>
      <c r="BXR15"/>
      <c r="BXS15"/>
      <c r="BXT15"/>
      <c r="BXU15"/>
      <c r="BXV15"/>
      <c r="BXW15"/>
      <c r="BXX15"/>
      <c r="BXY15"/>
      <c r="BXZ15"/>
      <c r="BYA15"/>
      <c r="BYB15"/>
      <c r="BYC15"/>
      <c r="BYD15"/>
      <c r="BYE15"/>
      <c r="BYF15"/>
      <c r="BYG15"/>
      <c r="BYH15"/>
      <c r="BYI15"/>
      <c r="BYJ15"/>
      <c r="BYK15"/>
      <c r="BYL15"/>
      <c r="BYM15"/>
      <c r="BYN15"/>
      <c r="BYO15"/>
      <c r="BYP15"/>
      <c r="BYQ15"/>
      <c r="BYR15"/>
      <c r="BYS15"/>
      <c r="BYT15"/>
      <c r="BYU15"/>
      <c r="BYV15"/>
      <c r="BYW15"/>
      <c r="BYX15"/>
      <c r="BYY15"/>
      <c r="BYZ15"/>
      <c r="BZA15"/>
      <c r="BZB15"/>
      <c r="BZC15"/>
      <c r="BZD15"/>
      <c r="BZE15"/>
      <c r="BZF15"/>
      <c r="BZG15"/>
      <c r="BZH15"/>
      <c r="BZI15"/>
      <c r="BZJ15"/>
      <c r="BZK15"/>
      <c r="BZL15"/>
      <c r="BZM15"/>
      <c r="BZN15"/>
      <c r="BZO15"/>
      <c r="BZP15"/>
      <c r="BZQ15"/>
      <c r="BZR15"/>
      <c r="BZS15"/>
      <c r="BZT15"/>
      <c r="BZU15"/>
      <c r="BZV15"/>
      <c r="BZW15"/>
      <c r="BZX15"/>
      <c r="BZY15"/>
      <c r="BZZ15"/>
      <c r="CAA15"/>
      <c r="CAB15"/>
      <c r="CAC15"/>
      <c r="CAD15"/>
      <c r="CAE15"/>
      <c r="CAF15"/>
      <c r="CAG15"/>
      <c r="CAH15"/>
      <c r="CAI15"/>
      <c r="CAJ15"/>
      <c r="CAK15"/>
      <c r="CAL15"/>
      <c r="CAM15"/>
      <c r="CAN15"/>
      <c r="CAO15"/>
      <c r="CAP15"/>
      <c r="CAQ15"/>
      <c r="CAR15"/>
      <c r="CAS15"/>
      <c r="CAT15"/>
      <c r="CAU15"/>
      <c r="CAV15"/>
      <c r="CAW15"/>
      <c r="CAX15"/>
      <c r="CAY15"/>
      <c r="CAZ15"/>
      <c r="CBA15"/>
      <c r="CBB15"/>
      <c r="CBC15"/>
      <c r="CBD15"/>
      <c r="CBE15"/>
      <c r="CBF15"/>
      <c r="CBG15"/>
      <c r="CBH15"/>
      <c r="CBI15"/>
      <c r="CBJ15"/>
      <c r="CBK15"/>
      <c r="CBL15"/>
      <c r="CBM15"/>
      <c r="CBN15"/>
      <c r="CBO15"/>
      <c r="CBP15"/>
      <c r="CBQ15"/>
      <c r="CBR15"/>
      <c r="CBS15"/>
      <c r="CBT15"/>
      <c r="CBU15"/>
      <c r="CBV15"/>
      <c r="CBW15"/>
      <c r="CBX15"/>
      <c r="CBY15"/>
      <c r="CBZ15"/>
      <c r="CCA15"/>
      <c r="CCB15"/>
      <c r="CCC15"/>
      <c r="CCD15"/>
      <c r="CCE15"/>
      <c r="CCF15"/>
      <c r="CCG15"/>
      <c r="CCH15"/>
      <c r="CCI15"/>
      <c r="CCJ15"/>
      <c r="CCK15"/>
      <c r="CCL15"/>
      <c r="CCM15"/>
      <c r="CCN15"/>
      <c r="CCO15"/>
      <c r="CCP15"/>
      <c r="CCQ15"/>
      <c r="CCR15"/>
      <c r="CCS15"/>
      <c r="CCT15"/>
      <c r="CCU15"/>
      <c r="CCV15"/>
      <c r="CCW15"/>
      <c r="CCX15"/>
      <c r="CCY15"/>
      <c r="CCZ15"/>
      <c r="CDA15"/>
      <c r="CDB15"/>
      <c r="CDC15"/>
      <c r="CDD15"/>
      <c r="CDE15"/>
      <c r="CDF15"/>
      <c r="CDG15"/>
      <c r="CDH15"/>
      <c r="CDI15"/>
      <c r="CDJ15"/>
      <c r="CDK15"/>
      <c r="CDL15"/>
      <c r="CDM15"/>
      <c r="CDN15"/>
      <c r="CDO15"/>
      <c r="CDP15"/>
      <c r="CDQ15"/>
      <c r="CDR15"/>
      <c r="CDS15"/>
      <c r="CDT15"/>
      <c r="CDU15"/>
      <c r="CDV15"/>
      <c r="CDW15"/>
      <c r="CDX15"/>
      <c r="CDY15"/>
      <c r="CDZ15"/>
      <c r="CEA15"/>
      <c r="CEB15"/>
      <c r="CEC15"/>
      <c r="CED15"/>
      <c r="CEE15"/>
      <c r="CEF15"/>
      <c r="CEG15"/>
      <c r="CEH15"/>
      <c r="CEI15"/>
      <c r="CEJ15"/>
      <c r="CEK15"/>
      <c r="CEL15"/>
      <c r="CEM15"/>
      <c r="CEN15"/>
      <c r="CEO15"/>
      <c r="CEP15"/>
      <c r="CEQ15"/>
      <c r="CER15"/>
      <c r="CES15"/>
      <c r="CET15"/>
      <c r="CEU15"/>
      <c r="CEV15"/>
      <c r="CEW15"/>
      <c r="CEX15"/>
      <c r="CEY15"/>
      <c r="CEZ15"/>
      <c r="CFA15"/>
      <c r="CFB15"/>
      <c r="CFC15"/>
      <c r="CFD15"/>
      <c r="CFE15"/>
      <c r="CFF15"/>
      <c r="CFG15"/>
      <c r="CFH15"/>
      <c r="CFI15"/>
      <c r="CFJ15"/>
      <c r="CFK15"/>
      <c r="CFL15"/>
      <c r="CFM15"/>
      <c r="CFN15"/>
      <c r="CFO15"/>
      <c r="CFP15"/>
      <c r="CFQ15"/>
      <c r="CFR15"/>
      <c r="CFS15"/>
      <c r="CFT15"/>
      <c r="CFU15"/>
      <c r="CFV15"/>
      <c r="CFW15"/>
      <c r="CFX15"/>
      <c r="CFY15"/>
      <c r="CFZ15"/>
      <c r="CGA15"/>
      <c r="CGB15"/>
      <c r="CGC15"/>
      <c r="CGD15"/>
      <c r="CGE15"/>
      <c r="CGF15"/>
      <c r="CGG15"/>
      <c r="CGH15"/>
      <c r="CGI15"/>
      <c r="CGJ15"/>
      <c r="CGK15"/>
      <c r="CGL15"/>
      <c r="CGM15"/>
      <c r="CGN15"/>
      <c r="CGO15"/>
      <c r="CGP15"/>
      <c r="CGQ15"/>
      <c r="CGR15"/>
      <c r="CGS15"/>
      <c r="CGT15"/>
      <c r="CGU15"/>
      <c r="CGV15"/>
      <c r="CGW15"/>
      <c r="CGX15"/>
      <c r="CGY15"/>
      <c r="CGZ15"/>
      <c r="CHA15"/>
      <c r="CHB15"/>
      <c r="CHC15"/>
      <c r="CHD15"/>
      <c r="CHE15"/>
      <c r="CHF15"/>
      <c r="CHG15"/>
      <c r="CHH15"/>
      <c r="CHI15"/>
      <c r="CHJ15"/>
      <c r="CHK15"/>
      <c r="CHL15"/>
      <c r="CHM15"/>
      <c r="CHN15"/>
      <c r="CHO15"/>
      <c r="CHP15"/>
      <c r="CHQ15"/>
      <c r="CHR15"/>
      <c r="CHS15"/>
      <c r="CHT15"/>
      <c r="CHU15"/>
      <c r="CHV15"/>
      <c r="CHW15"/>
      <c r="CHX15"/>
      <c r="CHY15"/>
      <c r="CHZ15"/>
      <c r="CIA15"/>
      <c r="CIB15"/>
      <c r="CIC15"/>
      <c r="CID15"/>
      <c r="CIE15"/>
      <c r="CIF15"/>
      <c r="CIG15"/>
      <c r="CIH15"/>
      <c r="CII15"/>
      <c r="CIJ15"/>
      <c r="CIK15"/>
      <c r="CIL15"/>
      <c r="CIM15"/>
      <c r="CIN15"/>
      <c r="CIO15"/>
      <c r="CIP15"/>
      <c r="CIQ15"/>
      <c r="CIR15"/>
      <c r="CIS15"/>
      <c r="CIT15"/>
      <c r="CIU15"/>
      <c r="CIV15"/>
      <c r="CIW15"/>
      <c r="CIX15"/>
      <c r="CIY15"/>
      <c r="CIZ15"/>
      <c r="CJA15"/>
      <c r="CJB15"/>
      <c r="CJC15"/>
      <c r="CJD15"/>
      <c r="CJE15"/>
      <c r="CJF15"/>
      <c r="CJG15"/>
      <c r="CJH15"/>
      <c r="CJI15"/>
      <c r="CJJ15"/>
      <c r="CJK15"/>
      <c r="CJL15"/>
      <c r="CJM15"/>
      <c r="CJN15"/>
      <c r="CJO15"/>
      <c r="CJP15"/>
      <c r="CJQ15"/>
      <c r="CJR15"/>
      <c r="CJS15"/>
      <c r="CJT15"/>
      <c r="CJU15"/>
      <c r="CJV15"/>
      <c r="CJW15"/>
      <c r="CJX15"/>
      <c r="CJY15"/>
      <c r="CJZ15"/>
      <c r="CKA15"/>
      <c r="CKB15"/>
      <c r="CKC15"/>
      <c r="CKD15"/>
      <c r="CKE15"/>
      <c r="CKF15"/>
      <c r="CKG15"/>
      <c r="CKH15"/>
      <c r="CKI15"/>
      <c r="CKJ15"/>
      <c r="CKK15"/>
      <c r="CKL15"/>
      <c r="CKM15"/>
      <c r="CKN15"/>
      <c r="CKO15"/>
      <c r="CKP15"/>
      <c r="CKQ15"/>
      <c r="CKR15"/>
      <c r="CKS15"/>
      <c r="CKT15"/>
      <c r="CKU15"/>
      <c r="CKV15"/>
      <c r="CKW15"/>
      <c r="CKX15"/>
      <c r="CKY15"/>
      <c r="CKZ15"/>
      <c r="CLA15"/>
      <c r="CLB15"/>
      <c r="CLC15"/>
      <c r="CLD15"/>
      <c r="CLE15"/>
      <c r="CLF15"/>
      <c r="CLG15"/>
      <c r="CLH15"/>
      <c r="CLI15"/>
      <c r="CLJ15"/>
      <c r="CLK15"/>
      <c r="CLL15"/>
      <c r="CLM15"/>
      <c r="CLN15"/>
      <c r="CLO15"/>
      <c r="CLP15"/>
      <c r="CLQ15"/>
      <c r="CLR15"/>
      <c r="CLS15"/>
      <c r="CLT15"/>
      <c r="CLU15"/>
      <c r="CLV15"/>
      <c r="CLW15"/>
      <c r="CLX15"/>
      <c r="CLY15"/>
      <c r="CLZ15"/>
      <c r="CMA15"/>
      <c r="CMB15"/>
      <c r="CMC15"/>
      <c r="CMD15"/>
      <c r="CME15"/>
      <c r="CMF15"/>
      <c r="CMG15"/>
      <c r="CMH15"/>
      <c r="CMI15"/>
      <c r="CMJ15"/>
      <c r="CMK15"/>
      <c r="CML15"/>
      <c r="CMM15"/>
      <c r="CMN15"/>
      <c r="CMO15"/>
      <c r="CMP15"/>
      <c r="CMQ15"/>
      <c r="CMR15"/>
      <c r="CMS15"/>
      <c r="CMT15"/>
      <c r="CMU15"/>
      <c r="CMV15"/>
      <c r="CMW15"/>
      <c r="CMX15"/>
      <c r="CMY15"/>
      <c r="CMZ15"/>
      <c r="CNA15"/>
      <c r="CNB15"/>
      <c r="CNC15"/>
      <c r="CND15"/>
      <c r="CNE15"/>
      <c r="CNF15"/>
      <c r="CNG15"/>
      <c r="CNH15"/>
      <c r="CNI15"/>
      <c r="CNJ15"/>
      <c r="CNK15"/>
      <c r="CNL15"/>
      <c r="CNM15"/>
      <c r="CNN15"/>
      <c r="CNO15"/>
      <c r="CNP15"/>
      <c r="CNQ15"/>
      <c r="CNR15"/>
      <c r="CNS15"/>
      <c r="CNT15"/>
      <c r="CNU15"/>
      <c r="CNV15"/>
      <c r="CNW15"/>
      <c r="CNX15"/>
      <c r="CNY15"/>
      <c r="CNZ15"/>
      <c r="COA15"/>
      <c r="COB15"/>
      <c r="COC15"/>
      <c r="COD15"/>
      <c r="COE15"/>
      <c r="COF15"/>
      <c r="COG15"/>
      <c r="COH15"/>
      <c r="COI15"/>
      <c r="COJ15"/>
      <c r="COK15"/>
      <c r="COL15"/>
      <c r="COM15"/>
      <c r="CON15"/>
      <c r="COO15"/>
      <c r="COP15"/>
      <c r="COQ15"/>
      <c r="COR15"/>
      <c r="COS15"/>
      <c r="COT15"/>
      <c r="COU15"/>
      <c r="COV15"/>
      <c r="COW15"/>
      <c r="COX15"/>
      <c r="COY15"/>
      <c r="COZ15"/>
      <c r="CPA15"/>
      <c r="CPB15"/>
      <c r="CPC15"/>
      <c r="CPD15"/>
      <c r="CPE15"/>
      <c r="CPF15"/>
      <c r="CPG15"/>
      <c r="CPH15"/>
      <c r="CPI15"/>
      <c r="CPJ15"/>
      <c r="CPK15"/>
      <c r="CPL15"/>
      <c r="CPM15"/>
      <c r="CPN15"/>
      <c r="CPO15"/>
      <c r="CPP15"/>
      <c r="CPQ15"/>
      <c r="CPR15"/>
      <c r="CPS15"/>
      <c r="CPT15"/>
      <c r="CPU15"/>
      <c r="CPV15"/>
      <c r="CPW15"/>
      <c r="CPX15"/>
      <c r="CPY15"/>
      <c r="CPZ15"/>
      <c r="CQA15"/>
      <c r="CQB15"/>
      <c r="CQC15"/>
      <c r="CQD15"/>
      <c r="CQE15"/>
      <c r="CQF15"/>
      <c r="CQG15"/>
      <c r="CQH15"/>
      <c r="CQI15"/>
      <c r="CQJ15"/>
      <c r="CQK15"/>
      <c r="CQL15"/>
      <c r="CQM15"/>
      <c r="CQN15"/>
      <c r="CQO15"/>
      <c r="CQP15"/>
      <c r="CQQ15"/>
      <c r="CQR15"/>
      <c r="CQS15"/>
      <c r="CQT15"/>
      <c r="CQU15"/>
      <c r="CQV15"/>
      <c r="CQW15"/>
      <c r="CQX15"/>
      <c r="CQY15"/>
      <c r="CQZ15"/>
      <c r="CRA15"/>
      <c r="CRB15"/>
      <c r="CRC15"/>
      <c r="CRD15"/>
      <c r="CRE15"/>
      <c r="CRF15"/>
      <c r="CRG15"/>
      <c r="CRH15"/>
      <c r="CRI15"/>
      <c r="CRJ15"/>
      <c r="CRK15"/>
      <c r="CRL15"/>
      <c r="CRM15"/>
      <c r="CRN15"/>
      <c r="CRO15"/>
      <c r="CRP15"/>
      <c r="CRQ15"/>
      <c r="CRR15"/>
      <c r="CRS15"/>
      <c r="CRT15"/>
      <c r="CRU15"/>
      <c r="CRV15"/>
      <c r="CRW15"/>
      <c r="CRX15"/>
      <c r="CRY15"/>
      <c r="CRZ15"/>
      <c r="CSA15"/>
      <c r="CSB15"/>
      <c r="CSC15"/>
      <c r="CSD15"/>
      <c r="CSE15"/>
      <c r="CSF15"/>
      <c r="CSG15"/>
      <c r="CSH15"/>
      <c r="CSI15"/>
      <c r="CSJ15"/>
      <c r="CSK15"/>
      <c r="CSL15"/>
      <c r="CSM15"/>
      <c r="CSN15"/>
      <c r="CSO15"/>
      <c r="CSP15"/>
      <c r="CSQ15"/>
      <c r="CSR15"/>
      <c r="CSS15"/>
      <c r="CST15"/>
      <c r="CSU15"/>
      <c r="CSV15"/>
      <c r="CSW15"/>
      <c r="CSX15"/>
      <c r="CSY15"/>
      <c r="CSZ15"/>
      <c r="CTA15"/>
      <c r="CTB15"/>
      <c r="CTC15"/>
      <c r="CTD15"/>
      <c r="CTE15"/>
      <c r="CTF15"/>
      <c r="CTG15"/>
      <c r="CTH15"/>
      <c r="CTI15"/>
      <c r="CTJ15"/>
      <c r="CTK15"/>
      <c r="CTL15"/>
      <c r="CTM15"/>
      <c r="CTN15"/>
      <c r="CTO15"/>
      <c r="CTP15"/>
      <c r="CTQ15"/>
      <c r="CTR15"/>
      <c r="CTS15"/>
      <c r="CTT15"/>
      <c r="CTU15"/>
      <c r="CTV15"/>
      <c r="CTW15"/>
      <c r="CTX15"/>
      <c r="CTY15"/>
      <c r="CTZ15"/>
      <c r="CUA15"/>
      <c r="CUB15"/>
      <c r="CUC15"/>
      <c r="CUD15"/>
      <c r="CUE15"/>
      <c r="CUF15"/>
      <c r="CUG15"/>
      <c r="CUH15"/>
      <c r="CUI15"/>
      <c r="CUJ15"/>
      <c r="CUK15"/>
      <c r="CUL15"/>
      <c r="CUM15"/>
      <c r="CUN15"/>
      <c r="CUO15"/>
      <c r="CUP15"/>
      <c r="CUQ15"/>
      <c r="CUR15"/>
      <c r="CUS15"/>
      <c r="CUT15"/>
      <c r="CUU15"/>
      <c r="CUV15"/>
      <c r="CUW15"/>
      <c r="CUX15"/>
      <c r="CUY15"/>
      <c r="CUZ15"/>
      <c r="CVA15"/>
      <c r="CVB15"/>
      <c r="CVC15"/>
      <c r="CVD15"/>
      <c r="CVE15"/>
      <c r="CVF15"/>
      <c r="CVG15"/>
      <c r="CVH15"/>
      <c r="CVI15"/>
      <c r="CVJ15"/>
      <c r="CVK15"/>
      <c r="CVL15"/>
      <c r="CVM15"/>
      <c r="CVN15"/>
      <c r="CVO15"/>
      <c r="CVP15"/>
      <c r="CVQ15"/>
      <c r="CVR15"/>
      <c r="CVS15"/>
      <c r="CVT15"/>
      <c r="CVU15"/>
      <c r="CVV15"/>
      <c r="CVW15"/>
      <c r="CVX15"/>
      <c r="CVY15"/>
      <c r="CVZ15"/>
      <c r="CWA15"/>
      <c r="CWB15"/>
      <c r="CWC15"/>
      <c r="CWD15"/>
      <c r="CWE15"/>
      <c r="CWF15"/>
      <c r="CWG15"/>
      <c r="CWH15"/>
      <c r="CWI15"/>
      <c r="CWJ15"/>
      <c r="CWK15"/>
      <c r="CWL15"/>
      <c r="CWM15"/>
      <c r="CWN15"/>
      <c r="CWO15"/>
      <c r="CWP15"/>
      <c r="CWQ15"/>
      <c r="CWR15"/>
      <c r="CWS15"/>
      <c r="CWT15"/>
      <c r="CWU15"/>
      <c r="CWV15"/>
      <c r="CWW15"/>
      <c r="CWX15"/>
      <c r="CWY15"/>
      <c r="CWZ15"/>
      <c r="CXA15"/>
      <c r="CXB15"/>
      <c r="CXC15"/>
      <c r="CXD15"/>
      <c r="CXE15"/>
      <c r="CXF15"/>
      <c r="CXG15"/>
      <c r="CXH15"/>
      <c r="CXI15"/>
      <c r="CXJ15"/>
      <c r="CXK15"/>
      <c r="CXL15"/>
      <c r="CXM15"/>
      <c r="CXN15"/>
      <c r="CXO15"/>
      <c r="CXP15"/>
      <c r="CXQ15"/>
      <c r="CXR15"/>
      <c r="CXS15"/>
      <c r="CXT15"/>
      <c r="CXU15"/>
      <c r="CXV15"/>
      <c r="CXW15"/>
      <c r="CXX15"/>
      <c r="CXY15"/>
      <c r="CXZ15"/>
      <c r="CYA15"/>
      <c r="CYB15"/>
      <c r="CYC15"/>
      <c r="CYD15"/>
      <c r="CYE15"/>
      <c r="CYF15"/>
      <c r="CYG15"/>
      <c r="CYH15"/>
      <c r="CYI15"/>
      <c r="CYJ15"/>
      <c r="CYK15"/>
      <c r="CYL15"/>
      <c r="CYM15"/>
      <c r="CYN15"/>
      <c r="CYO15"/>
      <c r="CYP15"/>
      <c r="CYQ15"/>
      <c r="CYR15"/>
      <c r="CYS15"/>
      <c r="CYT15"/>
      <c r="CYU15"/>
      <c r="CYV15"/>
      <c r="CYW15"/>
      <c r="CYX15"/>
      <c r="CYY15"/>
      <c r="CYZ15"/>
      <c r="CZA15"/>
      <c r="CZB15"/>
      <c r="CZC15"/>
      <c r="CZD15"/>
      <c r="CZE15"/>
      <c r="CZF15"/>
      <c r="CZG15"/>
      <c r="CZH15"/>
      <c r="CZI15"/>
      <c r="CZJ15"/>
      <c r="CZK15"/>
      <c r="CZL15"/>
      <c r="CZM15"/>
      <c r="CZN15"/>
      <c r="CZO15"/>
      <c r="CZP15"/>
      <c r="CZQ15"/>
      <c r="CZR15"/>
      <c r="CZS15"/>
      <c r="CZT15"/>
      <c r="CZU15"/>
      <c r="CZV15"/>
      <c r="CZW15"/>
      <c r="CZX15"/>
      <c r="CZY15"/>
      <c r="CZZ15"/>
      <c r="DAA15"/>
      <c r="DAB15"/>
      <c r="DAC15"/>
      <c r="DAD15"/>
      <c r="DAE15"/>
      <c r="DAF15"/>
      <c r="DAG15"/>
      <c r="DAH15"/>
      <c r="DAI15"/>
      <c r="DAJ15"/>
      <c r="DAK15"/>
      <c r="DAL15"/>
      <c r="DAM15"/>
      <c r="DAN15"/>
      <c r="DAO15"/>
      <c r="DAP15"/>
      <c r="DAQ15"/>
      <c r="DAR15"/>
      <c r="DAS15"/>
      <c r="DAT15"/>
      <c r="DAU15"/>
      <c r="DAV15"/>
      <c r="DAW15"/>
      <c r="DAX15"/>
      <c r="DAY15"/>
      <c r="DAZ15"/>
      <c r="DBA15"/>
      <c r="DBB15"/>
      <c r="DBC15"/>
      <c r="DBD15"/>
      <c r="DBE15"/>
      <c r="DBF15"/>
      <c r="DBG15"/>
      <c r="DBH15"/>
      <c r="DBI15"/>
      <c r="DBJ15"/>
      <c r="DBK15"/>
      <c r="DBL15"/>
      <c r="DBM15"/>
      <c r="DBN15"/>
      <c r="DBO15"/>
      <c r="DBP15"/>
      <c r="DBQ15"/>
      <c r="DBR15"/>
      <c r="DBS15"/>
      <c r="DBT15"/>
      <c r="DBU15"/>
      <c r="DBV15"/>
      <c r="DBW15"/>
      <c r="DBX15"/>
      <c r="DBY15"/>
      <c r="DBZ15"/>
      <c r="DCA15"/>
      <c r="DCB15"/>
      <c r="DCC15"/>
      <c r="DCD15"/>
      <c r="DCE15"/>
      <c r="DCF15"/>
      <c r="DCG15"/>
      <c r="DCH15"/>
      <c r="DCI15"/>
      <c r="DCJ15"/>
      <c r="DCK15"/>
      <c r="DCL15"/>
      <c r="DCM15"/>
      <c r="DCN15"/>
      <c r="DCO15"/>
      <c r="DCP15"/>
      <c r="DCQ15"/>
      <c r="DCR15"/>
      <c r="DCS15"/>
      <c r="DCT15"/>
      <c r="DCU15"/>
      <c r="DCV15"/>
      <c r="DCW15"/>
      <c r="DCX15"/>
      <c r="DCY15"/>
      <c r="DCZ15"/>
      <c r="DDA15"/>
      <c r="DDB15"/>
      <c r="DDC15"/>
      <c r="DDD15"/>
      <c r="DDE15"/>
      <c r="DDF15"/>
      <c r="DDG15"/>
      <c r="DDH15"/>
      <c r="DDI15"/>
      <c r="DDJ15"/>
      <c r="DDK15"/>
      <c r="DDL15"/>
      <c r="DDM15"/>
      <c r="DDN15"/>
      <c r="DDO15"/>
      <c r="DDP15"/>
      <c r="DDQ15"/>
      <c r="DDR15"/>
      <c r="DDS15"/>
      <c r="DDT15"/>
      <c r="DDU15"/>
      <c r="DDV15"/>
      <c r="DDW15"/>
      <c r="DDX15"/>
      <c r="DDY15"/>
      <c r="DDZ15"/>
      <c r="DEA15"/>
      <c r="DEB15"/>
      <c r="DEC15"/>
      <c r="DED15"/>
      <c r="DEE15"/>
      <c r="DEF15"/>
      <c r="DEG15"/>
      <c r="DEH15"/>
      <c r="DEI15"/>
      <c r="DEJ15"/>
      <c r="DEK15"/>
      <c r="DEL15"/>
      <c r="DEM15"/>
      <c r="DEN15"/>
      <c r="DEO15"/>
      <c r="DEP15"/>
      <c r="DEQ15"/>
      <c r="DER15"/>
      <c r="DES15"/>
      <c r="DET15"/>
      <c r="DEU15"/>
      <c r="DEV15"/>
      <c r="DEW15"/>
      <c r="DEX15"/>
      <c r="DEY15"/>
      <c r="DEZ15"/>
      <c r="DFA15"/>
      <c r="DFB15"/>
      <c r="DFC15"/>
      <c r="DFD15"/>
      <c r="DFE15"/>
      <c r="DFF15"/>
      <c r="DFG15"/>
      <c r="DFH15"/>
      <c r="DFI15"/>
      <c r="DFJ15"/>
      <c r="DFK15"/>
      <c r="DFL15"/>
      <c r="DFM15"/>
      <c r="DFN15"/>
      <c r="DFO15"/>
      <c r="DFP15"/>
      <c r="DFQ15"/>
      <c r="DFR15"/>
      <c r="DFS15"/>
      <c r="DFT15"/>
      <c r="DFU15"/>
      <c r="DFV15"/>
      <c r="DFW15"/>
      <c r="DFX15"/>
      <c r="DFY15"/>
      <c r="DFZ15"/>
      <c r="DGA15"/>
      <c r="DGB15"/>
      <c r="DGC15"/>
      <c r="DGD15"/>
      <c r="DGE15"/>
      <c r="DGF15"/>
      <c r="DGG15"/>
      <c r="DGH15"/>
      <c r="DGI15"/>
      <c r="DGJ15"/>
      <c r="DGK15"/>
      <c r="DGL15"/>
      <c r="DGM15"/>
      <c r="DGN15"/>
      <c r="DGO15"/>
      <c r="DGP15"/>
      <c r="DGQ15"/>
      <c r="DGR15"/>
      <c r="DGS15"/>
      <c r="DGT15"/>
      <c r="DGU15"/>
      <c r="DGV15"/>
      <c r="DGW15"/>
      <c r="DGX15"/>
      <c r="DGY15"/>
      <c r="DGZ15"/>
      <c r="DHA15"/>
      <c r="DHB15"/>
      <c r="DHC15"/>
      <c r="DHD15"/>
      <c r="DHE15"/>
      <c r="DHF15"/>
      <c r="DHG15"/>
      <c r="DHH15"/>
      <c r="DHI15"/>
      <c r="DHJ15"/>
      <c r="DHK15"/>
      <c r="DHL15"/>
      <c r="DHM15"/>
      <c r="DHN15"/>
      <c r="DHO15"/>
      <c r="DHP15"/>
      <c r="DHQ15"/>
      <c r="DHR15"/>
      <c r="DHS15"/>
      <c r="DHT15"/>
      <c r="DHU15"/>
      <c r="DHV15"/>
      <c r="DHW15"/>
      <c r="DHX15"/>
      <c r="DHY15"/>
      <c r="DHZ15"/>
      <c r="DIA15"/>
      <c r="DIB15"/>
      <c r="DIC15"/>
      <c r="DID15"/>
      <c r="DIE15"/>
      <c r="DIF15"/>
      <c r="DIG15"/>
      <c r="DIH15"/>
      <c r="DII15"/>
      <c r="DIJ15"/>
      <c r="DIK15"/>
      <c r="DIL15"/>
      <c r="DIM15"/>
      <c r="DIN15"/>
      <c r="DIO15"/>
      <c r="DIP15"/>
      <c r="DIQ15"/>
      <c r="DIR15"/>
      <c r="DIS15"/>
      <c r="DIT15"/>
      <c r="DIU15"/>
      <c r="DIV15"/>
      <c r="DIW15"/>
      <c r="DIX15"/>
      <c r="DIY15"/>
      <c r="DIZ15"/>
      <c r="DJA15"/>
      <c r="DJB15"/>
      <c r="DJC15"/>
      <c r="DJD15"/>
      <c r="DJE15"/>
      <c r="DJF15"/>
      <c r="DJG15"/>
      <c r="DJH15"/>
      <c r="DJI15"/>
      <c r="DJJ15"/>
      <c r="DJK15"/>
      <c r="DJL15"/>
      <c r="DJM15"/>
      <c r="DJN15"/>
      <c r="DJO15"/>
      <c r="DJP15"/>
      <c r="DJQ15"/>
      <c r="DJR15"/>
      <c r="DJS15"/>
      <c r="DJT15"/>
      <c r="DJU15"/>
      <c r="DJV15"/>
      <c r="DJW15"/>
      <c r="DJX15"/>
      <c r="DJY15"/>
      <c r="DJZ15"/>
      <c r="DKA15"/>
      <c r="DKB15"/>
      <c r="DKC15"/>
      <c r="DKD15"/>
      <c r="DKE15"/>
      <c r="DKF15"/>
      <c r="DKG15"/>
      <c r="DKH15"/>
      <c r="DKI15"/>
      <c r="DKJ15"/>
      <c r="DKK15"/>
      <c r="DKL15"/>
      <c r="DKM15"/>
      <c r="DKN15"/>
      <c r="DKO15"/>
      <c r="DKP15"/>
      <c r="DKQ15"/>
      <c r="DKR15"/>
      <c r="DKS15"/>
      <c r="DKT15"/>
      <c r="DKU15"/>
      <c r="DKV15"/>
      <c r="DKW15"/>
      <c r="DKX15"/>
      <c r="DKY15"/>
      <c r="DKZ15"/>
      <c r="DLA15"/>
      <c r="DLB15"/>
      <c r="DLC15"/>
      <c r="DLD15"/>
      <c r="DLE15"/>
      <c r="DLF15"/>
      <c r="DLG15"/>
      <c r="DLH15"/>
      <c r="DLI15"/>
      <c r="DLJ15"/>
      <c r="DLK15"/>
      <c r="DLL15"/>
      <c r="DLM15"/>
      <c r="DLN15"/>
      <c r="DLO15"/>
      <c r="DLP15"/>
      <c r="DLQ15"/>
      <c r="DLR15"/>
      <c r="DLS15"/>
      <c r="DLT15"/>
      <c r="DLU15"/>
      <c r="DLV15"/>
      <c r="DLW15"/>
      <c r="DLX15"/>
      <c r="DLY15"/>
      <c r="DLZ15"/>
      <c r="DMA15"/>
      <c r="DMB15"/>
      <c r="DMC15"/>
      <c r="DMD15"/>
      <c r="DME15"/>
      <c r="DMF15"/>
      <c r="DMG15"/>
      <c r="DMH15"/>
      <c r="DMI15"/>
      <c r="DMJ15"/>
      <c r="DMK15"/>
      <c r="DML15"/>
      <c r="DMM15"/>
      <c r="DMN15"/>
      <c r="DMO15"/>
      <c r="DMP15"/>
      <c r="DMQ15"/>
      <c r="DMR15"/>
      <c r="DMS15"/>
      <c r="DMT15"/>
      <c r="DMU15"/>
      <c r="DMV15"/>
      <c r="DMW15"/>
      <c r="DMX15"/>
      <c r="DMY15"/>
      <c r="DMZ15"/>
      <c r="DNA15"/>
      <c r="DNB15"/>
      <c r="DNC15"/>
      <c r="DND15"/>
      <c r="DNE15"/>
      <c r="DNF15"/>
      <c r="DNG15"/>
      <c r="DNH15"/>
      <c r="DNI15"/>
      <c r="DNJ15"/>
      <c r="DNK15"/>
      <c r="DNL15"/>
      <c r="DNM15"/>
      <c r="DNN15"/>
      <c r="DNO15"/>
      <c r="DNP15"/>
      <c r="DNQ15"/>
      <c r="DNR15"/>
      <c r="DNS15"/>
      <c r="DNT15"/>
      <c r="DNU15"/>
      <c r="DNV15"/>
      <c r="DNW15"/>
      <c r="DNX15"/>
      <c r="DNY15"/>
      <c r="DNZ15"/>
      <c r="DOA15"/>
      <c r="DOB15"/>
      <c r="DOC15"/>
      <c r="DOD15"/>
      <c r="DOE15"/>
      <c r="DOF15"/>
      <c r="DOG15"/>
      <c r="DOH15"/>
      <c r="DOI15"/>
      <c r="DOJ15"/>
      <c r="DOK15"/>
      <c r="DOL15"/>
      <c r="DOM15"/>
      <c r="DON15"/>
      <c r="DOO15"/>
      <c r="DOP15"/>
      <c r="DOQ15"/>
      <c r="DOR15"/>
      <c r="DOS15"/>
      <c r="DOT15"/>
      <c r="DOU15"/>
      <c r="DOV15"/>
      <c r="DOW15"/>
      <c r="DOX15"/>
      <c r="DOY15"/>
      <c r="DOZ15"/>
      <c r="DPA15"/>
      <c r="DPB15"/>
      <c r="DPC15"/>
      <c r="DPD15"/>
      <c r="DPE15"/>
      <c r="DPF15"/>
      <c r="DPG15"/>
      <c r="DPH15"/>
      <c r="DPI15"/>
      <c r="DPJ15"/>
      <c r="DPK15"/>
      <c r="DPL15"/>
      <c r="DPM15"/>
      <c r="DPN15"/>
      <c r="DPO15"/>
      <c r="DPP15"/>
      <c r="DPQ15"/>
      <c r="DPR15"/>
      <c r="DPS15"/>
      <c r="DPT15"/>
      <c r="DPU15"/>
      <c r="DPV15"/>
      <c r="DPW15"/>
      <c r="DPX15"/>
      <c r="DPY15"/>
      <c r="DPZ15"/>
      <c r="DQA15"/>
      <c r="DQB15"/>
      <c r="DQC15"/>
      <c r="DQD15"/>
      <c r="DQE15"/>
      <c r="DQF15"/>
      <c r="DQG15"/>
      <c r="DQH15"/>
      <c r="DQI15"/>
      <c r="DQJ15"/>
      <c r="DQK15"/>
      <c r="DQL15"/>
      <c r="DQM15"/>
      <c r="DQN15"/>
      <c r="DQO15"/>
      <c r="DQP15"/>
      <c r="DQQ15"/>
      <c r="DQR15"/>
      <c r="DQS15"/>
      <c r="DQT15"/>
      <c r="DQU15"/>
      <c r="DQV15"/>
      <c r="DQW15"/>
      <c r="DQX15"/>
      <c r="DQY15"/>
      <c r="DQZ15"/>
      <c r="DRA15"/>
      <c r="DRB15"/>
      <c r="DRC15"/>
      <c r="DRD15"/>
      <c r="DRE15"/>
      <c r="DRF15"/>
      <c r="DRG15"/>
      <c r="DRH15"/>
      <c r="DRI15"/>
      <c r="DRJ15"/>
      <c r="DRK15"/>
      <c r="DRL15"/>
      <c r="DRM15"/>
      <c r="DRN15"/>
      <c r="DRO15"/>
      <c r="DRP15"/>
      <c r="DRQ15"/>
      <c r="DRR15"/>
      <c r="DRS15"/>
      <c r="DRT15"/>
      <c r="DRU15"/>
      <c r="DRV15"/>
      <c r="DRW15"/>
      <c r="DRX15"/>
      <c r="DRY15"/>
      <c r="DRZ15"/>
      <c r="DSA15"/>
      <c r="DSB15"/>
      <c r="DSC15"/>
      <c r="DSD15"/>
      <c r="DSE15"/>
      <c r="DSF15"/>
      <c r="DSG15"/>
      <c r="DSH15"/>
      <c r="DSI15"/>
      <c r="DSJ15"/>
      <c r="DSK15"/>
      <c r="DSL15"/>
      <c r="DSM15"/>
      <c r="DSN15"/>
      <c r="DSO15"/>
      <c r="DSP15"/>
      <c r="DSQ15"/>
      <c r="DSR15"/>
      <c r="DSS15"/>
      <c r="DST15"/>
      <c r="DSU15"/>
      <c r="DSV15"/>
      <c r="DSW15"/>
      <c r="DSX15"/>
      <c r="DSY15"/>
      <c r="DSZ15"/>
      <c r="DTA15"/>
      <c r="DTB15"/>
      <c r="DTC15"/>
      <c r="DTD15"/>
      <c r="DTE15"/>
      <c r="DTF15"/>
      <c r="DTG15"/>
      <c r="DTH15"/>
      <c r="DTI15"/>
      <c r="DTJ15"/>
      <c r="DTK15"/>
      <c r="DTL15"/>
      <c r="DTM15"/>
      <c r="DTN15"/>
      <c r="DTO15"/>
      <c r="DTP15"/>
      <c r="DTQ15"/>
      <c r="DTR15"/>
      <c r="DTS15"/>
      <c r="DTT15"/>
      <c r="DTU15"/>
      <c r="DTV15"/>
      <c r="DTW15"/>
      <c r="DTX15"/>
      <c r="DTY15"/>
      <c r="DTZ15"/>
      <c r="DUA15"/>
      <c r="DUB15"/>
      <c r="DUC15"/>
      <c r="DUD15"/>
      <c r="DUE15"/>
      <c r="DUF15"/>
      <c r="DUG15"/>
      <c r="DUH15"/>
      <c r="DUI15"/>
      <c r="DUJ15"/>
      <c r="DUK15"/>
      <c r="DUL15"/>
      <c r="DUM15"/>
      <c r="DUN15"/>
      <c r="DUO15"/>
      <c r="DUP15"/>
      <c r="DUQ15"/>
      <c r="DUR15"/>
      <c r="DUS15"/>
      <c r="DUT15"/>
      <c r="DUU15"/>
      <c r="DUV15"/>
      <c r="DUW15"/>
      <c r="DUX15"/>
      <c r="DUY15"/>
      <c r="DUZ15"/>
      <c r="DVA15"/>
      <c r="DVB15"/>
      <c r="DVC15"/>
      <c r="DVD15"/>
      <c r="DVE15"/>
      <c r="DVF15"/>
      <c r="DVG15"/>
      <c r="DVH15"/>
      <c r="DVI15"/>
      <c r="DVJ15"/>
      <c r="DVK15"/>
      <c r="DVL15"/>
      <c r="DVM15"/>
      <c r="DVN15"/>
      <c r="DVO15"/>
      <c r="DVP15"/>
      <c r="DVQ15"/>
      <c r="DVR15"/>
      <c r="DVS15"/>
      <c r="DVT15"/>
      <c r="DVU15"/>
      <c r="DVV15"/>
      <c r="DVW15"/>
      <c r="DVX15"/>
      <c r="DVY15"/>
      <c r="DVZ15"/>
      <c r="DWA15"/>
      <c r="DWB15"/>
      <c r="DWC15"/>
      <c r="DWD15"/>
      <c r="DWE15"/>
      <c r="DWF15"/>
      <c r="DWG15"/>
      <c r="DWH15"/>
      <c r="DWI15"/>
      <c r="DWJ15"/>
      <c r="DWK15"/>
      <c r="DWL15"/>
      <c r="DWM15"/>
      <c r="DWN15"/>
      <c r="DWO15"/>
      <c r="DWP15"/>
      <c r="DWQ15"/>
      <c r="DWR15"/>
      <c r="DWS15"/>
      <c r="DWT15"/>
      <c r="DWU15"/>
      <c r="DWV15"/>
      <c r="DWW15"/>
      <c r="DWX15"/>
      <c r="DWY15"/>
      <c r="DWZ15"/>
      <c r="DXA15"/>
      <c r="DXB15"/>
      <c r="DXC15"/>
      <c r="DXD15"/>
      <c r="DXE15"/>
      <c r="DXF15"/>
      <c r="DXG15"/>
      <c r="DXH15"/>
      <c r="DXI15"/>
      <c r="DXJ15"/>
      <c r="DXK15"/>
      <c r="DXL15"/>
      <c r="DXM15"/>
      <c r="DXN15"/>
      <c r="DXO15"/>
      <c r="DXP15"/>
      <c r="DXQ15"/>
      <c r="DXR15"/>
      <c r="DXS15"/>
      <c r="DXT15"/>
      <c r="DXU15"/>
      <c r="DXV15"/>
      <c r="DXW15"/>
      <c r="DXX15"/>
      <c r="DXY15"/>
      <c r="DXZ15"/>
      <c r="DYA15"/>
      <c r="DYB15"/>
      <c r="DYC15"/>
      <c r="DYD15"/>
      <c r="DYE15"/>
      <c r="DYF15"/>
      <c r="DYG15"/>
      <c r="DYH15"/>
      <c r="DYI15"/>
      <c r="DYJ15"/>
      <c r="DYK15"/>
      <c r="DYL15"/>
      <c r="DYM15"/>
      <c r="DYN15"/>
      <c r="DYO15"/>
      <c r="DYP15"/>
      <c r="DYQ15"/>
      <c r="DYR15"/>
      <c r="DYS15"/>
      <c r="DYT15"/>
      <c r="DYU15"/>
      <c r="DYV15"/>
      <c r="DYW15"/>
      <c r="DYX15"/>
      <c r="DYY15"/>
      <c r="DYZ15"/>
      <c r="DZA15"/>
      <c r="DZB15"/>
      <c r="DZC15"/>
      <c r="DZD15"/>
      <c r="DZE15"/>
      <c r="DZF15"/>
      <c r="DZG15"/>
      <c r="DZH15"/>
      <c r="DZI15"/>
      <c r="DZJ15"/>
      <c r="DZK15"/>
      <c r="DZL15"/>
      <c r="DZM15"/>
      <c r="DZN15"/>
      <c r="DZO15"/>
      <c r="DZP15"/>
      <c r="DZQ15"/>
      <c r="DZR15"/>
      <c r="DZS15"/>
      <c r="DZT15"/>
      <c r="DZU15"/>
      <c r="DZV15"/>
      <c r="DZW15"/>
      <c r="DZX15"/>
      <c r="DZY15"/>
      <c r="DZZ15"/>
      <c r="EAA15"/>
      <c r="EAB15"/>
      <c r="EAC15"/>
      <c r="EAD15"/>
      <c r="EAE15"/>
      <c r="EAF15"/>
      <c r="EAG15"/>
      <c r="EAH15"/>
      <c r="EAI15"/>
      <c r="EAJ15"/>
      <c r="EAK15"/>
      <c r="EAL15"/>
      <c r="EAM15"/>
      <c r="EAN15"/>
      <c r="EAO15"/>
      <c r="EAP15"/>
      <c r="EAQ15"/>
      <c r="EAR15"/>
      <c r="EAS15"/>
      <c r="EAT15"/>
      <c r="EAU15"/>
      <c r="EAV15"/>
      <c r="EAW15"/>
      <c r="EAX15"/>
      <c r="EAY15"/>
      <c r="EAZ15"/>
      <c r="EBA15"/>
      <c r="EBB15"/>
      <c r="EBC15"/>
      <c r="EBD15"/>
      <c r="EBE15"/>
      <c r="EBF15"/>
      <c r="EBG15"/>
      <c r="EBH15"/>
      <c r="EBI15"/>
      <c r="EBJ15"/>
      <c r="EBK15"/>
      <c r="EBL15"/>
      <c r="EBM15"/>
      <c r="EBN15"/>
      <c r="EBO15"/>
      <c r="EBP15"/>
      <c r="EBQ15"/>
      <c r="EBR15"/>
      <c r="EBS15"/>
      <c r="EBT15"/>
      <c r="EBU15"/>
      <c r="EBV15"/>
      <c r="EBW15"/>
      <c r="EBX15"/>
      <c r="EBY15"/>
      <c r="EBZ15"/>
      <c r="ECA15"/>
      <c r="ECB15"/>
      <c r="ECC15"/>
      <c r="ECD15"/>
      <c r="ECE15"/>
      <c r="ECF15"/>
      <c r="ECG15"/>
      <c r="ECH15"/>
      <c r="ECI15"/>
      <c r="ECJ15"/>
      <c r="ECK15"/>
      <c r="ECL15"/>
      <c r="ECM15"/>
      <c r="ECN15"/>
      <c r="ECO15"/>
      <c r="ECP15"/>
      <c r="ECQ15"/>
      <c r="ECR15"/>
      <c r="ECS15"/>
      <c r="ECT15"/>
      <c r="ECU15"/>
      <c r="ECV15"/>
      <c r="ECW15"/>
      <c r="ECX15"/>
      <c r="ECY15"/>
      <c r="ECZ15"/>
      <c r="EDA15"/>
      <c r="EDB15"/>
      <c r="EDC15"/>
      <c r="EDD15"/>
      <c r="EDE15"/>
      <c r="EDF15"/>
      <c r="EDG15"/>
      <c r="EDH15"/>
      <c r="EDI15"/>
      <c r="EDJ15"/>
      <c r="EDK15"/>
      <c r="EDL15"/>
      <c r="EDM15"/>
      <c r="EDN15"/>
      <c r="EDO15"/>
      <c r="EDP15"/>
      <c r="EDQ15"/>
      <c r="EDR15"/>
      <c r="EDS15"/>
      <c r="EDT15"/>
      <c r="EDU15"/>
      <c r="EDV15"/>
      <c r="EDW15"/>
      <c r="EDX15"/>
      <c r="EDY15"/>
      <c r="EDZ15"/>
      <c r="EEA15"/>
      <c r="EEB15"/>
      <c r="EEC15"/>
      <c r="EED15"/>
      <c r="EEE15"/>
      <c r="EEF15"/>
      <c r="EEG15"/>
      <c r="EEH15"/>
      <c r="EEI15"/>
      <c r="EEJ15"/>
      <c r="EEK15"/>
      <c r="EEL15"/>
      <c r="EEM15"/>
      <c r="EEN15"/>
      <c r="EEO15"/>
      <c r="EEP15"/>
      <c r="EEQ15"/>
      <c r="EER15"/>
      <c r="EES15"/>
      <c r="EET15"/>
      <c r="EEU15"/>
      <c r="EEV15"/>
      <c r="EEW15"/>
      <c r="EEX15"/>
      <c r="EEY15"/>
      <c r="EEZ15"/>
      <c r="EFA15"/>
      <c r="EFB15"/>
      <c r="EFC15"/>
      <c r="EFD15"/>
      <c r="EFE15"/>
      <c r="EFF15"/>
      <c r="EFG15"/>
      <c r="EFH15"/>
      <c r="EFI15"/>
      <c r="EFJ15"/>
      <c r="EFK15"/>
      <c r="EFL15"/>
      <c r="EFM15"/>
      <c r="EFN15"/>
      <c r="EFO15"/>
      <c r="EFP15"/>
      <c r="EFQ15"/>
      <c r="EFR15"/>
      <c r="EFS15"/>
      <c r="EFT15"/>
      <c r="EFU15"/>
      <c r="EFV15"/>
      <c r="EFW15"/>
      <c r="EFX15"/>
      <c r="EFY15"/>
      <c r="EFZ15"/>
      <c r="EGA15"/>
      <c r="EGB15"/>
      <c r="EGC15"/>
      <c r="EGD15"/>
      <c r="EGE15"/>
      <c r="EGF15"/>
      <c r="EGG15"/>
      <c r="EGH15"/>
      <c r="EGI15"/>
      <c r="EGJ15"/>
      <c r="EGK15"/>
      <c r="EGL15"/>
      <c r="EGM15"/>
      <c r="EGN15"/>
      <c r="EGO15"/>
      <c r="EGP15"/>
      <c r="EGQ15"/>
      <c r="EGR15"/>
      <c r="EGS15"/>
      <c r="EGT15"/>
      <c r="EGU15"/>
      <c r="EGV15"/>
      <c r="EGW15"/>
      <c r="EGX15"/>
      <c r="EGY15"/>
      <c r="EGZ15"/>
      <c r="EHA15"/>
      <c r="EHB15"/>
      <c r="EHC15"/>
      <c r="EHD15"/>
      <c r="EHE15"/>
      <c r="EHF15"/>
      <c r="EHG15"/>
      <c r="EHH15"/>
      <c r="EHI15"/>
      <c r="EHJ15"/>
      <c r="EHK15"/>
      <c r="EHL15"/>
      <c r="EHM15"/>
      <c r="EHN15"/>
      <c r="EHO15"/>
      <c r="EHP15"/>
      <c r="EHQ15"/>
      <c r="EHR15"/>
      <c r="EHS15"/>
      <c r="EHT15"/>
      <c r="EHU15"/>
      <c r="EHV15"/>
      <c r="EHW15"/>
      <c r="EHX15"/>
      <c r="EHY15"/>
      <c r="EHZ15"/>
      <c r="EIA15"/>
      <c r="EIB15"/>
      <c r="EIC15"/>
      <c r="EID15"/>
      <c r="EIE15"/>
      <c r="EIF15"/>
      <c r="EIG15"/>
      <c r="EIH15"/>
      <c r="EII15"/>
      <c r="EIJ15"/>
      <c r="EIK15"/>
      <c r="EIL15"/>
      <c r="EIM15"/>
      <c r="EIN15"/>
      <c r="EIO15"/>
      <c r="EIP15"/>
      <c r="EIQ15"/>
      <c r="EIR15"/>
      <c r="EIS15"/>
      <c r="EIT15"/>
      <c r="EIU15"/>
      <c r="EIV15"/>
      <c r="EIW15"/>
      <c r="EIX15"/>
      <c r="EIY15"/>
      <c r="EIZ15"/>
      <c r="EJA15"/>
      <c r="EJB15"/>
      <c r="EJC15"/>
      <c r="EJD15"/>
      <c r="EJE15"/>
      <c r="EJF15"/>
      <c r="EJG15"/>
      <c r="EJH15"/>
      <c r="EJI15"/>
      <c r="EJJ15"/>
      <c r="EJK15"/>
      <c r="EJL15"/>
      <c r="EJM15"/>
      <c r="EJN15"/>
      <c r="EJO15"/>
      <c r="EJP15"/>
      <c r="EJQ15"/>
      <c r="EJR15"/>
      <c r="EJS15"/>
      <c r="EJT15"/>
      <c r="EJU15"/>
      <c r="EJV15"/>
      <c r="EJW15"/>
      <c r="EJX15"/>
      <c r="EJY15"/>
      <c r="EJZ15"/>
      <c r="EKA15"/>
      <c r="EKB15"/>
      <c r="EKC15"/>
      <c r="EKD15"/>
      <c r="EKE15"/>
      <c r="EKF15"/>
      <c r="EKG15"/>
      <c r="EKH15"/>
      <c r="EKI15"/>
      <c r="EKJ15"/>
      <c r="EKK15"/>
      <c r="EKL15"/>
      <c r="EKM15"/>
      <c r="EKN15"/>
      <c r="EKO15"/>
      <c r="EKP15"/>
      <c r="EKQ15"/>
      <c r="EKR15"/>
      <c r="EKS15"/>
      <c r="EKT15"/>
      <c r="EKU15"/>
      <c r="EKV15"/>
      <c r="EKW15"/>
      <c r="EKX15"/>
      <c r="EKY15"/>
      <c r="EKZ15"/>
      <c r="ELA15"/>
      <c r="ELB15"/>
      <c r="ELC15"/>
      <c r="ELD15"/>
      <c r="ELE15"/>
      <c r="ELF15"/>
      <c r="ELG15"/>
      <c r="ELH15"/>
      <c r="ELI15"/>
      <c r="ELJ15"/>
      <c r="ELK15"/>
      <c r="ELL15"/>
      <c r="ELM15"/>
      <c r="ELN15"/>
      <c r="ELO15"/>
      <c r="ELP15"/>
      <c r="ELQ15"/>
      <c r="ELR15"/>
      <c r="ELS15"/>
      <c r="ELT15"/>
      <c r="ELU15"/>
      <c r="ELV15"/>
      <c r="ELW15"/>
      <c r="ELX15"/>
      <c r="ELY15"/>
      <c r="ELZ15"/>
      <c r="EMA15"/>
      <c r="EMB15"/>
      <c r="EMC15"/>
      <c r="EMD15"/>
      <c r="EME15"/>
      <c r="EMF15"/>
      <c r="EMG15"/>
      <c r="EMH15"/>
      <c r="EMI15"/>
      <c r="EMJ15"/>
      <c r="EMK15"/>
      <c r="EML15"/>
      <c r="EMM15"/>
      <c r="EMN15"/>
      <c r="EMO15"/>
      <c r="EMP15"/>
      <c r="EMQ15"/>
      <c r="EMR15"/>
      <c r="EMS15"/>
      <c r="EMT15"/>
      <c r="EMU15"/>
      <c r="EMV15"/>
      <c r="EMW15"/>
      <c r="EMX15"/>
      <c r="EMY15"/>
      <c r="EMZ15"/>
      <c r="ENA15"/>
      <c r="ENB15"/>
      <c r="ENC15"/>
      <c r="END15"/>
      <c r="ENE15"/>
      <c r="ENF15"/>
      <c r="ENG15"/>
      <c r="ENH15"/>
      <c r="ENI15"/>
      <c r="ENJ15"/>
      <c r="ENK15"/>
      <c r="ENL15"/>
      <c r="ENM15"/>
      <c r="ENN15"/>
      <c r="ENO15"/>
      <c r="ENP15"/>
      <c r="ENQ15"/>
      <c r="ENR15"/>
      <c r="ENS15"/>
      <c r="ENT15"/>
      <c r="ENU15"/>
      <c r="ENV15"/>
      <c r="ENW15"/>
      <c r="ENX15"/>
      <c r="ENY15"/>
      <c r="ENZ15"/>
      <c r="EOA15"/>
      <c r="EOB15"/>
      <c r="EOC15"/>
      <c r="EOD15"/>
      <c r="EOE15"/>
      <c r="EOF15"/>
      <c r="EOG15"/>
      <c r="EOH15"/>
      <c r="EOI15"/>
      <c r="EOJ15"/>
      <c r="EOK15"/>
      <c r="EOL15"/>
      <c r="EOM15"/>
      <c r="EON15"/>
      <c r="EOO15"/>
      <c r="EOP15"/>
      <c r="EOQ15"/>
      <c r="EOR15"/>
      <c r="EOS15"/>
      <c r="EOT15"/>
      <c r="EOU15"/>
      <c r="EOV15"/>
      <c r="EOW15"/>
      <c r="EOX15"/>
      <c r="EOY15"/>
      <c r="EOZ15"/>
      <c r="EPA15"/>
      <c r="EPB15"/>
      <c r="EPC15"/>
      <c r="EPD15"/>
      <c r="EPE15"/>
      <c r="EPF15"/>
      <c r="EPG15"/>
      <c r="EPH15"/>
      <c r="EPI15"/>
      <c r="EPJ15"/>
      <c r="EPK15"/>
      <c r="EPL15"/>
      <c r="EPM15"/>
      <c r="EPN15"/>
      <c r="EPO15"/>
      <c r="EPP15"/>
      <c r="EPQ15"/>
      <c r="EPR15"/>
      <c r="EPS15"/>
      <c r="EPT15"/>
      <c r="EPU15"/>
      <c r="EPV15"/>
      <c r="EPW15"/>
      <c r="EPX15"/>
      <c r="EPY15"/>
      <c r="EPZ15"/>
      <c r="EQA15"/>
      <c r="EQB15"/>
      <c r="EQC15"/>
      <c r="EQD15"/>
      <c r="EQE15"/>
      <c r="EQF15"/>
      <c r="EQG15"/>
      <c r="EQH15"/>
      <c r="EQI15"/>
      <c r="EQJ15"/>
      <c r="EQK15"/>
      <c r="EQL15"/>
      <c r="EQM15"/>
      <c r="EQN15"/>
      <c r="EQO15"/>
      <c r="EQP15"/>
      <c r="EQQ15"/>
      <c r="EQR15"/>
      <c r="EQS15"/>
      <c r="EQT15"/>
      <c r="EQU15"/>
      <c r="EQV15"/>
      <c r="EQW15"/>
      <c r="EQX15"/>
      <c r="EQY15"/>
      <c r="EQZ15"/>
      <c r="ERA15"/>
      <c r="ERB15"/>
      <c r="ERC15"/>
      <c r="ERD15"/>
      <c r="ERE15"/>
      <c r="ERF15"/>
      <c r="ERG15"/>
      <c r="ERH15"/>
      <c r="ERI15"/>
      <c r="ERJ15"/>
      <c r="ERK15"/>
      <c r="ERL15"/>
      <c r="ERM15"/>
      <c r="ERN15"/>
      <c r="ERO15"/>
      <c r="ERP15"/>
      <c r="ERQ15"/>
      <c r="ERR15"/>
      <c r="ERS15"/>
      <c r="ERT15"/>
      <c r="ERU15"/>
      <c r="ERV15"/>
      <c r="ERW15"/>
      <c r="ERX15"/>
      <c r="ERY15"/>
      <c r="ERZ15"/>
      <c r="ESA15"/>
      <c r="ESB15"/>
      <c r="ESC15"/>
      <c r="ESD15"/>
      <c r="ESE15"/>
      <c r="ESF15"/>
      <c r="ESG15"/>
      <c r="ESH15"/>
      <c r="ESI15"/>
      <c r="ESJ15"/>
      <c r="ESK15"/>
      <c r="ESL15"/>
      <c r="ESM15"/>
      <c r="ESN15"/>
      <c r="ESO15"/>
      <c r="ESP15"/>
      <c r="ESQ15"/>
      <c r="ESR15"/>
      <c r="ESS15"/>
      <c r="EST15"/>
      <c r="ESU15"/>
      <c r="ESV15"/>
      <c r="ESW15"/>
      <c r="ESX15"/>
      <c r="ESY15"/>
      <c r="ESZ15"/>
      <c r="ETA15"/>
      <c r="ETB15"/>
      <c r="ETC15"/>
      <c r="ETD15"/>
      <c r="ETE15"/>
      <c r="ETF15"/>
      <c r="ETG15"/>
      <c r="ETH15"/>
      <c r="ETI15"/>
      <c r="ETJ15"/>
      <c r="ETK15"/>
      <c r="ETL15"/>
      <c r="ETM15"/>
      <c r="ETN15"/>
      <c r="ETO15"/>
      <c r="ETP15"/>
      <c r="ETQ15"/>
      <c r="ETR15"/>
      <c r="ETS15"/>
      <c r="ETT15"/>
      <c r="ETU15"/>
      <c r="ETV15"/>
      <c r="ETW15"/>
      <c r="ETX15"/>
      <c r="ETY15"/>
      <c r="ETZ15"/>
      <c r="EUA15"/>
      <c r="EUB15"/>
      <c r="EUC15"/>
      <c r="EUD15"/>
      <c r="EUE15"/>
      <c r="EUF15"/>
      <c r="EUG15"/>
      <c r="EUH15"/>
      <c r="EUI15"/>
      <c r="EUJ15"/>
      <c r="EUK15"/>
      <c r="EUL15"/>
      <c r="EUM15"/>
      <c r="EUN15"/>
      <c r="EUO15"/>
      <c r="EUP15"/>
      <c r="EUQ15"/>
      <c r="EUR15"/>
      <c r="EUS15"/>
      <c r="EUT15"/>
      <c r="EUU15"/>
      <c r="EUV15"/>
      <c r="EUW15"/>
      <c r="EUX15"/>
      <c r="EUY15"/>
      <c r="EUZ15"/>
      <c r="EVA15"/>
      <c r="EVB15"/>
      <c r="EVC15"/>
      <c r="EVD15"/>
      <c r="EVE15"/>
      <c r="EVF15"/>
      <c r="EVG15"/>
      <c r="EVH15"/>
      <c r="EVI15"/>
      <c r="EVJ15"/>
      <c r="EVK15"/>
      <c r="EVL15"/>
      <c r="EVM15"/>
      <c r="EVN15"/>
      <c r="EVO15"/>
      <c r="EVP15"/>
      <c r="EVQ15"/>
      <c r="EVR15"/>
      <c r="EVS15"/>
      <c r="EVT15"/>
      <c r="EVU15"/>
      <c r="EVV15"/>
      <c r="EVW15"/>
      <c r="EVX15"/>
      <c r="EVY15"/>
      <c r="EVZ15"/>
      <c r="EWA15"/>
      <c r="EWB15"/>
      <c r="EWC15"/>
      <c r="EWD15"/>
      <c r="EWE15"/>
      <c r="EWF15"/>
      <c r="EWG15"/>
      <c r="EWH15"/>
      <c r="EWI15"/>
      <c r="EWJ15"/>
      <c r="EWK15"/>
      <c r="EWL15"/>
      <c r="EWM15"/>
      <c r="EWN15"/>
      <c r="EWO15"/>
      <c r="EWP15"/>
      <c r="EWQ15"/>
      <c r="EWR15"/>
      <c r="EWS15"/>
      <c r="EWT15"/>
      <c r="EWU15"/>
      <c r="EWV15"/>
      <c r="EWW15"/>
      <c r="EWX15"/>
      <c r="EWY15"/>
      <c r="EWZ15"/>
      <c r="EXA15"/>
      <c r="EXB15"/>
      <c r="EXC15"/>
      <c r="EXD15"/>
      <c r="EXE15"/>
      <c r="EXF15"/>
      <c r="EXG15"/>
      <c r="EXH15"/>
      <c r="EXI15"/>
      <c r="EXJ15"/>
      <c r="EXK15"/>
      <c r="EXL15"/>
      <c r="EXM15"/>
      <c r="EXN15"/>
      <c r="EXO15"/>
      <c r="EXP15"/>
      <c r="EXQ15"/>
      <c r="EXR15"/>
      <c r="EXS15"/>
      <c r="EXT15"/>
      <c r="EXU15"/>
      <c r="EXV15"/>
      <c r="EXW15"/>
      <c r="EXX15"/>
      <c r="EXY15"/>
      <c r="EXZ15"/>
      <c r="EYA15"/>
      <c r="EYB15"/>
      <c r="EYC15"/>
      <c r="EYD15"/>
      <c r="EYE15"/>
      <c r="EYF15"/>
      <c r="EYG15"/>
      <c r="EYH15"/>
      <c r="EYI15"/>
      <c r="EYJ15"/>
      <c r="EYK15"/>
      <c r="EYL15"/>
      <c r="EYM15"/>
      <c r="EYN15"/>
      <c r="EYO15"/>
      <c r="EYP15"/>
      <c r="EYQ15"/>
      <c r="EYR15"/>
      <c r="EYS15"/>
      <c r="EYT15"/>
      <c r="EYU15"/>
      <c r="EYV15"/>
      <c r="EYW15"/>
      <c r="EYX15"/>
      <c r="EYY15"/>
      <c r="EYZ15"/>
      <c r="EZA15"/>
      <c r="EZB15"/>
      <c r="EZC15"/>
      <c r="EZD15"/>
      <c r="EZE15"/>
      <c r="EZF15"/>
      <c r="EZG15"/>
      <c r="EZH15"/>
      <c r="EZI15"/>
      <c r="EZJ15"/>
      <c r="EZK15"/>
      <c r="EZL15"/>
      <c r="EZM15"/>
      <c r="EZN15"/>
      <c r="EZO15"/>
      <c r="EZP15"/>
      <c r="EZQ15"/>
      <c r="EZR15"/>
      <c r="EZS15"/>
      <c r="EZT15"/>
      <c r="EZU15"/>
      <c r="EZV15"/>
      <c r="EZW15"/>
      <c r="EZX15"/>
      <c r="EZY15"/>
      <c r="EZZ15"/>
      <c r="FAA15"/>
      <c r="FAB15"/>
      <c r="FAC15"/>
      <c r="FAD15"/>
      <c r="FAE15"/>
      <c r="FAF15"/>
      <c r="FAG15"/>
      <c r="FAH15"/>
      <c r="FAI15"/>
      <c r="FAJ15"/>
      <c r="FAK15"/>
      <c r="FAL15"/>
      <c r="FAM15"/>
      <c r="FAN15"/>
      <c r="FAO15"/>
      <c r="FAP15"/>
      <c r="FAQ15"/>
      <c r="FAR15"/>
      <c r="FAS15"/>
      <c r="FAT15"/>
      <c r="FAU15"/>
      <c r="FAV15"/>
      <c r="FAW15"/>
      <c r="FAX15"/>
      <c r="FAY15"/>
      <c r="FAZ15"/>
      <c r="FBA15"/>
      <c r="FBB15"/>
      <c r="FBC15"/>
      <c r="FBD15"/>
      <c r="FBE15"/>
      <c r="FBF15"/>
      <c r="FBG15"/>
      <c r="FBH15"/>
      <c r="FBI15"/>
      <c r="FBJ15"/>
      <c r="FBK15"/>
      <c r="FBL15"/>
      <c r="FBM15"/>
      <c r="FBN15"/>
      <c r="FBO15"/>
      <c r="FBP15"/>
      <c r="FBQ15"/>
      <c r="FBR15"/>
      <c r="FBS15"/>
      <c r="FBT15"/>
      <c r="FBU15"/>
      <c r="FBV15"/>
      <c r="FBW15"/>
      <c r="FBX15"/>
      <c r="FBY15"/>
      <c r="FBZ15"/>
      <c r="FCA15"/>
      <c r="FCB15"/>
      <c r="FCC15"/>
      <c r="FCD15"/>
      <c r="FCE15"/>
      <c r="FCF15"/>
      <c r="FCG15"/>
      <c r="FCH15"/>
      <c r="FCI15"/>
      <c r="FCJ15"/>
      <c r="FCK15"/>
      <c r="FCL15"/>
      <c r="FCM15"/>
      <c r="FCN15"/>
      <c r="FCO15"/>
      <c r="FCP15"/>
      <c r="FCQ15"/>
      <c r="FCR15"/>
      <c r="FCS15"/>
      <c r="FCT15"/>
      <c r="FCU15"/>
      <c r="FCV15"/>
      <c r="FCW15"/>
      <c r="FCX15"/>
      <c r="FCY15"/>
      <c r="FCZ15"/>
      <c r="FDA15"/>
      <c r="FDB15"/>
      <c r="FDC15"/>
      <c r="FDD15"/>
      <c r="FDE15"/>
      <c r="FDF15"/>
      <c r="FDG15"/>
      <c r="FDH15"/>
      <c r="FDI15"/>
      <c r="FDJ15"/>
      <c r="FDK15"/>
      <c r="FDL15"/>
      <c r="FDM15"/>
      <c r="FDN15"/>
      <c r="FDO15"/>
      <c r="FDP15"/>
      <c r="FDQ15"/>
      <c r="FDR15"/>
      <c r="FDS15"/>
      <c r="FDT15"/>
      <c r="FDU15"/>
      <c r="FDV15"/>
      <c r="FDW15"/>
      <c r="FDX15"/>
      <c r="FDY15"/>
      <c r="FDZ15"/>
      <c r="FEA15"/>
      <c r="FEB15"/>
      <c r="FEC15"/>
      <c r="FED15"/>
      <c r="FEE15"/>
      <c r="FEF15"/>
      <c r="FEG15"/>
      <c r="FEH15"/>
      <c r="FEI15"/>
      <c r="FEJ15"/>
      <c r="FEK15"/>
      <c r="FEL15"/>
      <c r="FEM15"/>
      <c r="FEN15"/>
      <c r="FEO15"/>
      <c r="FEP15"/>
      <c r="FEQ15"/>
      <c r="FER15"/>
      <c r="FES15"/>
      <c r="FET15"/>
      <c r="FEU15"/>
      <c r="FEV15"/>
      <c r="FEW15"/>
      <c r="FEX15"/>
      <c r="FEY15"/>
      <c r="FEZ15"/>
      <c r="FFA15"/>
      <c r="FFB15"/>
      <c r="FFC15"/>
      <c r="FFD15"/>
      <c r="FFE15"/>
      <c r="FFF15"/>
      <c r="FFG15"/>
      <c r="FFH15"/>
      <c r="FFI15"/>
      <c r="FFJ15"/>
      <c r="FFK15"/>
      <c r="FFL15"/>
      <c r="FFM15"/>
      <c r="FFN15"/>
      <c r="FFO15"/>
      <c r="FFP15"/>
      <c r="FFQ15"/>
      <c r="FFR15"/>
      <c r="FFS15"/>
      <c r="FFT15"/>
      <c r="FFU15"/>
      <c r="FFV15"/>
      <c r="FFW15"/>
      <c r="FFX15"/>
      <c r="FFY15"/>
      <c r="FFZ15"/>
      <c r="FGA15"/>
      <c r="FGB15"/>
      <c r="FGC15"/>
      <c r="FGD15"/>
      <c r="FGE15"/>
      <c r="FGF15"/>
      <c r="FGG15"/>
      <c r="FGH15"/>
      <c r="FGI15"/>
      <c r="FGJ15"/>
      <c r="FGK15"/>
      <c r="FGL15"/>
      <c r="FGM15"/>
      <c r="FGN15"/>
      <c r="FGO15"/>
      <c r="FGP15"/>
      <c r="FGQ15"/>
      <c r="FGR15"/>
      <c r="FGS15"/>
      <c r="FGT15"/>
      <c r="FGU15"/>
      <c r="FGV15"/>
      <c r="FGW15"/>
      <c r="FGX15"/>
      <c r="FGY15"/>
      <c r="FGZ15"/>
      <c r="FHA15"/>
      <c r="FHB15"/>
      <c r="FHC15"/>
      <c r="FHD15"/>
      <c r="FHE15"/>
      <c r="FHF15"/>
      <c r="FHG15"/>
      <c r="FHH15"/>
      <c r="FHI15"/>
      <c r="FHJ15"/>
      <c r="FHK15"/>
      <c r="FHL15"/>
      <c r="FHM15"/>
      <c r="FHN15"/>
      <c r="FHO15"/>
      <c r="FHP15"/>
      <c r="FHQ15"/>
      <c r="FHR15"/>
      <c r="FHS15"/>
      <c r="FHT15"/>
      <c r="FHU15"/>
      <c r="FHV15"/>
      <c r="FHW15"/>
      <c r="FHX15"/>
      <c r="FHY15"/>
      <c r="FHZ15"/>
      <c r="FIA15"/>
      <c r="FIB15"/>
      <c r="FIC15"/>
      <c r="FID15"/>
      <c r="FIE15"/>
      <c r="FIF15"/>
      <c r="FIG15"/>
      <c r="FIH15"/>
      <c r="FII15"/>
      <c r="FIJ15"/>
      <c r="FIK15"/>
      <c r="FIL15"/>
      <c r="FIM15"/>
      <c r="FIN15"/>
      <c r="FIO15"/>
      <c r="FIP15"/>
      <c r="FIQ15"/>
      <c r="FIR15"/>
      <c r="FIS15"/>
      <c r="FIT15"/>
      <c r="FIU15"/>
      <c r="FIV15"/>
      <c r="FIW15"/>
      <c r="FIX15"/>
      <c r="FIY15"/>
      <c r="FIZ15"/>
      <c r="FJA15"/>
      <c r="FJB15"/>
      <c r="FJC15"/>
      <c r="FJD15"/>
      <c r="FJE15"/>
      <c r="FJF15"/>
      <c r="FJG15"/>
      <c r="FJH15"/>
      <c r="FJI15"/>
      <c r="FJJ15"/>
      <c r="FJK15"/>
      <c r="FJL15"/>
      <c r="FJM15"/>
      <c r="FJN15"/>
      <c r="FJO15"/>
      <c r="FJP15"/>
      <c r="FJQ15"/>
      <c r="FJR15"/>
      <c r="FJS15"/>
      <c r="FJT15"/>
      <c r="FJU15"/>
      <c r="FJV15"/>
      <c r="FJW15"/>
      <c r="FJX15"/>
      <c r="FJY15"/>
      <c r="FJZ15"/>
      <c r="FKA15"/>
      <c r="FKB15"/>
      <c r="FKC15"/>
      <c r="FKD15"/>
      <c r="FKE15"/>
      <c r="FKF15"/>
      <c r="FKG15"/>
      <c r="FKH15"/>
      <c r="FKI15"/>
      <c r="FKJ15"/>
      <c r="FKK15"/>
      <c r="FKL15"/>
      <c r="FKM15"/>
      <c r="FKN15"/>
      <c r="FKO15"/>
      <c r="FKP15"/>
      <c r="FKQ15"/>
      <c r="FKR15"/>
      <c r="FKS15"/>
      <c r="FKT15"/>
      <c r="FKU15"/>
      <c r="FKV15"/>
      <c r="FKW15"/>
      <c r="FKX15"/>
      <c r="FKY15"/>
      <c r="FKZ15"/>
      <c r="FLA15"/>
      <c r="FLB15"/>
      <c r="FLC15"/>
      <c r="FLD15"/>
      <c r="FLE15"/>
      <c r="FLF15"/>
      <c r="FLG15"/>
      <c r="FLH15"/>
      <c r="FLI15"/>
      <c r="FLJ15"/>
      <c r="FLK15"/>
      <c r="FLL15"/>
      <c r="FLM15"/>
      <c r="FLN15"/>
      <c r="FLO15"/>
      <c r="FLP15"/>
      <c r="FLQ15"/>
      <c r="FLR15"/>
      <c r="FLS15"/>
      <c r="FLT15"/>
      <c r="FLU15"/>
      <c r="FLV15"/>
      <c r="FLW15"/>
      <c r="FLX15"/>
      <c r="FLY15"/>
      <c r="FLZ15"/>
      <c r="FMA15"/>
      <c r="FMB15"/>
      <c r="FMC15"/>
      <c r="FMD15"/>
      <c r="FME15"/>
      <c r="FMF15"/>
      <c r="FMG15"/>
      <c r="FMH15"/>
      <c r="FMI15"/>
      <c r="FMJ15"/>
      <c r="FMK15"/>
      <c r="FML15"/>
      <c r="FMM15"/>
      <c r="FMN15"/>
      <c r="FMO15"/>
      <c r="FMP15"/>
      <c r="FMQ15"/>
      <c r="FMR15"/>
      <c r="FMS15"/>
      <c r="FMT15"/>
      <c r="FMU15"/>
      <c r="FMV15"/>
      <c r="FMW15"/>
      <c r="FMX15"/>
      <c r="FMY15"/>
      <c r="FMZ15"/>
      <c r="FNA15"/>
      <c r="FNB15"/>
      <c r="FNC15"/>
      <c r="FND15"/>
      <c r="FNE15"/>
      <c r="FNF15"/>
      <c r="FNG15"/>
      <c r="FNH15"/>
      <c r="FNI15"/>
      <c r="FNJ15"/>
      <c r="FNK15"/>
      <c r="FNL15"/>
      <c r="FNM15"/>
      <c r="FNN15"/>
      <c r="FNO15"/>
      <c r="FNP15"/>
      <c r="FNQ15"/>
      <c r="FNR15"/>
      <c r="FNS15"/>
      <c r="FNT15"/>
      <c r="FNU15"/>
      <c r="FNV15"/>
      <c r="FNW15"/>
      <c r="FNX15"/>
      <c r="FNY15"/>
      <c r="FNZ15"/>
      <c r="FOA15"/>
      <c r="FOB15"/>
      <c r="FOC15"/>
      <c r="FOD15"/>
      <c r="FOE15"/>
      <c r="FOF15"/>
      <c r="FOG15"/>
      <c r="FOH15"/>
      <c r="FOI15"/>
      <c r="FOJ15"/>
      <c r="FOK15"/>
      <c r="FOL15"/>
      <c r="FOM15"/>
      <c r="FON15"/>
      <c r="FOO15"/>
      <c r="FOP15"/>
      <c r="FOQ15"/>
      <c r="FOR15"/>
      <c r="FOS15"/>
      <c r="FOT15"/>
      <c r="FOU15"/>
      <c r="FOV15"/>
      <c r="FOW15"/>
      <c r="FOX15"/>
      <c r="FOY15"/>
      <c r="FOZ15"/>
      <c r="FPA15"/>
      <c r="FPB15"/>
      <c r="FPC15"/>
      <c r="FPD15"/>
      <c r="FPE15"/>
      <c r="FPF15"/>
      <c r="FPG15"/>
      <c r="FPH15"/>
      <c r="FPI15"/>
      <c r="FPJ15"/>
      <c r="FPK15"/>
      <c r="FPL15"/>
      <c r="FPM15"/>
      <c r="FPN15"/>
      <c r="FPO15"/>
      <c r="FPP15"/>
      <c r="FPQ15"/>
      <c r="FPR15"/>
      <c r="FPS15"/>
      <c r="FPT15"/>
      <c r="FPU15"/>
      <c r="FPV15"/>
      <c r="FPW15"/>
      <c r="FPX15"/>
      <c r="FPY15"/>
      <c r="FPZ15"/>
      <c r="FQA15"/>
      <c r="FQB15"/>
      <c r="FQC15"/>
      <c r="FQD15"/>
      <c r="FQE15"/>
      <c r="FQF15"/>
      <c r="FQG15"/>
      <c r="FQH15"/>
      <c r="FQI15"/>
      <c r="FQJ15"/>
      <c r="FQK15"/>
      <c r="FQL15"/>
      <c r="FQM15"/>
      <c r="FQN15"/>
      <c r="FQO15"/>
      <c r="FQP15"/>
      <c r="FQQ15"/>
      <c r="FQR15"/>
      <c r="FQS15"/>
      <c r="FQT15"/>
      <c r="FQU15"/>
      <c r="FQV15"/>
      <c r="FQW15"/>
      <c r="FQX15"/>
      <c r="FQY15"/>
      <c r="FQZ15"/>
      <c r="FRA15"/>
      <c r="FRB15"/>
      <c r="FRC15"/>
      <c r="FRD15"/>
      <c r="FRE15"/>
      <c r="FRF15"/>
      <c r="FRG15"/>
      <c r="FRH15"/>
      <c r="FRI15"/>
      <c r="FRJ15"/>
      <c r="FRK15"/>
      <c r="FRL15"/>
      <c r="FRM15"/>
      <c r="FRN15"/>
      <c r="FRO15"/>
      <c r="FRP15"/>
      <c r="FRQ15"/>
      <c r="FRR15"/>
      <c r="FRS15"/>
      <c r="FRT15"/>
      <c r="FRU15"/>
      <c r="FRV15"/>
      <c r="FRW15"/>
      <c r="FRX15"/>
      <c r="FRY15"/>
      <c r="FRZ15"/>
      <c r="FSA15"/>
      <c r="FSB15"/>
      <c r="FSC15"/>
      <c r="FSD15"/>
      <c r="FSE15"/>
      <c r="FSF15"/>
      <c r="FSG15"/>
      <c r="FSH15"/>
      <c r="FSI15"/>
      <c r="FSJ15"/>
      <c r="FSK15"/>
      <c r="FSL15"/>
      <c r="FSM15"/>
      <c r="FSN15"/>
      <c r="FSO15"/>
      <c r="FSP15"/>
      <c r="FSQ15"/>
      <c r="FSR15"/>
      <c r="FSS15"/>
      <c r="FST15"/>
      <c r="FSU15"/>
      <c r="FSV15"/>
      <c r="FSW15"/>
      <c r="FSX15"/>
      <c r="FSY15"/>
      <c r="FSZ15"/>
      <c r="FTA15"/>
      <c r="FTB15"/>
      <c r="FTC15"/>
      <c r="FTD15"/>
      <c r="FTE15"/>
      <c r="FTF15"/>
      <c r="FTG15"/>
      <c r="FTH15"/>
      <c r="FTI15"/>
      <c r="FTJ15"/>
      <c r="FTK15"/>
      <c r="FTL15"/>
      <c r="FTM15"/>
      <c r="FTN15"/>
      <c r="FTO15"/>
      <c r="FTP15"/>
      <c r="FTQ15"/>
      <c r="FTR15"/>
      <c r="FTS15"/>
      <c r="FTT15"/>
      <c r="FTU15"/>
      <c r="FTV15"/>
      <c r="FTW15"/>
      <c r="FTX15"/>
      <c r="FTY15"/>
      <c r="FTZ15"/>
      <c r="FUA15"/>
      <c r="FUB15"/>
      <c r="FUC15"/>
      <c r="FUD15"/>
      <c r="FUE15"/>
      <c r="FUF15"/>
      <c r="FUG15"/>
      <c r="FUH15"/>
      <c r="FUI15"/>
      <c r="FUJ15"/>
      <c r="FUK15"/>
      <c r="FUL15"/>
      <c r="FUM15"/>
      <c r="FUN15"/>
      <c r="FUO15"/>
      <c r="FUP15"/>
      <c r="FUQ15"/>
      <c r="FUR15"/>
      <c r="FUS15"/>
      <c r="FUT15"/>
      <c r="FUU15"/>
      <c r="FUV15"/>
      <c r="FUW15"/>
      <c r="FUX15"/>
      <c r="FUY15"/>
      <c r="FUZ15"/>
      <c r="FVA15"/>
      <c r="FVB15"/>
      <c r="FVC15"/>
      <c r="FVD15"/>
      <c r="FVE15"/>
      <c r="FVF15"/>
      <c r="FVG15"/>
      <c r="FVH15"/>
      <c r="FVI15"/>
      <c r="FVJ15"/>
      <c r="FVK15"/>
      <c r="FVL15"/>
      <c r="FVM15"/>
      <c r="FVN15"/>
      <c r="FVO15"/>
      <c r="FVP15"/>
      <c r="FVQ15"/>
      <c r="FVR15"/>
      <c r="FVS15"/>
      <c r="FVT15"/>
      <c r="FVU15"/>
      <c r="FVV15"/>
      <c r="FVW15"/>
      <c r="FVX15"/>
      <c r="FVY15"/>
      <c r="FVZ15"/>
      <c r="FWA15"/>
      <c r="FWB15"/>
      <c r="FWC15"/>
      <c r="FWD15"/>
      <c r="FWE15"/>
      <c r="FWF15"/>
      <c r="FWG15"/>
      <c r="FWH15"/>
      <c r="FWI15"/>
      <c r="FWJ15"/>
      <c r="FWK15"/>
      <c r="FWL15"/>
      <c r="FWM15"/>
      <c r="FWN15"/>
      <c r="FWO15"/>
      <c r="FWP15"/>
      <c r="FWQ15"/>
      <c r="FWR15"/>
      <c r="FWS15"/>
      <c r="FWT15"/>
      <c r="FWU15"/>
      <c r="FWV15"/>
      <c r="FWW15"/>
      <c r="FWX15"/>
      <c r="FWY15"/>
      <c r="FWZ15"/>
      <c r="FXA15"/>
      <c r="FXB15"/>
      <c r="FXC15"/>
      <c r="FXD15"/>
      <c r="FXE15"/>
      <c r="FXF15"/>
      <c r="FXG15"/>
      <c r="FXH15"/>
      <c r="FXI15"/>
      <c r="FXJ15"/>
      <c r="FXK15"/>
      <c r="FXL15"/>
      <c r="FXM15"/>
      <c r="FXN15"/>
      <c r="FXO15"/>
      <c r="FXP15"/>
      <c r="FXQ15"/>
      <c r="FXR15"/>
      <c r="FXS15"/>
      <c r="FXT15"/>
      <c r="FXU15"/>
      <c r="FXV15"/>
      <c r="FXW15"/>
      <c r="FXX15"/>
      <c r="FXY15"/>
      <c r="FXZ15"/>
      <c r="FYA15"/>
      <c r="FYB15"/>
      <c r="FYC15"/>
      <c r="FYD15"/>
      <c r="FYE15"/>
      <c r="FYF15"/>
      <c r="FYG15"/>
      <c r="FYH15"/>
      <c r="FYI15"/>
      <c r="FYJ15"/>
      <c r="FYK15"/>
      <c r="FYL15"/>
      <c r="FYM15"/>
      <c r="FYN15"/>
      <c r="FYO15"/>
      <c r="FYP15"/>
      <c r="FYQ15"/>
      <c r="FYR15"/>
      <c r="FYS15"/>
      <c r="FYT15"/>
      <c r="FYU15"/>
      <c r="FYV15"/>
      <c r="FYW15"/>
      <c r="FYX15"/>
      <c r="FYY15"/>
      <c r="FYZ15"/>
      <c r="FZA15"/>
      <c r="FZB15"/>
      <c r="FZC15"/>
      <c r="FZD15"/>
      <c r="FZE15"/>
      <c r="FZF15"/>
      <c r="FZG15"/>
      <c r="FZH15"/>
      <c r="FZI15"/>
      <c r="FZJ15"/>
      <c r="FZK15"/>
      <c r="FZL15"/>
      <c r="FZM15"/>
      <c r="FZN15"/>
      <c r="FZO15"/>
      <c r="FZP15"/>
      <c r="FZQ15"/>
      <c r="FZR15"/>
      <c r="FZS15"/>
      <c r="FZT15"/>
      <c r="FZU15"/>
      <c r="FZV15"/>
      <c r="FZW15"/>
      <c r="FZX15"/>
      <c r="FZY15"/>
      <c r="FZZ15"/>
      <c r="GAA15"/>
      <c r="GAB15"/>
      <c r="GAC15"/>
      <c r="GAD15"/>
      <c r="GAE15"/>
      <c r="GAF15"/>
      <c r="GAG15"/>
      <c r="GAH15"/>
      <c r="GAI15"/>
      <c r="GAJ15"/>
      <c r="GAK15"/>
      <c r="GAL15"/>
      <c r="GAM15"/>
      <c r="GAN15"/>
      <c r="GAO15"/>
      <c r="GAP15"/>
      <c r="GAQ15"/>
      <c r="GAR15"/>
      <c r="GAS15"/>
      <c r="GAT15"/>
      <c r="GAU15"/>
      <c r="GAV15"/>
      <c r="GAW15"/>
      <c r="GAX15"/>
      <c r="GAY15"/>
      <c r="GAZ15"/>
      <c r="GBA15"/>
      <c r="GBB15"/>
      <c r="GBC15"/>
      <c r="GBD15"/>
      <c r="GBE15"/>
      <c r="GBF15"/>
      <c r="GBG15"/>
      <c r="GBH15"/>
      <c r="GBI15"/>
      <c r="GBJ15"/>
      <c r="GBK15"/>
      <c r="GBL15"/>
      <c r="GBM15"/>
      <c r="GBN15"/>
      <c r="GBO15"/>
      <c r="GBP15"/>
      <c r="GBQ15"/>
      <c r="GBR15"/>
      <c r="GBS15"/>
      <c r="GBT15"/>
      <c r="GBU15"/>
      <c r="GBV15"/>
      <c r="GBW15"/>
      <c r="GBX15"/>
      <c r="GBY15"/>
      <c r="GBZ15"/>
      <c r="GCA15"/>
      <c r="GCB15"/>
      <c r="GCC15"/>
      <c r="GCD15"/>
      <c r="GCE15"/>
      <c r="GCF15"/>
      <c r="GCG15"/>
      <c r="GCH15"/>
      <c r="GCI15"/>
      <c r="GCJ15"/>
      <c r="GCK15"/>
      <c r="GCL15"/>
      <c r="GCM15"/>
      <c r="GCN15"/>
      <c r="GCO15"/>
      <c r="GCP15"/>
      <c r="GCQ15"/>
      <c r="GCR15"/>
      <c r="GCS15"/>
      <c r="GCT15"/>
      <c r="GCU15"/>
      <c r="GCV15"/>
      <c r="GCW15"/>
      <c r="GCX15"/>
      <c r="GCY15"/>
      <c r="GCZ15"/>
      <c r="GDA15"/>
      <c r="GDB15"/>
      <c r="GDC15"/>
      <c r="GDD15"/>
      <c r="GDE15"/>
      <c r="GDF15"/>
      <c r="GDG15"/>
      <c r="GDH15"/>
      <c r="GDI15"/>
      <c r="GDJ15"/>
      <c r="GDK15"/>
      <c r="GDL15"/>
      <c r="GDM15"/>
      <c r="GDN15"/>
      <c r="GDO15"/>
      <c r="GDP15"/>
      <c r="GDQ15"/>
      <c r="GDR15"/>
      <c r="GDS15"/>
      <c r="GDT15"/>
      <c r="GDU15"/>
      <c r="GDV15"/>
      <c r="GDW15"/>
      <c r="GDX15"/>
      <c r="GDY15"/>
      <c r="GDZ15"/>
      <c r="GEA15"/>
      <c r="GEB15"/>
      <c r="GEC15"/>
      <c r="GED15"/>
      <c r="GEE15"/>
      <c r="GEF15"/>
      <c r="GEG15"/>
      <c r="GEH15"/>
      <c r="GEI15"/>
      <c r="GEJ15"/>
      <c r="GEK15"/>
      <c r="GEL15"/>
      <c r="GEM15"/>
      <c r="GEN15"/>
      <c r="GEO15"/>
      <c r="GEP15"/>
      <c r="GEQ15"/>
      <c r="GER15"/>
      <c r="GES15"/>
      <c r="GET15"/>
      <c r="GEU15"/>
      <c r="GEV15"/>
      <c r="GEW15"/>
      <c r="GEX15"/>
      <c r="GEY15"/>
      <c r="GEZ15"/>
      <c r="GFA15"/>
      <c r="GFB15"/>
      <c r="GFC15"/>
      <c r="GFD15"/>
      <c r="GFE15"/>
      <c r="GFF15"/>
      <c r="GFG15"/>
      <c r="GFH15"/>
      <c r="GFI15"/>
      <c r="GFJ15"/>
      <c r="GFK15"/>
      <c r="GFL15"/>
      <c r="GFM15"/>
      <c r="GFN15"/>
      <c r="GFO15"/>
      <c r="GFP15"/>
      <c r="GFQ15"/>
      <c r="GFR15"/>
      <c r="GFS15"/>
      <c r="GFT15"/>
      <c r="GFU15"/>
      <c r="GFV15"/>
      <c r="GFW15"/>
      <c r="GFX15"/>
      <c r="GFY15"/>
      <c r="GFZ15"/>
      <c r="GGA15"/>
      <c r="GGB15"/>
      <c r="GGC15"/>
      <c r="GGD15"/>
      <c r="GGE15"/>
      <c r="GGF15"/>
      <c r="GGG15"/>
      <c r="GGH15"/>
      <c r="GGI15"/>
      <c r="GGJ15"/>
      <c r="GGK15"/>
      <c r="GGL15"/>
      <c r="GGM15"/>
      <c r="GGN15"/>
      <c r="GGO15"/>
      <c r="GGP15"/>
      <c r="GGQ15"/>
      <c r="GGR15"/>
      <c r="GGS15"/>
      <c r="GGT15"/>
      <c r="GGU15"/>
      <c r="GGV15"/>
      <c r="GGW15"/>
      <c r="GGX15"/>
      <c r="GGY15"/>
      <c r="GGZ15"/>
      <c r="GHA15"/>
      <c r="GHB15"/>
      <c r="GHC15"/>
      <c r="GHD15"/>
      <c r="GHE15"/>
      <c r="GHF15"/>
      <c r="GHG15"/>
      <c r="GHH15"/>
      <c r="GHI15"/>
      <c r="GHJ15"/>
      <c r="GHK15"/>
      <c r="GHL15"/>
      <c r="GHM15"/>
      <c r="GHN15"/>
      <c r="GHO15"/>
      <c r="GHP15"/>
      <c r="GHQ15"/>
      <c r="GHR15"/>
      <c r="GHS15"/>
      <c r="GHT15"/>
      <c r="GHU15"/>
      <c r="GHV15"/>
      <c r="GHW15"/>
      <c r="GHX15"/>
      <c r="GHY15"/>
      <c r="GHZ15"/>
      <c r="GIA15"/>
      <c r="GIB15"/>
      <c r="GIC15"/>
      <c r="GID15"/>
      <c r="GIE15"/>
      <c r="GIF15"/>
      <c r="GIG15"/>
      <c r="GIH15"/>
      <c r="GII15"/>
      <c r="GIJ15"/>
      <c r="GIK15"/>
      <c r="GIL15"/>
      <c r="GIM15"/>
      <c r="GIN15"/>
      <c r="GIO15"/>
      <c r="GIP15"/>
      <c r="GIQ15"/>
      <c r="GIR15"/>
      <c r="GIS15"/>
      <c r="GIT15"/>
      <c r="GIU15"/>
      <c r="GIV15"/>
      <c r="GIW15"/>
      <c r="GIX15"/>
      <c r="GIY15"/>
      <c r="GIZ15"/>
      <c r="GJA15"/>
      <c r="GJB15"/>
      <c r="GJC15"/>
      <c r="GJD15"/>
      <c r="GJE15"/>
      <c r="GJF15"/>
      <c r="GJG15"/>
      <c r="GJH15"/>
      <c r="GJI15"/>
      <c r="GJJ15"/>
      <c r="GJK15"/>
      <c r="GJL15"/>
      <c r="GJM15"/>
      <c r="GJN15"/>
      <c r="GJO15"/>
      <c r="GJP15"/>
      <c r="GJQ15"/>
      <c r="GJR15"/>
      <c r="GJS15"/>
      <c r="GJT15"/>
      <c r="GJU15"/>
      <c r="GJV15"/>
      <c r="GJW15"/>
      <c r="GJX15"/>
      <c r="GJY15"/>
      <c r="GJZ15"/>
      <c r="GKA15"/>
      <c r="GKB15"/>
      <c r="GKC15"/>
      <c r="GKD15"/>
      <c r="GKE15"/>
      <c r="GKF15"/>
      <c r="GKG15"/>
      <c r="GKH15"/>
      <c r="GKI15"/>
      <c r="GKJ15"/>
      <c r="GKK15"/>
      <c r="GKL15"/>
      <c r="GKM15"/>
      <c r="GKN15"/>
      <c r="GKO15"/>
      <c r="GKP15"/>
      <c r="GKQ15"/>
      <c r="GKR15"/>
      <c r="GKS15"/>
      <c r="GKT15"/>
      <c r="GKU15"/>
      <c r="GKV15"/>
      <c r="GKW15"/>
      <c r="GKX15"/>
      <c r="GKY15"/>
      <c r="GKZ15"/>
      <c r="GLA15"/>
      <c r="GLB15"/>
      <c r="GLC15"/>
      <c r="GLD15"/>
      <c r="GLE15"/>
      <c r="GLF15"/>
      <c r="GLG15"/>
      <c r="GLH15"/>
      <c r="GLI15"/>
      <c r="GLJ15"/>
      <c r="GLK15"/>
      <c r="GLL15"/>
      <c r="GLM15"/>
      <c r="GLN15"/>
      <c r="GLO15"/>
      <c r="GLP15"/>
      <c r="GLQ15"/>
      <c r="GLR15"/>
      <c r="GLS15"/>
      <c r="GLT15"/>
      <c r="GLU15"/>
      <c r="GLV15"/>
      <c r="GLW15"/>
      <c r="GLX15"/>
      <c r="GLY15"/>
      <c r="GLZ15"/>
      <c r="GMA15"/>
      <c r="GMB15"/>
      <c r="GMC15"/>
      <c r="GMD15"/>
      <c r="GME15"/>
      <c r="GMF15"/>
      <c r="GMG15"/>
      <c r="GMH15"/>
      <c r="GMI15"/>
      <c r="GMJ15"/>
      <c r="GMK15"/>
      <c r="GML15"/>
      <c r="GMM15"/>
      <c r="GMN15"/>
      <c r="GMO15"/>
      <c r="GMP15"/>
      <c r="GMQ15"/>
      <c r="GMR15"/>
      <c r="GMS15"/>
      <c r="GMT15"/>
      <c r="GMU15"/>
      <c r="GMV15"/>
      <c r="GMW15"/>
      <c r="GMX15"/>
      <c r="GMY15"/>
      <c r="GMZ15"/>
      <c r="GNA15"/>
      <c r="GNB15"/>
      <c r="GNC15"/>
      <c r="GND15"/>
      <c r="GNE15"/>
      <c r="GNF15"/>
      <c r="GNG15"/>
      <c r="GNH15"/>
      <c r="GNI15"/>
      <c r="GNJ15"/>
      <c r="GNK15"/>
      <c r="GNL15"/>
      <c r="GNM15"/>
      <c r="GNN15"/>
      <c r="GNO15"/>
      <c r="GNP15"/>
      <c r="GNQ15"/>
      <c r="GNR15"/>
      <c r="GNS15"/>
      <c r="GNT15"/>
      <c r="GNU15"/>
      <c r="GNV15"/>
      <c r="GNW15"/>
      <c r="GNX15"/>
      <c r="GNY15"/>
      <c r="GNZ15"/>
      <c r="GOA15"/>
      <c r="GOB15"/>
      <c r="GOC15"/>
      <c r="GOD15"/>
      <c r="GOE15"/>
      <c r="GOF15"/>
      <c r="GOG15"/>
      <c r="GOH15"/>
      <c r="GOI15"/>
      <c r="GOJ15"/>
      <c r="GOK15"/>
      <c r="GOL15"/>
      <c r="GOM15"/>
      <c r="GON15"/>
      <c r="GOO15"/>
      <c r="GOP15"/>
      <c r="GOQ15"/>
      <c r="GOR15"/>
      <c r="GOS15"/>
      <c r="GOT15"/>
      <c r="GOU15"/>
      <c r="GOV15"/>
      <c r="GOW15"/>
      <c r="GOX15"/>
      <c r="GOY15"/>
      <c r="GOZ15"/>
      <c r="GPA15"/>
      <c r="GPB15"/>
      <c r="GPC15"/>
      <c r="GPD15"/>
      <c r="GPE15"/>
      <c r="GPF15"/>
      <c r="GPG15"/>
      <c r="GPH15"/>
      <c r="GPI15"/>
      <c r="GPJ15"/>
      <c r="GPK15"/>
      <c r="GPL15"/>
      <c r="GPM15"/>
      <c r="GPN15"/>
      <c r="GPO15"/>
      <c r="GPP15"/>
      <c r="GPQ15"/>
      <c r="GPR15"/>
      <c r="GPS15"/>
      <c r="GPT15"/>
      <c r="GPU15"/>
      <c r="GPV15"/>
      <c r="GPW15"/>
      <c r="GPX15"/>
      <c r="GPY15"/>
      <c r="GPZ15"/>
      <c r="GQA15"/>
      <c r="GQB15"/>
      <c r="GQC15"/>
      <c r="GQD15"/>
      <c r="GQE15"/>
      <c r="GQF15"/>
      <c r="GQG15"/>
      <c r="GQH15"/>
      <c r="GQI15"/>
      <c r="GQJ15"/>
      <c r="GQK15"/>
      <c r="GQL15"/>
      <c r="GQM15"/>
      <c r="GQN15"/>
      <c r="GQO15"/>
      <c r="GQP15"/>
      <c r="GQQ15"/>
      <c r="GQR15"/>
      <c r="GQS15"/>
      <c r="GQT15"/>
      <c r="GQU15"/>
      <c r="GQV15"/>
      <c r="GQW15"/>
      <c r="GQX15"/>
      <c r="GQY15"/>
      <c r="GQZ15"/>
      <c r="GRA15"/>
      <c r="GRB15"/>
      <c r="GRC15"/>
      <c r="GRD15"/>
      <c r="GRE15"/>
      <c r="GRF15"/>
      <c r="GRG15"/>
      <c r="GRH15"/>
      <c r="GRI15"/>
      <c r="GRJ15"/>
      <c r="GRK15"/>
      <c r="GRL15"/>
      <c r="GRM15"/>
      <c r="GRN15"/>
      <c r="GRO15"/>
      <c r="GRP15"/>
      <c r="GRQ15"/>
      <c r="GRR15"/>
      <c r="GRS15"/>
      <c r="GRT15"/>
      <c r="GRU15"/>
      <c r="GRV15"/>
      <c r="GRW15"/>
      <c r="GRX15"/>
      <c r="GRY15"/>
      <c r="GRZ15"/>
      <c r="GSA15"/>
      <c r="GSB15"/>
      <c r="GSC15"/>
      <c r="GSD15"/>
      <c r="GSE15"/>
      <c r="GSF15"/>
      <c r="GSG15"/>
      <c r="GSH15"/>
      <c r="GSI15"/>
      <c r="GSJ15"/>
      <c r="GSK15"/>
      <c r="GSL15"/>
      <c r="GSM15"/>
      <c r="GSN15"/>
      <c r="GSO15"/>
      <c r="GSP15"/>
      <c r="GSQ15"/>
      <c r="GSR15"/>
      <c r="GSS15"/>
      <c r="GST15"/>
      <c r="GSU15"/>
      <c r="GSV15"/>
      <c r="GSW15"/>
      <c r="GSX15"/>
      <c r="GSY15"/>
      <c r="GSZ15"/>
      <c r="GTA15"/>
      <c r="GTB15"/>
      <c r="GTC15"/>
      <c r="GTD15"/>
      <c r="GTE15"/>
      <c r="GTF15"/>
      <c r="GTG15"/>
      <c r="GTH15"/>
      <c r="GTI15"/>
      <c r="GTJ15"/>
      <c r="GTK15"/>
      <c r="GTL15"/>
      <c r="GTM15"/>
      <c r="GTN15"/>
      <c r="GTO15"/>
      <c r="GTP15"/>
      <c r="GTQ15"/>
      <c r="GTR15"/>
      <c r="GTS15"/>
      <c r="GTT15"/>
      <c r="GTU15"/>
      <c r="GTV15"/>
      <c r="GTW15"/>
      <c r="GTX15"/>
      <c r="GTY15"/>
      <c r="GTZ15"/>
      <c r="GUA15"/>
      <c r="GUB15"/>
      <c r="GUC15"/>
      <c r="GUD15"/>
      <c r="GUE15"/>
      <c r="GUF15"/>
      <c r="GUG15"/>
      <c r="GUH15"/>
      <c r="GUI15"/>
      <c r="GUJ15"/>
      <c r="GUK15"/>
      <c r="GUL15"/>
      <c r="GUM15"/>
      <c r="GUN15"/>
      <c r="GUO15"/>
      <c r="GUP15"/>
      <c r="GUQ15"/>
      <c r="GUR15"/>
      <c r="GUS15"/>
      <c r="GUT15"/>
      <c r="GUU15"/>
      <c r="GUV15"/>
      <c r="GUW15"/>
      <c r="GUX15"/>
      <c r="GUY15"/>
      <c r="GUZ15"/>
      <c r="GVA15"/>
      <c r="GVB15"/>
      <c r="GVC15"/>
      <c r="GVD15"/>
      <c r="GVE15"/>
      <c r="GVF15"/>
      <c r="GVG15"/>
      <c r="GVH15"/>
      <c r="GVI15"/>
      <c r="GVJ15"/>
      <c r="GVK15"/>
      <c r="GVL15"/>
      <c r="GVM15"/>
      <c r="GVN15"/>
      <c r="GVO15"/>
      <c r="GVP15"/>
      <c r="GVQ15"/>
      <c r="GVR15"/>
      <c r="GVS15"/>
      <c r="GVT15"/>
      <c r="GVU15"/>
      <c r="GVV15"/>
      <c r="GVW15"/>
      <c r="GVX15"/>
      <c r="GVY15"/>
      <c r="GVZ15"/>
      <c r="GWA15"/>
      <c r="GWB15"/>
      <c r="GWC15"/>
      <c r="GWD15"/>
      <c r="GWE15"/>
      <c r="GWF15"/>
      <c r="GWG15"/>
      <c r="GWH15"/>
      <c r="GWI15"/>
      <c r="GWJ15"/>
      <c r="GWK15"/>
      <c r="GWL15"/>
      <c r="GWM15"/>
      <c r="GWN15"/>
      <c r="GWO15"/>
      <c r="GWP15"/>
      <c r="GWQ15"/>
      <c r="GWR15"/>
      <c r="GWS15"/>
      <c r="GWT15"/>
      <c r="GWU15"/>
      <c r="GWV15"/>
      <c r="GWW15"/>
      <c r="GWX15"/>
      <c r="GWY15"/>
      <c r="GWZ15"/>
      <c r="GXA15"/>
      <c r="GXB15"/>
      <c r="GXC15"/>
      <c r="GXD15"/>
      <c r="GXE15"/>
      <c r="GXF15"/>
      <c r="GXG15"/>
      <c r="GXH15"/>
      <c r="GXI15"/>
      <c r="GXJ15"/>
      <c r="GXK15"/>
      <c r="GXL15"/>
      <c r="GXM15"/>
      <c r="GXN15"/>
      <c r="GXO15"/>
      <c r="GXP15"/>
      <c r="GXQ15"/>
      <c r="GXR15"/>
      <c r="GXS15"/>
      <c r="GXT15"/>
      <c r="GXU15"/>
      <c r="GXV15"/>
      <c r="GXW15"/>
      <c r="GXX15"/>
      <c r="GXY15"/>
      <c r="GXZ15"/>
      <c r="GYA15"/>
      <c r="GYB15"/>
      <c r="GYC15"/>
      <c r="GYD15"/>
      <c r="GYE15"/>
      <c r="GYF15"/>
      <c r="GYG15"/>
      <c r="GYH15"/>
      <c r="GYI15"/>
      <c r="GYJ15"/>
      <c r="GYK15"/>
      <c r="GYL15"/>
      <c r="GYM15"/>
      <c r="GYN15"/>
      <c r="GYO15"/>
      <c r="GYP15"/>
      <c r="GYQ15"/>
      <c r="GYR15"/>
      <c r="GYS15"/>
      <c r="GYT15"/>
      <c r="GYU15"/>
      <c r="GYV15"/>
      <c r="GYW15"/>
      <c r="GYX15"/>
      <c r="GYY15"/>
      <c r="GYZ15"/>
      <c r="GZA15"/>
      <c r="GZB15"/>
      <c r="GZC15"/>
      <c r="GZD15"/>
      <c r="GZE15"/>
      <c r="GZF15"/>
      <c r="GZG15"/>
      <c r="GZH15"/>
      <c r="GZI15"/>
      <c r="GZJ15"/>
      <c r="GZK15"/>
      <c r="GZL15"/>
      <c r="GZM15"/>
      <c r="GZN15"/>
      <c r="GZO15"/>
      <c r="GZP15"/>
      <c r="GZQ15"/>
      <c r="GZR15"/>
      <c r="GZS15"/>
      <c r="GZT15"/>
      <c r="GZU15"/>
      <c r="GZV15"/>
      <c r="GZW15"/>
      <c r="GZX15"/>
      <c r="GZY15"/>
      <c r="GZZ15"/>
      <c r="HAA15"/>
      <c r="HAB15"/>
      <c r="HAC15"/>
      <c r="HAD15"/>
      <c r="HAE15"/>
      <c r="HAF15"/>
      <c r="HAG15"/>
      <c r="HAH15"/>
      <c r="HAI15"/>
      <c r="HAJ15"/>
      <c r="HAK15"/>
      <c r="HAL15"/>
      <c r="HAM15"/>
      <c r="HAN15"/>
      <c r="HAO15"/>
      <c r="HAP15"/>
      <c r="HAQ15"/>
      <c r="HAR15"/>
      <c r="HAS15"/>
      <c r="HAT15"/>
      <c r="HAU15"/>
      <c r="HAV15"/>
      <c r="HAW15"/>
      <c r="HAX15"/>
      <c r="HAY15"/>
      <c r="HAZ15"/>
      <c r="HBA15"/>
      <c r="HBB15"/>
      <c r="HBC15"/>
      <c r="HBD15"/>
      <c r="HBE15"/>
      <c r="HBF15"/>
      <c r="HBG15"/>
      <c r="HBH15"/>
      <c r="HBI15"/>
      <c r="HBJ15"/>
      <c r="HBK15"/>
      <c r="HBL15"/>
      <c r="HBM15"/>
      <c r="HBN15"/>
      <c r="HBO15"/>
      <c r="HBP15"/>
      <c r="HBQ15"/>
      <c r="HBR15"/>
      <c r="HBS15"/>
      <c r="HBT15"/>
      <c r="HBU15"/>
      <c r="HBV15"/>
      <c r="HBW15"/>
      <c r="HBX15"/>
      <c r="HBY15"/>
      <c r="HBZ15"/>
      <c r="HCA15"/>
      <c r="HCB15"/>
      <c r="HCC15"/>
      <c r="HCD15"/>
      <c r="HCE15"/>
      <c r="HCF15"/>
      <c r="HCG15"/>
      <c r="HCH15"/>
      <c r="HCI15"/>
      <c r="HCJ15"/>
      <c r="HCK15"/>
      <c r="HCL15"/>
      <c r="HCM15"/>
      <c r="HCN15"/>
      <c r="HCO15"/>
      <c r="HCP15"/>
      <c r="HCQ15"/>
      <c r="HCR15"/>
      <c r="HCS15"/>
      <c r="HCT15"/>
      <c r="HCU15"/>
      <c r="HCV15"/>
      <c r="HCW15"/>
      <c r="HCX15"/>
      <c r="HCY15"/>
      <c r="HCZ15"/>
      <c r="HDA15"/>
      <c r="HDB15"/>
      <c r="HDC15"/>
      <c r="HDD15"/>
      <c r="HDE15"/>
      <c r="HDF15"/>
      <c r="HDG15"/>
      <c r="HDH15"/>
      <c r="HDI15"/>
      <c r="HDJ15"/>
      <c r="HDK15"/>
      <c r="HDL15"/>
      <c r="HDM15"/>
      <c r="HDN15"/>
      <c r="HDO15"/>
      <c r="HDP15"/>
      <c r="HDQ15"/>
      <c r="HDR15"/>
      <c r="HDS15"/>
      <c r="HDT15"/>
      <c r="HDU15"/>
      <c r="HDV15"/>
      <c r="HDW15"/>
      <c r="HDX15"/>
      <c r="HDY15"/>
      <c r="HDZ15"/>
      <c r="HEA15"/>
      <c r="HEB15"/>
      <c r="HEC15"/>
      <c r="HED15"/>
      <c r="HEE15"/>
      <c r="HEF15"/>
      <c r="HEG15"/>
      <c r="HEH15"/>
      <c r="HEI15"/>
      <c r="HEJ15"/>
      <c r="HEK15"/>
      <c r="HEL15"/>
      <c r="HEM15"/>
      <c r="HEN15"/>
      <c r="HEO15"/>
      <c r="HEP15"/>
      <c r="HEQ15"/>
      <c r="HER15"/>
      <c r="HES15"/>
      <c r="HET15"/>
      <c r="HEU15"/>
      <c r="HEV15"/>
      <c r="HEW15"/>
      <c r="HEX15"/>
      <c r="HEY15"/>
      <c r="HEZ15"/>
      <c r="HFA15"/>
      <c r="HFB15"/>
      <c r="HFC15"/>
      <c r="HFD15"/>
      <c r="HFE15"/>
      <c r="HFF15"/>
      <c r="HFG15"/>
      <c r="HFH15"/>
      <c r="HFI15"/>
      <c r="HFJ15"/>
      <c r="HFK15"/>
      <c r="HFL15"/>
      <c r="HFM15"/>
      <c r="HFN15"/>
      <c r="HFO15"/>
      <c r="HFP15"/>
      <c r="HFQ15"/>
      <c r="HFR15"/>
      <c r="HFS15"/>
      <c r="HFT15"/>
      <c r="HFU15"/>
      <c r="HFV15"/>
      <c r="HFW15"/>
      <c r="HFX15"/>
      <c r="HFY15"/>
      <c r="HFZ15"/>
      <c r="HGA15"/>
      <c r="HGB15"/>
      <c r="HGC15"/>
      <c r="HGD15"/>
      <c r="HGE15"/>
      <c r="HGF15"/>
      <c r="HGG15"/>
      <c r="HGH15"/>
      <c r="HGI15"/>
      <c r="HGJ15"/>
      <c r="HGK15"/>
      <c r="HGL15"/>
      <c r="HGM15"/>
      <c r="HGN15"/>
      <c r="HGO15"/>
      <c r="HGP15"/>
      <c r="HGQ15"/>
      <c r="HGR15"/>
      <c r="HGS15"/>
      <c r="HGT15"/>
      <c r="HGU15"/>
      <c r="HGV15"/>
      <c r="HGW15"/>
      <c r="HGX15"/>
      <c r="HGY15"/>
      <c r="HGZ15"/>
      <c r="HHA15"/>
      <c r="HHB15"/>
      <c r="HHC15"/>
      <c r="HHD15"/>
      <c r="HHE15"/>
      <c r="HHF15"/>
      <c r="HHG15"/>
      <c r="HHH15"/>
      <c r="HHI15"/>
      <c r="HHJ15"/>
      <c r="HHK15"/>
      <c r="HHL15"/>
      <c r="HHM15"/>
      <c r="HHN15"/>
      <c r="HHO15"/>
      <c r="HHP15"/>
      <c r="HHQ15"/>
      <c r="HHR15"/>
      <c r="HHS15"/>
      <c r="HHT15"/>
      <c r="HHU15"/>
      <c r="HHV15"/>
      <c r="HHW15"/>
      <c r="HHX15"/>
      <c r="HHY15"/>
      <c r="HHZ15"/>
      <c r="HIA15"/>
      <c r="HIB15"/>
      <c r="HIC15"/>
      <c r="HID15"/>
      <c r="HIE15"/>
      <c r="HIF15"/>
      <c r="HIG15"/>
      <c r="HIH15"/>
      <c r="HII15"/>
      <c r="HIJ15"/>
      <c r="HIK15"/>
      <c r="HIL15"/>
      <c r="HIM15"/>
      <c r="HIN15"/>
      <c r="HIO15"/>
      <c r="HIP15"/>
      <c r="HIQ15"/>
      <c r="HIR15"/>
      <c r="HIS15"/>
      <c r="HIT15"/>
      <c r="HIU15"/>
      <c r="HIV15"/>
      <c r="HIW15"/>
      <c r="HIX15"/>
      <c r="HIY15"/>
      <c r="HIZ15"/>
      <c r="HJA15"/>
      <c r="HJB15"/>
      <c r="HJC15"/>
      <c r="HJD15"/>
      <c r="HJE15"/>
      <c r="HJF15"/>
      <c r="HJG15"/>
      <c r="HJH15"/>
      <c r="HJI15"/>
      <c r="HJJ15"/>
      <c r="HJK15"/>
      <c r="HJL15"/>
      <c r="HJM15"/>
      <c r="HJN15"/>
      <c r="HJO15"/>
      <c r="HJP15"/>
      <c r="HJQ15"/>
      <c r="HJR15"/>
      <c r="HJS15"/>
      <c r="HJT15"/>
      <c r="HJU15"/>
      <c r="HJV15"/>
      <c r="HJW15"/>
      <c r="HJX15"/>
      <c r="HJY15"/>
      <c r="HJZ15"/>
      <c r="HKA15"/>
      <c r="HKB15"/>
      <c r="HKC15"/>
      <c r="HKD15"/>
      <c r="HKE15"/>
      <c r="HKF15"/>
      <c r="HKG15"/>
      <c r="HKH15"/>
      <c r="HKI15"/>
      <c r="HKJ15"/>
      <c r="HKK15"/>
      <c r="HKL15"/>
      <c r="HKM15"/>
      <c r="HKN15"/>
      <c r="HKO15"/>
      <c r="HKP15"/>
      <c r="HKQ15"/>
      <c r="HKR15"/>
      <c r="HKS15"/>
      <c r="HKT15"/>
      <c r="HKU15"/>
      <c r="HKV15"/>
      <c r="HKW15"/>
      <c r="HKX15"/>
      <c r="HKY15"/>
      <c r="HKZ15"/>
      <c r="HLA15"/>
      <c r="HLB15"/>
      <c r="HLC15"/>
      <c r="HLD15"/>
      <c r="HLE15"/>
      <c r="HLF15"/>
      <c r="HLG15"/>
      <c r="HLH15"/>
      <c r="HLI15"/>
      <c r="HLJ15"/>
      <c r="HLK15"/>
      <c r="HLL15"/>
      <c r="HLM15"/>
      <c r="HLN15"/>
      <c r="HLO15"/>
      <c r="HLP15"/>
      <c r="HLQ15"/>
      <c r="HLR15"/>
      <c r="HLS15"/>
      <c r="HLT15"/>
      <c r="HLU15"/>
      <c r="HLV15"/>
      <c r="HLW15"/>
      <c r="HLX15"/>
      <c r="HLY15"/>
      <c r="HLZ15"/>
      <c r="HMA15"/>
      <c r="HMB15"/>
      <c r="HMC15"/>
      <c r="HMD15"/>
      <c r="HME15"/>
      <c r="HMF15"/>
      <c r="HMG15"/>
      <c r="HMH15"/>
      <c r="HMI15"/>
      <c r="HMJ15"/>
      <c r="HMK15"/>
      <c r="HML15"/>
      <c r="HMM15"/>
      <c r="HMN15"/>
      <c r="HMO15"/>
      <c r="HMP15"/>
      <c r="HMQ15"/>
      <c r="HMR15"/>
      <c r="HMS15"/>
      <c r="HMT15"/>
      <c r="HMU15"/>
      <c r="HMV15"/>
      <c r="HMW15"/>
      <c r="HMX15"/>
      <c r="HMY15"/>
      <c r="HMZ15"/>
      <c r="HNA15"/>
      <c r="HNB15"/>
      <c r="HNC15"/>
      <c r="HND15"/>
      <c r="HNE15"/>
      <c r="HNF15"/>
      <c r="HNG15"/>
      <c r="HNH15"/>
      <c r="HNI15"/>
      <c r="HNJ15"/>
      <c r="HNK15"/>
      <c r="HNL15"/>
      <c r="HNM15"/>
      <c r="HNN15"/>
      <c r="HNO15"/>
      <c r="HNP15"/>
      <c r="HNQ15"/>
      <c r="HNR15"/>
      <c r="HNS15"/>
      <c r="HNT15"/>
      <c r="HNU15"/>
      <c r="HNV15"/>
      <c r="HNW15"/>
      <c r="HNX15"/>
      <c r="HNY15"/>
      <c r="HNZ15"/>
      <c r="HOA15"/>
      <c r="HOB15"/>
      <c r="HOC15"/>
      <c r="HOD15"/>
      <c r="HOE15"/>
      <c r="HOF15"/>
      <c r="HOG15"/>
      <c r="HOH15"/>
      <c r="HOI15"/>
      <c r="HOJ15"/>
      <c r="HOK15"/>
      <c r="HOL15"/>
      <c r="HOM15"/>
      <c r="HON15"/>
      <c r="HOO15"/>
      <c r="HOP15"/>
      <c r="HOQ15"/>
      <c r="HOR15"/>
      <c r="HOS15"/>
      <c r="HOT15"/>
      <c r="HOU15"/>
      <c r="HOV15"/>
      <c r="HOW15"/>
      <c r="HOX15"/>
      <c r="HOY15"/>
      <c r="HOZ15"/>
      <c r="HPA15"/>
      <c r="HPB15"/>
      <c r="HPC15"/>
      <c r="HPD15"/>
      <c r="HPE15"/>
      <c r="HPF15"/>
      <c r="HPG15"/>
      <c r="HPH15"/>
      <c r="HPI15"/>
      <c r="HPJ15"/>
      <c r="HPK15"/>
      <c r="HPL15"/>
      <c r="HPM15"/>
      <c r="HPN15"/>
      <c r="HPO15"/>
      <c r="HPP15"/>
      <c r="HPQ15"/>
      <c r="HPR15"/>
      <c r="HPS15"/>
      <c r="HPT15"/>
      <c r="HPU15"/>
      <c r="HPV15"/>
      <c r="HPW15"/>
      <c r="HPX15"/>
      <c r="HPY15"/>
      <c r="HPZ15"/>
      <c r="HQA15"/>
      <c r="HQB15"/>
      <c r="HQC15"/>
      <c r="HQD15"/>
      <c r="HQE15"/>
      <c r="HQF15"/>
      <c r="HQG15"/>
      <c r="HQH15"/>
      <c r="HQI15"/>
      <c r="HQJ15"/>
      <c r="HQK15"/>
      <c r="HQL15"/>
      <c r="HQM15"/>
      <c r="HQN15"/>
      <c r="HQO15"/>
      <c r="HQP15"/>
      <c r="HQQ15"/>
      <c r="HQR15"/>
      <c r="HQS15"/>
      <c r="HQT15"/>
      <c r="HQU15"/>
      <c r="HQV15"/>
      <c r="HQW15"/>
      <c r="HQX15"/>
      <c r="HQY15"/>
      <c r="HQZ15"/>
      <c r="HRA15"/>
      <c r="HRB15"/>
      <c r="HRC15"/>
      <c r="HRD15"/>
      <c r="HRE15"/>
      <c r="HRF15"/>
      <c r="HRG15"/>
      <c r="HRH15"/>
      <c r="HRI15"/>
      <c r="HRJ15"/>
      <c r="HRK15"/>
      <c r="HRL15"/>
      <c r="HRM15"/>
      <c r="HRN15"/>
      <c r="HRO15"/>
      <c r="HRP15"/>
      <c r="HRQ15"/>
      <c r="HRR15"/>
      <c r="HRS15"/>
      <c r="HRT15"/>
      <c r="HRU15"/>
      <c r="HRV15"/>
      <c r="HRW15"/>
      <c r="HRX15"/>
      <c r="HRY15"/>
      <c r="HRZ15"/>
      <c r="HSA15"/>
      <c r="HSB15"/>
      <c r="HSC15"/>
      <c r="HSD15"/>
      <c r="HSE15"/>
      <c r="HSF15"/>
      <c r="HSG15"/>
      <c r="HSH15"/>
      <c r="HSI15"/>
      <c r="HSJ15"/>
      <c r="HSK15"/>
      <c r="HSL15"/>
      <c r="HSM15"/>
      <c r="HSN15"/>
      <c r="HSO15"/>
      <c r="HSP15"/>
      <c r="HSQ15"/>
      <c r="HSR15"/>
      <c r="HSS15"/>
      <c r="HST15"/>
      <c r="HSU15"/>
      <c r="HSV15"/>
      <c r="HSW15"/>
      <c r="HSX15"/>
      <c r="HSY15"/>
      <c r="HSZ15"/>
      <c r="HTA15"/>
      <c r="HTB15"/>
      <c r="HTC15"/>
      <c r="HTD15"/>
      <c r="HTE15"/>
      <c r="HTF15"/>
      <c r="HTG15"/>
      <c r="HTH15"/>
      <c r="HTI15"/>
      <c r="HTJ15"/>
      <c r="HTK15"/>
      <c r="HTL15"/>
      <c r="HTM15"/>
      <c r="HTN15"/>
      <c r="HTO15"/>
      <c r="HTP15"/>
      <c r="HTQ15"/>
      <c r="HTR15"/>
      <c r="HTS15"/>
      <c r="HTT15"/>
      <c r="HTU15"/>
      <c r="HTV15"/>
      <c r="HTW15"/>
      <c r="HTX15"/>
      <c r="HTY15"/>
      <c r="HTZ15"/>
      <c r="HUA15"/>
      <c r="HUB15"/>
      <c r="HUC15"/>
      <c r="HUD15"/>
      <c r="HUE15"/>
      <c r="HUF15"/>
      <c r="HUG15"/>
      <c r="HUH15"/>
      <c r="HUI15"/>
      <c r="HUJ15"/>
      <c r="HUK15"/>
      <c r="HUL15"/>
      <c r="HUM15"/>
      <c r="HUN15"/>
      <c r="HUO15"/>
      <c r="HUP15"/>
      <c r="HUQ15"/>
      <c r="HUR15"/>
      <c r="HUS15"/>
      <c r="HUT15"/>
      <c r="HUU15"/>
      <c r="HUV15"/>
      <c r="HUW15"/>
      <c r="HUX15"/>
      <c r="HUY15"/>
      <c r="HUZ15"/>
      <c r="HVA15"/>
      <c r="HVB15"/>
      <c r="HVC15"/>
      <c r="HVD15"/>
      <c r="HVE15"/>
      <c r="HVF15"/>
      <c r="HVG15"/>
      <c r="HVH15"/>
      <c r="HVI15"/>
      <c r="HVJ15"/>
      <c r="HVK15"/>
      <c r="HVL15"/>
      <c r="HVM15"/>
      <c r="HVN15"/>
      <c r="HVO15"/>
      <c r="HVP15"/>
      <c r="HVQ15"/>
      <c r="HVR15"/>
      <c r="HVS15"/>
      <c r="HVT15"/>
      <c r="HVU15"/>
      <c r="HVV15"/>
      <c r="HVW15"/>
      <c r="HVX15"/>
      <c r="HVY15"/>
      <c r="HVZ15"/>
      <c r="HWA15"/>
      <c r="HWB15"/>
      <c r="HWC15"/>
      <c r="HWD15"/>
      <c r="HWE15"/>
      <c r="HWF15"/>
      <c r="HWG15"/>
      <c r="HWH15"/>
      <c r="HWI15"/>
      <c r="HWJ15"/>
      <c r="HWK15"/>
      <c r="HWL15"/>
      <c r="HWM15"/>
      <c r="HWN15"/>
      <c r="HWO15"/>
      <c r="HWP15"/>
      <c r="HWQ15"/>
      <c r="HWR15"/>
      <c r="HWS15"/>
      <c r="HWT15"/>
      <c r="HWU15"/>
      <c r="HWV15"/>
      <c r="HWW15"/>
      <c r="HWX15"/>
      <c r="HWY15"/>
      <c r="HWZ15"/>
      <c r="HXA15"/>
      <c r="HXB15"/>
      <c r="HXC15"/>
      <c r="HXD15"/>
      <c r="HXE15"/>
      <c r="HXF15"/>
      <c r="HXG15"/>
      <c r="HXH15"/>
      <c r="HXI15"/>
      <c r="HXJ15"/>
      <c r="HXK15"/>
      <c r="HXL15"/>
      <c r="HXM15"/>
      <c r="HXN15"/>
      <c r="HXO15"/>
      <c r="HXP15"/>
      <c r="HXQ15"/>
      <c r="HXR15"/>
      <c r="HXS15"/>
      <c r="HXT15"/>
      <c r="HXU15"/>
      <c r="HXV15"/>
      <c r="HXW15"/>
      <c r="HXX15"/>
      <c r="HXY15"/>
      <c r="HXZ15"/>
      <c r="HYA15"/>
      <c r="HYB15"/>
      <c r="HYC15"/>
      <c r="HYD15"/>
      <c r="HYE15"/>
      <c r="HYF15"/>
      <c r="HYG15"/>
      <c r="HYH15"/>
      <c r="HYI15"/>
      <c r="HYJ15"/>
      <c r="HYK15"/>
      <c r="HYL15"/>
      <c r="HYM15"/>
      <c r="HYN15"/>
      <c r="HYO15"/>
      <c r="HYP15"/>
      <c r="HYQ15"/>
      <c r="HYR15"/>
      <c r="HYS15"/>
      <c r="HYT15"/>
      <c r="HYU15"/>
      <c r="HYV15"/>
      <c r="HYW15"/>
      <c r="HYX15"/>
      <c r="HYY15"/>
      <c r="HYZ15"/>
      <c r="HZA15"/>
      <c r="HZB15"/>
      <c r="HZC15"/>
      <c r="HZD15"/>
      <c r="HZE15"/>
      <c r="HZF15"/>
      <c r="HZG15"/>
      <c r="HZH15"/>
      <c r="HZI15"/>
      <c r="HZJ15"/>
      <c r="HZK15"/>
      <c r="HZL15"/>
      <c r="HZM15"/>
      <c r="HZN15"/>
      <c r="HZO15"/>
      <c r="HZP15"/>
      <c r="HZQ15"/>
      <c r="HZR15"/>
      <c r="HZS15"/>
      <c r="HZT15"/>
      <c r="HZU15"/>
      <c r="HZV15"/>
      <c r="HZW15"/>
      <c r="HZX15"/>
      <c r="HZY15"/>
      <c r="HZZ15"/>
      <c r="IAA15"/>
      <c r="IAB15"/>
      <c r="IAC15"/>
      <c r="IAD15"/>
      <c r="IAE15"/>
      <c r="IAF15"/>
      <c r="IAG15"/>
      <c r="IAH15"/>
      <c r="IAI15"/>
      <c r="IAJ15"/>
      <c r="IAK15"/>
      <c r="IAL15"/>
      <c r="IAM15"/>
      <c r="IAN15"/>
      <c r="IAO15"/>
      <c r="IAP15"/>
      <c r="IAQ15"/>
      <c r="IAR15"/>
      <c r="IAS15"/>
      <c r="IAT15"/>
      <c r="IAU15"/>
      <c r="IAV15"/>
      <c r="IAW15"/>
      <c r="IAX15"/>
      <c r="IAY15"/>
      <c r="IAZ15"/>
      <c r="IBA15"/>
      <c r="IBB15"/>
      <c r="IBC15"/>
      <c r="IBD15"/>
      <c r="IBE15"/>
      <c r="IBF15"/>
      <c r="IBG15"/>
      <c r="IBH15"/>
      <c r="IBI15"/>
      <c r="IBJ15"/>
      <c r="IBK15"/>
      <c r="IBL15"/>
      <c r="IBM15"/>
      <c r="IBN15"/>
      <c r="IBO15"/>
      <c r="IBP15"/>
      <c r="IBQ15"/>
      <c r="IBR15"/>
      <c r="IBS15"/>
      <c r="IBT15"/>
      <c r="IBU15"/>
      <c r="IBV15"/>
      <c r="IBW15"/>
      <c r="IBX15"/>
      <c r="IBY15"/>
      <c r="IBZ15"/>
      <c r="ICA15"/>
      <c r="ICB15"/>
      <c r="ICC15"/>
      <c r="ICD15"/>
      <c r="ICE15"/>
      <c r="ICF15"/>
      <c r="ICG15"/>
      <c r="ICH15"/>
      <c r="ICI15"/>
      <c r="ICJ15"/>
      <c r="ICK15"/>
      <c r="ICL15"/>
      <c r="ICM15"/>
      <c r="ICN15"/>
      <c r="ICO15"/>
      <c r="ICP15"/>
      <c r="ICQ15"/>
      <c r="ICR15"/>
      <c r="ICS15"/>
      <c r="ICT15"/>
      <c r="ICU15"/>
      <c r="ICV15"/>
      <c r="ICW15"/>
      <c r="ICX15"/>
      <c r="ICY15"/>
      <c r="ICZ15"/>
      <c r="IDA15"/>
      <c r="IDB15"/>
      <c r="IDC15"/>
      <c r="IDD15"/>
      <c r="IDE15"/>
      <c r="IDF15"/>
      <c r="IDG15"/>
      <c r="IDH15"/>
      <c r="IDI15"/>
      <c r="IDJ15"/>
      <c r="IDK15"/>
      <c r="IDL15"/>
      <c r="IDM15"/>
      <c r="IDN15"/>
      <c r="IDO15"/>
      <c r="IDP15"/>
      <c r="IDQ15"/>
      <c r="IDR15"/>
      <c r="IDS15"/>
      <c r="IDT15"/>
      <c r="IDU15"/>
      <c r="IDV15"/>
      <c r="IDW15"/>
      <c r="IDX15"/>
      <c r="IDY15"/>
      <c r="IDZ15"/>
      <c r="IEA15"/>
      <c r="IEB15"/>
      <c r="IEC15"/>
      <c r="IED15"/>
      <c r="IEE15"/>
      <c r="IEF15"/>
      <c r="IEG15"/>
      <c r="IEH15"/>
      <c r="IEI15"/>
      <c r="IEJ15"/>
      <c r="IEK15"/>
      <c r="IEL15"/>
      <c r="IEM15"/>
      <c r="IEN15"/>
      <c r="IEO15"/>
      <c r="IEP15"/>
      <c r="IEQ15"/>
      <c r="IER15"/>
      <c r="IES15"/>
      <c r="IET15"/>
      <c r="IEU15"/>
      <c r="IEV15"/>
      <c r="IEW15"/>
      <c r="IEX15"/>
      <c r="IEY15"/>
      <c r="IEZ15"/>
      <c r="IFA15"/>
      <c r="IFB15"/>
      <c r="IFC15"/>
      <c r="IFD15"/>
      <c r="IFE15"/>
      <c r="IFF15"/>
      <c r="IFG15"/>
      <c r="IFH15"/>
      <c r="IFI15"/>
      <c r="IFJ15"/>
      <c r="IFK15"/>
      <c r="IFL15"/>
      <c r="IFM15"/>
      <c r="IFN15"/>
      <c r="IFO15"/>
      <c r="IFP15"/>
      <c r="IFQ15"/>
      <c r="IFR15"/>
      <c r="IFS15"/>
      <c r="IFT15"/>
      <c r="IFU15"/>
      <c r="IFV15"/>
      <c r="IFW15"/>
      <c r="IFX15"/>
      <c r="IFY15"/>
      <c r="IFZ15"/>
      <c r="IGA15"/>
      <c r="IGB15"/>
      <c r="IGC15"/>
      <c r="IGD15"/>
      <c r="IGE15"/>
      <c r="IGF15"/>
      <c r="IGG15"/>
      <c r="IGH15"/>
      <c r="IGI15"/>
      <c r="IGJ15"/>
      <c r="IGK15"/>
      <c r="IGL15"/>
      <c r="IGM15"/>
      <c r="IGN15"/>
      <c r="IGO15"/>
      <c r="IGP15"/>
      <c r="IGQ15"/>
      <c r="IGR15"/>
      <c r="IGS15"/>
      <c r="IGT15"/>
      <c r="IGU15"/>
      <c r="IGV15"/>
      <c r="IGW15"/>
      <c r="IGX15"/>
      <c r="IGY15"/>
      <c r="IGZ15"/>
      <c r="IHA15"/>
      <c r="IHB15"/>
      <c r="IHC15"/>
      <c r="IHD15"/>
      <c r="IHE15"/>
      <c r="IHF15"/>
      <c r="IHG15"/>
      <c r="IHH15"/>
      <c r="IHI15"/>
      <c r="IHJ15"/>
      <c r="IHK15"/>
      <c r="IHL15"/>
      <c r="IHM15"/>
      <c r="IHN15"/>
      <c r="IHO15"/>
      <c r="IHP15"/>
      <c r="IHQ15"/>
      <c r="IHR15"/>
      <c r="IHS15"/>
      <c r="IHT15"/>
      <c r="IHU15"/>
      <c r="IHV15"/>
      <c r="IHW15"/>
      <c r="IHX15"/>
      <c r="IHY15"/>
      <c r="IHZ15"/>
      <c r="IIA15"/>
      <c r="IIB15"/>
      <c r="IIC15"/>
      <c r="IID15"/>
      <c r="IIE15"/>
      <c r="IIF15"/>
      <c r="IIG15"/>
      <c r="IIH15"/>
      <c r="III15"/>
      <c r="IIJ15"/>
      <c r="IIK15"/>
      <c r="IIL15"/>
      <c r="IIM15"/>
      <c r="IIN15"/>
      <c r="IIO15"/>
      <c r="IIP15"/>
      <c r="IIQ15"/>
      <c r="IIR15"/>
      <c r="IIS15"/>
      <c r="IIT15"/>
      <c r="IIU15"/>
      <c r="IIV15"/>
      <c r="IIW15"/>
      <c r="IIX15"/>
      <c r="IIY15"/>
      <c r="IIZ15"/>
      <c r="IJA15"/>
      <c r="IJB15"/>
      <c r="IJC15"/>
      <c r="IJD15"/>
      <c r="IJE15"/>
      <c r="IJF15"/>
      <c r="IJG15"/>
      <c r="IJH15"/>
      <c r="IJI15"/>
      <c r="IJJ15"/>
      <c r="IJK15"/>
      <c r="IJL15"/>
      <c r="IJM15"/>
      <c r="IJN15"/>
      <c r="IJO15"/>
      <c r="IJP15"/>
      <c r="IJQ15"/>
      <c r="IJR15"/>
      <c r="IJS15"/>
      <c r="IJT15"/>
      <c r="IJU15"/>
      <c r="IJV15"/>
      <c r="IJW15"/>
      <c r="IJX15"/>
      <c r="IJY15"/>
      <c r="IJZ15"/>
      <c r="IKA15"/>
      <c r="IKB15"/>
      <c r="IKC15"/>
      <c r="IKD15"/>
      <c r="IKE15"/>
      <c r="IKF15"/>
      <c r="IKG15"/>
      <c r="IKH15"/>
      <c r="IKI15"/>
      <c r="IKJ15"/>
      <c r="IKK15"/>
      <c r="IKL15"/>
      <c r="IKM15"/>
      <c r="IKN15"/>
      <c r="IKO15"/>
      <c r="IKP15"/>
      <c r="IKQ15"/>
      <c r="IKR15"/>
      <c r="IKS15"/>
      <c r="IKT15"/>
      <c r="IKU15"/>
      <c r="IKV15"/>
      <c r="IKW15"/>
      <c r="IKX15"/>
      <c r="IKY15"/>
      <c r="IKZ15"/>
      <c r="ILA15"/>
      <c r="ILB15"/>
      <c r="ILC15"/>
      <c r="ILD15"/>
      <c r="ILE15"/>
      <c r="ILF15"/>
      <c r="ILG15"/>
      <c r="ILH15"/>
      <c r="ILI15"/>
      <c r="ILJ15"/>
      <c r="ILK15"/>
      <c r="ILL15"/>
      <c r="ILM15"/>
      <c r="ILN15"/>
      <c r="ILO15"/>
      <c r="ILP15"/>
      <c r="ILQ15"/>
      <c r="ILR15"/>
      <c r="ILS15"/>
      <c r="ILT15"/>
      <c r="ILU15"/>
      <c r="ILV15"/>
      <c r="ILW15"/>
      <c r="ILX15"/>
      <c r="ILY15"/>
      <c r="ILZ15"/>
      <c r="IMA15"/>
      <c r="IMB15"/>
      <c r="IMC15"/>
      <c r="IMD15"/>
      <c r="IME15"/>
      <c r="IMF15"/>
      <c r="IMG15"/>
      <c r="IMH15"/>
      <c r="IMI15"/>
      <c r="IMJ15"/>
      <c r="IMK15"/>
      <c r="IML15"/>
      <c r="IMM15"/>
      <c r="IMN15"/>
      <c r="IMO15"/>
      <c r="IMP15"/>
      <c r="IMQ15"/>
      <c r="IMR15"/>
      <c r="IMS15"/>
      <c r="IMT15"/>
      <c r="IMU15"/>
      <c r="IMV15"/>
      <c r="IMW15"/>
      <c r="IMX15"/>
      <c r="IMY15"/>
      <c r="IMZ15"/>
      <c r="INA15"/>
      <c r="INB15"/>
      <c r="INC15"/>
      <c r="IND15"/>
      <c r="INE15"/>
      <c r="INF15"/>
      <c r="ING15"/>
      <c r="INH15"/>
      <c r="INI15"/>
      <c r="INJ15"/>
      <c r="INK15"/>
      <c r="INL15"/>
      <c r="INM15"/>
      <c r="INN15"/>
      <c r="INO15"/>
      <c r="INP15"/>
      <c r="INQ15"/>
      <c r="INR15"/>
      <c r="INS15"/>
      <c r="INT15"/>
      <c r="INU15"/>
      <c r="INV15"/>
      <c r="INW15"/>
      <c r="INX15"/>
      <c r="INY15"/>
      <c r="INZ15"/>
      <c r="IOA15"/>
      <c r="IOB15"/>
      <c r="IOC15"/>
      <c r="IOD15"/>
      <c r="IOE15"/>
      <c r="IOF15"/>
      <c r="IOG15"/>
      <c r="IOH15"/>
      <c r="IOI15"/>
      <c r="IOJ15"/>
      <c r="IOK15"/>
      <c r="IOL15"/>
      <c r="IOM15"/>
      <c r="ION15"/>
      <c r="IOO15"/>
      <c r="IOP15"/>
      <c r="IOQ15"/>
      <c r="IOR15"/>
      <c r="IOS15"/>
      <c r="IOT15"/>
      <c r="IOU15"/>
      <c r="IOV15"/>
      <c r="IOW15"/>
      <c r="IOX15"/>
      <c r="IOY15"/>
      <c r="IOZ15"/>
      <c r="IPA15"/>
      <c r="IPB15"/>
      <c r="IPC15"/>
      <c r="IPD15"/>
      <c r="IPE15"/>
      <c r="IPF15"/>
      <c r="IPG15"/>
      <c r="IPH15"/>
      <c r="IPI15"/>
      <c r="IPJ15"/>
      <c r="IPK15"/>
      <c r="IPL15"/>
      <c r="IPM15"/>
      <c r="IPN15"/>
      <c r="IPO15"/>
      <c r="IPP15"/>
      <c r="IPQ15"/>
      <c r="IPR15"/>
      <c r="IPS15"/>
      <c r="IPT15"/>
      <c r="IPU15"/>
      <c r="IPV15"/>
      <c r="IPW15"/>
      <c r="IPX15"/>
      <c r="IPY15"/>
      <c r="IPZ15"/>
      <c r="IQA15"/>
      <c r="IQB15"/>
      <c r="IQC15"/>
      <c r="IQD15"/>
      <c r="IQE15"/>
      <c r="IQF15"/>
      <c r="IQG15"/>
      <c r="IQH15"/>
      <c r="IQI15"/>
      <c r="IQJ15"/>
      <c r="IQK15"/>
      <c r="IQL15"/>
      <c r="IQM15"/>
      <c r="IQN15"/>
      <c r="IQO15"/>
      <c r="IQP15"/>
      <c r="IQQ15"/>
      <c r="IQR15"/>
      <c r="IQS15"/>
      <c r="IQT15"/>
      <c r="IQU15"/>
      <c r="IQV15"/>
      <c r="IQW15"/>
      <c r="IQX15"/>
      <c r="IQY15"/>
      <c r="IQZ15"/>
      <c r="IRA15"/>
      <c r="IRB15"/>
      <c r="IRC15"/>
      <c r="IRD15"/>
      <c r="IRE15"/>
      <c r="IRF15"/>
      <c r="IRG15"/>
      <c r="IRH15"/>
      <c r="IRI15"/>
      <c r="IRJ15"/>
      <c r="IRK15"/>
      <c r="IRL15"/>
      <c r="IRM15"/>
      <c r="IRN15"/>
      <c r="IRO15"/>
      <c r="IRP15"/>
      <c r="IRQ15"/>
      <c r="IRR15"/>
      <c r="IRS15"/>
      <c r="IRT15"/>
      <c r="IRU15"/>
      <c r="IRV15"/>
      <c r="IRW15"/>
      <c r="IRX15"/>
      <c r="IRY15"/>
      <c r="IRZ15"/>
      <c r="ISA15"/>
      <c r="ISB15"/>
      <c r="ISC15"/>
      <c r="ISD15"/>
      <c r="ISE15"/>
      <c r="ISF15"/>
      <c r="ISG15"/>
      <c r="ISH15"/>
      <c r="ISI15"/>
      <c r="ISJ15"/>
      <c r="ISK15"/>
      <c r="ISL15"/>
      <c r="ISM15"/>
      <c r="ISN15"/>
      <c r="ISO15"/>
      <c r="ISP15"/>
      <c r="ISQ15"/>
      <c r="ISR15"/>
      <c r="ISS15"/>
      <c r="IST15"/>
      <c r="ISU15"/>
      <c r="ISV15"/>
      <c r="ISW15"/>
      <c r="ISX15"/>
      <c r="ISY15"/>
      <c r="ISZ15"/>
      <c r="ITA15"/>
      <c r="ITB15"/>
      <c r="ITC15"/>
      <c r="ITD15"/>
      <c r="ITE15"/>
      <c r="ITF15"/>
      <c r="ITG15"/>
      <c r="ITH15"/>
      <c r="ITI15"/>
      <c r="ITJ15"/>
      <c r="ITK15"/>
      <c r="ITL15"/>
      <c r="ITM15"/>
      <c r="ITN15"/>
      <c r="ITO15"/>
      <c r="ITP15"/>
      <c r="ITQ15"/>
      <c r="ITR15"/>
      <c r="ITS15"/>
      <c r="ITT15"/>
      <c r="ITU15"/>
      <c r="ITV15"/>
      <c r="ITW15"/>
      <c r="ITX15"/>
      <c r="ITY15"/>
      <c r="ITZ15"/>
      <c r="IUA15"/>
      <c r="IUB15"/>
      <c r="IUC15"/>
      <c r="IUD15"/>
      <c r="IUE15"/>
      <c r="IUF15"/>
      <c r="IUG15"/>
      <c r="IUH15"/>
      <c r="IUI15"/>
      <c r="IUJ15"/>
      <c r="IUK15"/>
      <c r="IUL15"/>
      <c r="IUM15"/>
      <c r="IUN15"/>
      <c r="IUO15"/>
      <c r="IUP15"/>
      <c r="IUQ15"/>
      <c r="IUR15"/>
      <c r="IUS15"/>
      <c r="IUT15"/>
      <c r="IUU15"/>
      <c r="IUV15"/>
      <c r="IUW15"/>
      <c r="IUX15"/>
      <c r="IUY15"/>
      <c r="IUZ15"/>
      <c r="IVA15"/>
      <c r="IVB15"/>
      <c r="IVC15"/>
      <c r="IVD15"/>
      <c r="IVE15"/>
      <c r="IVF15"/>
      <c r="IVG15"/>
      <c r="IVH15"/>
      <c r="IVI15"/>
      <c r="IVJ15"/>
      <c r="IVK15"/>
      <c r="IVL15"/>
      <c r="IVM15"/>
      <c r="IVN15"/>
      <c r="IVO15"/>
      <c r="IVP15"/>
      <c r="IVQ15"/>
      <c r="IVR15"/>
      <c r="IVS15"/>
      <c r="IVT15"/>
      <c r="IVU15"/>
      <c r="IVV15"/>
      <c r="IVW15"/>
      <c r="IVX15"/>
      <c r="IVY15"/>
      <c r="IVZ15"/>
      <c r="IWA15"/>
      <c r="IWB15"/>
      <c r="IWC15"/>
      <c r="IWD15"/>
      <c r="IWE15"/>
      <c r="IWF15"/>
      <c r="IWG15"/>
      <c r="IWH15"/>
      <c r="IWI15"/>
      <c r="IWJ15"/>
      <c r="IWK15"/>
      <c r="IWL15"/>
      <c r="IWM15"/>
      <c r="IWN15"/>
      <c r="IWO15"/>
      <c r="IWP15"/>
      <c r="IWQ15"/>
      <c r="IWR15"/>
      <c r="IWS15"/>
      <c r="IWT15"/>
      <c r="IWU15"/>
      <c r="IWV15"/>
      <c r="IWW15"/>
      <c r="IWX15"/>
      <c r="IWY15"/>
      <c r="IWZ15"/>
      <c r="IXA15"/>
      <c r="IXB15"/>
      <c r="IXC15"/>
      <c r="IXD15"/>
      <c r="IXE15"/>
      <c r="IXF15"/>
      <c r="IXG15"/>
      <c r="IXH15"/>
      <c r="IXI15"/>
      <c r="IXJ15"/>
      <c r="IXK15"/>
      <c r="IXL15"/>
      <c r="IXM15"/>
      <c r="IXN15"/>
      <c r="IXO15"/>
      <c r="IXP15"/>
      <c r="IXQ15"/>
      <c r="IXR15"/>
      <c r="IXS15"/>
      <c r="IXT15"/>
      <c r="IXU15"/>
      <c r="IXV15"/>
      <c r="IXW15"/>
      <c r="IXX15"/>
      <c r="IXY15"/>
      <c r="IXZ15"/>
      <c r="IYA15"/>
      <c r="IYB15"/>
      <c r="IYC15"/>
      <c r="IYD15"/>
      <c r="IYE15"/>
      <c r="IYF15"/>
      <c r="IYG15"/>
      <c r="IYH15"/>
      <c r="IYI15"/>
      <c r="IYJ15"/>
      <c r="IYK15"/>
      <c r="IYL15"/>
      <c r="IYM15"/>
      <c r="IYN15"/>
      <c r="IYO15"/>
      <c r="IYP15"/>
      <c r="IYQ15"/>
      <c r="IYR15"/>
      <c r="IYS15"/>
      <c r="IYT15"/>
      <c r="IYU15"/>
      <c r="IYV15"/>
      <c r="IYW15"/>
      <c r="IYX15"/>
      <c r="IYY15"/>
      <c r="IYZ15"/>
      <c r="IZA15"/>
      <c r="IZB15"/>
      <c r="IZC15"/>
      <c r="IZD15"/>
      <c r="IZE15"/>
      <c r="IZF15"/>
      <c r="IZG15"/>
      <c r="IZH15"/>
      <c r="IZI15"/>
      <c r="IZJ15"/>
      <c r="IZK15"/>
      <c r="IZL15"/>
      <c r="IZM15"/>
      <c r="IZN15"/>
      <c r="IZO15"/>
      <c r="IZP15"/>
      <c r="IZQ15"/>
      <c r="IZR15"/>
      <c r="IZS15"/>
      <c r="IZT15"/>
      <c r="IZU15"/>
      <c r="IZV15"/>
      <c r="IZW15"/>
      <c r="IZX15"/>
      <c r="IZY15"/>
      <c r="IZZ15"/>
      <c r="JAA15"/>
      <c r="JAB15"/>
      <c r="JAC15"/>
      <c r="JAD15"/>
      <c r="JAE15"/>
      <c r="JAF15"/>
      <c r="JAG15"/>
      <c r="JAH15"/>
      <c r="JAI15"/>
      <c r="JAJ15"/>
      <c r="JAK15"/>
      <c r="JAL15"/>
      <c r="JAM15"/>
      <c r="JAN15"/>
      <c r="JAO15"/>
      <c r="JAP15"/>
      <c r="JAQ15"/>
      <c r="JAR15"/>
      <c r="JAS15"/>
      <c r="JAT15"/>
      <c r="JAU15"/>
      <c r="JAV15"/>
      <c r="JAW15"/>
      <c r="JAX15"/>
      <c r="JAY15"/>
      <c r="JAZ15"/>
      <c r="JBA15"/>
      <c r="JBB15"/>
      <c r="JBC15"/>
      <c r="JBD15"/>
      <c r="JBE15"/>
      <c r="JBF15"/>
      <c r="JBG15"/>
      <c r="JBH15"/>
      <c r="JBI15"/>
      <c r="JBJ15"/>
      <c r="JBK15"/>
      <c r="JBL15"/>
      <c r="JBM15"/>
      <c r="JBN15"/>
      <c r="JBO15"/>
      <c r="JBP15"/>
      <c r="JBQ15"/>
      <c r="JBR15"/>
      <c r="JBS15"/>
      <c r="JBT15"/>
      <c r="JBU15"/>
      <c r="JBV15"/>
      <c r="JBW15"/>
      <c r="JBX15"/>
      <c r="JBY15"/>
      <c r="JBZ15"/>
      <c r="JCA15"/>
      <c r="JCB15"/>
      <c r="JCC15"/>
      <c r="JCD15"/>
      <c r="JCE15"/>
      <c r="JCF15"/>
      <c r="JCG15"/>
      <c r="JCH15"/>
      <c r="JCI15"/>
      <c r="JCJ15"/>
      <c r="JCK15"/>
      <c r="JCL15"/>
      <c r="JCM15"/>
      <c r="JCN15"/>
      <c r="JCO15"/>
      <c r="JCP15"/>
      <c r="JCQ15"/>
      <c r="JCR15"/>
      <c r="JCS15"/>
      <c r="JCT15"/>
      <c r="JCU15"/>
      <c r="JCV15"/>
      <c r="JCW15"/>
      <c r="JCX15"/>
      <c r="JCY15"/>
      <c r="JCZ15"/>
      <c r="JDA15"/>
      <c r="JDB15"/>
      <c r="JDC15"/>
      <c r="JDD15"/>
      <c r="JDE15"/>
      <c r="JDF15"/>
      <c r="JDG15"/>
      <c r="JDH15"/>
      <c r="JDI15"/>
      <c r="JDJ15"/>
      <c r="JDK15"/>
      <c r="JDL15"/>
      <c r="JDM15"/>
      <c r="JDN15"/>
      <c r="JDO15"/>
      <c r="JDP15"/>
      <c r="JDQ15"/>
      <c r="JDR15"/>
      <c r="JDS15"/>
      <c r="JDT15"/>
      <c r="JDU15"/>
      <c r="JDV15"/>
      <c r="JDW15"/>
      <c r="JDX15"/>
      <c r="JDY15"/>
      <c r="JDZ15"/>
      <c r="JEA15"/>
      <c r="JEB15"/>
      <c r="JEC15"/>
      <c r="JED15"/>
      <c r="JEE15"/>
      <c r="JEF15"/>
      <c r="JEG15"/>
      <c r="JEH15"/>
      <c r="JEI15"/>
      <c r="JEJ15"/>
      <c r="JEK15"/>
      <c r="JEL15"/>
      <c r="JEM15"/>
      <c r="JEN15"/>
      <c r="JEO15"/>
      <c r="JEP15"/>
      <c r="JEQ15"/>
      <c r="JER15"/>
      <c r="JES15"/>
      <c r="JET15"/>
      <c r="JEU15"/>
      <c r="JEV15"/>
      <c r="JEW15"/>
      <c r="JEX15"/>
      <c r="JEY15"/>
      <c r="JEZ15"/>
      <c r="JFA15"/>
      <c r="JFB15"/>
      <c r="JFC15"/>
      <c r="JFD15"/>
      <c r="JFE15"/>
      <c r="JFF15"/>
      <c r="JFG15"/>
      <c r="JFH15"/>
      <c r="JFI15"/>
      <c r="JFJ15"/>
      <c r="JFK15"/>
      <c r="JFL15"/>
      <c r="JFM15"/>
      <c r="JFN15"/>
      <c r="JFO15"/>
      <c r="JFP15"/>
      <c r="JFQ15"/>
      <c r="JFR15"/>
      <c r="JFS15"/>
      <c r="JFT15"/>
      <c r="JFU15"/>
      <c r="JFV15"/>
      <c r="JFW15"/>
      <c r="JFX15"/>
      <c r="JFY15"/>
      <c r="JFZ15"/>
      <c r="JGA15"/>
      <c r="JGB15"/>
      <c r="JGC15"/>
      <c r="JGD15"/>
      <c r="JGE15"/>
      <c r="JGF15"/>
      <c r="JGG15"/>
      <c r="JGH15"/>
      <c r="JGI15"/>
      <c r="JGJ15"/>
      <c r="JGK15"/>
      <c r="JGL15"/>
      <c r="JGM15"/>
      <c r="JGN15"/>
      <c r="JGO15"/>
      <c r="JGP15"/>
      <c r="JGQ15"/>
      <c r="JGR15"/>
      <c r="JGS15"/>
      <c r="JGT15"/>
      <c r="JGU15"/>
      <c r="JGV15"/>
      <c r="JGW15"/>
      <c r="JGX15"/>
      <c r="JGY15"/>
      <c r="JGZ15"/>
      <c r="JHA15"/>
      <c r="JHB15"/>
      <c r="JHC15"/>
      <c r="JHD15"/>
      <c r="JHE15"/>
      <c r="JHF15"/>
      <c r="JHG15"/>
      <c r="JHH15"/>
      <c r="JHI15"/>
      <c r="JHJ15"/>
      <c r="JHK15"/>
      <c r="JHL15"/>
      <c r="JHM15"/>
      <c r="JHN15"/>
      <c r="JHO15"/>
      <c r="JHP15"/>
      <c r="JHQ15"/>
      <c r="JHR15"/>
      <c r="JHS15"/>
      <c r="JHT15"/>
      <c r="JHU15"/>
      <c r="JHV15"/>
      <c r="JHW15"/>
      <c r="JHX15"/>
      <c r="JHY15"/>
      <c r="JHZ15"/>
      <c r="JIA15"/>
      <c r="JIB15"/>
      <c r="JIC15"/>
      <c r="JID15"/>
      <c r="JIE15"/>
      <c r="JIF15"/>
      <c r="JIG15"/>
      <c r="JIH15"/>
      <c r="JII15"/>
      <c r="JIJ15"/>
      <c r="JIK15"/>
      <c r="JIL15"/>
      <c r="JIM15"/>
      <c r="JIN15"/>
      <c r="JIO15"/>
      <c r="JIP15"/>
      <c r="JIQ15"/>
      <c r="JIR15"/>
      <c r="JIS15"/>
      <c r="JIT15"/>
      <c r="JIU15"/>
      <c r="JIV15"/>
      <c r="JIW15"/>
      <c r="JIX15"/>
      <c r="JIY15"/>
      <c r="JIZ15"/>
      <c r="JJA15"/>
      <c r="JJB15"/>
      <c r="JJC15"/>
      <c r="JJD15"/>
      <c r="JJE15"/>
      <c r="JJF15"/>
      <c r="JJG15"/>
      <c r="JJH15"/>
      <c r="JJI15"/>
      <c r="JJJ15"/>
      <c r="JJK15"/>
      <c r="JJL15"/>
      <c r="JJM15"/>
      <c r="JJN15"/>
      <c r="JJO15"/>
      <c r="JJP15"/>
      <c r="JJQ15"/>
      <c r="JJR15"/>
      <c r="JJS15"/>
      <c r="JJT15"/>
      <c r="JJU15"/>
      <c r="JJV15"/>
      <c r="JJW15"/>
      <c r="JJX15"/>
      <c r="JJY15"/>
      <c r="JJZ15"/>
      <c r="JKA15"/>
      <c r="JKB15"/>
      <c r="JKC15"/>
      <c r="JKD15"/>
      <c r="JKE15"/>
      <c r="JKF15"/>
      <c r="JKG15"/>
      <c r="JKH15"/>
      <c r="JKI15"/>
      <c r="JKJ15"/>
      <c r="JKK15"/>
      <c r="JKL15"/>
      <c r="JKM15"/>
      <c r="JKN15"/>
      <c r="JKO15"/>
      <c r="JKP15"/>
      <c r="JKQ15"/>
      <c r="JKR15"/>
      <c r="JKS15"/>
      <c r="JKT15"/>
      <c r="JKU15"/>
      <c r="JKV15"/>
      <c r="JKW15"/>
      <c r="JKX15"/>
      <c r="JKY15"/>
      <c r="JKZ15"/>
      <c r="JLA15"/>
      <c r="JLB15"/>
      <c r="JLC15"/>
      <c r="JLD15"/>
      <c r="JLE15"/>
      <c r="JLF15"/>
      <c r="JLG15"/>
      <c r="JLH15"/>
      <c r="JLI15"/>
      <c r="JLJ15"/>
      <c r="JLK15"/>
      <c r="JLL15"/>
      <c r="JLM15"/>
      <c r="JLN15"/>
      <c r="JLO15"/>
      <c r="JLP15"/>
      <c r="JLQ15"/>
      <c r="JLR15"/>
      <c r="JLS15"/>
      <c r="JLT15"/>
      <c r="JLU15"/>
      <c r="JLV15"/>
      <c r="JLW15"/>
      <c r="JLX15"/>
      <c r="JLY15"/>
      <c r="JLZ15"/>
      <c r="JMA15"/>
      <c r="JMB15"/>
      <c r="JMC15"/>
      <c r="JMD15"/>
      <c r="JME15"/>
      <c r="JMF15"/>
      <c r="JMG15"/>
      <c r="JMH15"/>
      <c r="JMI15"/>
      <c r="JMJ15"/>
      <c r="JMK15"/>
      <c r="JML15"/>
      <c r="JMM15"/>
      <c r="JMN15"/>
      <c r="JMO15"/>
      <c r="JMP15"/>
      <c r="JMQ15"/>
      <c r="JMR15"/>
      <c r="JMS15"/>
      <c r="JMT15"/>
      <c r="JMU15"/>
      <c r="JMV15"/>
      <c r="JMW15"/>
      <c r="JMX15"/>
      <c r="JMY15"/>
      <c r="JMZ15"/>
      <c r="JNA15"/>
      <c r="JNB15"/>
      <c r="JNC15"/>
      <c r="JND15"/>
      <c r="JNE15"/>
      <c r="JNF15"/>
      <c r="JNG15"/>
      <c r="JNH15"/>
      <c r="JNI15"/>
      <c r="JNJ15"/>
      <c r="JNK15"/>
      <c r="JNL15"/>
      <c r="JNM15"/>
      <c r="JNN15"/>
      <c r="JNO15"/>
      <c r="JNP15"/>
      <c r="JNQ15"/>
      <c r="JNR15"/>
      <c r="JNS15"/>
      <c r="JNT15"/>
      <c r="JNU15"/>
      <c r="JNV15"/>
      <c r="JNW15"/>
      <c r="JNX15"/>
      <c r="JNY15"/>
      <c r="JNZ15"/>
      <c r="JOA15"/>
      <c r="JOB15"/>
      <c r="JOC15"/>
      <c r="JOD15"/>
      <c r="JOE15"/>
      <c r="JOF15"/>
      <c r="JOG15"/>
      <c r="JOH15"/>
      <c r="JOI15"/>
      <c r="JOJ15"/>
      <c r="JOK15"/>
      <c r="JOL15"/>
      <c r="JOM15"/>
      <c r="JON15"/>
      <c r="JOO15"/>
      <c r="JOP15"/>
      <c r="JOQ15"/>
      <c r="JOR15"/>
      <c r="JOS15"/>
      <c r="JOT15"/>
      <c r="JOU15"/>
      <c r="JOV15"/>
      <c r="JOW15"/>
      <c r="JOX15"/>
      <c r="JOY15"/>
      <c r="JOZ15"/>
      <c r="JPA15"/>
      <c r="JPB15"/>
      <c r="JPC15"/>
      <c r="JPD15"/>
      <c r="JPE15"/>
      <c r="JPF15"/>
      <c r="JPG15"/>
      <c r="JPH15"/>
      <c r="JPI15"/>
      <c r="JPJ15"/>
      <c r="JPK15"/>
      <c r="JPL15"/>
      <c r="JPM15"/>
      <c r="JPN15"/>
      <c r="JPO15"/>
      <c r="JPP15"/>
      <c r="JPQ15"/>
      <c r="JPR15"/>
      <c r="JPS15"/>
      <c r="JPT15"/>
      <c r="JPU15"/>
      <c r="JPV15"/>
      <c r="JPW15"/>
      <c r="JPX15"/>
      <c r="JPY15"/>
      <c r="JPZ15"/>
      <c r="JQA15"/>
      <c r="JQB15"/>
      <c r="JQC15"/>
      <c r="JQD15"/>
      <c r="JQE15"/>
      <c r="JQF15"/>
      <c r="JQG15"/>
      <c r="JQH15"/>
      <c r="JQI15"/>
      <c r="JQJ15"/>
      <c r="JQK15"/>
      <c r="JQL15"/>
      <c r="JQM15"/>
      <c r="JQN15"/>
      <c r="JQO15"/>
      <c r="JQP15"/>
      <c r="JQQ15"/>
      <c r="JQR15"/>
      <c r="JQS15"/>
      <c r="JQT15"/>
      <c r="JQU15"/>
      <c r="JQV15"/>
      <c r="JQW15"/>
      <c r="JQX15"/>
      <c r="JQY15"/>
      <c r="JQZ15"/>
      <c r="JRA15"/>
      <c r="JRB15"/>
      <c r="JRC15"/>
      <c r="JRD15"/>
      <c r="JRE15"/>
      <c r="JRF15"/>
      <c r="JRG15"/>
      <c r="JRH15"/>
      <c r="JRI15"/>
      <c r="JRJ15"/>
      <c r="JRK15"/>
      <c r="JRL15"/>
      <c r="JRM15"/>
      <c r="JRN15"/>
      <c r="JRO15"/>
      <c r="JRP15"/>
      <c r="JRQ15"/>
      <c r="JRR15"/>
      <c r="JRS15"/>
      <c r="JRT15"/>
      <c r="JRU15"/>
      <c r="JRV15"/>
      <c r="JRW15"/>
      <c r="JRX15"/>
      <c r="JRY15"/>
      <c r="JRZ15"/>
      <c r="JSA15"/>
      <c r="JSB15"/>
      <c r="JSC15"/>
      <c r="JSD15"/>
      <c r="JSE15"/>
      <c r="JSF15"/>
      <c r="JSG15"/>
      <c r="JSH15"/>
      <c r="JSI15"/>
      <c r="JSJ15"/>
      <c r="JSK15"/>
      <c r="JSL15"/>
      <c r="JSM15"/>
      <c r="JSN15"/>
      <c r="JSO15"/>
      <c r="JSP15"/>
      <c r="JSQ15"/>
      <c r="JSR15"/>
      <c r="JSS15"/>
      <c r="JST15"/>
      <c r="JSU15"/>
      <c r="JSV15"/>
      <c r="JSW15"/>
      <c r="JSX15"/>
      <c r="JSY15"/>
      <c r="JSZ15"/>
      <c r="JTA15"/>
      <c r="JTB15"/>
      <c r="JTC15"/>
      <c r="JTD15"/>
      <c r="JTE15"/>
      <c r="JTF15"/>
      <c r="JTG15"/>
      <c r="JTH15"/>
      <c r="JTI15"/>
      <c r="JTJ15"/>
      <c r="JTK15"/>
      <c r="JTL15"/>
      <c r="JTM15"/>
      <c r="JTN15"/>
      <c r="JTO15"/>
      <c r="JTP15"/>
      <c r="JTQ15"/>
      <c r="JTR15"/>
      <c r="JTS15"/>
      <c r="JTT15"/>
      <c r="JTU15"/>
      <c r="JTV15"/>
      <c r="JTW15"/>
      <c r="JTX15"/>
      <c r="JTY15"/>
      <c r="JTZ15"/>
      <c r="JUA15"/>
      <c r="JUB15"/>
      <c r="JUC15"/>
      <c r="JUD15"/>
      <c r="JUE15"/>
      <c r="JUF15"/>
      <c r="JUG15"/>
      <c r="JUH15"/>
      <c r="JUI15"/>
      <c r="JUJ15"/>
      <c r="JUK15"/>
      <c r="JUL15"/>
      <c r="JUM15"/>
      <c r="JUN15"/>
      <c r="JUO15"/>
      <c r="JUP15"/>
      <c r="JUQ15"/>
      <c r="JUR15"/>
      <c r="JUS15"/>
      <c r="JUT15"/>
      <c r="JUU15"/>
      <c r="JUV15"/>
      <c r="JUW15"/>
      <c r="JUX15"/>
      <c r="JUY15"/>
      <c r="JUZ15"/>
      <c r="JVA15"/>
      <c r="JVB15"/>
      <c r="JVC15"/>
      <c r="JVD15"/>
      <c r="JVE15"/>
      <c r="JVF15"/>
      <c r="JVG15"/>
      <c r="JVH15"/>
      <c r="JVI15"/>
      <c r="JVJ15"/>
      <c r="JVK15"/>
      <c r="JVL15"/>
      <c r="JVM15"/>
      <c r="JVN15"/>
      <c r="JVO15"/>
      <c r="JVP15"/>
      <c r="JVQ15"/>
      <c r="JVR15"/>
      <c r="JVS15"/>
      <c r="JVT15"/>
      <c r="JVU15"/>
      <c r="JVV15"/>
      <c r="JVW15"/>
      <c r="JVX15"/>
      <c r="JVY15"/>
      <c r="JVZ15"/>
      <c r="JWA15"/>
      <c r="JWB15"/>
      <c r="JWC15"/>
      <c r="JWD15"/>
      <c r="JWE15"/>
      <c r="JWF15"/>
      <c r="JWG15"/>
      <c r="JWH15"/>
      <c r="JWI15"/>
      <c r="JWJ15"/>
      <c r="JWK15"/>
      <c r="JWL15"/>
      <c r="JWM15"/>
      <c r="JWN15"/>
      <c r="JWO15"/>
      <c r="JWP15"/>
      <c r="JWQ15"/>
      <c r="JWR15"/>
      <c r="JWS15"/>
      <c r="JWT15"/>
      <c r="JWU15"/>
      <c r="JWV15"/>
      <c r="JWW15"/>
      <c r="JWX15"/>
      <c r="JWY15"/>
      <c r="JWZ15"/>
      <c r="JXA15"/>
      <c r="JXB15"/>
      <c r="JXC15"/>
      <c r="JXD15"/>
      <c r="JXE15"/>
      <c r="JXF15"/>
      <c r="JXG15"/>
      <c r="JXH15"/>
      <c r="JXI15"/>
      <c r="JXJ15"/>
      <c r="JXK15"/>
      <c r="JXL15"/>
      <c r="JXM15"/>
      <c r="JXN15"/>
      <c r="JXO15"/>
      <c r="JXP15"/>
      <c r="JXQ15"/>
      <c r="JXR15"/>
      <c r="JXS15"/>
      <c r="JXT15"/>
      <c r="JXU15"/>
      <c r="JXV15"/>
      <c r="JXW15"/>
      <c r="JXX15"/>
      <c r="JXY15"/>
      <c r="JXZ15"/>
      <c r="JYA15"/>
      <c r="JYB15"/>
      <c r="JYC15"/>
      <c r="JYD15"/>
      <c r="JYE15"/>
      <c r="JYF15"/>
      <c r="JYG15"/>
      <c r="JYH15"/>
      <c r="JYI15"/>
      <c r="JYJ15"/>
      <c r="JYK15"/>
      <c r="JYL15"/>
      <c r="JYM15"/>
      <c r="JYN15"/>
      <c r="JYO15"/>
      <c r="JYP15"/>
      <c r="JYQ15"/>
      <c r="JYR15"/>
      <c r="JYS15"/>
      <c r="JYT15"/>
      <c r="JYU15"/>
      <c r="JYV15"/>
      <c r="JYW15"/>
      <c r="JYX15"/>
      <c r="JYY15"/>
      <c r="JYZ15"/>
      <c r="JZA15"/>
      <c r="JZB15"/>
      <c r="JZC15"/>
      <c r="JZD15"/>
      <c r="JZE15"/>
      <c r="JZF15"/>
      <c r="JZG15"/>
      <c r="JZH15"/>
      <c r="JZI15"/>
      <c r="JZJ15"/>
      <c r="JZK15"/>
      <c r="JZL15"/>
      <c r="JZM15"/>
      <c r="JZN15"/>
      <c r="JZO15"/>
      <c r="JZP15"/>
      <c r="JZQ15"/>
      <c r="JZR15"/>
      <c r="JZS15"/>
      <c r="JZT15"/>
      <c r="JZU15"/>
      <c r="JZV15"/>
      <c r="JZW15"/>
      <c r="JZX15"/>
      <c r="JZY15"/>
      <c r="JZZ15"/>
      <c r="KAA15"/>
      <c r="KAB15"/>
      <c r="KAC15"/>
      <c r="KAD15"/>
      <c r="KAE15"/>
      <c r="KAF15"/>
      <c r="KAG15"/>
      <c r="KAH15"/>
      <c r="KAI15"/>
      <c r="KAJ15"/>
      <c r="KAK15"/>
      <c r="KAL15"/>
      <c r="KAM15"/>
      <c r="KAN15"/>
      <c r="KAO15"/>
      <c r="KAP15"/>
      <c r="KAQ15"/>
      <c r="KAR15"/>
      <c r="KAS15"/>
      <c r="KAT15"/>
      <c r="KAU15"/>
      <c r="KAV15"/>
      <c r="KAW15"/>
      <c r="KAX15"/>
      <c r="KAY15"/>
      <c r="KAZ15"/>
      <c r="KBA15"/>
      <c r="KBB15"/>
      <c r="KBC15"/>
      <c r="KBD15"/>
      <c r="KBE15"/>
      <c r="KBF15"/>
      <c r="KBG15"/>
      <c r="KBH15"/>
      <c r="KBI15"/>
      <c r="KBJ15"/>
      <c r="KBK15"/>
      <c r="KBL15"/>
      <c r="KBM15"/>
      <c r="KBN15"/>
      <c r="KBO15"/>
      <c r="KBP15"/>
      <c r="KBQ15"/>
      <c r="KBR15"/>
      <c r="KBS15"/>
      <c r="KBT15"/>
      <c r="KBU15"/>
      <c r="KBV15"/>
      <c r="KBW15"/>
      <c r="KBX15"/>
      <c r="KBY15"/>
      <c r="KBZ15"/>
      <c r="KCA15"/>
      <c r="KCB15"/>
      <c r="KCC15"/>
      <c r="KCD15"/>
      <c r="KCE15"/>
      <c r="KCF15"/>
      <c r="KCG15"/>
      <c r="KCH15"/>
      <c r="KCI15"/>
      <c r="KCJ15"/>
      <c r="KCK15"/>
      <c r="KCL15"/>
      <c r="KCM15"/>
      <c r="KCN15"/>
      <c r="KCO15"/>
      <c r="KCP15"/>
      <c r="KCQ15"/>
      <c r="KCR15"/>
      <c r="KCS15"/>
      <c r="KCT15"/>
      <c r="KCU15"/>
      <c r="KCV15"/>
      <c r="KCW15"/>
      <c r="KCX15"/>
      <c r="KCY15"/>
      <c r="KCZ15"/>
      <c r="KDA15"/>
      <c r="KDB15"/>
      <c r="KDC15"/>
      <c r="KDD15"/>
      <c r="KDE15"/>
      <c r="KDF15"/>
      <c r="KDG15"/>
      <c r="KDH15"/>
      <c r="KDI15"/>
      <c r="KDJ15"/>
      <c r="KDK15"/>
      <c r="KDL15"/>
      <c r="KDM15"/>
      <c r="KDN15"/>
      <c r="KDO15"/>
      <c r="KDP15"/>
      <c r="KDQ15"/>
      <c r="KDR15"/>
      <c r="KDS15"/>
      <c r="KDT15"/>
      <c r="KDU15"/>
      <c r="KDV15"/>
      <c r="KDW15"/>
      <c r="KDX15"/>
      <c r="KDY15"/>
      <c r="KDZ15"/>
      <c r="KEA15"/>
      <c r="KEB15"/>
      <c r="KEC15"/>
      <c r="KED15"/>
      <c r="KEE15"/>
      <c r="KEF15"/>
      <c r="KEG15"/>
      <c r="KEH15"/>
      <c r="KEI15"/>
      <c r="KEJ15"/>
      <c r="KEK15"/>
      <c r="KEL15"/>
      <c r="KEM15"/>
      <c r="KEN15"/>
      <c r="KEO15"/>
      <c r="KEP15"/>
      <c r="KEQ15"/>
      <c r="KER15"/>
      <c r="KES15"/>
      <c r="KET15"/>
      <c r="KEU15"/>
      <c r="KEV15"/>
      <c r="KEW15"/>
      <c r="KEX15"/>
      <c r="KEY15"/>
      <c r="KEZ15"/>
      <c r="KFA15"/>
      <c r="KFB15"/>
      <c r="KFC15"/>
      <c r="KFD15"/>
      <c r="KFE15"/>
      <c r="KFF15"/>
      <c r="KFG15"/>
      <c r="KFH15"/>
      <c r="KFI15"/>
      <c r="KFJ15"/>
      <c r="KFK15"/>
      <c r="KFL15"/>
      <c r="KFM15"/>
      <c r="KFN15"/>
      <c r="KFO15"/>
      <c r="KFP15"/>
      <c r="KFQ15"/>
      <c r="KFR15"/>
      <c r="KFS15"/>
      <c r="KFT15"/>
      <c r="KFU15"/>
      <c r="KFV15"/>
      <c r="KFW15"/>
      <c r="KFX15"/>
      <c r="KFY15"/>
      <c r="KFZ15"/>
      <c r="KGA15"/>
      <c r="KGB15"/>
      <c r="KGC15"/>
      <c r="KGD15"/>
      <c r="KGE15"/>
      <c r="KGF15"/>
      <c r="KGG15"/>
      <c r="KGH15"/>
      <c r="KGI15"/>
      <c r="KGJ15"/>
      <c r="KGK15"/>
      <c r="KGL15"/>
      <c r="KGM15"/>
      <c r="KGN15"/>
      <c r="KGO15"/>
      <c r="KGP15"/>
      <c r="KGQ15"/>
      <c r="KGR15"/>
      <c r="KGS15"/>
      <c r="KGT15"/>
      <c r="KGU15"/>
      <c r="KGV15"/>
      <c r="KGW15"/>
      <c r="KGX15"/>
      <c r="KGY15"/>
      <c r="KGZ15"/>
      <c r="KHA15"/>
      <c r="KHB15"/>
      <c r="KHC15"/>
      <c r="KHD15"/>
      <c r="KHE15"/>
      <c r="KHF15"/>
      <c r="KHG15"/>
      <c r="KHH15"/>
      <c r="KHI15"/>
      <c r="KHJ15"/>
      <c r="KHK15"/>
      <c r="KHL15"/>
      <c r="KHM15"/>
      <c r="KHN15"/>
      <c r="KHO15"/>
      <c r="KHP15"/>
      <c r="KHQ15"/>
      <c r="KHR15"/>
      <c r="KHS15"/>
      <c r="KHT15"/>
      <c r="KHU15"/>
      <c r="KHV15"/>
      <c r="KHW15"/>
      <c r="KHX15"/>
      <c r="KHY15"/>
      <c r="KHZ15"/>
      <c r="KIA15"/>
      <c r="KIB15"/>
      <c r="KIC15"/>
      <c r="KID15"/>
      <c r="KIE15"/>
      <c r="KIF15"/>
      <c r="KIG15"/>
      <c r="KIH15"/>
      <c r="KII15"/>
      <c r="KIJ15"/>
      <c r="KIK15"/>
      <c r="KIL15"/>
      <c r="KIM15"/>
      <c r="KIN15"/>
      <c r="KIO15"/>
      <c r="KIP15"/>
      <c r="KIQ15"/>
      <c r="KIR15"/>
      <c r="KIS15"/>
      <c r="KIT15"/>
      <c r="KIU15"/>
      <c r="KIV15"/>
      <c r="KIW15"/>
      <c r="KIX15"/>
      <c r="KIY15"/>
      <c r="KIZ15"/>
      <c r="KJA15"/>
      <c r="KJB15"/>
      <c r="KJC15"/>
      <c r="KJD15"/>
      <c r="KJE15"/>
      <c r="KJF15"/>
      <c r="KJG15"/>
      <c r="KJH15"/>
      <c r="KJI15"/>
      <c r="KJJ15"/>
      <c r="KJK15"/>
      <c r="KJL15"/>
      <c r="KJM15"/>
      <c r="KJN15"/>
      <c r="KJO15"/>
      <c r="KJP15"/>
      <c r="KJQ15"/>
      <c r="KJR15"/>
      <c r="KJS15"/>
      <c r="KJT15"/>
      <c r="KJU15"/>
      <c r="KJV15"/>
      <c r="KJW15"/>
      <c r="KJX15"/>
      <c r="KJY15"/>
      <c r="KJZ15"/>
      <c r="KKA15"/>
      <c r="KKB15"/>
      <c r="KKC15"/>
      <c r="KKD15"/>
      <c r="KKE15"/>
      <c r="KKF15"/>
      <c r="KKG15"/>
      <c r="KKH15"/>
      <c r="KKI15"/>
      <c r="KKJ15"/>
      <c r="KKK15"/>
      <c r="KKL15"/>
      <c r="KKM15"/>
      <c r="KKN15"/>
      <c r="KKO15"/>
      <c r="KKP15"/>
      <c r="KKQ15"/>
      <c r="KKR15"/>
      <c r="KKS15"/>
      <c r="KKT15"/>
      <c r="KKU15"/>
      <c r="KKV15"/>
      <c r="KKW15"/>
      <c r="KKX15"/>
      <c r="KKY15"/>
      <c r="KKZ15"/>
      <c r="KLA15"/>
      <c r="KLB15"/>
      <c r="KLC15"/>
      <c r="KLD15"/>
      <c r="KLE15"/>
      <c r="KLF15"/>
      <c r="KLG15"/>
      <c r="KLH15"/>
      <c r="KLI15"/>
      <c r="KLJ15"/>
      <c r="KLK15"/>
      <c r="KLL15"/>
      <c r="KLM15"/>
      <c r="KLN15"/>
      <c r="KLO15"/>
      <c r="KLP15"/>
      <c r="KLQ15"/>
      <c r="KLR15"/>
      <c r="KLS15"/>
      <c r="KLT15"/>
      <c r="KLU15"/>
      <c r="KLV15"/>
      <c r="KLW15"/>
      <c r="KLX15"/>
      <c r="KLY15"/>
      <c r="KLZ15"/>
      <c r="KMA15"/>
      <c r="KMB15"/>
      <c r="KMC15"/>
      <c r="KMD15"/>
      <c r="KME15"/>
      <c r="KMF15"/>
      <c r="KMG15"/>
      <c r="KMH15"/>
      <c r="KMI15"/>
      <c r="KMJ15"/>
      <c r="KMK15"/>
      <c r="KML15"/>
      <c r="KMM15"/>
      <c r="KMN15"/>
      <c r="KMO15"/>
      <c r="KMP15"/>
      <c r="KMQ15"/>
      <c r="KMR15"/>
      <c r="KMS15"/>
      <c r="KMT15"/>
      <c r="KMU15"/>
      <c r="KMV15"/>
      <c r="KMW15"/>
      <c r="KMX15"/>
      <c r="KMY15"/>
      <c r="KMZ15"/>
      <c r="KNA15"/>
      <c r="KNB15"/>
      <c r="KNC15"/>
      <c r="KND15"/>
      <c r="KNE15"/>
      <c r="KNF15"/>
      <c r="KNG15"/>
      <c r="KNH15"/>
      <c r="KNI15"/>
      <c r="KNJ15"/>
      <c r="KNK15"/>
      <c r="KNL15"/>
      <c r="KNM15"/>
      <c r="KNN15"/>
      <c r="KNO15"/>
      <c r="KNP15"/>
      <c r="KNQ15"/>
      <c r="KNR15"/>
      <c r="KNS15"/>
      <c r="KNT15"/>
      <c r="KNU15"/>
      <c r="KNV15"/>
      <c r="KNW15"/>
      <c r="KNX15"/>
      <c r="KNY15"/>
      <c r="KNZ15"/>
      <c r="KOA15"/>
      <c r="KOB15"/>
      <c r="KOC15"/>
      <c r="KOD15"/>
      <c r="KOE15"/>
      <c r="KOF15"/>
      <c r="KOG15"/>
      <c r="KOH15"/>
      <c r="KOI15"/>
      <c r="KOJ15"/>
      <c r="KOK15"/>
      <c r="KOL15"/>
      <c r="KOM15"/>
      <c r="KON15"/>
      <c r="KOO15"/>
      <c r="KOP15"/>
      <c r="KOQ15"/>
      <c r="KOR15"/>
      <c r="KOS15"/>
      <c r="KOT15"/>
      <c r="KOU15"/>
      <c r="KOV15"/>
      <c r="KOW15"/>
      <c r="KOX15"/>
      <c r="KOY15"/>
      <c r="KOZ15"/>
      <c r="KPA15"/>
      <c r="KPB15"/>
      <c r="KPC15"/>
      <c r="KPD15"/>
      <c r="KPE15"/>
      <c r="KPF15"/>
      <c r="KPG15"/>
      <c r="KPH15"/>
      <c r="KPI15"/>
      <c r="KPJ15"/>
      <c r="KPK15"/>
      <c r="KPL15"/>
      <c r="KPM15"/>
      <c r="KPN15"/>
      <c r="KPO15"/>
      <c r="KPP15"/>
      <c r="KPQ15"/>
      <c r="KPR15"/>
      <c r="KPS15"/>
      <c r="KPT15"/>
      <c r="KPU15"/>
      <c r="KPV15"/>
      <c r="KPW15"/>
      <c r="KPX15"/>
      <c r="KPY15"/>
      <c r="KPZ15"/>
      <c r="KQA15"/>
      <c r="KQB15"/>
      <c r="KQC15"/>
      <c r="KQD15"/>
      <c r="KQE15"/>
      <c r="KQF15"/>
      <c r="KQG15"/>
      <c r="KQH15"/>
      <c r="KQI15"/>
      <c r="KQJ15"/>
      <c r="KQK15"/>
      <c r="KQL15"/>
      <c r="KQM15"/>
      <c r="KQN15"/>
      <c r="KQO15"/>
      <c r="KQP15"/>
      <c r="KQQ15"/>
      <c r="KQR15"/>
      <c r="KQS15"/>
      <c r="KQT15"/>
      <c r="KQU15"/>
      <c r="KQV15"/>
      <c r="KQW15"/>
      <c r="KQX15"/>
      <c r="KQY15"/>
      <c r="KQZ15"/>
      <c r="KRA15"/>
      <c r="KRB15"/>
      <c r="KRC15"/>
      <c r="KRD15"/>
      <c r="KRE15"/>
      <c r="KRF15"/>
      <c r="KRG15"/>
      <c r="KRH15"/>
      <c r="KRI15"/>
      <c r="KRJ15"/>
      <c r="KRK15"/>
      <c r="KRL15"/>
      <c r="KRM15"/>
      <c r="KRN15"/>
      <c r="KRO15"/>
      <c r="KRP15"/>
      <c r="KRQ15"/>
      <c r="KRR15"/>
      <c r="KRS15"/>
      <c r="KRT15"/>
      <c r="KRU15"/>
      <c r="KRV15"/>
      <c r="KRW15"/>
      <c r="KRX15"/>
      <c r="KRY15"/>
      <c r="KRZ15"/>
      <c r="KSA15"/>
      <c r="KSB15"/>
      <c r="KSC15"/>
      <c r="KSD15"/>
      <c r="KSE15"/>
      <c r="KSF15"/>
      <c r="KSG15"/>
      <c r="KSH15"/>
      <c r="KSI15"/>
      <c r="KSJ15"/>
      <c r="KSK15"/>
      <c r="KSL15"/>
      <c r="KSM15"/>
      <c r="KSN15"/>
      <c r="KSO15"/>
      <c r="KSP15"/>
      <c r="KSQ15"/>
      <c r="KSR15"/>
      <c r="KSS15"/>
      <c r="KST15"/>
      <c r="KSU15"/>
      <c r="KSV15"/>
      <c r="KSW15"/>
      <c r="KSX15"/>
      <c r="KSY15"/>
      <c r="KSZ15"/>
      <c r="KTA15"/>
      <c r="KTB15"/>
      <c r="KTC15"/>
      <c r="KTD15"/>
      <c r="KTE15"/>
      <c r="KTF15"/>
      <c r="KTG15"/>
      <c r="KTH15"/>
      <c r="KTI15"/>
      <c r="KTJ15"/>
      <c r="KTK15"/>
      <c r="KTL15"/>
      <c r="KTM15"/>
      <c r="KTN15"/>
      <c r="KTO15"/>
      <c r="KTP15"/>
      <c r="KTQ15"/>
      <c r="KTR15"/>
      <c r="KTS15"/>
      <c r="KTT15"/>
      <c r="KTU15"/>
      <c r="KTV15"/>
      <c r="KTW15"/>
      <c r="KTX15"/>
      <c r="KTY15"/>
      <c r="KTZ15"/>
      <c r="KUA15"/>
      <c r="KUB15"/>
      <c r="KUC15"/>
      <c r="KUD15"/>
      <c r="KUE15"/>
      <c r="KUF15"/>
      <c r="KUG15"/>
      <c r="KUH15"/>
      <c r="KUI15"/>
      <c r="KUJ15"/>
      <c r="KUK15"/>
      <c r="KUL15"/>
      <c r="KUM15"/>
      <c r="KUN15"/>
      <c r="KUO15"/>
      <c r="KUP15"/>
      <c r="KUQ15"/>
      <c r="KUR15"/>
      <c r="KUS15"/>
      <c r="KUT15"/>
      <c r="KUU15"/>
      <c r="KUV15"/>
      <c r="KUW15"/>
      <c r="KUX15"/>
      <c r="KUY15"/>
      <c r="KUZ15"/>
      <c r="KVA15"/>
      <c r="KVB15"/>
      <c r="KVC15"/>
      <c r="KVD15"/>
      <c r="KVE15"/>
      <c r="KVF15"/>
      <c r="KVG15"/>
      <c r="KVH15"/>
      <c r="KVI15"/>
      <c r="KVJ15"/>
      <c r="KVK15"/>
      <c r="KVL15"/>
      <c r="KVM15"/>
      <c r="KVN15"/>
      <c r="KVO15"/>
      <c r="KVP15"/>
      <c r="KVQ15"/>
      <c r="KVR15"/>
      <c r="KVS15"/>
      <c r="KVT15"/>
      <c r="KVU15"/>
      <c r="KVV15"/>
      <c r="KVW15"/>
      <c r="KVX15"/>
      <c r="KVY15"/>
      <c r="KVZ15"/>
      <c r="KWA15"/>
      <c r="KWB15"/>
      <c r="KWC15"/>
      <c r="KWD15"/>
      <c r="KWE15"/>
      <c r="KWF15"/>
      <c r="KWG15"/>
      <c r="KWH15"/>
      <c r="KWI15"/>
      <c r="KWJ15"/>
      <c r="KWK15"/>
      <c r="KWL15"/>
      <c r="KWM15"/>
      <c r="KWN15"/>
      <c r="KWO15"/>
      <c r="KWP15"/>
      <c r="KWQ15"/>
      <c r="KWR15"/>
      <c r="KWS15"/>
      <c r="KWT15"/>
      <c r="KWU15"/>
      <c r="KWV15"/>
      <c r="KWW15"/>
      <c r="KWX15"/>
      <c r="KWY15"/>
      <c r="KWZ15"/>
      <c r="KXA15"/>
      <c r="KXB15"/>
      <c r="KXC15"/>
      <c r="KXD15"/>
      <c r="KXE15"/>
      <c r="KXF15"/>
      <c r="KXG15"/>
      <c r="KXH15"/>
      <c r="KXI15"/>
      <c r="KXJ15"/>
      <c r="KXK15"/>
      <c r="KXL15"/>
      <c r="KXM15"/>
      <c r="KXN15"/>
      <c r="KXO15"/>
      <c r="KXP15"/>
      <c r="KXQ15"/>
      <c r="KXR15"/>
      <c r="KXS15"/>
      <c r="KXT15"/>
      <c r="KXU15"/>
      <c r="KXV15"/>
      <c r="KXW15"/>
      <c r="KXX15"/>
      <c r="KXY15"/>
      <c r="KXZ15"/>
      <c r="KYA15"/>
      <c r="KYB15"/>
      <c r="KYC15"/>
      <c r="KYD15"/>
      <c r="KYE15"/>
      <c r="KYF15"/>
      <c r="KYG15"/>
      <c r="KYH15"/>
      <c r="KYI15"/>
      <c r="KYJ15"/>
      <c r="KYK15"/>
      <c r="KYL15"/>
      <c r="KYM15"/>
      <c r="KYN15"/>
      <c r="KYO15"/>
      <c r="KYP15"/>
      <c r="KYQ15"/>
      <c r="KYR15"/>
      <c r="KYS15"/>
      <c r="KYT15"/>
      <c r="KYU15"/>
      <c r="KYV15"/>
      <c r="KYW15"/>
      <c r="KYX15"/>
      <c r="KYY15"/>
      <c r="KYZ15"/>
      <c r="KZA15"/>
      <c r="KZB15"/>
      <c r="KZC15"/>
      <c r="KZD15"/>
      <c r="KZE15"/>
      <c r="KZF15"/>
      <c r="KZG15"/>
      <c r="KZH15"/>
      <c r="KZI15"/>
      <c r="KZJ15"/>
      <c r="KZK15"/>
      <c r="KZL15"/>
      <c r="KZM15"/>
      <c r="KZN15"/>
      <c r="KZO15"/>
      <c r="KZP15"/>
      <c r="KZQ15"/>
      <c r="KZR15"/>
      <c r="KZS15"/>
      <c r="KZT15"/>
      <c r="KZU15"/>
      <c r="KZV15"/>
      <c r="KZW15"/>
      <c r="KZX15"/>
      <c r="KZY15"/>
      <c r="KZZ15"/>
      <c r="LAA15"/>
      <c r="LAB15"/>
      <c r="LAC15"/>
      <c r="LAD15"/>
      <c r="LAE15"/>
      <c r="LAF15"/>
      <c r="LAG15"/>
      <c r="LAH15"/>
      <c r="LAI15"/>
      <c r="LAJ15"/>
      <c r="LAK15"/>
      <c r="LAL15"/>
      <c r="LAM15"/>
      <c r="LAN15"/>
      <c r="LAO15"/>
      <c r="LAP15"/>
      <c r="LAQ15"/>
      <c r="LAR15"/>
      <c r="LAS15"/>
      <c r="LAT15"/>
      <c r="LAU15"/>
      <c r="LAV15"/>
      <c r="LAW15"/>
      <c r="LAX15"/>
      <c r="LAY15"/>
      <c r="LAZ15"/>
      <c r="LBA15"/>
      <c r="LBB15"/>
      <c r="LBC15"/>
      <c r="LBD15"/>
      <c r="LBE15"/>
      <c r="LBF15"/>
      <c r="LBG15"/>
      <c r="LBH15"/>
      <c r="LBI15"/>
      <c r="LBJ15"/>
      <c r="LBK15"/>
      <c r="LBL15"/>
      <c r="LBM15"/>
      <c r="LBN15"/>
      <c r="LBO15"/>
      <c r="LBP15"/>
      <c r="LBQ15"/>
      <c r="LBR15"/>
      <c r="LBS15"/>
      <c r="LBT15"/>
      <c r="LBU15"/>
      <c r="LBV15"/>
      <c r="LBW15"/>
      <c r="LBX15"/>
      <c r="LBY15"/>
      <c r="LBZ15"/>
      <c r="LCA15"/>
      <c r="LCB15"/>
      <c r="LCC15"/>
      <c r="LCD15"/>
      <c r="LCE15"/>
      <c r="LCF15"/>
      <c r="LCG15"/>
      <c r="LCH15"/>
      <c r="LCI15"/>
      <c r="LCJ15"/>
      <c r="LCK15"/>
      <c r="LCL15"/>
      <c r="LCM15"/>
      <c r="LCN15"/>
      <c r="LCO15"/>
      <c r="LCP15"/>
      <c r="LCQ15"/>
      <c r="LCR15"/>
      <c r="LCS15"/>
      <c r="LCT15"/>
      <c r="LCU15"/>
      <c r="LCV15"/>
      <c r="LCW15"/>
      <c r="LCX15"/>
      <c r="LCY15"/>
      <c r="LCZ15"/>
      <c r="LDA15"/>
      <c r="LDB15"/>
      <c r="LDC15"/>
      <c r="LDD15"/>
      <c r="LDE15"/>
      <c r="LDF15"/>
      <c r="LDG15"/>
      <c r="LDH15"/>
      <c r="LDI15"/>
      <c r="LDJ15"/>
      <c r="LDK15"/>
      <c r="LDL15"/>
      <c r="LDM15"/>
      <c r="LDN15"/>
      <c r="LDO15"/>
      <c r="LDP15"/>
      <c r="LDQ15"/>
      <c r="LDR15"/>
      <c r="LDS15"/>
      <c r="LDT15"/>
      <c r="LDU15"/>
      <c r="LDV15"/>
      <c r="LDW15"/>
      <c r="LDX15"/>
      <c r="LDY15"/>
      <c r="LDZ15"/>
      <c r="LEA15"/>
      <c r="LEB15"/>
      <c r="LEC15"/>
      <c r="LED15"/>
      <c r="LEE15"/>
      <c r="LEF15"/>
      <c r="LEG15"/>
      <c r="LEH15"/>
      <c r="LEI15"/>
      <c r="LEJ15"/>
      <c r="LEK15"/>
      <c r="LEL15"/>
      <c r="LEM15"/>
      <c r="LEN15"/>
      <c r="LEO15"/>
      <c r="LEP15"/>
      <c r="LEQ15"/>
      <c r="LER15"/>
      <c r="LES15"/>
      <c r="LET15"/>
      <c r="LEU15"/>
      <c r="LEV15"/>
      <c r="LEW15"/>
      <c r="LEX15"/>
      <c r="LEY15"/>
      <c r="LEZ15"/>
      <c r="LFA15"/>
      <c r="LFB15"/>
      <c r="LFC15"/>
      <c r="LFD15"/>
      <c r="LFE15"/>
      <c r="LFF15"/>
      <c r="LFG15"/>
      <c r="LFH15"/>
      <c r="LFI15"/>
      <c r="LFJ15"/>
      <c r="LFK15"/>
      <c r="LFL15"/>
      <c r="LFM15"/>
      <c r="LFN15"/>
      <c r="LFO15"/>
      <c r="LFP15"/>
      <c r="LFQ15"/>
      <c r="LFR15"/>
      <c r="LFS15"/>
      <c r="LFT15"/>
      <c r="LFU15"/>
      <c r="LFV15"/>
      <c r="LFW15"/>
      <c r="LFX15"/>
      <c r="LFY15"/>
      <c r="LFZ15"/>
      <c r="LGA15"/>
      <c r="LGB15"/>
      <c r="LGC15"/>
      <c r="LGD15"/>
      <c r="LGE15"/>
      <c r="LGF15"/>
      <c r="LGG15"/>
      <c r="LGH15"/>
      <c r="LGI15"/>
      <c r="LGJ15"/>
      <c r="LGK15"/>
      <c r="LGL15"/>
      <c r="LGM15"/>
      <c r="LGN15"/>
      <c r="LGO15"/>
      <c r="LGP15"/>
      <c r="LGQ15"/>
      <c r="LGR15"/>
      <c r="LGS15"/>
      <c r="LGT15"/>
      <c r="LGU15"/>
      <c r="LGV15"/>
      <c r="LGW15"/>
      <c r="LGX15"/>
      <c r="LGY15"/>
      <c r="LGZ15"/>
      <c r="LHA15"/>
      <c r="LHB15"/>
      <c r="LHC15"/>
      <c r="LHD15"/>
      <c r="LHE15"/>
      <c r="LHF15"/>
      <c r="LHG15"/>
      <c r="LHH15"/>
      <c r="LHI15"/>
      <c r="LHJ15"/>
      <c r="LHK15"/>
      <c r="LHL15"/>
      <c r="LHM15"/>
      <c r="LHN15"/>
      <c r="LHO15"/>
      <c r="LHP15"/>
      <c r="LHQ15"/>
      <c r="LHR15"/>
      <c r="LHS15"/>
      <c r="LHT15"/>
      <c r="LHU15"/>
      <c r="LHV15"/>
      <c r="LHW15"/>
      <c r="LHX15"/>
      <c r="LHY15"/>
      <c r="LHZ15"/>
      <c r="LIA15"/>
      <c r="LIB15"/>
      <c r="LIC15"/>
      <c r="LID15"/>
      <c r="LIE15"/>
      <c r="LIF15"/>
      <c r="LIG15"/>
      <c r="LIH15"/>
      <c r="LII15"/>
      <c r="LIJ15"/>
      <c r="LIK15"/>
      <c r="LIL15"/>
      <c r="LIM15"/>
      <c r="LIN15"/>
      <c r="LIO15"/>
      <c r="LIP15"/>
      <c r="LIQ15"/>
      <c r="LIR15"/>
      <c r="LIS15"/>
      <c r="LIT15"/>
      <c r="LIU15"/>
      <c r="LIV15"/>
      <c r="LIW15"/>
      <c r="LIX15"/>
      <c r="LIY15"/>
      <c r="LIZ15"/>
      <c r="LJA15"/>
      <c r="LJB15"/>
      <c r="LJC15"/>
      <c r="LJD15"/>
      <c r="LJE15"/>
      <c r="LJF15"/>
      <c r="LJG15"/>
      <c r="LJH15"/>
      <c r="LJI15"/>
      <c r="LJJ15"/>
      <c r="LJK15"/>
      <c r="LJL15"/>
      <c r="LJM15"/>
      <c r="LJN15"/>
      <c r="LJO15"/>
      <c r="LJP15"/>
      <c r="LJQ15"/>
      <c r="LJR15"/>
      <c r="LJS15"/>
      <c r="LJT15"/>
      <c r="LJU15"/>
      <c r="LJV15"/>
      <c r="LJW15"/>
      <c r="LJX15"/>
      <c r="LJY15"/>
      <c r="LJZ15"/>
      <c r="LKA15"/>
      <c r="LKB15"/>
      <c r="LKC15"/>
      <c r="LKD15"/>
      <c r="LKE15"/>
      <c r="LKF15"/>
      <c r="LKG15"/>
      <c r="LKH15"/>
      <c r="LKI15"/>
      <c r="LKJ15"/>
      <c r="LKK15"/>
      <c r="LKL15"/>
      <c r="LKM15"/>
      <c r="LKN15"/>
      <c r="LKO15"/>
      <c r="LKP15"/>
      <c r="LKQ15"/>
      <c r="LKR15"/>
      <c r="LKS15"/>
      <c r="LKT15"/>
      <c r="LKU15"/>
      <c r="LKV15"/>
      <c r="LKW15"/>
      <c r="LKX15"/>
      <c r="LKY15"/>
      <c r="LKZ15"/>
      <c r="LLA15"/>
      <c r="LLB15"/>
      <c r="LLC15"/>
      <c r="LLD15"/>
      <c r="LLE15"/>
      <c r="LLF15"/>
      <c r="LLG15"/>
      <c r="LLH15"/>
      <c r="LLI15"/>
      <c r="LLJ15"/>
      <c r="LLK15"/>
      <c r="LLL15"/>
      <c r="LLM15"/>
      <c r="LLN15"/>
      <c r="LLO15"/>
      <c r="LLP15"/>
      <c r="LLQ15"/>
      <c r="LLR15"/>
      <c r="LLS15"/>
      <c r="LLT15"/>
      <c r="LLU15"/>
      <c r="LLV15"/>
      <c r="LLW15"/>
      <c r="LLX15"/>
      <c r="LLY15"/>
      <c r="LLZ15"/>
      <c r="LMA15"/>
      <c r="LMB15"/>
      <c r="LMC15"/>
      <c r="LMD15"/>
      <c r="LME15"/>
      <c r="LMF15"/>
      <c r="LMG15"/>
      <c r="LMH15"/>
      <c r="LMI15"/>
      <c r="LMJ15"/>
      <c r="LMK15"/>
      <c r="LML15"/>
      <c r="LMM15"/>
      <c r="LMN15"/>
      <c r="LMO15"/>
      <c r="LMP15"/>
      <c r="LMQ15"/>
      <c r="LMR15"/>
      <c r="LMS15"/>
      <c r="LMT15"/>
      <c r="LMU15"/>
      <c r="LMV15"/>
      <c r="LMW15"/>
      <c r="LMX15"/>
      <c r="LMY15"/>
      <c r="LMZ15"/>
      <c r="LNA15"/>
      <c r="LNB15"/>
      <c r="LNC15"/>
      <c r="LND15"/>
      <c r="LNE15"/>
      <c r="LNF15"/>
      <c r="LNG15"/>
      <c r="LNH15"/>
      <c r="LNI15"/>
      <c r="LNJ15"/>
      <c r="LNK15"/>
      <c r="LNL15"/>
      <c r="LNM15"/>
      <c r="LNN15"/>
      <c r="LNO15"/>
      <c r="LNP15"/>
      <c r="LNQ15"/>
      <c r="LNR15"/>
      <c r="LNS15"/>
      <c r="LNT15"/>
      <c r="LNU15"/>
      <c r="LNV15"/>
      <c r="LNW15"/>
      <c r="LNX15"/>
      <c r="LNY15"/>
      <c r="LNZ15"/>
      <c r="LOA15"/>
      <c r="LOB15"/>
      <c r="LOC15"/>
      <c r="LOD15"/>
      <c r="LOE15"/>
      <c r="LOF15"/>
      <c r="LOG15"/>
      <c r="LOH15"/>
      <c r="LOI15"/>
      <c r="LOJ15"/>
      <c r="LOK15"/>
      <c r="LOL15"/>
      <c r="LOM15"/>
      <c r="LON15"/>
      <c r="LOO15"/>
      <c r="LOP15"/>
      <c r="LOQ15"/>
      <c r="LOR15"/>
      <c r="LOS15"/>
      <c r="LOT15"/>
      <c r="LOU15"/>
      <c r="LOV15"/>
      <c r="LOW15"/>
      <c r="LOX15"/>
      <c r="LOY15"/>
      <c r="LOZ15"/>
      <c r="LPA15"/>
      <c r="LPB15"/>
      <c r="LPC15"/>
      <c r="LPD15"/>
      <c r="LPE15"/>
      <c r="LPF15"/>
      <c r="LPG15"/>
      <c r="LPH15"/>
      <c r="LPI15"/>
      <c r="LPJ15"/>
      <c r="LPK15"/>
      <c r="LPL15"/>
      <c r="LPM15"/>
      <c r="LPN15"/>
      <c r="LPO15"/>
      <c r="LPP15"/>
      <c r="LPQ15"/>
      <c r="LPR15"/>
      <c r="LPS15"/>
      <c r="LPT15"/>
      <c r="LPU15"/>
      <c r="LPV15"/>
      <c r="LPW15"/>
      <c r="LPX15"/>
      <c r="LPY15"/>
      <c r="LPZ15"/>
      <c r="LQA15"/>
      <c r="LQB15"/>
      <c r="LQC15"/>
      <c r="LQD15"/>
      <c r="LQE15"/>
      <c r="LQF15"/>
      <c r="LQG15"/>
      <c r="LQH15"/>
      <c r="LQI15"/>
      <c r="LQJ15"/>
      <c r="LQK15"/>
      <c r="LQL15"/>
      <c r="LQM15"/>
      <c r="LQN15"/>
      <c r="LQO15"/>
      <c r="LQP15"/>
      <c r="LQQ15"/>
      <c r="LQR15"/>
      <c r="LQS15"/>
      <c r="LQT15"/>
      <c r="LQU15"/>
      <c r="LQV15"/>
      <c r="LQW15"/>
      <c r="LQX15"/>
      <c r="LQY15"/>
      <c r="LQZ15"/>
      <c r="LRA15"/>
      <c r="LRB15"/>
      <c r="LRC15"/>
      <c r="LRD15"/>
      <c r="LRE15"/>
      <c r="LRF15"/>
      <c r="LRG15"/>
      <c r="LRH15"/>
      <c r="LRI15"/>
      <c r="LRJ15"/>
      <c r="LRK15"/>
      <c r="LRL15"/>
      <c r="LRM15"/>
      <c r="LRN15"/>
      <c r="LRO15"/>
      <c r="LRP15"/>
      <c r="LRQ15"/>
      <c r="LRR15"/>
      <c r="LRS15"/>
      <c r="LRT15"/>
      <c r="LRU15"/>
      <c r="LRV15"/>
      <c r="LRW15"/>
      <c r="LRX15"/>
      <c r="LRY15"/>
      <c r="LRZ15"/>
      <c r="LSA15"/>
      <c r="LSB15"/>
      <c r="LSC15"/>
      <c r="LSD15"/>
      <c r="LSE15"/>
      <c r="LSF15"/>
      <c r="LSG15"/>
      <c r="LSH15"/>
      <c r="LSI15"/>
      <c r="LSJ15"/>
      <c r="LSK15"/>
      <c r="LSL15"/>
      <c r="LSM15"/>
      <c r="LSN15"/>
      <c r="LSO15"/>
      <c r="LSP15"/>
      <c r="LSQ15"/>
      <c r="LSR15"/>
      <c r="LSS15"/>
      <c r="LST15"/>
      <c r="LSU15"/>
      <c r="LSV15"/>
      <c r="LSW15"/>
      <c r="LSX15"/>
      <c r="LSY15"/>
      <c r="LSZ15"/>
      <c r="LTA15"/>
      <c r="LTB15"/>
      <c r="LTC15"/>
      <c r="LTD15"/>
      <c r="LTE15"/>
      <c r="LTF15"/>
      <c r="LTG15"/>
      <c r="LTH15"/>
      <c r="LTI15"/>
      <c r="LTJ15"/>
      <c r="LTK15"/>
      <c r="LTL15"/>
      <c r="LTM15"/>
      <c r="LTN15"/>
      <c r="LTO15"/>
      <c r="LTP15"/>
      <c r="LTQ15"/>
      <c r="LTR15"/>
      <c r="LTS15"/>
      <c r="LTT15"/>
      <c r="LTU15"/>
      <c r="LTV15"/>
      <c r="LTW15"/>
      <c r="LTX15"/>
      <c r="LTY15"/>
      <c r="LTZ15"/>
      <c r="LUA15"/>
      <c r="LUB15"/>
      <c r="LUC15"/>
      <c r="LUD15"/>
      <c r="LUE15"/>
      <c r="LUF15"/>
      <c r="LUG15"/>
      <c r="LUH15"/>
      <c r="LUI15"/>
      <c r="LUJ15"/>
      <c r="LUK15"/>
      <c r="LUL15"/>
      <c r="LUM15"/>
      <c r="LUN15"/>
      <c r="LUO15"/>
      <c r="LUP15"/>
      <c r="LUQ15"/>
      <c r="LUR15"/>
      <c r="LUS15"/>
      <c r="LUT15"/>
      <c r="LUU15"/>
      <c r="LUV15"/>
      <c r="LUW15"/>
      <c r="LUX15"/>
      <c r="LUY15"/>
      <c r="LUZ15"/>
      <c r="LVA15"/>
      <c r="LVB15"/>
      <c r="LVC15"/>
      <c r="LVD15"/>
      <c r="LVE15"/>
      <c r="LVF15"/>
      <c r="LVG15"/>
      <c r="LVH15"/>
      <c r="LVI15"/>
      <c r="LVJ15"/>
      <c r="LVK15"/>
      <c r="LVL15"/>
      <c r="LVM15"/>
      <c r="LVN15"/>
      <c r="LVO15"/>
      <c r="LVP15"/>
      <c r="LVQ15"/>
      <c r="LVR15"/>
      <c r="LVS15"/>
      <c r="LVT15"/>
      <c r="LVU15"/>
      <c r="LVV15"/>
      <c r="LVW15"/>
      <c r="LVX15"/>
      <c r="LVY15"/>
      <c r="LVZ15"/>
      <c r="LWA15"/>
      <c r="LWB15"/>
      <c r="LWC15"/>
      <c r="LWD15"/>
      <c r="LWE15"/>
      <c r="LWF15"/>
      <c r="LWG15"/>
      <c r="LWH15"/>
      <c r="LWI15"/>
      <c r="LWJ15"/>
      <c r="LWK15"/>
      <c r="LWL15"/>
      <c r="LWM15"/>
      <c r="LWN15"/>
      <c r="LWO15"/>
      <c r="LWP15"/>
      <c r="LWQ15"/>
      <c r="LWR15"/>
      <c r="LWS15"/>
      <c r="LWT15"/>
      <c r="LWU15"/>
      <c r="LWV15"/>
      <c r="LWW15"/>
      <c r="LWX15"/>
      <c r="LWY15"/>
      <c r="LWZ15"/>
      <c r="LXA15"/>
      <c r="LXB15"/>
      <c r="LXC15"/>
      <c r="LXD15"/>
      <c r="LXE15"/>
      <c r="LXF15"/>
      <c r="LXG15"/>
      <c r="LXH15"/>
      <c r="LXI15"/>
      <c r="LXJ15"/>
      <c r="LXK15"/>
      <c r="LXL15"/>
      <c r="LXM15"/>
      <c r="LXN15"/>
      <c r="LXO15"/>
      <c r="LXP15"/>
      <c r="LXQ15"/>
      <c r="LXR15"/>
      <c r="LXS15"/>
      <c r="LXT15"/>
      <c r="LXU15"/>
      <c r="LXV15"/>
      <c r="LXW15"/>
      <c r="LXX15"/>
      <c r="LXY15"/>
      <c r="LXZ15"/>
      <c r="LYA15"/>
      <c r="LYB15"/>
      <c r="LYC15"/>
      <c r="LYD15"/>
      <c r="LYE15"/>
      <c r="LYF15"/>
      <c r="LYG15"/>
      <c r="LYH15"/>
      <c r="LYI15"/>
      <c r="LYJ15"/>
      <c r="LYK15"/>
      <c r="LYL15"/>
      <c r="LYM15"/>
      <c r="LYN15"/>
      <c r="LYO15"/>
      <c r="LYP15"/>
      <c r="LYQ15"/>
      <c r="LYR15"/>
      <c r="LYS15"/>
      <c r="LYT15"/>
      <c r="LYU15"/>
      <c r="LYV15"/>
      <c r="LYW15"/>
      <c r="LYX15"/>
      <c r="LYY15"/>
      <c r="LYZ15"/>
      <c r="LZA15"/>
      <c r="LZB15"/>
      <c r="LZC15"/>
      <c r="LZD15"/>
      <c r="LZE15"/>
      <c r="LZF15"/>
      <c r="LZG15"/>
      <c r="LZH15"/>
      <c r="LZI15"/>
      <c r="LZJ15"/>
      <c r="LZK15"/>
      <c r="LZL15"/>
      <c r="LZM15"/>
      <c r="LZN15"/>
      <c r="LZO15"/>
      <c r="LZP15"/>
      <c r="LZQ15"/>
      <c r="LZR15"/>
      <c r="LZS15"/>
      <c r="LZT15"/>
      <c r="LZU15"/>
      <c r="LZV15"/>
      <c r="LZW15"/>
      <c r="LZX15"/>
      <c r="LZY15"/>
      <c r="LZZ15"/>
      <c r="MAA15"/>
      <c r="MAB15"/>
      <c r="MAC15"/>
      <c r="MAD15"/>
      <c r="MAE15"/>
      <c r="MAF15"/>
      <c r="MAG15"/>
      <c r="MAH15"/>
      <c r="MAI15"/>
      <c r="MAJ15"/>
      <c r="MAK15"/>
      <c r="MAL15"/>
      <c r="MAM15"/>
      <c r="MAN15"/>
      <c r="MAO15"/>
      <c r="MAP15"/>
      <c r="MAQ15"/>
      <c r="MAR15"/>
      <c r="MAS15"/>
      <c r="MAT15"/>
      <c r="MAU15"/>
      <c r="MAV15"/>
      <c r="MAW15"/>
      <c r="MAX15"/>
      <c r="MAY15"/>
      <c r="MAZ15"/>
      <c r="MBA15"/>
      <c r="MBB15"/>
      <c r="MBC15"/>
      <c r="MBD15"/>
      <c r="MBE15"/>
      <c r="MBF15"/>
      <c r="MBG15"/>
      <c r="MBH15"/>
      <c r="MBI15"/>
      <c r="MBJ15"/>
      <c r="MBK15"/>
      <c r="MBL15"/>
      <c r="MBM15"/>
      <c r="MBN15"/>
      <c r="MBO15"/>
      <c r="MBP15"/>
      <c r="MBQ15"/>
      <c r="MBR15"/>
      <c r="MBS15"/>
      <c r="MBT15"/>
      <c r="MBU15"/>
      <c r="MBV15"/>
      <c r="MBW15"/>
      <c r="MBX15"/>
      <c r="MBY15"/>
      <c r="MBZ15"/>
      <c r="MCA15"/>
      <c r="MCB15"/>
      <c r="MCC15"/>
      <c r="MCD15"/>
      <c r="MCE15"/>
      <c r="MCF15"/>
      <c r="MCG15"/>
      <c r="MCH15"/>
      <c r="MCI15"/>
      <c r="MCJ15"/>
      <c r="MCK15"/>
      <c r="MCL15"/>
      <c r="MCM15"/>
      <c r="MCN15"/>
      <c r="MCO15"/>
      <c r="MCP15"/>
      <c r="MCQ15"/>
      <c r="MCR15"/>
      <c r="MCS15"/>
      <c r="MCT15"/>
      <c r="MCU15"/>
      <c r="MCV15"/>
      <c r="MCW15"/>
      <c r="MCX15"/>
      <c r="MCY15"/>
      <c r="MCZ15"/>
      <c r="MDA15"/>
      <c r="MDB15"/>
      <c r="MDC15"/>
      <c r="MDD15"/>
      <c r="MDE15"/>
      <c r="MDF15"/>
      <c r="MDG15"/>
      <c r="MDH15"/>
      <c r="MDI15"/>
      <c r="MDJ15"/>
      <c r="MDK15"/>
      <c r="MDL15"/>
      <c r="MDM15"/>
      <c r="MDN15"/>
      <c r="MDO15"/>
      <c r="MDP15"/>
      <c r="MDQ15"/>
      <c r="MDR15"/>
      <c r="MDS15"/>
      <c r="MDT15"/>
      <c r="MDU15"/>
      <c r="MDV15"/>
      <c r="MDW15"/>
      <c r="MDX15"/>
      <c r="MDY15"/>
      <c r="MDZ15"/>
      <c r="MEA15"/>
      <c r="MEB15"/>
      <c r="MEC15"/>
      <c r="MED15"/>
      <c r="MEE15"/>
      <c r="MEF15"/>
      <c r="MEG15"/>
      <c r="MEH15"/>
      <c r="MEI15"/>
      <c r="MEJ15"/>
      <c r="MEK15"/>
      <c r="MEL15"/>
      <c r="MEM15"/>
      <c r="MEN15"/>
      <c r="MEO15"/>
      <c r="MEP15"/>
      <c r="MEQ15"/>
      <c r="MER15"/>
      <c r="MES15"/>
      <c r="MET15"/>
      <c r="MEU15"/>
      <c r="MEV15"/>
      <c r="MEW15"/>
      <c r="MEX15"/>
      <c r="MEY15"/>
      <c r="MEZ15"/>
      <c r="MFA15"/>
      <c r="MFB15"/>
      <c r="MFC15"/>
      <c r="MFD15"/>
      <c r="MFE15"/>
      <c r="MFF15"/>
      <c r="MFG15"/>
      <c r="MFH15"/>
      <c r="MFI15"/>
      <c r="MFJ15"/>
      <c r="MFK15"/>
      <c r="MFL15"/>
      <c r="MFM15"/>
      <c r="MFN15"/>
      <c r="MFO15"/>
      <c r="MFP15"/>
      <c r="MFQ15"/>
      <c r="MFR15"/>
      <c r="MFS15"/>
      <c r="MFT15"/>
      <c r="MFU15"/>
      <c r="MFV15"/>
      <c r="MFW15"/>
      <c r="MFX15"/>
      <c r="MFY15"/>
      <c r="MFZ15"/>
      <c r="MGA15"/>
      <c r="MGB15"/>
      <c r="MGC15"/>
      <c r="MGD15"/>
      <c r="MGE15"/>
      <c r="MGF15"/>
      <c r="MGG15"/>
      <c r="MGH15"/>
      <c r="MGI15"/>
      <c r="MGJ15"/>
      <c r="MGK15"/>
      <c r="MGL15"/>
      <c r="MGM15"/>
      <c r="MGN15"/>
      <c r="MGO15"/>
      <c r="MGP15"/>
      <c r="MGQ15"/>
      <c r="MGR15"/>
      <c r="MGS15"/>
      <c r="MGT15"/>
      <c r="MGU15"/>
      <c r="MGV15"/>
      <c r="MGW15"/>
      <c r="MGX15"/>
      <c r="MGY15"/>
      <c r="MGZ15"/>
      <c r="MHA15"/>
      <c r="MHB15"/>
      <c r="MHC15"/>
      <c r="MHD15"/>
      <c r="MHE15"/>
      <c r="MHF15"/>
      <c r="MHG15"/>
      <c r="MHH15"/>
      <c r="MHI15"/>
      <c r="MHJ15"/>
      <c r="MHK15"/>
      <c r="MHL15"/>
      <c r="MHM15"/>
      <c r="MHN15"/>
      <c r="MHO15"/>
      <c r="MHP15"/>
      <c r="MHQ15"/>
      <c r="MHR15"/>
      <c r="MHS15"/>
      <c r="MHT15"/>
      <c r="MHU15"/>
      <c r="MHV15"/>
      <c r="MHW15"/>
      <c r="MHX15"/>
      <c r="MHY15"/>
      <c r="MHZ15"/>
      <c r="MIA15"/>
      <c r="MIB15"/>
      <c r="MIC15"/>
      <c r="MID15"/>
      <c r="MIE15"/>
      <c r="MIF15"/>
      <c r="MIG15"/>
      <c r="MIH15"/>
      <c r="MII15"/>
      <c r="MIJ15"/>
      <c r="MIK15"/>
      <c r="MIL15"/>
      <c r="MIM15"/>
      <c r="MIN15"/>
      <c r="MIO15"/>
      <c r="MIP15"/>
      <c r="MIQ15"/>
      <c r="MIR15"/>
      <c r="MIS15"/>
      <c r="MIT15"/>
      <c r="MIU15"/>
      <c r="MIV15"/>
      <c r="MIW15"/>
      <c r="MIX15"/>
      <c r="MIY15"/>
      <c r="MIZ15"/>
      <c r="MJA15"/>
      <c r="MJB15"/>
      <c r="MJC15"/>
      <c r="MJD15"/>
      <c r="MJE15"/>
      <c r="MJF15"/>
      <c r="MJG15"/>
      <c r="MJH15"/>
      <c r="MJI15"/>
      <c r="MJJ15"/>
      <c r="MJK15"/>
      <c r="MJL15"/>
      <c r="MJM15"/>
      <c r="MJN15"/>
      <c r="MJO15"/>
      <c r="MJP15"/>
      <c r="MJQ15"/>
      <c r="MJR15"/>
      <c r="MJS15"/>
      <c r="MJT15"/>
      <c r="MJU15"/>
      <c r="MJV15"/>
      <c r="MJW15"/>
      <c r="MJX15"/>
      <c r="MJY15"/>
      <c r="MJZ15"/>
      <c r="MKA15"/>
      <c r="MKB15"/>
      <c r="MKC15"/>
      <c r="MKD15"/>
      <c r="MKE15"/>
      <c r="MKF15"/>
      <c r="MKG15"/>
      <c r="MKH15"/>
      <c r="MKI15"/>
      <c r="MKJ15"/>
      <c r="MKK15"/>
      <c r="MKL15"/>
      <c r="MKM15"/>
      <c r="MKN15"/>
      <c r="MKO15"/>
      <c r="MKP15"/>
      <c r="MKQ15"/>
      <c r="MKR15"/>
      <c r="MKS15"/>
      <c r="MKT15"/>
      <c r="MKU15"/>
      <c r="MKV15"/>
      <c r="MKW15"/>
      <c r="MKX15"/>
      <c r="MKY15"/>
      <c r="MKZ15"/>
      <c r="MLA15"/>
      <c r="MLB15"/>
      <c r="MLC15"/>
      <c r="MLD15"/>
      <c r="MLE15"/>
      <c r="MLF15"/>
      <c r="MLG15"/>
      <c r="MLH15"/>
      <c r="MLI15"/>
      <c r="MLJ15"/>
      <c r="MLK15"/>
      <c r="MLL15"/>
      <c r="MLM15"/>
      <c r="MLN15"/>
      <c r="MLO15"/>
      <c r="MLP15"/>
      <c r="MLQ15"/>
      <c r="MLR15"/>
      <c r="MLS15"/>
      <c r="MLT15"/>
      <c r="MLU15"/>
      <c r="MLV15"/>
      <c r="MLW15"/>
      <c r="MLX15"/>
      <c r="MLY15"/>
      <c r="MLZ15"/>
      <c r="MMA15"/>
      <c r="MMB15"/>
      <c r="MMC15"/>
      <c r="MMD15"/>
      <c r="MME15"/>
      <c r="MMF15"/>
      <c r="MMG15"/>
      <c r="MMH15"/>
      <c r="MMI15"/>
      <c r="MMJ15"/>
      <c r="MMK15"/>
      <c r="MML15"/>
      <c r="MMM15"/>
      <c r="MMN15"/>
      <c r="MMO15"/>
      <c r="MMP15"/>
      <c r="MMQ15"/>
      <c r="MMR15"/>
      <c r="MMS15"/>
      <c r="MMT15"/>
      <c r="MMU15"/>
      <c r="MMV15"/>
      <c r="MMW15"/>
      <c r="MMX15"/>
      <c r="MMY15"/>
      <c r="MMZ15"/>
      <c r="MNA15"/>
      <c r="MNB15"/>
      <c r="MNC15"/>
      <c r="MND15"/>
      <c r="MNE15"/>
      <c r="MNF15"/>
      <c r="MNG15"/>
      <c r="MNH15"/>
      <c r="MNI15"/>
      <c r="MNJ15"/>
      <c r="MNK15"/>
      <c r="MNL15"/>
      <c r="MNM15"/>
      <c r="MNN15"/>
      <c r="MNO15"/>
      <c r="MNP15"/>
      <c r="MNQ15"/>
      <c r="MNR15"/>
      <c r="MNS15"/>
      <c r="MNT15"/>
      <c r="MNU15"/>
      <c r="MNV15"/>
      <c r="MNW15"/>
      <c r="MNX15"/>
      <c r="MNY15"/>
      <c r="MNZ15"/>
      <c r="MOA15"/>
      <c r="MOB15"/>
      <c r="MOC15"/>
      <c r="MOD15"/>
      <c r="MOE15"/>
      <c r="MOF15"/>
      <c r="MOG15"/>
      <c r="MOH15"/>
      <c r="MOI15"/>
      <c r="MOJ15"/>
      <c r="MOK15"/>
      <c r="MOL15"/>
      <c r="MOM15"/>
      <c r="MON15"/>
      <c r="MOO15"/>
      <c r="MOP15"/>
      <c r="MOQ15"/>
      <c r="MOR15"/>
      <c r="MOS15"/>
      <c r="MOT15"/>
      <c r="MOU15"/>
      <c r="MOV15"/>
      <c r="MOW15"/>
      <c r="MOX15"/>
      <c r="MOY15"/>
      <c r="MOZ15"/>
      <c r="MPA15"/>
      <c r="MPB15"/>
      <c r="MPC15"/>
      <c r="MPD15"/>
      <c r="MPE15"/>
      <c r="MPF15"/>
      <c r="MPG15"/>
      <c r="MPH15"/>
      <c r="MPI15"/>
      <c r="MPJ15"/>
      <c r="MPK15"/>
      <c r="MPL15"/>
      <c r="MPM15"/>
      <c r="MPN15"/>
      <c r="MPO15"/>
      <c r="MPP15"/>
      <c r="MPQ15"/>
      <c r="MPR15"/>
      <c r="MPS15"/>
      <c r="MPT15"/>
      <c r="MPU15"/>
      <c r="MPV15"/>
      <c r="MPW15"/>
      <c r="MPX15"/>
      <c r="MPY15"/>
      <c r="MPZ15"/>
      <c r="MQA15"/>
      <c r="MQB15"/>
      <c r="MQC15"/>
      <c r="MQD15"/>
      <c r="MQE15"/>
      <c r="MQF15"/>
      <c r="MQG15"/>
      <c r="MQH15"/>
      <c r="MQI15"/>
      <c r="MQJ15"/>
      <c r="MQK15"/>
      <c r="MQL15"/>
      <c r="MQM15"/>
      <c r="MQN15"/>
      <c r="MQO15"/>
      <c r="MQP15"/>
      <c r="MQQ15"/>
      <c r="MQR15"/>
      <c r="MQS15"/>
      <c r="MQT15"/>
      <c r="MQU15"/>
      <c r="MQV15"/>
      <c r="MQW15"/>
      <c r="MQX15"/>
      <c r="MQY15"/>
      <c r="MQZ15"/>
      <c r="MRA15"/>
      <c r="MRB15"/>
      <c r="MRC15"/>
      <c r="MRD15"/>
      <c r="MRE15"/>
      <c r="MRF15"/>
      <c r="MRG15"/>
      <c r="MRH15"/>
      <c r="MRI15"/>
      <c r="MRJ15"/>
      <c r="MRK15"/>
      <c r="MRL15"/>
      <c r="MRM15"/>
      <c r="MRN15"/>
      <c r="MRO15"/>
      <c r="MRP15"/>
      <c r="MRQ15"/>
      <c r="MRR15"/>
      <c r="MRS15"/>
      <c r="MRT15"/>
      <c r="MRU15"/>
      <c r="MRV15"/>
      <c r="MRW15"/>
      <c r="MRX15"/>
      <c r="MRY15"/>
      <c r="MRZ15"/>
      <c r="MSA15"/>
      <c r="MSB15"/>
      <c r="MSC15"/>
      <c r="MSD15"/>
      <c r="MSE15"/>
      <c r="MSF15"/>
      <c r="MSG15"/>
      <c r="MSH15"/>
      <c r="MSI15"/>
      <c r="MSJ15"/>
      <c r="MSK15"/>
      <c r="MSL15"/>
      <c r="MSM15"/>
      <c r="MSN15"/>
      <c r="MSO15"/>
      <c r="MSP15"/>
      <c r="MSQ15"/>
      <c r="MSR15"/>
      <c r="MSS15"/>
      <c r="MST15"/>
      <c r="MSU15"/>
      <c r="MSV15"/>
      <c r="MSW15"/>
      <c r="MSX15"/>
      <c r="MSY15"/>
      <c r="MSZ15"/>
      <c r="MTA15"/>
      <c r="MTB15"/>
      <c r="MTC15"/>
      <c r="MTD15"/>
      <c r="MTE15"/>
      <c r="MTF15"/>
      <c r="MTG15"/>
      <c r="MTH15"/>
      <c r="MTI15"/>
      <c r="MTJ15"/>
      <c r="MTK15"/>
      <c r="MTL15"/>
      <c r="MTM15"/>
      <c r="MTN15"/>
      <c r="MTO15"/>
      <c r="MTP15"/>
      <c r="MTQ15"/>
      <c r="MTR15"/>
      <c r="MTS15"/>
      <c r="MTT15"/>
      <c r="MTU15"/>
      <c r="MTV15"/>
      <c r="MTW15"/>
      <c r="MTX15"/>
      <c r="MTY15"/>
      <c r="MTZ15"/>
      <c r="MUA15"/>
      <c r="MUB15"/>
      <c r="MUC15"/>
      <c r="MUD15"/>
      <c r="MUE15"/>
      <c r="MUF15"/>
      <c r="MUG15"/>
      <c r="MUH15"/>
      <c r="MUI15"/>
      <c r="MUJ15"/>
      <c r="MUK15"/>
      <c r="MUL15"/>
      <c r="MUM15"/>
      <c r="MUN15"/>
      <c r="MUO15"/>
      <c r="MUP15"/>
      <c r="MUQ15"/>
      <c r="MUR15"/>
      <c r="MUS15"/>
      <c r="MUT15"/>
      <c r="MUU15"/>
      <c r="MUV15"/>
      <c r="MUW15"/>
      <c r="MUX15"/>
      <c r="MUY15"/>
      <c r="MUZ15"/>
      <c r="MVA15"/>
      <c r="MVB15"/>
      <c r="MVC15"/>
      <c r="MVD15"/>
      <c r="MVE15"/>
      <c r="MVF15"/>
      <c r="MVG15"/>
      <c r="MVH15"/>
      <c r="MVI15"/>
      <c r="MVJ15"/>
      <c r="MVK15"/>
      <c r="MVL15"/>
      <c r="MVM15"/>
      <c r="MVN15"/>
      <c r="MVO15"/>
      <c r="MVP15"/>
      <c r="MVQ15"/>
      <c r="MVR15"/>
      <c r="MVS15"/>
      <c r="MVT15"/>
      <c r="MVU15"/>
      <c r="MVV15"/>
      <c r="MVW15"/>
      <c r="MVX15"/>
      <c r="MVY15"/>
      <c r="MVZ15"/>
      <c r="MWA15"/>
      <c r="MWB15"/>
      <c r="MWC15"/>
      <c r="MWD15"/>
      <c r="MWE15"/>
      <c r="MWF15"/>
      <c r="MWG15"/>
      <c r="MWH15"/>
      <c r="MWI15"/>
      <c r="MWJ15"/>
      <c r="MWK15"/>
      <c r="MWL15"/>
      <c r="MWM15"/>
      <c r="MWN15"/>
      <c r="MWO15"/>
      <c r="MWP15"/>
      <c r="MWQ15"/>
      <c r="MWR15"/>
      <c r="MWS15"/>
      <c r="MWT15"/>
      <c r="MWU15"/>
      <c r="MWV15"/>
      <c r="MWW15"/>
      <c r="MWX15"/>
      <c r="MWY15"/>
      <c r="MWZ15"/>
      <c r="MXA15"/>
      <c r="MXB15"/>
      <c r="MXC15"/>
      <c r="MXD15"/>
      <c r="MXE15"/>
      <c r="MXF15"/>
      <c r="MXG15"/>
      <c r="MXH15"/>
      <c r="MXI15"/>
      <c r="MXJ15"/>
      <c r="MXK15"/>
      <c r="MXL15"/>
      <c r="MXM15"/>
      <c r="MXN15"/>
      <c r="MXO15"/>
      <c r="MXP15"/>
      <c r="MXQ15"/>
      <c r="MXR15"/>
      <c r="MXS15"/>
      <c r="MXT15"/>
      <c r="MXU15"/>
      <c r="MXV15"/>
      <c r="MXW15"/>
      <c r="MXX15"/>
      <c r="MXY15"/>
      <c r="MXZ15"/>
      <c r="MYA15"/>
      <c r="MYB15"/>
      <c r="MYC15"/>
      <c r="MYD15"/>
      <c r="MYE15"/>
      <c r="MYF15"/>
      <c r="MYG15"/>
      <c r="MYH15"/>
      <c r="MYI15"/>
      <c r="MYJ15"/>
      <c r="MYK15"/>
      <c r="MYL15"/>
      <c r="MYM15"/>
      <c r="MYN15"/>
      <c r="MYO15"/>
      <c r="MYP15"/>
      <c r="MYQ15"/>
      <c r="MYR15"/>
      <c r="MYS15"/>
      <c r="MYT15"/>
      <c r="MYU15"/>
      <c r="MYV15"/>
      <c r="MYW15"/>
      <c r="MYX15"/>
      <c r="MYY15"/>
      <c r="MYZ15"/>
      <c r="MZA15"/>
      <c r="MZB15"/>
      <c r="MZC15"/>
      <c r="MZD15"/>
      <c r="MZE15"/>
      <c r="MZF15"/>
      <c r="MZG15"/>
      <c r="MZH15"/>
      <c r="MZI15"/>
      <c r="MZJ15"/>
      <c r="MZK15"/>
      <c r="MZL15"/>
      <c r="MZM15"/>
      <c r="MZN15"/>
      <c r="MZO15"/>
      <c r="MZP15"/>
      <c r="MZQ15"/>
      <c r="MZR15"/>
      <c r="MZS15"/>
      <c r="MZT15"/>
      <c r="MZU15"/>
      <c r="MZV15"/>
      <c r="MZW15"/>
      <c r="MZX15"/>
      <c r="MZY15"/>
      <c r="MZZ15"/>
      <c r="NAA15"/>
      <c r="NAB15"/>
      <c r="NAC15"/>
      <c r="NAD15"/>
      <c r="NAE15"/>
      <c r="NAF15"/>
      <c r="NAG15"/>
      <c r="NAH15"/>
      <c r="NAI15"/>
      <c r="NAJ15"/>
      <c r="NAK15"/>
      <c r="NAL15"/>
      <c r="NAM15"/>
      <c r="NAN15"/>
      <c r="NAO15"/>
      <c r="NAP15"/>
      <c r="NAQ15"/>
      <c r="NAR15"/>
      <c r="NAS15"/>
      <c r="NAT15"/>
      <c r="NAU15"/>
      <c r="NAV15"/>
      <c r="NAW15"/>
      <c r="NAX15"/>
      <c r="NAY15"/>
      <c r="NAZ15"/>
      <c r="NBA15"/>
      <c r="NBB15"/>
      <c r="NBC15"/>
      <c r="NBD15"/>
      <c r="NBE15"/>
      <c r="NBF15"/>
      <c r="NBG15"/>
      <c r="NBH15"/>
      <c r="NBI15"/>
      <c r="NBJ15"/>
      <c r="NBK15"/>
      <c r="NBL15"/>
      <c r="NBM15"/>
      <c r="NBN15"/>
      <c r="NBO15"/>
      <c r="NBP15"/>
      <c r="NBQ15"/>
      <c r="NBR15"/>
      <c r="NBS15"/>
      <c r="NBT15"/>
      <c r="NBU15"/>
      <c r="NBV15"/>
      <c r="NBW15"/>
      <c r="NBX15"/>
      <c r="NBY15"/>
      <c r="NBZ15"/>
      <c r="NCA15"/>
      <c r="NCB15"/>
      <c r="NCC15"/>
      <c r="NCD15"/>
      <c r="NCE15"/>
      <c r="NCF15"/>
      <c r="NCG15"/>
      <c r="NCH15"/>
      <c r="NCI15"/>
      <c r="NCJ15"/>
      <c r="NCK15"/>
      <c r="NCL15"/>
      <c r="NCM15"/>
      <c r="NCN15"/>
      <c r="NCO15"/>
      <c r="NCP15"/>
      <c r="NCQ15"/>
      <c r="NCR15"/>
      <c r="NCS15"/>
      <c r="NCT15"/>
      <c r="NCU15"/>
      <c r="NCV15"/>
      <c r="NCW15"/>
      <c r="NCX15"/>
      <c r="NCY15"/>
      <c r="NCZ15"/>
      <c r="NDA15"/>
      <c r="NDB15"/>
      <c r="NDC15"/>
      <c r="NDD15"/>
      <c r="NDE15"/>
      <c r="NDF15"/>
      <c r="NDG15"/>
      <c r="NDH15"/>
      <c r="NDI15"/>
      <c r="NDJ15"/>
      <c r="NDK15"/>
      <c r="NDL15"/>
      <c r="NDM15"/>
      <c r="NDN15"/>
      <c r="NDO15"/>
      <c r="NDP15"/>
      <c r="NDQ15"/>
      <c r="NDR15"/>
      <c r="NDS15"/>
      <c r="NDT15"/>
      <c r="NDU15"/>
      <c r="NDV15"/>
      <c r="NDW15"/>
      <c r="NDX15"/>
      <c r="NDY15"/>
      <c r="NDZ15"/>
      <c r="NEA15"/>
      <c r="NEB15"/>
      <c r="NEC15"/>
      <c r="NED15"/>
      <c r="NEE15"/>
      <c r="NEF15"/>
      <c r="NEG15"/>
      <c r="NEH15"/>
      <c r="NEI15"/>
      <c r="NEJ15"/>
      <c r="NEK15"/>
      <c r="NEL15"/>
      <c r="NEM15"/>
      <c r="NEN15"/>
      <c r="NEO15"/>
      <c r="NEP15"/>
      <c r="NEQ15"/>
      <c r="NER15"/>
      <c r="NES15"/>
      <c r="NET15"/>
      <c r="NEU15"/>
      <c r="NEV15"/>
      <c r="NEW15"/>
      <c r="NEX15"/>
      <c r="NEY15"/>
      <c r="NEZ15"/>
      <c r="NFA15"/>
      <c r="NFB15"/>
      <c r="NFC15"/>
      <c r="NFD15"/>
      <c r="NFE15"/>
      <c r="NFF15"/>
      <c r="NFG15"/>
      <c r="NFH15"/>
      <c r="NFI15"/>
      <c r="NFJ15"/>
      <c r="NFK15"/>
      <c r="NFL15"/>
      <c r="NFM15"/>
      <c r="NFN15"/>
      <c r="NFO15"/>
      <c r="NFP15"/>
      <c r="NFQ15"/>
      <c r="NFR15"/>
      <c r="NFS15"/>
      <c r="NFT15"/>
      <c r="NFU15"/>
      <c r="NFV15"/>
      <c r="NFW15"/>
      <c r="NFX15"/>
      <c r="NFY15"/>
      <c r="NFZ15"/>
      <c r="NGA15"/>
      <c r="NGB15"/>
      <c r="NGC15"/>
      <c r="NGD15"/>
      <c r="NGE15"/>
      <c r="NGF15"/>
      <c r="NGG15"/>
      <c r="NGH15"/>
      <c r="NGI15"/>
      <c r="NGJ15"/>
      <c r="NGK15"/>
      <c r="NGL15"/>
      <c r="NGM15"/>
      <c r="NGN15"/>
      <c r="NGO15"/>
      <c r="NGP15"/>
      <c r="NGQ15"/>
      <c r="NGR15"/>
      <c r="NGS15"/>
      <c r="NGT15"/>
      <c r="NGU15"/>
      <c r="NGV15"/>
      <c r="NGW15"/>
      <c r="NGX15"/>
      <c r="NGY15"/>
      <c r="NGZ15"/>
      <c r="NHA15"/>
      <c r="NHB15"/>
      <c r="NHC15"/>
      <c r="NHD15"/>
      <c r="NHE15"/>
      <c r="NHF15"/>
      <c r="NHG15"/>
      <c r="NHH15"/>
      <c r="NHI15"/>
      <c r="NHJ15"/>
      <c r="NHK15"/>
      <c r="NHL15"/>
      <c r="NHM15"/>
      <c r="NHN15"/>
      <c r="NHO15"/>
      <c r="NHP15"/>
      <c r="NHQ15"/>
      <c r="NHR15"/>
      <c r="NHS15"/>
      <c r="NHT15"/>
      <c r="NHU15"/>
      <c r="NHV15"/>
      <c r="NHW15"/>
      <c r="NHX15"/>
      <c r="NHY15"/>
      <c r="NHZ15"/>
      <c r="NIA15"/>
      <c r="NIB15"/>
      <c r="NIC15"/>
      <c r="NID15"/>
      <c r="NIE15"/>
      <c r="NIF15"/>
      <c r="NIG15"/>
      <c r="NIH15"/>
      <c r="NII15"/>
      <c r="NIJ15"/>
      <c r="NIK15"/>
      <c r="NIL15"/>
      <c r="NIM15"/>
      <c r="NIN15"/>
      <c r="NIO15"/>
      <c r="NIP15"/>
      <c r="NIQ15"/>
      <c r="NIR15"/>
      <c r="NIS15"/>
      <c r="NIT15"/>
      <c r="NIU15"/>
      <c r="NIV15"/>
      <c r="NIW15"/>
      <c r="NIX15"/>
      <c r="NIY15"/>
      <c r="NIZ15"/>
      <c r="NJA15"/>
      <c r="NJB15"/>
      <c r="NJC15"/>
      <c r="NJD15"/>
      <c r="NJE15"/>
      <c r="NJF15"/>
      <c r="NJG15"/>
      <c r="NJH15"/>
      <c r="NJI15"/>
      <c r="NJJ15"/>
      <c r="NJK15"/>
      <c r="NJL15"/>
      <c r="NJM15"/>
      <c r="NJN15"/>
      <c r="NJO15"/>
      <c r="NJP15"/>
      <c r="NJQ15"/>
      <c r="NJR15"/>
      <c r="NJS15"/>
      <c r="NJT15"/>
      <c r="NJU15"/>
      <c r="NJV15"/>
      <c r="NJW15"/>
      <c r="NJX15"/>
      <c r="NJY15"/>
      <c r="NJZ15"/>
      <c r="NKA15"/>
      <c r="NKB15"/>
      <c r="NKC15"/>
      <c r="NKD15"/>
      <c r="NKE15"/>
      <c r="NKF15"/>
      <c r="NKG15"/>
      <c r="NKH15"/>
      <c r="NKI15"/>
      <c r="NKJ15"/>
      <c r="NKK15"/>
      <c r="NKL15"/>
      <c r="NKM15"/>
      <c r="NKN15"/>
      <c r="NKO15"/>
      <c r="NKP15"/>
      <c r="NKQ15"/>
      <c r="NKR15"/>
      <c r="NKS15"/>
      <c r="NKT15"/>
      <c r="NKU15"/>
      <c r="NKV15"/>
      <c r="NKW15"/>
      <c r="NKX15"/>
      <c r="NKY15"/>
      <c r="NKZ15"/>
      <c r="NLA15"/>
      <c r="NLB15"/>
      <c r="NLC15"/>
      <c r="NLD15"/>
      <c r="NLE15"/>
      <c r="NLF15"/>
      <c r="NLG15"/>
      <c r="NLH15"/>
      <c r="NLI15"/>
      <c r="NLJ15"/>
      <c r="NLK15"/>
      <c r="NLL15"/>
      <c r="NLM15"/>
      <c r="NLN15"/>
      <c r="NLO15"/>
      <c r="NLP15"/>
      <c r="NLQ15"/>
      <c r="NLR15"/>
      <c r="NLS15"/>
      <c r="NLT15"/>
      <c r="NLU15"/>
      <c r="NLV15"/>
      <c r="NLW15"/>
      <c r="NLX15"/>
      <c r="NLY15"/>
      <c r="NLZ15"/>
      <c r="NMA15"/>
      <c r="NMB15"/>
      <c r="NMC15"/>
      <c r="NMD15"/>
      <c r="NME15"/>
      <c r="NMF15"/>
      <c r="NMG15"/>
      <c r="NMH15"/>
      <c r="NMI15"/>
      <c r="NMJ15"/>
      <c r="NMK15"/>
      <c r="NML15"/>
      <c r="NMM15"/>
      <c r="NMN15"/>
      <c r="NMO15"/>
      <c r="NMP15"/>
      <c r="NMQ15"/>
      <c r="NMR15"/>
      <c r="NMS15"/>
      <c r="NMT15"/>
      <c r="NMU15"/>
      <c r="NMV15"/>
      <c r="NMW15"/>
      <c r="NMX15"/>
      <c r="NMY15"/>
      <c r="NMZ15"/>
      <c r="NNA15"/>
      <c r="NNB15"/>
      <c r="NNC15"/>
      <c r="NND15"/>
      <c r="NNE15"/>
      <c r="NNF15"/>
      <c r="NNG15"/>
      <c r="NNH15"/>
      <c r="NNI15"/>
      <c r="NNJ15"/>
      <c r="NNK15"/>
      <c r="NNL15"/>
      <c r="NNM15"/>
      <c r="NNN15"/>
      <c r="NNO15"/>
      <c r="NNP15"/>
      <c r="NNQ15"/>
      <c r="NNR15"/>
      <c r="NNS15"/>
      <c r="NNT15"/>
      <c r="NNU15"/>
      <c r="NNV15"/>
      <c r="NNW15"/>
      <c r="NNX15"/>
      <c r="NNY15"/>
      <c r="NNZ15"/>
      <c r="NOA15"/>
      <c r="NOB15"/>
      <c r="NOC15"/>
      <c r="NOD15"/>
      <c r="NOE15"/>
      <c r="NOF15"/>
      <c r="NOG15"/>
      <c r="NOH15"/>
      <c r="NOI15"/>
      <c r="NOJ15"/>
      <c r="NOK15"/>
      <c r="NOL15"/>
      <c r="NOM15"/>
      <c r="NON15"/>
      <c r="NOO15"/>
      <c r="NOP15"/>
      <c r="NOQ15"/>
      <c r="NOR15"/>
      <c r="NOS15"/>
      <c r="NOT15"/>
      <c r="NOU15"/>
      <c r="NOV15"/>
      <c r="NOW15"/>
      <c r="NOX15"/>
      <c r="NOY15"/>
      <c r="NOZ15"/>
      <c r="NPA15"/>
      <c r="NPB15"/>
      <c r="NPC15"/>
      <c r="NPD15"/>
      <c r="NPE15"/>
      <c r="NPF15"/>
      <c r="NPG15"/>
      <c r="NPH15"/>
      <c r="NPI15"/>
      <c r="NPJ15"/>
      <c r="NPK15"/>
      <c r="NPL15"/>
      <c r="NPM15"/>
      <c r="NPN15"/>
      <c r="NPO15"/>
      <c r="NPP15"/>
      <c r="NPQ15"/>
      <c r="NPR15"/>
      <c r="NPS15"/>
      <c r="NPT15"/>
      <c r="NPU15"/>
      <c r="NPV15"/>
      <c r="NPW15"/>
      <c r="NPX15"/>
      <c r="NPY15"/>
      <c r="NPZ15"/>
      <c r="NQA15"/>
      <c r="NQB15"/>
      <c r="NQC15"/>
      <c r="NQD15"/>
      <c r="NQE15"/>
      <c r="NQF15"/>
      <c r="NQG15"/>
      <c r="NQH15"/>
      <c r="NQI15"/>
      <c r="NQJ15"/>
      <c r="NQK15"/>
      <c r="NQL15"/>
      <c r="NQM15"/>
      <c r="NQN15"/>
      <c r="NQO15"/>
      <c r="NQP15"/>
      <c r="NQQ15"/>
      <c r="NQR15"/>
      <c r="NQS15"/>
      <c r="NQT15"/>
      <c r="NQU15"/>
      <c r="NQV15"/>
      <c r="NQW15"/>
      <c r="NQX15"/>
      <c r="NQY15"/>
      <c r="NQZ15"/>
      <c r="NRA15"/>
      <c r="NRB15"/>
      <c r="NRC15"/>
      <c r="NRD15"/>
      <c r="NRE15"/>
      <c r="NRF15"/>
      <c r="NRG15"/>
      <c r="NRH15"/>
      <c r="NRI15"/>
      <c r="NRJ15"/>
      <c r="NRK15"/>
      <c r="NRL15"/>
      <c r="NRM15"/>
      <c r="NRN15"/>
      <c r="NRO15"/>
      <c r="NRP15"/>
      <c r="NRQ15"/>
      <c r="NRR15"/>
      <c r="NRS15"/>
      <c r="NRT15"/>
      <c r="NRU15"/>
      <c r="NRV15"/>
      <c r="NRW15"/>
      <c r="NRX15"/>
      <c r="NRY15"/>
      <c r="NRZ15"/>
      <c r="NSA15"/>
      <c r="NSB15"/>
      <c r="NSC15"/>
      <c r="NSD15"/>
      <c r="NSE15"/>
      <c r="NSF15"/>
      <c r="NSG15"/>
      <c r="NSH15"/>
      <c r="NSI15"/>
      <c r="NSJ15"/>
      <c r="NSK15"/>
      <c r="NSL15"/>
      <c r="NSM15"/>
      <c r="NSN15"/>
      <c r="NSO15"/>
      <c r="NSP15"/>
      <c r="NSQ15"/>
      <c r="NSR15"/>
      <c r="NSS15"/>
      <c r="NST15"/>
      <c r="NSU15"/>
      <c r="NSV15"/>
      <c r="NSW15"/>
      <c r="NSX15"/>
      <c r="NSY15"/>
      <c r="NSZ15"/>
      <c r="NTA15"/>
      <c r="NTB15"/>
      <c r="NTC15"/>
      <c r="NTD15"/>
      <c r="NTE15"/>
      <c r="NTF15"/>
      <c r="NTG15"/>
      <c r="NTH15"/>
      <c r="NTI15"/>
      <c r="NTJ15"/>
      <c r="NTK15"/>
      <c r="NTL15"/>
      <c r="NTM15"/>
      <c r="NTN15"/>
      <c r="NTO15"/>
      <c r="NTP15"/>
      <c r="NTQ15"/>
      <c r="NTR15"/>
      <c r="NTS15"/>
      <c r="NTT15"/>
      <c r="NTU15"/>
      <c r="NTV15"/>
      <c r="NTW15"/>
      <c r="NTX15"/>
      <c r="NTY15"/>
      <c r="NTZ15"/>
      <c r="NUA15"/>
      <c r="NUB15"/>
      <c r="NUC15"/>
      <c r="NUD15"/>
      <c r="NUE15"/>
      <c r="NUF15"/>
      <c r="NUG15"/>
      <c r="NUH15"/>
      <c r="NUI15"/>
      <c r="NUJ15"/>
      <c r="NUK15"/>
      <c r="NUL15"/>
      <c r="NUM15"/>
      <c r="NUN15"/>
      <c r="NUO15"/>
      <c r="NUP15"/>
      <c r="NUQ15"/>
      <c r="NUR15"/>
      <c r="NUS15"/>
      <c r="NUT15"/>
      <c r="NUU15"/>
      <c r="NUV15"/>
      <c r="NUW15"/>
      <c r="NUX15"/>
      <c r="NUY15"/>
      <c r="NUZ15"/>
      <c r="NVA15"/>
      <c r="NVB15"/>
      <c r="NVC15"/>
      <c r="NVD15"/>
      <c r="NVE15"/>
      <c r="NVF15"/>
      <c r="NVG15"/>
      <c r="NVH15"/>
      <c r="NVI15"/>
      <c r="NVJ15"/>
      <c r="NVK15"/>
      <c r="NVL15"/>
      <c r="NVM15"/>
      <c r="NVN15"/>
      <c r="NVO15"/>
      <c r="NVP15"/>
      <c r="NVQ15"/>
      <c r="NVR15"/>
      <c r="NVS15"/>
      <c r="NVT15"/>
      <c r="NVU15"/>
      <c r="NVV15"/>
      <c r="NVW15"/>
      <c r="NVX15"/>
      <c r="NVY15"/>
      <c r="NVZ15"/>
      <c r="NWA15"/>
      <c r="NWB15"/>
      <c r="NWC15"/>
      <c r="NWD15"/>
      <c r="NWE15"/>
      <c r="NWF15"/>
      <c r="NWG15"/>
      <c r="NWH15"/>
      <c r="NWI15"/>
      <c r="NWJ15"/>
      <c r="NWK15"/>
      <c r="NWL15"/>
      <c r="NWM15"/>
      <c r="NWN15"/>
      <c r="NWO15"/>
      <c r="NWP15"/>
      <c r="NWQ15"/>
      <c r="NWR15"/>
      <c r="NWS15"/>
      <c r="NWT15"/>
      <c r="NWU15"/>
      <c r="NWV15"/>
      <c r="NWW15"/>
      <c r="NWX15"/>
      <c r="NWY15"/>
      <c r="NWZ15"/>
      <c r="NXA15"/>
      <c r="NXB15"/>
      <c r="NXC15"/>
      <c r="NXD15"/>
      <c r="NXE15"/>
      <c r="NXF15"/>
      <c r="NXG15"/>
      <c r="NXH15"/>
      <c r="NXI15"/>
      <c r="NXJ15"/>
      <c r="NXK15"/>
      <c r="NXL15"/>
      <c r="NXM15"/>
      <c r="NXN15"/>
      <c r="NXO15"/>
      <c r="NXP15"/>
      <c r="NXQ15"/>
      <c r="NXR15"/>
      <c r="NXS15"/>
      <c r="NXT15"/>
      <c r="NXU15"/>
      <c r="NXV15"/>
      <c r="NXW15"/>
      <c r="NXX15"/>
      <c r="NXY15"/>
      <c r="NXZ15"/>
      <c r="NYA15"/>
      <c r="NYB15"/>
      <c r="NYC15"/>
      <c r="NYD15"/>
      <c r="NYE15"/>
      <c r="NYF15"/>
      <c r="NYG15"/>
      <c r="NYH15"/>
      <c r="NYI15"/>
      <c r="NYJ15"/>
      <c r="NYK15"/>
      <c r="NYL15"/>
      <c r="NYM15"/>
      <c r="NYN15"/>
      <c r="NYO15"/>
      <c r="NYP15"/>
      <c r="NYQ15"/>
      <c r="NYR15"/>
      <c r="NYS15"/>
      <c r="NYT15"/>
      <c r="NYU15"/>
      <c r="NYV15"/>
      <c r="NYW15"/>
      <c r="NYX15"/>
      <c r="NYY15"/>
      <c r="NYZ15"/>
      <c r="NZA15"/>
      <c r="NZB15"/>
      <c r="NZC15"/>
      <c r="NZD15"/>
      <c r="NZE15"/>
      <c r="NZF15"/>
      <c r="NZG15"/>
      <c r="NZH15"/>
      <c r="NZI15"/>
      <c r="NZJ15"/>
      <c r="NZK15"/>
      <c r="NZL15"/>
      <c r="NZM15"/>
      <c r="NZN15"/>
      <c r="NZO15"/>
      <c r="NZP15"/>
      <c r="NZQ15"/>
      <c r="NZR15"/>
      <c r="NZS15"/>
      <c r="NZT15"/>
      <c r="NZU15"/>
      <c r="NZV15"/>
      <c r="NZW15"/>
      <c r="NZX15"/>
      <c r="NZY15"/>
      <c r="NZZ15"/>
      <c r="OAA15"/>
      <c r="OAB15"/>
      <c r="OAC15"/>
      <c r="OAD15"/>
      <c r="OAE15"/>
      <c r="OAF15"/>
      <c r="OAG15"/>
      <c r="OAH15"/>
      <c r="OAI15"/>
      <c r="OAJ15"/>
      <c r="OAK15"/>
      <c r="OAL15"/>
      <c r="OAM15"/>
      <c r="OAN15"/>
      <c r="OAO15"/>
      <c r="OAP15"/>
      <c r="OAQ15"/>
      <c r="OAR15"/>
      <c r="OAS15"/>
      <c r="OAT15"/>
      <c r="OAU15"/>
      <c r="OAV15"/>
      <c r="OAW15"/>
      <c r="OAX15"/>
      <c r="OAY15"/>
      <c r="OAZ15"/>
      <c r="OBA15"/>
      <c r="OBB15"/>
      <c r="OBC15"/>
      <c r="OBD15"/>
      <c r="OBE15"/>
      <c r="OBF15"/>
      <c r="OBG15"/>
      <c r="OBH15"/>
      <c r="OBI15"/>
      <c r="OBJ15"/>
      <c r="OBK15"/>
      <c r="OBL15"/>
      <c r="OBM15"/>
      <c r="OBN15"/>
      <c r="OBO15"/>
      <c r="OBP15"/>
      <c r="OBQ15"/>
      <c r="OBR15"/>
      <c r="OBS15"/>
      <c r="OBT15"/>
      <c r="OBU15"/>
      <c r="OBV15"/>
      <c r="OBW15"/>
      <c r="OBX15"/>
      <c r="OBY15"/>
      <c r="OBZ15"/>
      <c r="OCA15"/>
      <c r="OCB15"/>
      <c r="OCC15"/>
      <c r="OCD15"/>
      <c r="OCE15"/>
      <c r="OCF15"/>
      <c r="OCG15"/>
      <c r="OCH15"/>
      <c r="OCI15"/>
      <c r="OCJ15"/>
      <c r="OCK15"/>
      <c r="OCL15"/>
      <c r="OCM15"/>
      <c r="OCN15"/>
      <c r="OCO15"/>
      <c r="OCP15"/>
      <c r="OCQ15"/>
      <c r="OCR15"/>
      <c r="OCS15"/>
      <c r="OCT15"/>
      <c r="OCU15"/>
      <c r="OCV15"/>
      <c r="OCW15"/>
      <c r="OCX15"/>
      <c r="OCY15"/>
      <c r="OCZ15"/>
      <c r="ODA15"/>
      <c r="ODB15"/>
      <c r="ODC15"/>
      <c r="ODD15"/>
      <c r="ODE15"/>
      <c r="ODF15"/>
      <c r="ODG15"/>
      <c r="ODH15"/>
      <c r="ODI15"/>
      <c r="ODJ15"/>
      <c r="ODK15"/>
      <c r="ODL15"/>
      <c r="ODM15"/>
      <c r="ODN15"/>
      <c r="ODO15"/>
      <c r="ODP15"/>
      <c r="ODQ15"/>
      <c r="ODR15"/>
      <c r="ODS15"/>
      <c r="ODT15"/>
      <c r="ODU15"/>
      <c r="ODV15"/>
      <c r="ODW15"/>
      <c r="ODX15"/>
      <c r="ODY15"/>
      <c r="ODZ15"/>
      <c r="OEA15"/>
      <c r="OEB15"/>
      <c r="OEC15"/>
      <c r="OED15"/>
      <c r="OEE15"/>
      <c r="OEF15"/>
      <c r="OEG15"/>
      <c r="OEH15"/>
      <c r="OEI15"/>
      <c r="OEJ15"/>
      <c r="OEK15"/>
      <c r="OEL15"/>
      <c r="OEM15"/>
      <c r="OEN15"/>
      <c r="OEO15"/>
      <c r="OEP15"/>
      <c r="OEQ15"/>
      <c r="OER15"/>
      <c r="OES15"/>
      <c r="OET15"/>
      <c r="OEU15"/>
      <c r="OEV15"/>
      <c r="OEW15"/>
      <c r="OEX15"/>
      <c r="OEY15"/>
      <c r="OEZ15"/>
      <c r="OFA15"/>
      <c r="OFB15"/>
      <c r="OFC15"/>
      <c r="OFD15"/>
      <c r="OFE15"/>
      <c r="OFF15"/>
      <c r="OFG15"/>
      <c r="OFH15"/>
      <c r="OFI15"/>
      <c r="OFJ15"/>
      <c r="OFK15"/>
      <c r="OFL15"/>
      <c r="OFM15"/>
      <c r="OFN15"/>
      <c r="OFO15"/>
      <c r="OFP15"/>
      <c r="OFQ15"/>
      <c r="OFR15"/>
      <c r="OFS15"/>
      <c r="OFT15"/>
      <c r="OFU15"/>
      <c r="OFV15"/>
      <c r="OFW15"/>
      <c r="OFX15"/>
      <c r="OFY15"/>
      <c r="OFZ15"/>
      <c r="OGA15"/>
      <c r="OGB15"/>
      <c r="OGC15"/>
      <c r="OGD15"/>
      <c r="OGE15"/>
      <c r="OGF15"/>
      <c r="OGG15"/>
      <c r="OGH15"/>
      <c r="OGI15"/>
      <c r="OGJ15"/>
      <c r="OGK15"/>
      <c r="OGL15"/>
      <c r="OGM15"/>
      <c r="OGN15"/>
      <c r="OGO15"/>
      <c r="OGP15"/>
      <c r="OGQ15"/>
      <c r="OGR15"/>
      <c r="OGS15"/>
      <c r="OGT15"/>
      <c r="OGU15"/>
      <c r="OGV15"/>
      <c r="OGW15"/>
      <c r="OGX15"/>
      <c r="OGY15"/>
      <c r="OGZ15"/>
      <c r="OHA15"/>
      <c r="OHB15"/>
      <c r="OHC15"/>
      <c r="OHD15"/>
      <c r="OHE15"/>
      <c r="OHF15"/>
      <c r="OHG15"/>
      <c r="OHH15"/>
      <c r="OHI15"/>
      <c r="OHJ15"/>
      <c r="OHK15"/>
      <c r="OHL15"/>
      <c r="OHM15"/>
      <c r="OHN15"/>
      <c r="OHO15"/>
      <c r="OHP15"/>
      <c r="OHQ15"/>
      <c r="OHR15"/>
      <c r="OHS15"/>
      <c r="OHT15"/>
      <c r="OHU15"/>
      <c r="OHV15"/>
      <c r="OHW15"/>
      <c r="OHX15"/>
      <c r="OHY15"/>
      <c r="OHZ15"/>
      <c r="OIA15"/>
      <c r="OIB15"/>
      <c r="OIC15"/>
      <c r="OID15"/>
      <c r="OIE15"/>
      <c r="OIF15"/>
      <c r="OIG15"/>
      <c r="OIH15"/>
      <c r="OII15"/>
      <c r="OIJ15"/>
      <c r="OIK15"/>
      <c r="OIL15"/>
      <c r="OIM15"/>
      <c r="OIN15"/>
      <c r="OIO15"/>
      <c r="OIP15"/>
      <c r="OIQ15"/>
      <c r="OIR15"/>
      <c r="OIS15"/>
      <c r="OIT15"/>
      <c r="OIU15"/>
      <c r="OIV15"/>
      <c r="OIW15"/>
      <c r="OIX15"/>
      <c r="OIY15"/>
      <c r="OIZ15"/>
      <c r="OJA15"/>
      <c r="OJB15"/>
      <c r="OJC15"/>
      <c r="OJD15"/>
      <c r="OJE15"/>
      <c r="OJF15"/>
      <c r="OJG15"/>
      <c r="OJH15"/>
      <c r="OJI15"/>
      <c r="OJJ15"/>
      <c r="OJK15"/>
      <c r="OJL15"/>
      <c r="OJM15"/>
      <c r="OJN15"/>
      <c r="OJO15"/>
      <c r="OJP15"/>
      <c r="OJQ15"/>
      <c r="OJR15"/>
      <c r="OJS15"/>
      <c r="OJT15"/>
      <c r="OJU15"/>
      <c r="OJV15"/>
      <c r="OJW15"/>
      <c r="OJX15"/>
      <c r="OJY15"/>
      <c r="OJZ15"/>
      <c r="OKA15"/>
      <c r="OKB15"/>
      <c r="OKC15"/>
      <c r="OKD15"/>
      <c r="OKE15"/>
      <c r="OKF15"/>
      <c r="OKG15"/>
      <c r="OKH15"/>
      <c r="OKI15"/>
      <c r="OKJ15"/>
      <c r="OKK15"/>
      <c r="OKL15"/>
      <c r="OKM15"/>
      <c r="OKN15"/>
      <c r="OKO15"/>
      <c r="OKP15"/>
      <c r="OKQ15"/>
      <c r="OKR15"/>
      <c r="OKS15"/>
      <c r="OKT15"/>
      <c r="OKU15"/>
      <c r="OKV15"/>
      <c r="OKW15"/>
      <c r="OKX15"/>
      <c r="OKY15"/>
      <c r="OKZ15"/>
      <c r="OLA15"/>
      <c r="OLB15"/>
      <c r="OLC15"/>
      <c r="OLD15"/>
      <c r="OLE15"/>
      <c r="OLF15"/>
      <c r="OLG15"/>
      <c r="OLH15"/>
      <c r="OLI15"/>
      <c r="OLJ15"/>
      <c r="OLK15"/>
      <c r="OLL15"/>
      <c r="OLM15"/>
      <c r="OLN15"/>
      <c r="OLO15"/>
      <c r="OLP15"/>
      <c r="OLQ15"/>
      <c r="OLR15"/>
      <c r="OLS15"/>
      <c r="OLT15"/>
      <c r="OLU15"/>
      <c r="OLV15"/>
      <c r="OLW15"/>
      <c r="OLX15"/>
      <c r="OLY15"/>
      <c r="OLZ15"/>
      <c r="OMA15"/>
      <c r="OMB15"/>
      <c r="OMC15"/>
      <c r="OMD15"/>
      <c r="OME15"/>
      <c r="OMF15"/>
      <c r="OMG15"/>
      <c r="OMH15"/>
      <c r="OMI15"/>
      <c r="OMJ15"/>
      <c r="OMK15"/>
      <c r="OML15"/>
      <c r="OMM15"/>
      <c r="OMN15"/>
      <c r="OMO15"/>
      <c r="OMP15"/>
      <c r="OMQ15"/>
      <c r="OMR15"/>
      <c r="OMS15"/>
      <c r="OMT15"/>
      <c r="OMU15"/>
      <c r="OMV15"/>
      <c r="OMW15"/>
      <c r="OMX15"/>
      <c r="OMY15"/>
      <c r="OMZ15"/>
      <c r="ONA15"/>
      <c r="ONB15"/>
      <c r="ONC15"/>
      <c r="OND15"/>
      <c r="ONE15"/>
      <c r="ONF15"/>
      <c r="ONG15"/>
      <c r="ONH15"/>
      <c r="ONI15"/>
      <c r="ONJ15"/>
      <c r="ONK15"/>
      <c r="ONL15"/>
      <c r="ONM15"/>
      <c r="ONN15"/>
      <c r="ONO15"/>
      <c r="ONP15"/>
      <c r="ONQ15"/>
      <c r="ONR15"/>
      <c r="ONS15"/>
      <c r="ONT15"/>
      <c r="ONU15"/>
      <c r="ONV15"/>
      <c r="ONW15"/>
      <c r="ONX15"/>
      <c r="ONY15"/>
      <c r="ONZ15"/>
      <c r="OOA15"/>
      <c r="OOB15"/>
      <c r="OOC15"/>
      <c r="OOD15"/>
      <c r="OOE15"/>
      <c r="OOF15"/>
      <c r="OOG15"/>
      <c r="OOH15"/>
      <c r="OOI15"/>
      <c r="OOJ15"/>
      <c r="OOK15"/>
      <c r="OOL15"/>
      <c r="OOM15"/>
      <c r="OON15"/>
      <c r="OOO15"/>
      <c r="OOP15"/>
      <c r="OOQ15"/>
      <c r="OOR15"/>
      <c r="OOS15"/>
      <c r="OOT15"/>
      <c r="OOU15"/>
      <c r="OOV15"/>
      <c r="OOW15"/>
      <c r="OOX15"/>
      <c r="OOY15"/>
      <c r="OOZ15"/>
      <c r="OPA15"/>
      <c r="OPB15"/>
      <c r="OPC15"/>
      <c r="OPD15"/>
      <c r="OPE15"/>
      <c r="OPF15"/>
      <c r="OPG15"/>
      <c r="OPH15"/>
      <c r="OPI15"/>
      <c r="OPJ15"/>
      <c r="OPK15"/>
      <c r="OPL15"/>
      <c r="OPM15"/>
      <c r="OPN15"/>
      <c r="OPO15"/>
      <c r="OPP15"/>
      <c r="OPQ15"/>
      <c r="OPR15"/>
      <c r="OPS15"/>
      <c r="OPT15"/>
      <c r="OPU15"/>
      <c r="OPV15"/>
      <c r="OPW15"/>
      <c r="OPX15"/>
      <c r="OPY15"/>
      <c r="OPZ15"/>
      <c r="OQA15"/>
      <c r="OQB15"/>
      <c r="OQC15"/>
      <c r="OQD15"/>
      <c r="OQE15"/>
      <c r="OQF15"/>
      <c r="OQG15"/>
      <c r="OQH15"/>
      <c r="OQI15"/>
      <c r="OQJ15"/>
      <c r="OQK15"/>
      <c r="OQL15"/>
      <c r="OQM15"/>
      <c r="OQN15"/>
      <c r="OQO15"/>
      <c r="OQP15"/>
      <c r="OQQ15"/>
      <c r="OQR15"/>
      <c r="OQS15"/>
      <c r="OQT15"/>
      <c r="OQU15"/>
      <c r="OQV15"/>
      <c r="OQW15"/>
      <c r="OQX15"/>
      <c r="OQY15"/>
      <c r="OQZ15"/>
      <c r="ORA15"/>
      <c r="ORB15"/>
      <c r="ORC15"/>
      <c r="ORD15"/>
      <c r="ORE15"/>
      <c r="ORF15"/>
      <c r="ORG15"/>
      <c r="ORH15"/>
      <c r="ORI15"/>
      <c r="ORJ15"/>
      <c r="ORK15"/>
      <c r="ORL15"/>
      <c r="ORM15"/>
      <c r="ORN15"/>
      <c r="ORO15"/>
      <c r="ORP15"/>
      <c r="ORQ15"/>
      <c r="ORR15"/>
      <c r="ORS15"/>
      <c r="ORT15"/>
      <c r="ORU15"/>
      <c r="ORV15"/>
      <c r="ORW15"/>
      <c r="ORX15"/>
      <c r="ORY15"/>
      <c r="ORZ15"/>
      <c r="OSA15"/>
      <c r="OSB15"/>
      <c r="OSC15"/>
      <c r="OSD15"/>
      <c r="OSE15"/>
      <c r="OSF15"/>
      <c r="OSG15"/>
      <c r="OSH15"/>
      <c r="OSI15"/>
      <c r="OSJ15"/>
      <c r="OSK15"/>
      <c r="OSL15"/>
      <c r="OSM15"/>
      <c r="OSN15"/>
      <c r="OSO15"/>
      <c r="OSP15"/>
      <c r="OSQ15"/>
      <c r="OSR15"/>
      <c r="OSS15"/>
      <c r="OST15"/>
      <c r="OSU15"/>
      <c r="OSV15"/>
      <c r="OSW15"/>
      <c r="OSX15"/>
      <c r="OSY15"/>
      <c r="OSZ15"/>
      <c r="OTA15"/>
      <c r="OTB15"/>
      <c r="OTC15"/>
      <c r="OTD15"/>
      <c r="OTE15"/>
      <c r="OTF15"/>
      <c r="OTG15"/>
      <c r="OTH15"/>
      <c r="OTI15"/>
      <c r="OTJ15"/>
      <c r="OTK15"/>
      <c r="OTL15"/>
      <c r="OTM15"/>
      <c r="OTN15"/>
      <c r="OTO15"/>
      <c r="OTP15"/>
      <c r="OTQ15"/>
      <c r="OTR15"/>
      <c r="OTS15"/>
      <c r="OTT15"/>
      <c r="OTU15"/>
      <c r="OTV15"/>
      <c r="OTW15"/>
      <c r="OTX15"/>
      <c r="OTY15"/>
      <c r="OTZ15"/>
      <c r="OUA15"/>
      <c r="OUB15"/>
      <c r="OUC15"/>
      <c r="OUD15"/>
      <c r="OUE15"/>
      <c r="OUF15"/>
      <c r="OUG15"/>
      <c r="OUH15"/>
      <c r="OUI15"/>
      <c r="OUJ15"/>
      <c r="OUK15"/>
      <c r="OUL15"/>
      <c r="OUM15"/>
      <c r="OUN15"/>
      <c r="OUO15"/>
      <c r="OUP15"/>
      <c r="OUQ15"/>
      <c r="OUR15"/>
      <c r="OUS15"/>
      <c r="OUT15"/>
      <c r="OUU15"/>
      <c r="OUV15"/>
      <c r="OUW15"/>
      <c r="OUX15"/>
      <c r="OUY15"/>
      <c r="OUZ15"/>
      <c r="OVA15"/>
      <c r="OVB15"/>
      <c r="OVC15"/>
      <c r="OVD15"/>
      <c r="OVE15"/>
      <c r="OVF15"/>
      <c r="OVG15"/>
      <c r="OVH15"/>
      <c r="OVI15"/>
      <c r="OVJ15"/>
      <c r="OVK15"/>
      <c r="OVL15"/>
      <c r="OVM15"/>
      <c r="OVN15"/>
      <c r="OVO15"/>
      <c r="OVP15"/>
      <c r="OVQ15"/>
      <c r="OVR15"/>
      <c r="OVS15"/>
      <c r="OVT15"/>
      <c r="OVU15"/>
      <c r="OVV15"/>
      <c r="OVW15"/>
      <c r="OVX15"/>
      <c r="OVY15"/>
      <c r="OVZ15"/>
      <c r="OWA15"/>
      <c r="OWB15"/>
      <c r="OWC15"/>
      <c r="OWD15"/>
      <c r="OWE15"/>
      <c r="OWF15"/>
      <c r="OWG15"/>
      <c r="OWH15"/>
      <c r="OWI15"/>
      <c r="OWJ15"/>
      <c r="OWK15"/>
      <c r="OWL15"/>
      <c r="OWM15"/>
      <c r="OWN15"/>
      <c r="OWO15"/>
      <c r="OWP15"/>
      <c r="OWQ15"/>
      <c r="OWR15"/>
      <c r="OWS15"/>
      <c r="OWT15"/>
      <c r="OWU15"/>
      <c r="OWV15"/>
      <c r="OWW15"/>
      <c r="OWX15"/>
      <c r="OWY15"/>
      <c r="OWZ15"/>
      <c r="OXA15"/>
      <c r="OXB15"/>
      <c r="OXC15"/>
      <c r="OXD15"/>
      <c r="OXE15"/>
      <c r="OXF15"/>
      <c r="OXG15"/>
      <c r="OXH15"/>
      <c r="OXI15"/>
      <c r="OXJ15"/>
      <c r="OXK15"/>
      <c r="OXL15"/>
      <c r="OXM15"/>
      <c r="OXN15"/>
      <c r="OXO15"/>
      <c r="OXP15"/>
      <c r="OXQ15"/>
      <c r="OXR15"/>
      <c r="OXS15"/>
      <c r="OXT15"/>
      <c r="OXU15"/>
      <c r="OXV15"/>
      <c r="OXW15"/>
      <c r="OXX15"/>
      <c r="OXY15"/>
      <c r="OXZ15"/>
      <c r="OYA15"/>
      <c r="OYB15"/>
      <c r="OYC15"/>
      <c r="OYD15"/>
      <c r="OYE15"/>
      <c r="OYF15"/>
      <c r="OYG15"/>
      <c r="OYH15"/>
      <c r="OYI15"/>
      <c r="OYJ15"/>
      <c r="OYK15"/>
      <c r="OYL15"/>
      <c r="OYM15"/>
      <c r="OYN15"/>
      <c r="OYO15"/>
      <c r="OYP15"/>
      <c r="OYQ15"/>
      <c r="OYR15"/>
      <c r="OYS15"/>
      <c r="OYT15"/>
      <c r="OYU15"/>
      <c r="OYV15"/>
      <c r="OYW15"/>
      <c r="OYX15"/>
      <c r="OYY15"/>
      <c r="OYZ15"/>
      <c r="OZA15"/>
      <c r="OZB15"/>
      <c r="OZC15"/>
      <c r="OZD15"/>
      <c r="OZE15"/>
      <c r="OZF15"/>
      <c r="OZG15"/>
      <c r="OZH15"/>
      <c r="OZI15"/>
      <c r="OZJ15"/>
      <c r="OZK15"/>
      <c r="OZL15"/>
      <c r="OZM15"/>
      <c r="OZN15"/>
      <c r="OZO15"/>
      <c r="OZP15"/>
      <c r="OZQ15"/>
      <c r="OZR15"/>
      <c r="OZS15"/>
      <c r="OZT15"/>
      <c r="OZU15"/>
      <c r="OZV15"/>
      <c r="OZW15"/>
      <c r="OZX15"/>
      <c r="OZY15"/>
      <c r="OZZ15"/>
      <c r="PAA15"/>
      <c r="PAB15"/>
      <c r="PAC15"/>
      <c r="PAD15"/>
      <c r="PAE15"/>
      <c r="PAF15"/>
      <c r="PAG15"/>
      <c r="PAH15"/>
      <c r="PAI15"/>
      <c r="PAJ15"/>
      <c r="PAK15"/>
      <c r="PAL15"/>
      <c r="PAM15"/>
      <c r="PAN15"/>
      <c r="PAO15"/>
      <c r="PAP15"/>
      <c r="PAQ15"/>
      <c r="PAR15"/>
      <c r="PAS15"/>
      <c r="PAT15"/>
      <c r="PAU15"/>
      <c r="PAV15"/>
      <c r="PAW15"/>
      <c r="PAX15"/>
      <c r="PAY15"/>
      <c r="PAZ15"/>
      <c r="PBA15"/>
      <c r="PBB15"/>
      <c r="PBC15"/>
      <c r="PBD15"/>
      <c r="PBE15"/>
      <c r="PBF15"/>
      <c r="PBG15"/>
      <c r="PBH15"/>
      <c r="PBI15"/>
      <c r="PBJ15"/>
      <c r="PBK15"/>
      <c r="PBL15"/>
      <c r="PBM15"/>
      <c r="PBN15"/>
      <c r="PBO15"/>
      <c r="PBP15"/>
      <c r="PBQ15"/>
      <c r="PBR15"/>
      <c r="PBS15"/>
      <c r="PBT15"/>
      <c r="PBU15"/>
      <c r="PBV15"/>
      <c r="PBW15"/>
      <c r="PBX15"/>
      <c r="PBY15"/>
      <c r="PBZ15"/>
      <c r="PCA15"/>
      <c r="PCB15"/>
      <c r="PCC15"/>
      <c r="PCD15"/>
      <c r="PCE15"/>
      <c r="PCF15"/>
      <c r="PCG15"/>
      <c r="PCH15"/>
      <c r="PCI15"/>
      <c r="PCJ15"/>
      <c r="PCK15"/>
      <c r="PCL15"/>
      <c r="PCM15"/>
      <c r="PCN15"/>
      <c r="PCO15"/>
      <c r="PCP15"/>
      <c r="PCQ15"/>
      <c r="PCR15"/>
      <c r="PCS15"/>
      <c r="PCT15"/>
      <c r="PCU15"/>
      <c r="PCV15"/>
      <c r="PCW15"/>
      <c r="PCX15"/>
      <c r="PCY15"/>
      <c r="PCZ15"/>
      <c r="PDA15"/>
      <c r="PDB15"/>
      <c r="PDC15"/>
      <c r="PDD15"/>
      <c r="PDE15"/>
      <c r="PDF15"/>
      <c r="PDG15"/>
      <c r="PDH15"/>
      <c r="PDI15"/>
      <c r="PDJ15"/>
      <c r="PDK15"/>
      <c r="PDL15"/>
      <c r="PDM15"/>
      <c r="PDN15"/>
      <c r="PDO15"/>
      <c r="PDP15"/>
      <c r="PDQ15"/>
      <c r="PDR15"/>
      <c r="PDS15"/>
      <c r="PDT15"/>
      <c r="PDU15"/>
      <c r="PDV15"/>
      <c r="PDW15"/>
      <c r="PDX15"/>
      <c r="PDY15"/>
      <c r="PDZ15"/>
      <c r="PEA15"/>
      <c r="PEB15"/>
      <c r="PEC15"/>
      <c r="PED15"/>
      <c r="PEE15"/>
      <c r="PEF15"/>
      <c r="PEG15"/>
      <c r="PEH15"/>
      <c r="PEI15"/>
      <c r="PEJ15"/>
      <c r="PEK15"/>
      <c r="PEL15"/>
      <c r="PEM15"/>
      <c r="PEN15"/>
      <c r="PEO15"/>
      <c r="PEP15"/>
      <c r="PEQ15"/>
      <c r="PER15"/>
      <c r="PES15"/>
      <c r="PET15"/>
      <c r="PEU15"/>
      <c r="PEV15"/>
      <c r="PEW15"/>
      <c r="PEX15"/>
      <c r="PEY15"/>
      <c r="PEZ15"/>
      <c r="PFA15"/>
      <c r="PFB15"/>
      <c r="PFC15"/>
      <c r="PFD15"/>
      <c r="PFE15"/>
      <c r="PFF15"/>
      <c r="PFG15"/>
      <c r="PFH15"/>
      <c r="PFI15"/>
      <c r="PFJ15"/>
      <c r="PFK15"/>
      <c r="PFL15"/>
      <c r="PFM15"/>
      <c r="PFN15"/>
      <c r="PFO15"/>
      <c r="PFP15"/>
      <c r="PFQ15"/>
      <c r="PFR15"/>
      <c r="PFS15"/>
      <c r="PFT15"/>
      <c r="PFU15"/>
      <c r="PFV15"/>
      <c r="PFW15"/>
      <c r="PFX15"/>
      <c r="PFY15"/>
      <c r="PFZ15"/>
      <c r="PGA15"/>
      <c r="PGB15"/>
      <c r="PGC15"/>
      <c r="PGD15"/>
      <c r="PGE15"/>
      <c r="PGF15"/>
      <c r="PGG15"/>
      <c r="PGH15"/>
      <c r="PGI15"/>
      <c r="PGJ15"/>
      <c r="PGK15"/>
      <c r="PGL15"/>
      <c r="PGM15"/>
      <c r="PGN15"/>
      <c r="PGO15"/>
      <c r="PGP15"/>
      <c r="PGQ15"/>
      <c r="PGR15"/>
      <c r="PGS15"/>
      <c r="PGT15"/>
      <c r="PGU15"/>
      <c r="PGV15"/>
      <c r="PGW15"/>
      <c r="PGX15"/>
      <c r="PGY15"/>
      <c r="PGZ15"/>
      <c r="PHA15"/>
      <c r="PHB15"/>
      <c r="PHC15"/>
      <c r="PHD15"/>
      <c r="PHE15"/>
      <c r="PHF15"/>
      <c r="PHG15"/>
      <c r="PHH15"/>
      <c r="PHI15"/>
      <c r="PHJ15"/>
      <c r="PHK15"/>
      <c r="PHL15"/>
      <c r="PHM15"/>
      <c r="PHN15"/>
      <c r="PHO15"/>
      <c r="PHP15"/>
      <c r="PHQ15"/>
      <c r="PHR15"/>
      <c r="PHS15"/>
      <c r="PHT15"/>
      <c r="PHU15"/>
      <c r="PHV15"/>
      <c r="PHW15"/>
      <c r="PHX15"/>
      <c r="PHY15"/>
      <c r="PHZ15"/>
      <c r="PIA15"/>
      <c r="PIB15"/>
      <c r="PIC15"/>
      <c r="PID15"/>
      <c r="PIE15"/>
      <c r="PIF15"/>
      <c r="PIG15"/>
      <c r="PIH15"/>
      <c r="PII15"/>
      <c r="PIJ15"/>
      <c r="PIK15"/>
      <c r="PIL15"/>
      <c r="PIM15"/>
      <c r="PIN15"/>
      <c r="PIO15"/>
      <c r="PIP15"/>
      <c r="PIQ15"/>
      <c r="PIR15"/>
      <c r="PIS15"/>
      <c r="PIT15"/>
      <c r="PIU15"/>
      <c r="PIV15"/>
      <c r="PIW15"/>
      <c r="PIX15"/>
      <c r="PIY15"/>
      <c r="PIZ15"/>
      <c r="PJA15"/>
      <c r="PJB15"/>
      <c r="PJC15"/>
      <c r="PJD15"/>
      <c r="PJE15"/>
      <c r="PJF15"/>
      <c r="PJG15"/>
      <c r="PJH15"/>
      <c r="PJI15"/>
      <c r="PJJ15"/>
      <c r="PJK15"/>
      <c r="PJL15"/>
      <c r="PJM15"/>
      <c r="PJN15"/>
      <c r="PJO15"/>
      <c r="PJP15"/>
      <c r="PJQ15"/>
      <c r="PJR15"/>
      <c r="PJS15"/>
      <c r="PJT15"/>
      <c r="PJU15"/>
      <c r="PJV15"/>
      <c r="PJW15"/>
      <c r="PJX15"/>
      <c r="PJY15"/>
      <c r="PJZ15"/>
      <c r="PKA15"/>
      <c r="PKB15"/>
      <c r="PKC15"/>
      <c r="PKD15"/>
      <c r="PKE15"/>
      <c r="PKF15"/>
      <c r="PKG15"/>
      <c r="PKH15"/>
      <c r="PKI15"/>
      <c r="PKJ15"/>
      <c r="PKK15"/>
      <c r="PKL15"/>
      <c r="PKM15"/>
      <c r="PKN15"/>
      <c r="PKO15"/>
      <c r="PKP15"/>
      <c r="PKQ15"/>
      <c r="PKR15"/>
      <c r="PKS15"/>
      <c r="PKT15"/>
      <c r="PKU15"/>
      <c r="PKV15"/>
      <c r="PKW15"/>
      <c r="PKX15"/>
      <c r="PKY15"/>
      <c r="PKZ15"/>
      <c r="PLA15"/>
      <c r="PLB15"/>
      <c r="PLC15"/>
      <c r="PLD15"/>
      <c r="PLE15"/>
      <c r="PLF15"/>
      <c r="PLG15"/>
      <c r="PLH15"/>
      <c r="PLI15"/>
      <c r="PLJ15"/>
      <c r="PLK15"/>
      <c r="PLL15"/>
      <c r="PLM15"/>
      <c r="PLN15"/>
      <c r="PLO15"/>
      <c r="PLP15"/>
      <c r="PLQ15"/>
      <c r="PLR15"/>
      <c r="PLS15"/>
      <c r="PLT15"/>
      <c r="PLU15"/>
      <c r="PLV15"/>
      <c r="PLW15"/>
      <c r="PLX15"/>
      <c r="PLY15"/>
      <c r="PLZ15"/>
      <c r="PMA15"/>
      <c r="PMB15"/>
      <c r="PMC15"/>
      <c r="PMD15"/>
      <c r="PME15"/>
      <c r="PMF15"/>
      <c r="PMG15"/>
      <c r="PMH15"/>
      <c r="PMI15"/>
      <c r="PMJ15"/>
      <c r="PMK15"/>
      <c r="PML15"/>
      <c r="PMM15"/>
      <c r="PMN15"/>
      <c r="PMO15"/>
      <c r="PMP15"/>
      <c r="PMQ15"/>
      <c r="PMR15"/>
      <c r="PMS15"/>
      <c r="PMT15"/>
      <c r="PMU15"/>
      <c r="PMV15"/>
      <c r="PMW15"/>
      <c r="PMX15"/>
      <c r="PMY15"/>
      <c r="PMZ15"/>
      <c r="PNA15"/>
      <c r="PNB15"/>
      <c r="PNC15"/>
      <c r="PND15"/>
      <c r="PNE15"/>
      <c r="PNF15"/>
      <c r="PNG15"/>
      <c r="PNH15"/>
      <c r="PNI15"/>
      <c r="PNJ15"/>
      <c r="PNK15"/>
      <c r="PNL15"/>
      <c r="PNM15"/>
      <c r="PNN15"/>
      <c r="PNO15"/>
      <c r="PNP15"/>
      <c r="PNQ15"/>
      <c r="PNR15"/>
      <c r="PNS15"/>
      <c r="PNT15"/>
      <c r="PNU15"/>
      <c r="PNV15"/>
      <c r="PNW15"/>
      <c r="PNX15"/>
      <c r="PNY15"/>
      <c r="PNZ15"/>
      <c r="POA15"/>
      <c r="POB15"/>
      <c r="POC15"/>
      <c r="POD15"/>
      <c r="POE15"/>
      <c r="POF15"/>
      <c r="POG15"/>
      <c r="POH15"/>
      <c r="POI15"/>
      <c r="POJ15"/>
      <c r="POK15"/>
      <c r="POL15"/>
      <c r="POM15"/>
      <c r="PON15"/>
      <c r="POO15"/>
      <c r="POP15"/>
      <c r="POQ15"/>
      <c r="POR15"/>
      <c r="POS15"/>
      <c r="POT15"/>
      <c r="POU15"/>
      <c r="POV15"/>
      <c r="POW15"/>
      <c r="POX15"/>
      <c r="POY15"/>
      <c r="POZ15"/>
      <c r="PPA15"/>
      <c r="PPB15"/>
      <c r="PPC15"/>
      <c r="PPD15"/>
      <c r="PPE15"/>
      <c r="PPF15"/>
      <c r="PPG15"/>
      <c r="PPH15"/>
      <c r="PPI15"/>
      <c r="PPJ15"/>
      <c r="PPK15"/>
      <c r="PPL15"/>
      <c r="PPM15"/>
      <c r="PPN15"/>
      <c r="PPO15"/>
      <c r="PPP15"/>
      <c r="PPQ15"/>
      <c r="PPR15"/>
      <c r="PPS15"/>
      <c r="PPT15"/>
      <c r="PPU15"/>
      <c r="PPV15"/>
      <c r="PPW15"/>
      <c r="PPX15"/>
      <c r="PPY15"/>
      <c r="PPZ15"/>
      <c r="PQA15"/>
      <c r="PQB15"/>
      <c r="PQC15"/>
      <c r="PQD15"/>
      <c r="PQE15"/>
      <c r="PQF15"/>
      <c r="PQG15"/>
      <c r="PQH15"/>
      <c r="PQI15"/>
      <c r="PQJ15"/>
      <c r="PQK15"/>
      <c r="PQL15"/>
      <c r="PQM15"/>
      <c r="PQN15"/>
      <c r="PQO15"/>
      <c r="PQP15"/>
      <c r="PQQ15"/>
      <c r="PQR15"/>
      <c r="PQS15"/>
      <c r="PQT15"/>
      <c r="PQU15"/>
      <c r="PQV15"/>
      <c r="PQW15"/>
      <c r="PQX15"/>
      <c r="PQY15"/>
      <c r="PQZ15"/>
      <c r="PRA15"/>
      <c r="PRB15"/>
      <c r="PRC15"/>
      <c r="PRD15"/>
      <c r="PRE15"/>
      <c r="PRF15"/>
      <c r="PRG15"/>
      <c r="PRH15"/>
      <c r="PRI15"/>
      <c r="PRJ15"/>
      <c r="PRK15"/>
      <c r="PRL15"/>
      <c r="PRM15"/>
      <c r="PRN15"/>
      <c r="PRO15"/>
      <c r="PRP15"/>
      <c r="PRQ15"/>
      <c r="PRR15"/>
      <c r="PRS15"/>
      <c r="PRT15"/>
      <c r="PRU15"/>
      <c r="PRV15"/>
      <c r="PRW15"/>
      <c r="PRX15"/>
      <c r="PRY15"/>
      <c r="PRZ15"/>
      <c r="PSA15"/>
      <c r="PSB15"/>
      <c r="PSC15"/>
      <c r="PSD15"/>
      <c r="PSE15"/>
      <c r="PSF15"/>
      <c r="PSG15"/>
      <c r="PSH15"/>
      <c r="PSI15"/>
      <c r="PSJ15"/>
      <c r="PSK15"/>
      <c r="PSL15"/>
      <c r="PSM15"/>
      <c r="PSN15"/>
      <c r="PSO15"/>
      <c r="PSP15"/>
      <c r="PSQ15"/>
      <c r="PSR15"/>
      <c r="PSS15"/>
      <c r="PST15"/>
      <c r="PSU15"/>
      <c r="PSV15"/>
      <c r="PSW15"/>
      <c r="PSX15"/>
      <c r="PSY15"/>
      <c r="PSZ15"/>
      <c r="PTA15"/>
      <c r="PTB15"/>
      <c r="PTC15"/>
      <c r="PTD15"/>
      <c r="PTE15"/>
      <c r="PTF15"/>
      <c r="PTG15"/>
      <c r="PTH15"/>
      <c r="PTI15"/>
      <c r="PTJ15"/>
      <c r="PTK15"/>
      <c r="PTL15"/>
      <c r="PTM15"/>
      <c r="PTN15"/>
      <c r="PTO15"/>
      <c r="PTP15"/>
      <c r="PTQ15"/>
      <c r="PTR15"/>
      <c r="PTS15"/>
      <c r="PTT15"/>
      <c r="PTU15"/>
      <c r="PTV15"/>
      <c r="PTW15"/>
      <c r="PTX15"/>
      <c r="PTY15"/>
      <c r="PTZ15"/>
      <c r="PUA15"/>
      <c r="PUB15"/>
      <c r="PUC15"/>
      <c r="PUD15"/>
      <c r="PUE15"/>
      <c r="PUF15"/>
      <c r="PUG15"/>
      <c r="PUH15"/>
      <c r="PUI15"/>
      <c r="PUJ15"/>
      <c r="PUK15"/>
      <c r="PUL15"/>
      <c r="PUM15"/>
      <c r="PUN15"/>
      <c r="PUO15"/>
      <c r="PUP15"/>
      <c r="PUQ15"/>
      <c r="PUR15"/>
      <c r="PUS15"/>
      <c r="PUT15"/>
      <c r="PUU15"/>
      <c r="PUV15"/>
      <c r="PUW15"/>
      <c r="PUX15"/>
      <c r="PUY15"/>
      <c r="PUZ15"/>
      <c r="PVA15"/>
      <c r="PVB15"/>
      <c r="PVC15"/>
      <c r="PVD15"/>
      <c r="PVE15"/>
      <c r="PVF15"/>
      <c r="PVG15"/>
      <c r="PVH15"/>
      <c r="PVI15"/>
      <c r="PVJ15"/>
      <c r="PVK15"/>
      <c r="PVL15"/>
      <c r="PVM15"/>
      <c r="PVN15"/>
      <c r="PVO15"/>
      <c r="PVP15"/>
      <c r="PVQ15"/>
      <c r="PVR15"/>
      <c r="PVS15"/>
      <c r="PVT15"/>
      <c r="PVU15"/>
      <c r="PVV15"/>
      <c r="PVW15"/>
      <c r="PVX15"/>
      <c r="PVY15"/>
      <c r="PVZ15"/>
      <c r="PWA15"/>
      <c r="PWB15"/>
      <c r="PWC15"/>
      <c r="PWD15"/>
      <c r="PWE15"/>
      <c r="PWF15"/>
      <c r="PWG15"/>
      <c r="PWH15"/>
      <c r="PWI15"/>
      <c r="PWJ15"/>
      <c r="PWK15"/>
      <c r="PWL15"/>
      <c r="PWM15"/>
      <c r="PWN15"/>
      <c r="PWO15"/>
      <c r="PWP15"/>
      <c r="PWQ15"/>
      <c r="PWR15"/>
      <c r="PWS15"/>
      <c r="PWT15"/>
      <c r="PWU15"/>
      <c r="PWV15"/>
      <c r="PWW15"/>
      <c r="PWX15"/>
      <c r="PWY15"/>
      <c r="PWZ15"/>
      <c r="PXA15"/>
      <c r="PXB15"/>
      <c r="PXC15"/>
      <c r="PXD15"/>
      <c r="PXE15"/>
      <c r="PXF15"/>
      <c r="PXG15"/>
      <c r="PXH15"/>
      <c r="PXI15"/>
      <c r="PXJ15"/>
      <c r="PXK15"/>
      <c r="PXL15"/>
      <c r="PXM15"/>
      <c r="PXN15"/>
      <c r="PXO15"/>
      <c r="PXP15"/>
      <c r="PXQ15"/>
      <c r="PXR15"/>
      <c r="PXS15"/>
      <c r="PXT15"/>
      <c r="PXU15"/>
      <c r="PXV15"/>
      <c r="PXW15"/>
      <c r="PXX15"/>
      <c r="PXY15"/>
      <c r="PXZ15"/>
      <c r="PYA15"/>
      <c r="PYB15"/>
      <c r="PYC15"/>
      <c r="PYD15"/>
      <c r="PYE15"/>
      <c r="PYF15"/>
      <c r="PYG15"/>
      <c r="PYH15"/>
      <c r="PYI15"/>
      <c r="PYJ15"/>
      <c r="PYK15"/>
      <c r="PYL15"/>
      <c r="PYM15"/>
      <c r="PYN15"/>
      <c r="PYO15"/>
      <c r="PYP15"/>
      <c r="PYQ15"/>
      <c r="PYR15"/>
      <c r="PYS15"/>
      <c r="PYT15"/>
      <c r="PYU15"/>
      <c r="PYV15"/>
      <c r="PYW15"/>
      <c r="PYX15"/>
      <c r="PYY15"/>
      <c r="PYZ15"/>
      <c r="PZA15"/>
      <c r="PZB15"/>
      <c r="PZC15"/>
      <c r="PZD15"/>
      <c r="PZE15"/>
      <c r="PZF15"/>
      <c r="PZG15"/>
      <c r="PZH15"/>
      <c r="PZI15"/>
      <c r="PZJ15"/>
      <c r="PZK15"/>
      <c r="PZL15"/>
      <c r="PZM15"/>
      <c r="PZN15"/>
      <c r="PZO15"/>
      <c r="PZP15"/>
      <c r="PZQ15"/>
      <c r="PZR15"/>
      <c r="PZS15"/>
      <c r="PZT15"/>
      <c r="PZU15"/>
      <c r="PZV15"/>
      <c r="PZW15"/>
      <c r="PZX15"/>
      <c r="PZY15"/>
      <c r="PZZ15"/>
      <c r="QAA15"/>
      <c r="QAB15"/>
      <c r="QAC15"/>
      <c r="QAD15"/>
      <c r="QAE15"/>
      <c r="QAF15"/>
      <c r="QAG15"/>
      <c r="QAH15"/>
      <c r="QAI15"/>
      <c r="QAJ15"/>
      <c r="QAK15"/>
      <c r="QAL15"/>
      <c r="QAM15"/>
      <c r="QAN15"/>
      <c r="QAO15"/>
      <c r="QAP15"/>
      <c r="QAQ15"/>
      <c r="QAR15"/>
      <c r="QAS15"/>
      <c r="QAT15"/>
      <c r="QAU15"/>
      <c r="QAV15"/>
      <c r="QAW15"/>
      <c r="QAX15"/>
      <c r="QAY15"/>
      <c r="QAZ15"/>
      <c r="QBA15"/>
      <c r="QBB15"/>
      <c r="QBC15"/>
      <c r="QBD15"/>
      <c r="QBE15"/>
      <c r="QBF15"/>
      <c r="QBG15"/>
      <c r="QBH15"/>
      <c r="QBI15"/>
      <c r="QBJ15"/>
      <c r="QBK15"/>
      <c r="QBL15"/>
      <c r="QBM15"/>
      <c r="QBN15"/>
      <c r="QBO15"/>
      <c r="QBP15"/>
      <c r="QBQ15"/>
      <c r="QBR15"/>
      <c r="QBS15"/>
      <c r="QBT15"/>
      <c r="QBU15"/>
      <c r="QBV15"/>
      <c r="QBW15"/>
      <c r="QBX15"/>
      <c r="QBY15"/>
      <c r="QBZ15"/>
      <c r="QCA15"/>
      <c r="QCB15"/>
      <c r="QCC15"/>
      <c r="QCD15"/>
      <c r="QCE15"/>
      <c r="QCF15"/>
      <c r="QCG15"/>
      <c r="QCH15"/>
      <c r="QCI15"/>
      <c r="QCJ15"/>
      <c r="QCK15"/>
      <c r="QCL15"/>
      <c r="QCM15"/>
      <c r="QCN15"/>
      <c r="QCO15"/>
      <c r="QCP15"/>
      <c r="QCQ15"/>
      <c r="QCR15"/>
      <c r="QCS15"/>
      <c r="QCT15"/>
      <c r="QCU15"/>
      <c r="QCV15"/>
      <c r="QCW15"/>
      <c r="QCX15"/>
      <c r="QCY15"/>
      <c r="QCZ15"/>
      <c r="QDA15"/>
      <c r="QDB15"/>
      <c r="QDC15"/>
      <c r="QDD15"/>
      <c r="QDE15"/>
      <c r="QDF15"/>
      <c r="QDG15"/>
      <c r="QDH15"/>
      <c r="QDI15"/>
      <c r="QDJ15"/>
      <c r="QDK15"/>
      <c r="QDL15"/>
      <c r="QDM15"/>
      <c r="QDN15"/>
      <c r="QDO15"/>
      <c r="QDP15"/>
      <c r="QDQ15"/>
      <c r="QDR15"/>
      <c r="QDS15"/>
      <c r="QDT15"/>
      <c r="QDU15"/>
      <c r="QDV15"/>
      <c r="QDW15"/>
      <c r="QDX15"/>
      <c r="QDY15"/>
      <c r="QDZ15"/>
      <c r="QEA15"/>
      <c r="QEB15"/>
      <c r="QEC15"/>
      <c r="QED15"/>
      <c r="QEE15"/>
      <c r="QEF15"/>
      <c r="QEG15"/>
      <c r="QEH15"/>
      <c r="QEI15"/>
      <c r="QEJ15"/>
      <c r="QEK15"/>
      <c r="QEL15"/>
      <c r="QEM15"/>
      <c r="QEN15"/>
      <c r="QEO15"/>
      <c r="QEP15"/>
      <c r="QEQ15"/>
      <c r="QER15"/>
      <c r="QES15"/>
      <c r="QET15"/>
      <c r="QEU15"/>
      <c r="QEV15"/>
      <c r="QEW15"/>
      <c r="QEX15"/>
      <c r="QEY15"/>
      <c r="QEZ15"/>
      <c r="QFA15"/>
      <c r="QFB15"/>
      <c r="QFC15"/>
      <c r="QFD15"/>
      <c r="QFE15"/>
      <c r="QFF15"/>
      <c r="QFG15"/>
      <c r="QFH15"/>
      <c r="QFI15"/>
      <c r="QFJ15"/>
      <c r="QFK15"/>
      <c r="QFL15"/>
      <c r="QFM15"/>
      <c r="QFN15"/>
      <c r="QFO15"/>
      <c r="QFP15"/>
      <c r="QFQ15"/>
      <c r="QFR15"/>
      <c r="QFS15"/>
      <c r="QFT15"/>
      <c r="QFU15"/>
      <c r="QFV15"/>
      <c r="QFW15"/>
      <c r="QFX15"/>
      <c r="QFY15"/>
      <c r="QFZ15"/>
      <c r="QGA15"/>
      <c r="QGB15"/>
      <c r="QGC15"/>
      <c r="QGD15"/>
      <c r="QGE15"/>
      <c r="QGF15"/>
      <c r="QGG15"/>
      <c r="QGH15"/>
      <c r="QGI15"/>
      <c r="QGJ15"/>
      <c r="QGK15"/>
      <c r="QGL15"/>
      <c r="QGM15"/>
      <c r="QGN15"/>
      <c r="QGO15"/>
      <c r="QGP15"/>
      <c r="QGQ15"/>
      <c r="QGR15"/>
      <c r="QGS15"/>
      <c r="QGT15"/>
      <c r="QGU15"/>
      <c r="QGV15"/>
      <c r="QGW15"/>
      <c r="QGX15"/>
      <c r="QGY15"/>
      <c r="QGZ15"/>
      <c r="QHA15"/>
      <c r="QHB15"/>
      <c r="QHC15"/>
      <c r="QHD15"/>
      <c r="QHE15"/>
      <c r="QHF15"/>
      <c r="QHG15"/>
      <c r="QHH15"/>
      <c r="QHI15"/>
      <c r="QHJ15"/>
      <c r="QHK15"/>
      <c r="QHL15"/>
      <c r="QHM15"/>
      <c r="QHN15"/>
      <c r="QHO15"/>
      <c r="QHP15"/>
      <c r="QHQ15"/>
      <c r="QHR15"/>
      <c r="QHS15"/>
      <c r="QHT15"/>
      <c r="QHU15"/>
      <c r="QHV15"/>
      <c r="QHW15"/>
      <c r="QHX15"/>
      <c r="QHY15"/>
      <c r="QHZ15"/>
      <c r="QIA15"/>
      <c r="QIB15"/>
      <c r="QIC15"/>
      <c r="QID15"/>
      <c r="QIE15"/>
      <c r="QIF15"/>
      <c r="QIG15"/>
      <c r="QIH15"/>
      <c r="QII15"/>
      <c r="QIJ15"/>
      <c r="QIK15"/>
      <c r="QIL15"/>
      <c r="QIM15"/>
      <c r="QIN15"/>
      <c r="QIO15"/>
      <c r="QIP15"/>
      <c r="QIQ15"/>
      <c r="QIR15"/>
      <c r="QIS15"/>
      <c r="QIT15"/>
      <c r="QIU15"/>
      <c r="QIV15"/>
      <c r="QIW15"/>
      <c r="QIX15"/>
      <c r="QIY15"/>
      <c r="QIZ15"/>
      <c r="QJA15"/>
      <c r="QJB15"/>
      <c r="QJC15"/>
      <c r="QJD15"/>
      <c r="QJE15"/>
      <c r="QJF15"/>
      <c r="QJG15"/>
      <c r="QJH15"/>
      <c r="QJI15"/>
      <c r="QJJ15"/>
      <c r="QJK15"/>
      <c r="QJL15"/>
      <c r="QJM15"/>
      <c r="QJN15"/>
      <c r="QJO15"/>
      <c r="QJP15"/>
      <c r="QJQ15"/>
      <c r="QJR15"/>
      <c r="QJS15"/>
      <c r="QJT15"/>
      <c r="QJU15"/>
      <c r="QJV15"/>
      <c r="QJW15"/>
      <c r="QJX15"/>
      <c r="QJY15"/>
      <c r="QJZ15"/>
      <c r="QKA15"/>
      <c r="QKB15"/>
      <c r="QKC15"/>
      <c r="QKD15"/>
      <c r="QKE15"/>
      <c r="QKF15"/>
      <c r="QKG15"/>
      <c r="QKH15"/>
      <c r="QKI15"/>
      <c r="QKJ15"/>
      <c r="QKK15"/>
      <c r="QKL15"/>
      <c r="QKM15"/>
      <c r="QKN15"/>
      <c r="QKO15"/>
      <c r="QKP15"/>
      <c r="QKQ15"/>
      <c r="QKR15"/>
      <c r="QKS15"/>
      <c r="QKT15"/>
      <c r="QKU15"/>
      <c r="QKV15"/>
      <c r="QKW15"/>
      <c r="QKX15"/>
      <c r="QKY15"/>
      <c r="QKZ15"/>
      <c r="QLA15"/>
      <c r="QLB15"/>
      <c r="QLC15"/>
      <c r="QLD15"/>
      <c r="QLE15"/>
      <c r="QLF15"/>
      <c r="QLG15"/>
      <c r="QLH15"/>
      <c r="QLI15"/>
      <c r="QLJ15"/>
      <c r="QLK15"/>
      <c r="QLL15"/>
      <c r="QLM15"/>
      <c r="QLN15"/>
      <c r="QLO15"/>
      <c r="QLP15"/>
      <c r="QLQ15"/>
      <c r="QLR15"/>
      <c r="QLS15"/>
      <c r="QLT15"/>
      <c r="QLU15"/>
      <c r="QLV15"/>
      <c r="QLW15"/>
      <c r="QLX15"/>
      <c r="QLY15"/>
      <c r="QLZ15"/>
      <c r="QMA15"/>
      <c r="QMB15"/>
      <c r="QMC15"/>
      <c r="QMD15"/>
      <c r="QME15"/>
      <c r="QMF15"/>
      <c r="QMG15"/>
      <c r="QMH15"/>
      <c r="QMI15"/>
      <c r="QMJ15"/>
      <c r="QMK15"/>
      <c r="QML15"/>
      <c r="QMM15"/>
      <c r="QMN15"/>
      <c r="QMO15"/>
      <c r="QMP15"/>
      <c r="QMQ15"/>
      <c r="QMR15"/>
      <c r="QMS15"/>
      <c r="QMT15"/>
      <c r="QMU15"/>
      <c r="QMV15"/>
      <c r="QMW15"/>
      <c r="QMX15"/>
      <c r="QMY15"/>
      <c r="QMZ15"/>
      <c r="QNA15"/>
      <c r="QNB15"/>
      <c r="QNC15"/>
      <c r="QND15"/>
      <c r="QNE15"/>
      <c r="QNF15"/>
      <c r="QNG15"/>
      <c r="QNH15"/>
      <c r="QNI15"/>
      <c r="QNJ15"/>
      <c r="QNK15"/>
      <c r="QNL15"/>
      <c r="QNM15"/>
      <c r="QNN15"/>
      <c r="QNO15"/>
      <c r="QNP15"/>
      <c r="QNQ15"/>
      <c r="QNR15"/>
      <c r="QNS15"/>
      <c r="QNT15"/>
      <c r="QNU15"/>
      <c r="QNV15"/>
      <c r="QNW15"/>
      <c r="QNX15"/>
      <c r="QNY15"/>
      <c r="QNZ15"/>
      <c r="QOA15"/>
      <c r="QOB15"/>
      <c r="QOC15"/>
      <c r="QOD15"/>
      <c r="QOE15"/>
      <c r="QOF15"/>
      <c r="QOG15"/>
      <c r="QOH15"/>
      <c r="QOI15"/>
      <c r="QOJ15"/>
      <c r="QOK15"/>
      <c r="QOL15"/>
      <c r="QOM15"/>
      <c r="QON15"/>
      <c r="QOO15"/>
      <c r="QOP15"/>
      <c r="QOQ15"/>
      <c r="QOR15"/>
      <c r="QOS15"/>
      <c r="QOT15"/>
      <c r="QOU15"/>
      <c r="QOV15"/>
      <c r="QOW15"/>
      <c r="QOX15"/>
      <c r="QOY15"/>
      <c r="QOZ15"/>
      <c r="QPA15"/>
      <c r="QPB15"/>
      <c r="QPC15"/>
      <c r="QPD15"/>
      <c r="QPE15"/>
      <c r="QPF15"/>
      <c r="QPG15"/>
      <c r="QPH15"/>
      <c r="QPI15"/>
      <c r="QPJ15"/>
      <c r="QPK15"/>
      <c r="QPL15"/>
      <c r="QPM15"/>
      <c r="QPN15"/>
      <c r="QPO15"/>
      <c r="QPP15"/>
      <c r="QPQ15"/>
      <c r="QPR15"/>
      <c r="QPS15"/>
      <c r="QPT15"/>
      <c r="QPU15"/>
      <c r="QPV15"/>
      <c r="QPW15"/>
      <c r="QPX15"/>
      <c r="QPY15"/>
      <c r="QPZ15"/>
      <c r="QQA15"/>
      <c r="QQB15"/>
      <c r="QQC15"/>
      <c r="QQD15"/>
      <c r="QQE15"/>
      <c r="QQF15"/>
      <c r="QQG15"/>
      <c r="QQH15"/>
      <c r="QQI15"/>
      <c r="QQJ15"/>
      <c r="QQK15"/>
      <c r="QQL15"/>
      <c r="QQM15"/>
      <c r="QQN15"/>
      <c r="QQO15"/>
      <c r="QQP15"/>
      <c r="QQQ15"/>
      <c r="QQR15"/>
      <c r="QQS15"/>
      <c r="QQT15"/>
      <c r="QQU15"/>
      <c r="QQV15"/>
      <c r="QQW15"/>
      <c r="QQX15"/>
      <c r="QQY15"/>
      <c r="QQZ15"/>
      <c r="QRA15"/>
      <c r="QRB15"/>
      <c r="QRC15"/>
      <c r="QRD15"/>
      <c r="QRE15"/>
      <c r="QRF15"/>
      <c r="QRG15"/>
      <c r="QRH15"/>
      <c r="QRI15"/>
      <c r="QRJ15"/>
      <c r="QRK15"/>
      <c r="QRL15"/>
      <c r="QRM15"/>
      <c r="QRN15"/>
      <c r="QRO15"/>
      <c r="QRP15"/>
      <c r="QRQ15"/>
      <c r="QRR15"/>
      <c r="QRS15"/>
      <c r="QRT15"/>
      <c r="QRU15"/>
      <c r="QRV15"/>
      <c r="QRW15"/>
      <c r="QRX15"/>
      <c r="QRY15"/>
      <c r="QRZ15"/>
      <c r="QSA15"/>
      <c r="QSB15"/>
      <c r="QSC15"/>
      <c r="QSD15"/>
      <c r="QSE15"/>
      <c r="QSF15"/>
      <c r="QSG15"/>
      <c r="QSH15"/>
      <c r="QSI15"/>
      <c r="QSJ15"/>
      <c r="QSK15"/>
      <c r="QSL15"/>
      <c r="QSM15"/>
      <c r="QSN15"/>
      <c r="QSO15"/>
      <c r="QSP15"/>
      <c r="QSQ15"/>
      <c r="QSR15"/>
      <c r="QSS15"/>
      <c r="QST15"/>
      <c r="QSU15"/>
      <c r="QSV15"/>
      <c r="QSW15"/>
      <c r="QSX15"/>
      <c r="QSY15"/>
      <c r="QSZ15"/>
      <c r="QTA15"/>
      <c r="QTB15"/>
      <c r="QTC15"/>
      <c r="QTD15"/>
      <c r="QTE15"/>
      <c r="QTF15"/>
      <c r="QTG15"/>
      <c r="QTH15"/>
      <c r="QTI15"/>
      <c r="QTJ15"/>
      <c r="QTK15"/>
      <c r="QTL15"/>
      <c r="QTM15"/>
      <c r="QTN15"/>
      <c r="QTO15"/>
      <c r="QTP15"/>
      <c r="QTQ15"/>
      <c r="QTR15"/>
      <c r="QTS15"/>
      <c r="QTT15"/>
      <c r="QTU15"/>
      <c r="QTV15"/>
      <c r="QTW15"/>
      <c r="QTX15"/>
      <c r="QTY15"/>
      <c r="QTZ15"/>
      <c r="QUA15"/>
      <c r="QUB15"/>
      <c r="QUC15"/>
      <c r="QUD15"/>
      <c r="QUE15"/>
      <c r="QUF15"/>
      <c r="QUG15"/>
      <c r="QUH15"/>
      <c r="QUI15"/>
      <c r="QUJ15"/>
      <c r="QUK15"/>
      <c r="QUL15"/>
      <c r="QUM15"/>
      <c r="QUN15"/>
      <c r="QUO15"/>
      <c r="QUP15"/>
      <c r="QUQ15"/>
      <c r="QUR15"/>
      <c r="QUS15"/>
      <c r="QUT15"/>
      <c r="QUU15"/>
      <c r="QUV15"/>
      <c r="QUW15"/>
      <c r="QUX15"/>
      <c r="QUY15"/>
      <c r="QUZ15"/>
      <c r="QVA15"/>
      <c r="QVB15"/>
      <c r="QVC15"/>
      <c r="QVD15"/>
      <c r="QVE15"/>
      <c r="QVF15"/>
      <c r="QVG15"/>
      <c r="QVH15"/>
      <c r="QVI15"/>
      <c r="QVJ15"/>
      <c r="QVK15"/>
      <c r="QVL15"/>
      <c r="QVM15"/>
      <c r="QVN15"/>
      <c r="QVO15"/>
      <c r="QVP15"/>
      <c r="QVQ15"/>
      <c r="QVR15"/>
      <c r="QVS15"/>
      <c r="QVT15"/>
      <c r="QVU15"/>
      <c r="QVV15"/>
      <c r="QVW15"/>
      <c r="QVX15"/>
      <c r="QVY15"/>
      <c r="QVZ15"/>
      <c r="QWA15"/>
      <c r="QWB15"/>
      <c r="QWC15"/>
      <c r="QWD15"/>
      <c r="QWE15"/>
      <c r="QWF15"/>
      <c r="QWG15"/>
      <c r="QWH15"/>
      <c r="QWI15"/>
      <c r="QWJ15"/>
      <c r="QWK15"/>
      <c r="QWL15"/>
      <c r="QWM15"/>
      <c r="QWN15"/>
      <c r="QWO15"/>
      <c r="QWP15"/>
      <c r="QWQ15"/>
      <c r="QWR15"/>
      <c r="QWS15"/>
      <c r="QWT15"/>
      <c r="QWU15"/>
      <c r="QWV15"/>
      <c r="QWW15"/>
      <c r="QWX15"/>
      <c r="QWY15"/>
      <c r="QWZ15"/>
      <c r="QXA15"/>
      <c r="QXB15"/>
      <c r="QXC15"/>
      <c r="QXD15"/>
      <c r="QXE15"/>
      <c r="QXF15"/>
      <c r="QXG15"/>
      <c r="QXH15"/>
      <c r="QXI15"/>
      <c r="QXJ15"/>
      <c r="QXK15"/>
      <c r="QXL15"/>
      <c r="QXM15"/>
      <c r="QXN15"/>
      <c r="QXO15"/>
      <c r="QXP15"/>
      <c r="QXQ15"/>
      <c r="QXR15"/>
      <c r="QXS15"/>
      <c r="QXT15"/>
      <c r="QXU15"/>
      <c r="QXV15"/>
      <c r="QXW15"/>
      <c r="QXX15"/>
      <c r="QXY15"/>
      <c r="QXZ15"/>
      <c r="QYA15"/>
      <c r="QYB15"/>
      <c r="QYC15"/>
      <c r="QYD15"/>
      <c r="QYE15"/>
      <c r="QYF15"/>
      <c r="QYG15"/>
      <c r="QYH15"/>
      <c r="QYI15"/>
      <c r="QYJ15"/>
      <c r="QYK15"/>
      <c r="QYL15"/>
      <c r="QYM15"/>
      <c r="QYN15"/>
      <c r="QYO15"/>
      <c r="QYP15"/>
      <c r="QYQ15"/>
      <c r="QYR15"/>
      <c r="QYS15"/>
      <c r="QYT15"/>
      <c r="QYU15"/>
      <c r="QYV15"/>
      <c r="QYW15"/>
      <c r="QYX15"/>
      <c r="QYY15"/>
      <c r="QYZ15"/>
      <c r="QZA15"/>
      <c r="QZB15"/>
      <c r="QZC15"/>
      <c r="QZD15"/>
      <c r="QZE15"/>
      <c r="QZF15"/>
      <c r="QZG15"/>
      <c r="QZH15"/>
      <c r="QZI15"/>
      <c r="QZJ15"/>
      <c r="QZK15"/>
      <c r="QZL15"/>
      <c r="QZM15"/>
      <c r="QZN15"/>
      <c r="QZO15"/>
      <c r="QZP15"/>
      <c r="QZQ15"/>
      <c r="QZR15"/>
      <c r="QZS15"/>
      <c r="QZT15"/>
      <c r="QZU15"/>
      <c r="QZV15"/>
      <c r="QZW15"/>
      <c r="QZX15"/>
      <c r="QZY15"/>
      <c r="QZZ15"/>
      <c r="RAA15"/>
      <c r="RAB15"/>
      <c r="RAC15"/>
      <c r="RAD15"/>
      <c r="RAE15"/>
      <c r="RAF15"/>
      <c r="RAG15"/>
      <c r="RAH15"/>
      <c r="RAI15"/>
      <c r="RAJ15"/>
      <c r="RAK15"/>
      <c r="RAL15"/>
      <c r="RAM15"/>
      <c r="RAN15"/>
      <c r="RAO15"/>
      <c r="RAP15"/>
      <c r="RAQ15"/>
      <c r="RAR15"/>
      <c r="RAS15"/>
      <c r="RAT15"/>
      <c r="RAU15"/>
      <c r="RAV15"/>
      <c r="RAW15"/>
      <c r="RAX15"/>
      <c r="RAY15"/>
      <c r="RAZ15"/>
      <c r="RBA15"/>
      <c r="RBB15"/>
      <c r="RBC15"/>
      <c r="RBD15"/>
      <c r="RBE15"/>
      <c r="RBF15"/>
      <c r="RBG15"/>
      <c r="RBH15"/>
      <c r="RBI15"/>
      <c r="RBJ15"/>
      <c r="RBK15"/>
      <c r="RBL15"/>
      <c r="RBM15"/>
      <c r="RBN15"/>
      <c r="RBO15"/>
      <c r="RBP15"/>
      <c r="RBQ15"/>
      <c r="RBR15"/>
      <c r="RBS15"/>
      <c r="RBT15"/>
      <c r="RBU15"/>
      <c r="RBV15"/>
      <c r="RBW15"/>
      <c r="RBX15"/>
      <c r="RBY15"/>
      <c r="RBZ15"/>
      <c r="RCA15"/>
      <c r="RCB15"/>
      <c r="RCC15"/>
      <c r="RCD15"/>
      <c r="RCE15"/>
      <c r="RCF15"/>
      <c r="RCG15"/>
      <c r="RCH15"/>
      <c r="RCI15"/>
      <c r="RCJ15"/>
      <c r="RCK15"/>
      <c r="RCL15"/>
      <c r="RCM15"/>
      <c r="RCN15"/>
      <c r="RCO15"/>
      <c r="RCP15"/>
      <c r="RCQ15"/>
      <c r="RCR15"/>
      <c r="RCS15"/>
      <c r="RCT15"/>
      <c r="RCU15"/>
      <c r="RCV15"/>
      <c r="RCW15"/>
      <c r="RCX15"/>
      <c r="RCY15"/>
      <c r="RCZ15"/>
      <c r="RDA15"/>
      <c r="RDB15"/>
      <c r="RDC15"/>
      <c r="RDD15"/>
      <c r="RDE15"/>
      <c r="RDF15"/>
      <c r="RDG15"/>
      <c r="RDH15"/>
      <c r="RDI15"/>
      <c r="RDJ15"/>
      <c r="RDK15"/>
      <c r="RDL15"/>
      <c r="RDM15"/>
      <c r="RDN15"/>
      <c r="RDO15"/>
      <c r="RDP15"/>
      <c r="RDQ15"/>
      <c r="RDR15"/>
      <c r="RDS15"/>
      <c r="RDT15"/>
      <c r="RDU15"/>
      <c r="RDV15"/>
      <c r="RDW15"/>
      <c r="RDX15"/>
      <c r="RDY15"/>
      <c r="RDZ15"/>
      <c r="REA15"/>
      <c r="REB15"/>
      <c r="REC15"/>
      <c r="RED15"/>
      <c r="REE15"/>
      <c r="REF15"/>
      <c r="REG15"/>
      <c r="REH15"/>
      <c r="REI15"/>
      <c r="REJ15"/>
      <c r="REK15"/>
      <c r="REL15"/>
      <c r="REM15"/>
      <c r="REN15"/>
      <c r="REO15"/>
      <c r="REP15"/>
      <c r="REQ15"/>
      <c r="RER15"/>
      <c r="RES15"/>
      <c r="RET15"/>
      <c r="REU15"/>
      <c r="REV15"/>
      <c r="REW15"/>
      <c r="REX15"/>
      <c r="REY15"/>
      <c r="REZ15"/>
      <c r="RFA15"/>
      <c r="RFB15"/>
      <c r="RFC15"/>
      <c r="RFD15"/>
      <c r="RFE15"/>
      <c r="RFF15"/>
      <c r="RFG15"/>
      <c r="RFH15"/>
      <c r="RFI15"/>
      <c r="RFJ15"/>
      <c r="RFK15"/>
      <c r="RFL15"/>
      <c r="RFM15"/>
      <c r="RFN15"/>
      <c r="RFO15"/>
      <c r="RFP15"/>
      <c r="RFQ15"/>
      <c r="RFR15"/>
      <c r="RFS15"/>
      <c r="RFT15"/>
      <c r="RFU15"/>
      <c r="RFV15"/>
      <c r="RFW15"/>
      <c r="RFX15"/>
      <c r="RFY15"/>
      <c r="RFZ15"/>
      <c r="RGA15"/>
      <c r="RGB15"/>
      <c r="RGC15"/>
      <c r="RGD15"/>
      <c r="RGE15"/>
      <c r="RGF15"/>
      <c r="RGG15"/>
      <c r="RGH15"/>
      <c r="RGI15"/>
      <c r="RGJ15"/>
      <c r="RGK15"/>
      <c r="RGL15"/>
      <c r="RGM15"/>
      <c r="RGN15"/>
      <c r="RGO15"/>
      <c r="RGP15"/>
      <c r="RGQ15"/>
      <c r="RGR15"/>
      <c r="RGS15"/>
      <c r="RGT15"/>
      <c r="RGU15"/>
      <c r="RGV15"/>
      <c r="RGW15"/>
      <c r="RGX15"/>
      <c r="RGY15"/>
      <c r="RGZ15"/>
      <c r="RHA15"/>
      <c r="RHB15"/>
      <c r="RHC15"/>
      <c r="RHD15"/>
      <c r="RHE15"/>
      <c r="RHF15"/>
      <c r="RHG15"/>
      <c r="RHH15"/>
      <c r="RHI15"/>
      <c r="RHJ15"/>
      <c r="RHK15"/>
      <c r="RHL15"/>
      <c r="RHM15"/>
      <c r="RHN15"/>
      <c r="RHO15"/>
      <c r="RHP15"/>
      <c r="RHQ15"/>
      <c r="RHR15"/>
      <c r="RHS15"/>
      <c r="RHT15"/>
      <c r="RHU15"/>
      <c r="RHV15"/>
      <c r="RHW15"/>
      <c r="RHX15"/>
      <c r="RHY15"/>
      <c r="RHZ15"/>
      <c r="RIA15"/>
      <c r="RIB15"/>
      <c r="RIC15"/>
      <c r="RID15"/>
      <c r="RIE15"/>
      <c r="RIF15"/>
      <c r="RIG15"/>
      <c r="RIH15"/>
      <c r="RII15"/>
      <c r="RIJ15"/>
      <c r="RIK15"/>
      <c r="RIL15"/>
      <c r="RIM15"/>
      <c r="RIN15"/>
      <c r="RIO15"/>
      <c r="RIP15"/>
      <c r="RIQ15"/>
      <c r="RIR15"/>
      <c r="RIS15"/>
      <c r="RIT15"/>
      <c r="RIU15"/>
      <c r="RIV15"/>
      <c r="RIW15"/>
      <c r="RIX15"/>
      <c r="RIY15"/>
      <c r="RIZ15"/>
      <c r="RJA15"/>
      <c r="RJB15"/>
      <c r="RJC15"/>
      <c r="RJD15"/>
      <c r="RJE15"/>
      <c r="RJF15"/>
      <c r="RJG15"/>
      <c r="RJH15"/>
      <c r="RJI15"/>
      <c r="RJJ15"/>
      <c r="RJK15"/>
      <c r="RJL15"/>
      <c r="RJM15"/>
      <c r="RJN15"/>
      <c r="RJO15"/>
      <c r="RJP15"/>
      <c r="RJQ15"/>
      <c r="RJR15"/>
      <c r="RJS15"/>
      <c r="RJT15"/>
      <c r="RJU15"/>
      <c r="RJV15"/>
      <c r="RJW15"/>
      <c r="RJX15"/>
      <c r="RJY15"/>
      <c r="RJZ15"/>
      <c r="RKA15"/>
      <c r="RKB15"/>
      <c r="RKC15"/>
      <c r="RKD15"/>
      <c r="RKE15"/>
      <c r="RKF15"/>
      <c r="RKG15"/>
      <c r="RKH15"/>
      <c r="RKI15"/>
      <c r="RKJ15"/>
      <c r="RKK15"/>
      <c r="RKL15"/>
      <c r="RKM15"/>
      <c r="RKN15"/>
      <c r="RKO15"/>
      <c r="RKP15"/>
      <c r="RKQ15"/>
      <c r="RKR15"/>
      <c r="RKS15"/>
      <c r="RKT15"/>
      <c r="RKU15"/>
      <c r="RKV15"/>
      <c r="RKW15"/>
      <c r="RKX15"/>
      <c r="RKY15"/>
      <c r="RKZ15"/>
      <c r="RLA15"/>
      <c r="RLB15"/>
      <c r="RLC15"/>
      <c r="RLD15"/>
      <c r="RLE15"/>
      <c r="RLF15"/>
      <c r="RLG15"/>
      <c r="RLH15"/>
      <c r="RLI15"/>
      <c r="RLJ15"/>
      <c r="RLK15"/>
      <c r="RLL15"/>
      <c r="RLM15"/>
      <c r="RLN15"/>
      <c r="RLO15"/>
      <c r="RLP15"/>
      <c r="RLQ15"/>
      <c r="RLR15"/>
      <c r="RLS15"/>
      <c r="RLT15"/>
      <c r="RLU15"/>
      <c r="RLV15"/>
      <c r="RLW15"/>
      <c r="RLX15"/>
      <c r="RLY15"/>
      <c r="RLZ15"/>
      <c r="RMA15"/>
      <c r="RMB15"/>
      <c r="RMC15"/>
      <c r="RMD15"/>
      <c r="RME15"/>
      <c r="RMF15"/>
      <c r="RMG15"/>
      <c r="RMH15"/>
      <c r="RMI15"/>
      <c r="RMJ15"/>
      <c r="RMK15"/>
      <c r="RML15"/>
      <c r="RMM15"/>
      <c r="RMN15"/>
      <c r="RMO15"/>
      <c r="RMP15"/>
      <c r="RMQ15"/>
      <c r="RMR15"/>
      <c r="RMS15"/>
      <c r="RMT15"/>
      <c r="RMU15"/>
      <c r="RMV15"/>
      <c r="RMW15"/>
      <c r="RMX15"/>
      <c r="RMY15"/>
      <c r="RMZ15"/>
      <c r="RNA15"/>
      <c r="RNB15"/>
      <c r="RNC15"/>
      <c r="RND15"/>
      <c r="RNE15"/>
      <c r="RNF15"/>
      <c r="RNG15"/>
      <c r="RNH15"/>
      <c r="RNI15"/>
      <c r="RNJ15"/>
      <c r="RNK15"/>
      <c r="RNL15"/>
      <c r="RNM15"/>
      <c r="RNN15"/>
      <c r="RNO15"/>
      <c r="RNP15"/>
      <c r="RNQ15"/>
      <c r="RNR15"/>
      <c r="RNS15"/>
      <c r="RNT15"/>
      <c r="RNU15"/>
      <c r="RNV15"/>
      <c r="RNW15"/>
      <c r="RNX15"/>
      <c r="RNY15"/>
      <c r="RNZ15"/>
      <c r="ROA15"/>
      <c r="ROB15"/>
      <c r="ROC15"/>
      <c r="ROD15"/>
      <c r="ROE15"/>
      <c r="ROF15"/>
      <c r="ROG15"/>
      <c r="ROH15"/>
      <c r="ROI15"/>
      <c r="ROJ15"/>
      <c r="ROK15"/>
      <c r="ROL15"/>
      <c r="ROM15"/>
      <c r="RON15"/>
      <c r="ROO15"/>
      <c r="ROP15"/>
      <c r="ROQ15"/>
      <c r="ROR15"/>
      <c r="ROS15"/>
      <c r="ROT15"/>
      <c r="ROU15"/>
      <c r="ROV15"/>
      <c r="ROW15"/>
      <c r="ROX15"/>
      <c r="ROY15"/>
      <c r="ROZ15"/>
      <c r="RPA15"/>
      <c r="RPB15"/>
      <c r="RPC15"/>
      <c r="RPD15"/>
      <c r="RPE15"/>
      <c r="RPF15"/>
      <c r="RPG15"/>
      <c r="RPH15"/>
      <c r="RPI15"/>
      <c r="RPJ15"/>
      <c r="RPK15"/>
      <c r="RPL15"/>
      <c r="RPM15"/>
      <c r="RPN15"/>
      <c r="RPO15"/>
      <c r="RPP15"/>
      <c r="RPQ15"/>
      <c r="RPR15"/>
      <c r="RPS15"/>
      <c r="RPT15"/>
      <c r="RPU15"/>
      <c r="RPV15"/>
      <c r="RPW15"/>
      <c r="RPX15"/>
      <c r="RPY15"/>
      <c r="RPZ15"/>
      <c r="RQA15"/>
      <c r="RQB15"/>
      <c r="RQC15"/>
      <c r="RQD15"/>
      <c r="RQE15"/>
      <c r="RQF15"/>
      <c r="RQG15"/>
      <c r="RQH15"/>
      <c r="RQI15"/>
      <c r="RQJ15"/>
      <c r="RQK15"/>
      <c r="RQL15"/>
      <c r="RQM15"/>
      <c r="RQN15"/>
      <c r="RQO15"/>
      <c r="RQP15"/>
      <c r="RQQ15"/>
      <c r="RQR15"/>
      <c r="RQS15"/>
      <c r="RQT15"/>
      <c r="RQU15"/>
      <c r="RQV15"/>
      <c r="RQW15"/>
      <c r="RQX15"/>
      <c r="RQY15"/>
      <c r="RQZ15"/>
      <c r="RRA15"/>
      <c r="RRB15"/>
      <c r="RRC15"/>
      <c r="RRD15"/>
      <c r="RRE15"/>
      <c r="RRF15"/>
      <c r="RRG15"/>
      <c r="RRH15"/>
      <c r="RRI15"/>
      <c r="RRJ15"/>
      <c r="RRK15"/>
      <c r="RRL15"/>
      <c r="RRM15"/>
      <c r="RRN15"/>
      <c r="RRO15"/>
      <c r="RRP15"/>
      <c r="RRQ15"/>
      <c r="RRR15"/>
      <c r="RRS15"/>
      <c r="RRT15"/>
      <c r="RRU15"/>
      <c r="RRV15"/>
      <c r="RRW15"/>
      <c r="RRX15"/>
      <c r="RRY15"/>
      <c r="RRZ15"/>
      <c r="RSA15"/>
      <c r="RSB15"/>
      <c r="RSC15"/>
      <c r="RSD15"/>
      <c r="RSE15"/>
      <c r="RSF15"/>
      <c r="RSG15"/>
      <c r="RSH15"/>
      <c r="RSI15"/>
      <c r="RSJ15"/>
      <c r="RSK15"/>
      <c r="RSL15"/>
      <c r="RSM15"/>
      <c r="RSN15"/>
      <c r="RSO15"/>
      <c r="RSP15"/>
      <c r="RSQ15"/>
      <c r="RSR15"/>
      <c r="RSS15"/>
      <c r="RST15"/>
      <c r="RSU15"/>
      <c r="RSV15"/>
      <c r="RSW15"/>
      <c r="RSX15"/>
      <c r="RSY15"/>
      <c r="RSZ15"/>
      <c r="RTA15"/>
      <c r="RTB15"/>
      <c r="RTC15"/>
      <c r="RTD15"/>
      <c r="RTE15"/>
      <c r="RTF15"/>
      <c r="RTG15"/>
      <c r="RTH15"/>
      <c r="RTI15"/>
      <c r="RTJ15"/>
      <c r="RTK15"/>
      <c r="RTL15"/>
      <c r="RTM15"/>
      <c r="RTN15"/>
      <c r="RTO15"/>
      <c r="RTP15"/>
      <c r="RTQ15"/>
      <c r="RTR15"/>
      <c r="RTS15"/>
      <c r="RTT15"/>
      <c r="RTU15"/>
      <c r="RTV15"/>
      <c r="RTW15"/>
      <c r="RTX15"/>
      <c r="RTY15"/>
      <c r="RTZ15"/>
      <c r="RUA15"/>
      <c r="RUB15"/>
      <c r="RUC15"/>
      <c r="RUD15"/>
      <c r="RUE15"/>
      <c r="RUF15"/>
      <c r="RUG15"/>
      <c r="RUH15"/>
      <c r="RUI15"/>
      <c r="RUJ15"/>
      <c r="RUK15"/>
      <c r="RUL15"/>
      <c r="RUM15"/>
      <c r="RUN15"/>
      <c r="RUO15"/>
      <c r="RUP15"/>
      <c r="RUQ15"/>
      <c r="RUR15"/>
      <c r="RUS15"/>
      <c r="RUT15"/>
      <c r="RUU15"/>
      <c r="RUV15"/>
      <c r="RUW15"/>
      <c r="RUX15"/>
      <c r="RUY15"/>
      <c r="RUZ15"/>
      <c r="RVA15"/>
      <c r="RVB15"/>
      <c r="RVC15"/>
      <c r="RVD15"/>
      <c r="RVE15"/>
      <c r="RVF15"/>
      <c r="RVG15"/>
      <c r="RVH15"/>
      <c r="RVI15"/>
      <c r="RVJ15"/>
      <c r="RVK15"/>
      <c r="RVL15"/>
      <c r="RVM15"/>
      <c r="RVN15"/>
      <c r="RVO15"/>
      <c r="RVP15"/>
      <c r="RVQ15"/>
      <c r="RVR15"/>
      <c r="RVS15"/>
      <c r="RVT15"/>
      <c r="RVU15"/>
      <c r="RVV15"/>
      <c r="RVW15"/>
      <c r="RVX15"/>
      <c r="RVY15"/>
      <c r="RVZ15"/>
      <c r="RWA15"/>
      <c r="RWB15"/>
      <c r="RWC15"/>
      <c r="RWD15"/>
      <c r="RWE15"/>
      <c r="RWF15"/>
      <c r="RWG15"/>
      <c r="RWH15"/>
      <c r="RWI15"/>
      <c r="RWJ15"/>
      <c r="RWK15"/>
      <c r="RWL15"/>
      <c r="RWM15"/>
      <c r="RWN15"/>
      <c r="RWO15"/>
      <c r="RWP15"/>
      <c r="RWQ15"/>
      <c r="RWR15"/>
      <c r="RWS15"/>
      <c r="RWT15"/>
      <c r="RWU15"/>
      <c r="RWV15"/>
      <c r="RWW15"/>
      <c r="RWX15"/>
      <c r="RWY15"/>
      <c r="RWZ15"/>
      <c r="RXA15"/>
      <c r="RXB15"/>
      <c r="RXC15"/>
      <c r="RXD15"/>
      <c r="RXE15"/>
      <c r="RXF15"/>
      <c r="RXG15"/>
      <c r="RXH15"/>
      <c r="RXI15"/>
      <c r="RXJ15"/>
      <c r="RXK15"/>
      <c r="RXL15"/>
      <c r="RXM15"/>
      <c r="RXN15"/>
      <c r="RXO15"/>
      <c r="RXP15"/>
      <c r="RXQ15"/>
      <c r="RXR15"/>
      <c r="RXS15"/>
      <c r="RXT15"/>
      <c r="RXU15"/>
      <c r="RXV15"/>
      <c r="RXW15"/>
      <c r="RXX15"/>
      <c r="RXY15"/>
      <c r="RXZ15"/>
      <c r="RYA15"/>
      <c r="RYB15"/>
      <c r="RYC15"/>
      <c r="RYD15"/>
      <c r="RYE15"/>
      <c r="RYF15"/>
      <c r="RYG15"/>
      <c r="RYH15"/>
      <c r="RYI15"/>
      <c r="RYJ15"/>
      <c r="RYK15"/>
      <c r="RYL15"/>
      <c r="RYM15"/>
      <c r="RYN15"/>
      <c r="RYO15"/>
      <c r="RYP15"/>
      <c r="RYQ15"/>
      <c r="RYR15"/>
      <c r="RYS15"/>
      <c r="RYT15"/>
      <c r="RYU15"/>
      <c r="RYV15"/>
      <c r="RYW15"/>
      <c r="RYX15"/>
      <c r="RYY15"/>
      <c r="RYZ15"/>
      <c r="RZA15"/>
      <c r="RZB15"/>
      <c r="RZC15"/>
      <c r="RZD15"/>
      <c r="RZE15"/>
      <c r="RZF15"/>
      <c r="RZG15"/>
      <c r="RZH15"/>
      <c r="RZI15"/>
      <c r="RZJ15"/>
      <c r="RZK15"/>
      <c r="RZL15"/>
      <c r="RZM15"/>
      <c r="RZN15"/>
      <c r="RZO15"/>
      <c r="RZP15"/>
      <c r="RZQ15"/>
      <c r="RZR15"/>
      <c r="RZS15"/>
      <c r="RZT15"/>
      <c r="RZU15"/>
      <c r="RZV15"/>
      <c r="RZW15"/>
      <c r="RZX15"/>
      <c r="RZY15"/>
      <c r="RZZ15"/>
      <c r="SAA15"/>
      <c r="SAB15"/>
      <c r="SAC15"/>
      <c r="SAD15"/>
      <c r="SAE15"/>
      <c r="SAF15"/>
      <c r="SAG15"/>
      <c r="SAH15"/>
      <c r="SAI15"/>
      <c r="SAJ15"/>
      <c r="SAK15"/>
      <c r="SAL15"/>
      <c r="SAM15"/>
      <c r="SAN15"/>
      <c r="SAO15"/>
      <c r="SAP15"/>
      <c r="SAQ15"/>
      <c r="SAR15"/>
      <c r="SAS15"/>
      <c r="SAT15"/>
      <c r="SAU15"/>
      <c r="SAV15"/>
      <c r="SAW15"/>
      <c r="SAX15"/>
      <c r="SAY15"/>
      <c r="SAZ15"/>
      <c r="SBA15"/>
      <c r="SBB15"/>
      <c r="SBC15"/>
      <c r="SBD15"/>
      <c r="SBE15"/>
      <c r="SBF15"/>
      <c r="SBG15"/>
      <c r="SBH15"/>
      <c r="SBI15"/>
      <c r="SBJ15"/>
      <c r="SBK15"/>
      <c r="SBL15"/>
      <c r="SBM15"/>
      <c r="SBN15"/>
      <c r="SBO15"/>
      <c r="SBP15"/>
      <c r="SBQ15"/>
      <c r="SBR15"/>
      <c r="SBS15"/>
      <c r="SBT15"/>
      <c r="SBU15"/>
      <c r="SBV15"/>
      <c r="SBW15"/>
      <c r="SBX15"/>
      <c r="SBY15"/>
      <c r="SBZ15"/>
      <c r="SCA15"/>
      <c r="SCB15"/>
      <c r="SCC15"/>
      <c r="SCD15"/>
      <c r="SCE15"/>
      <c r="SCF15"/>
      <c r="SCG15"/>
      <c r="SCH15"/>
      <c r="SCI15"/>
      <c r="SCJ15"/>
      <c r="SCK15"/>
      <c r="SCL15"/>
      <c r="SCM15"/>
      <c r="SCN15"/>
      <c r="SCO15"/>
      <c r="SCP15"/>
      <c r="SCQ15"/>
      <c r="SCR15"/>
      <c r="SCS15"/>
      <c r="SCT15"/>
      <c r="SCU15"/>
      <c r="SCV15"/>
      <c r="SCW15"/>
      <c r="SCX15"/>
      <c r="SCY15"/>
      <c r="SCZ15"/>
      <c r="SDA15"/>
      <c r="SDB15"/>
      <c r="SDC15"/>
      <c r="SDD15"/>
      <c r="SDE15"/>
      <c r="SDF15"/>
      <c r="SDG15"/>
      <c r="SDH15"/>
      <c r="SDI15"/>
      <c r="SDJ15"/>
      <c r="SDK15"/>
      <c r="SDL15"/>
      <c r="SDM15"/>
      <c r="SDN15"/>
      <c r="SDO15"/>
      <c r="SDP15"/>
      <c r="SDQ15"/>
      <c r="SDR15"/>
      <c r="SDS15"/>
      <c r="SDT15"/>
      <c r="SDU15"/>
      <c r="SDV15"/>
      <c r="SDW15"/>
      <c r="SDX15"/>
      <c r="SDY15"/>
      <c r="SDZ15"/>
      <c r="SEA15"/>
      <c r="SEB15"/>
      <c r="SEC15"/>
      <c r="SED15"/>
      <c r="SEE15"/>
      <c r="SEF15"/>
      <c r="SEG15"/>
      <c r="SEH15"/>
      <c r="SEI15"/>
      <c r="SEJ15"/>
      <c r="SEK15"/>
      <c r="SEL15"/>
      <c r="SEM15"/>
      <c r="SEN15"/>
      <c r="SEO15"/>
      <c r="SEP15"/>
      <c r="SEQ15"/>
      <c r="SER15"/>
      <c r="SES15"/>
      <c r="SET15"/>
      <c r="SEU15"/>
      <c r="SEV15"/>
      <c r="SEW15"/>
      <c r="SEX15"/>
      <c r="SEY15"/>
      <c r="SEZ15"/>
      <c r="SFA15"/>
      <c r="SFB15"/>
      <c r="SFC15"/>
      <c r="SFD15"/>
      <c r="SFE15"/>
      <c r="SFF15"/>
      <c r="SFG15"/>
      <c r="SFH15"/>
      <c r="SFI15"/>
      <c r="SFJ15"/>
      <c r="SFK15"/>
      <c r="SFL15"/>
      <c r="SFM15"/>
      <c r="SFN15"/>
      <c r="SFO15"/>
      <c r="SFP15"/>
      <c r="SFQ15"/>
      <c r="SFR15"/>
      <c r="SFS15"/>
      <c r="SFT15"/>
      <c r="SFU15"/>
      <c r="SFV15"/>
      <c r="SFW15"/>
      <c r="SFX15"/>
      <c r="SFY15"/>
      <c r="SFZ15"/>
      <c r="SGA15"/>
      <c r="SGB15"/>
      <c r="SGC15"/>
      <c r="SGD15"/>
      <c r="SGE15"/>
      <c r="SGF15"/>
      <c r="SGG15"/>
      <c r="SGH15"/>
      <c r="SGI15"/>
      <c r="SGJ15"/>
      <c r="SGK15"/>
      <c r="SGL15"/>
      <c r="SGM15"/>
      <c r="SGN15"/>
      <c r="SGO15"/>
      <c r="SGP15"/>
      <c r="SGQ15"/>
      <c r="SGR15"/>
      <c r="SGS15"/>
      <c r="SGT15"/>
      <c r="SGU15"/>
      <c r="SGV15"/>
      <c r="SGW15"/>
      <c r="SGX15"/>
      <c r="SGY15"/>
      <c r="SGZ15"/>
      <c r="SHA15"/>
      <c r="SHB15"/>
      <c r="SHC15"/>
      <c r="SHD15"/>
      <c r="SHE15"/>
      <c r="SHF15"/>
      <c r="SHG15"/>
      <c r="SHH15"/>
      <c r="SHI15"/>
      <c r="SHJ15"/>
      <c r="SHK15"/>
      <c r="SHL15"/>
      <c r="SHM15"/>
      <c r="SHN15"/>
      <c r="SHO15"/>
      <c r="SHP15"/>
      <c r="SHQ15"/>
      <c r="SHR15"/>
      <c r="SHS15"/>
      <c r="SHT15"/>
      <c r="SHU15"/>
      <c r="SHV15"/>
      <c r="SHW15"/>
      <c r="SHX15"/>
      <c r="SHY15"/>
      <c r="SHZ15"/>
      <c r="SIA15"/>
      <c r="SIB15"/>
      <c r="SIC15"/>
      <c r="SID15"/>
      <c r="SIE15"/>
      <c r="SIF15"/>
      <c r="SIG15"/>
      <c r="SIH15"/>
      <c r="SII15"/>
      <c r="SIJ15"/>
      <c r="SIK15"/>
      <c r="SIL15"/>
      <c r="SIM15"/>
      <c r="SIN15"/>
      <c r="SIO15"/>
      <c r="SIP15"/>
      <c r="SIQ15"/>
      <c r="SIR15"/>
      <c r="SIS15"/>
      <c r="SIT15"/>
      <c r="SIU15"/>
      <c r="SIV15"/>
      <c r="SIW15"/>
      <c r="SIX15"/>
      <c r="SIY15"/>
      <c r="SIZ15"/>
      <c r="SJA15"/>
      <c r="SJB15"/>
      <c r="SJC15"/>
      <c r="SJD15"/>
      <c r="SJE15"/>
      <c r="SJF15"/>
      <c r="SJG15"/>
      <c r="SJH15"/>
      <c r="SJI15"/>
      <c r="SJJ15"/>
      <c r="SJK15"/>
      <c r="SJL15"/>
      <c r="SJM15"/>
      <c r="SJN15"/>
      <c r="SJO15"/>
      <c r="SJP15"/>
      <c r="SJQ15"/>
      <c r="SJR15"/>
      <c r="SJS15"/>
      <c r="SJT15"/>
      <c r="SJU15"/>
      <c r="SJV15"/>
      <c r="SJW15"/>
      <c r="SJX15"/>
      <c r="SJY15"/>
      <c r="SJZ15"/>
      <c r="SKA15"/>
      <c r="SKB15"/>
      <c r="SKC15"/>
      <c r="SKD15"/>
      <c r="SKE15"/>
      <c r="SKF15"/>
      <c r="SKG15"/>
      <c r="SKH15"/>
      <c r="SKI15"/>
      <c r="SKJ15"/>
      <c r="SKK15"/>
      <c r="SKL15"/>
      <c r="SKM15"/>
      <c r="SKN15"/>
      <c r="SKO15"/>
      <c r="SKP15"/>
      <c r="SKQ15"/>
      <c r="SKR15"/>
      <c r="SKS15"/>
      <c r="SKT15"/>
      <c r="SKU15"/>
      <c r="SKV15"/>
      <c r="SKW15"/>
      <c r="SKX15"/>
      <c r="SKY15"/>
      <c r="SKZ15"/>
      <c r="SLA15"/>
      <c r="SLB15"/>
      <c r="SLC15"/>
      <c r="SLD15"/>
      <c r="SLE15"/>
      <c r="SLF15"/>
      <c r="SLG15"/>
      <c r="SLH15"/>
      <c r="SLI15"/>
      <c r="SLJ15"/>
      <c r="SLK15"/>
      <c r="SLL15"/>
      <c r="SLM15"/>
      <c r="SLN15"/>
      <c r="SLO15"/>
      <c r="SLP15"/>
      <c r="SLQ15"/>
      <c r="SLR15"/>
      <c r="SLS15"/>
      <c r="SLT15"/>
      <c r="SLU15"/>
      <c r="SLV15"/>
      <c r="SLW15"/>
      <c r="SLX15"/>
      <c r="SLY15"/>
      <c r="SLZ15"/>
      <c r="SMA15"/>
      <c r="SMB15"/>
      <c r="SMC15"/>
      <c r="SMD15"/>
      <c r="SME15"/>
      <c r="SMF15"/>
      <c r="SMG15"/>
      <c r="SMH15"/>
      <c r="SMI15"/>
      <c r="SMJ15"/>
      <c r="SMK15"/>
      <c r="SML15"/>
      <c r="SMM15"/>
      <c r="SMN15"/>
      <c r="SMO15"/>
      <c r="SMP15"/>
      <c r="SMQ15"/>
      <c r="SMR15"/>
      <c r="SMS15"/>
      <c r="SMT15"/>
      <c r="SMU15"/>
      <c r="SMV15"/>
      <c r="SMW15"/>
      <c r="SMX15"/>
      <c r="SMY15"/>
      <c r="SMZ15"/>
      <c r="SNA15"/>
      <c r="SNB15"/>
      <c r="SNC15"/>
      <c r="SND15"/>
      <c r="SNE15"/>
      <c r="SNF15"/>
      <c r="SNG15"/>
      <c r="SNH15"/>
      <c r="SNI15"/>
      <c r="SNJ15"/>
      <c r="SNK15"/>
      <c r="SNL15"/>
      <c r="SNM15"/>
      <c r="SNN15"/>
      <c r="SNO15"/>
      <c r="SNP15"/>
      <c r="SNQ15"/>
      <c r="SNR15"/>
      <c r="SNS15"/>
      <c r="SNT15"/>
      <c r="SNU15"/>
      <c r="SNV15"/>
      <c r="SNW15"/>
      <c r="SNX15"/>
      <c r="SNY15"/>
      <c r="SNZ15"/>
      <c r="SOA15"/>
      <c r="SOB15"/>
      <c r="SOC15"/>
      <c r="SOD15"/>
      <c r="SOE15"/>
      <c r="SOF15"/>
      <c r="SOG15"/>
      <c r="SOH15"/>
      <c r="SOI15"/>
      <c r="SOJ15"/>
      <c r="SOK15"/>
      <c r="SOL15"/>
      <c r="SOM15"/>
      <c r="SON15"/>
      <c r="SOO15"/>
      <c r="SOP15"/>
      <c r="SOQ15"/>
      <c r="SOR15"/>
      <c r="SOS15"/>
      <c r="SOT15"/>
      <c r="SOU15"/>
      <c r="SOV15"/>
      <c r="SOW15"/>
      <c r="SOX15"/>
      <c r="SOY15"/>
      <c r="SOZ15"/>
      <c r="SPA15"/>
      <c r="SPB15"/>
      <c r="SPC15"/>
      <c r="SPD15"/>
      <c r="SPE15"/>
      <c r="SPF15"/>
      <c r="SPG15"/>
      <c r="SPH15"/>
      <c r="SPI15"/>
      <c r="SPJ15"/>
      <c r="SPK15"/>
      <c r="SPL15"/>
      <c r="SPM15"/>
      <c r="SPN15"/>
      <c r="SPO15"/>
      <c r="SPP15"/>
      <c r="SPQ15"/>
      <c r="SPR15"/>
      <c r="SPS15"/>
      <c r="SPT15"/>
      <c r="SPU15"/>
      <c r="SPV15"/>
      <c r="SPW15"/>
      <c r="SPX15"/>
      <c r="SPY15"/>
      <c r="SPZ15"/>
      <c r="SQA15"/>
      <c r="SQB15"/>
      <c r="SQC15"/>
      <c r="SQD15"/>
      <c r="SQE15"/>
      <c r="SQF15"/>
      <c r="SQG15"/>
      <c r="SQH15"/>
      <c r="SQI15"/>
      <c r="SQJ15"/>
      <c r="SQK15"/>
      <c r="SQL15"/>
      <c r="SQM15"/>
      <c r="SQN15"/>
      <c r="SQO15"/>
      <c r="SQP15"/>
      <c r="SQQ15"/>
      <c r="SQR15"/>
      <c r="SQS15"/>
      <c r="SQT15"/>
      <c r="SQU15"/>
      <c r="SQV15"/>
      <c r="SQW15"/>
      <c r="SQX15"/>
      <c r="SQY15"/>
      <c r="SQZ15"/>
      <c r="SRA15"/>
      <c r="SRB15"/>
      <c r="SRC15"/>
      <c r="SRD15"/>
      <c r="SRE15"/>
      <c r="SRF15"/>
      <c r="SRG15"/>
      <c r="SRH15"/>
      <c r="SRI15"/>
      <c r="SRJ15"/>
      <c r="SRK15"/>
      <c r="SRL15"/>
      <c r="SRM15"/>
      <c r="SRN15"/>
      <c r="SRO15"/>
      <c r="SRP15"/>
      <c r="SRQ15"/>
      <c r="SRR15"/>
      <c r="SRS15"/>
      <c r="SRT15"/>
      <c r="SRU15"/>
      <c r="SRV15"/>
      <c r="SRW15"/>
      <c r="SRX15"/>
      <c r="SRY15"/>
      <c r="SRZ15"/>
      <c r="SSA15"/>
      <c r="SSB15"/>
      <c r="SSC15"/>
      <c r="SSD15"/>
      <c r="SSE15"/>
      <c r="SSF15"/>
      <c r="SSG15"/>
      <c r="SSH15"/>
      <c r="SSI15"/>
      <c r="SSJ15"/>
      <c r="SSK15"/>
      <c r="SSL15"/>
      <c r="SSM15"/>
      <c r="SSN15"/>
      <c r="SSO15"/>
      <c r="SSP15"/>
      <c r="SSQ15"/>
      <c r="SSR15"/>
      <c r="SSS15"/>
      <c r="SST15"/>
      <c r="SSU15"/>
      <c r="SSV15"/>
      <c r="SSW15"/>
      <c r="SSX15"/>
      <c r="SSY15"/>
      <c r="SSZ15"/>
      <c r="STA15"/>
      <c r="STB15"/>
      <c r="STC15"/>
      <c r="STD15"/>
      <c r="STE15"/>
      <c r="STF15"/>
      <c r="STG15"/>
      <c r="STH15"/>
      <c r="STI15"/>
      <c r="STJ15"/>
      <c r="STK15"/>
      <c r="STL15"/>
      <c r="STM15"/>
      <c r="STN15"/>
      <c r="STO15"/>
      <c r="STP15"/>
      <c r="STQ15"/>
      <c r="STR15"/>
      <c r="STS15"/>
      <c r="STT15"/>
      <c r="STU15"/>
      <c r="STV15"/>
      <c r="STW15"/>
      <c r="STX15"/>
      <c r="STY15"/>
      <c r="STZ15"/>
      <c r="SUA15"/>
      <c r="SUB15"/>
      <c r="SUC15"/>
      <c r="SUD15"/>
      <c r="SUE15"/>
      <c r="SUF15"/>
      <c r="SUG15"/>
      <c r="SUH15"/>
      <c r="SUI15"/>
      <c r="SUJ15"/>
      <c r="SUK15"/>
      <c r="SUL15"/>
      <c r="SUM15"/>
      <c r="SUN15"/>
      <c r="SUO15"/>
      <c r="SUP15"/>
      <c r="SUQ15"/>
      <c r="SUR15"/>
      <c r="SUS15"/>
      <c r="SUT15"/>
      <c r="SUU15"/>
      <c r="SUV15"/>
      <c r="SUW15"/>
      <c r="SUX15"/>
      <c r="SUY15"/>
      <c r="SUZ15"/>
      <c r="SVA15"/>
      <c r="SVB15"/>
      <c r="SVC15"/>
      <c r="SVD15"/>
      <c r="SVE15"/>
      <c r="SVF15"/>
      <c r="SVG15"/>
      <c r="SVH15"/>
      <c r="SVI15"/>
      <c r="SVJ15"/>
      <c r="SVK15"/>
      <c r="SVL15"/>
      <c r="SVM15"/>
      <c r="SVN15"/>
      <c r="SVO15"/>
      <c r="SVP15"/>
      <c r="SVQ15"/>
      <c r="SVR15"/>
      <c r="SVS15"/>
      <c r="SVT15"/>
      <c r="SVU15"/>
      <c r="SVV15"/>
      <c r="SVW15"/>
      <c r="SVX15"/>
      <c r="SVY15"/>
      <c r="SVZ15"/>
      <c r="SWA15"/>
      <c r="SWB15"/>
      <c r="SWC15"/>
      <c r="SWD15"/>
      <c r="SWE15"/>
      <c r="SWF15"/>
      <c r="SWG15"/>
      <c r="SWH15"/>
      <c r="SWI15"/>
      <c r="SWJ15"/>
      <c r="SWK15"/>
      <c r="SWL15"/>
      <c r="SWM15"/>
      <c r="SWN15"/>
      <c r="SWO15"/>
      <c r="SWP15"/>
      <c r="SWQ15"/>
      <c r="SWR15"/>
      <c r="SWS15"/>
      <c r="SWT15"/>
      <c r="SWU15"/>
      <c r="SWV15"/>
      <c r="SWW15"/>
      <c r="SWX15"/>
      <c r="SWY15"/>
      <c r="SWZ15"/>
      <c r="SXA15"/>
      <c r="SXB15"/>
      <c r="SXC15"/>
      <c r="SXD15"/>
      <c r="SXE15"/>
      <c r="SXF15"/>
      <c r="SXG15"/>
      <c r="SXH15"/>
      <c r="SXI15"/>
      <c r="SXJ15"/>
      <c r="SXK15"/>
      <c r="SXL15"/>
      <c r="SXM15"/>
      <c r="SXN15"/>
      <c r="SXO15"/>
      <c r="SXP15"/>
      <c r="SXQ15"/>
      <c r="SXR15"/>
      <c r="SXS15"/>
      <c r="SXT15"/>
      <c r="SXU15"/>
      <c r="SXV15"/>
      <c r="SXW15"/>
      <c r="SXX15"/>
      <c r="SXY15"/>
      <c r="SXZ15"/>
      <c r="SYA15"/>
      <c r="SYB15"/>
      <c r="SYC15"/>
      <c r="SYD15"/>
      <c r="SYE15"/>
      <c r="SYF15"/>
      <c r="SYG15"/>
      <c r="SYH15"/>
      <c r="SYI15"/>
      <c r="SYJ15"/>
      <c r="SYK15"/>
      <c r="SYL15"/>
      <c r="SYM15"/>
      <c r="SYN15"/>
      <c r="SYO15"/>
      <c r="SYP15"/>
      <c r="SYQ15"/>
      <c r="SYR15"/>
      <c r="SYS15"/>
      <c r="SYT15"/>
      <c r="SYU15"/>
      <c r="SYV15"/>
      <c r="SYW15"/>
      <c r="SYX15"/>
      <c r="SYY15"/>
      <c r="SYZ15"/>
      <c r="SZA15"/>
      <c r="SZB15"/>
      <c r="SZC15"/>
      <c r="SZD15"/>
      <c r="SZE15"/>
      <c r="SZF15"/>
      <c r="SZG15"/>
      <c r="SZH15"/>
      <c r="SZI15"/>
      <c r="SZJ15"/>
      <c r="SZK15"/>
      <c r="SZL15"/>
      <c r="SZM15"/>
      <c r="SZN15"/>
      <c r="SZO15"/>
      <c r="SZP15"/>
      <c r="SZQ15"/>
      <c r="SZR15"/>
      <c r="SZS15"/>
      <c r="SZT15"/>
      <c r="SZU15"/>
      <c r="SZV15"/>
      <c r="SZW15"/>
      <c r="SZX15"/>
      <c r="SZY15"/>
      <c r="SZZ15"/>
      <c r="TAA15"/>
      <c r="TAB15"/>
      <c r="TAC15"/>
      <c r="TAD15"/>
      <c r="TAE15"/>
      <c r="TAF15"/>
      <c r="TAG15"/>
      <c r="TAH15"/>
      <c r="TAI15"/>
      <c r="TAJ15"/>
      <c r="TAK15"/>
      <c r="TAL15"/>
      <c r="TAM15"/>
      <c r="TAN15"/>
      <c r="TAO15"/>
      <c r="TAP15"/>
      <c r="TAQ15"/>
      <c r="TAR15"/>
      <c r="TAS15"/>
      <c r="TAT15"/>
      <c r="TAU15"/>
      <c r="TAV15"/>
      <c r="TAW15"/>
      <c r="TAX15"/>
      <c r="TAY15"/>
      <c r="TAZ15"/>
      <c r="TBA15"/>
      <c r="TBB15"/>
      <c r="TBC15"/>
      <c r="TBD15"/>
      <c r="TBE15"/>
      <c r="TBF15"/>
      <c r="TBG15"/>
      <c r="TBH15"/>
      <c r="TBI15"/>
      <c r="TBJ15"/>
      <c r="TBK15"/>
      <c r="TBL15"/>
      <c r="TBM15"/>
      <c r="TBN15"/>
      <c r="TBO15"/>
      <c r="TBP15"/>
      <c r="TBQ15"/>
      <c r="TBR15"/>
      <c r="TBS15"/>
      <c r="TBT15"/>
      <c r="TBU15"/>
      <c r="TBV15"/>
      <c r="TBW15"/>
      <c r="TBX15"/>
      <c r="TBY15"/>
      <c r="TBZ15"/>
      <c r="TCA15"/>
      <c r="TCB15"/>
      <c r="TCC15"/>
      <c r="TCD15"/>
      <c r="TCE15"/>
      <c r="TCF15"/>
      <c r="TCG15"/>
      <c r="TCH15"/>
      <c r="TCI15"/>
      <c r="TCJ15"/>
      <c r="TCK15"/>
      <c r="TCL15"/>
      <c r="TCM15"/>
      <c r="TCN15"/>
      <c r="TCO15"/>
      <c r="TCP15"/>
      <c r="TCQ15"/>
      <c r="TCR15"/>
      <c r="TCS15"/>
      <c r="TCT15"/>
      <c r="TCU15"/>
      <c r="TCV15"/>
      <c r="TCW15"/>
      <c r="TCX15"/>
      <c r="TCY15"/>
      <c r="TCZ15"/>
      <c r="TDA15"/>
      <c r="TDB15"/>
      <c r="TDC15"/>
      <c r="TDD15"/>
      <c r="TDE15"/>
      <c r="TDF15"/>
      <c r="TDG15"/>
      <c r="TDH15"/>
      <c r="TDI15"/>
      <c r="TDJ15"/>
      <c r="TDK15"/>
      <c r="TDL15"/>
      <c r="TDM15"/>
      <c r="TDN15"/>
      <c r="TDO15"/>
      <c r="TDP15"/>
      <c r="TDQ15"/>
      <c r="TDR15"/>
      <c r="TDS15"/>
      <c r="TDT15"/>
      <c r="TDU15"/>
      <c r="TDV15"/>
      <c r="TDW15"/>
      <c r="TDX15"/>
      <c r="TDY15"/>
      <c r="TDZ15"/>
      <c r="TEA15"/>
      <c r="TEB15"/>
      <c r="TEC15"/>
      <c r="TED15"/>
      <c r="TEE15"/>
      <c r="TEF15"/>
      <c r="TEG15"/>
      <c r="TEH15"/>
      <c r="TEI15"/>
      <c r="TEJ15"/>
      <c r="TEK15"/>
      <c r="TEL15"/>
      <c r="TEM15"/>
      <c r="TEN15"/>
      <c r="TEO15"/>
      <c r="TEP15"/>
      <c r="TEQ15"/>
      <c r="TER15"/>
      <c r="TES15"/>
      <c r="TET15"/>
      <c r="TEU15"/>
      <c r="TEV15"/>
      <c r="TEW15"/>
      <c r="TEX15"/>
      <c r="TEY15"/>
      <c r="TEZ15"/>
      <c r="TFA15"/>
      <c r="TFB15"/>
      <c r="TFC15"/>
      <c r="TFD15"/>
      <c r="TFE15"/>
      <c r="TFF15"/>
      <c r="TFG15"/>
      <c r="TFH15"/>
      <c r="TFI15"/>
      <c r="TFJ15"/>
      <c r="TFK15"/>
      <c r="TFL15"/>
      <c r="TFM15"/>
      <c r="TFN15"/>
      <c r="TFO15"/>
      <c r="TFP15"/>
      <c r="TFQ15"/>
      <c r="TFR15"/>
      <c r="TFS15"/>
      <c r="TFT15"/>
      <c r="TFU15"/>
      <c r="TFV15"/>
      <c r="TFW15"/>
      <c r="TFX15"/>
      <c r="TFY15"/>
      <c r="TFZ15"/>
      <c r="TGA15"/>
      <c r="TGB15"/>
      <c r="TGC15"/>
      <c r="TGD15"/>
      <c r="TGE15"/>
      <c r="TGF15"/>
      <c r="TGG15"/>
      <c r="TGH15"/>
      <c r="TGI15"/>
      <c r="TGJ15"/>
      <c r="TGK15"/>
      <c r="TGL15"/>
      <c r="TGM15"/>
      <c r="TGN15"/>
      <c r="TGO15"/>
      <c r="TGP15"/>
      <c r="TGQ15"/>
      <c r="TGR15"/>
      <c r="TGS15"/>
      <c r="TGT15"/>
      <c r="TGU15"/>
      <c r="TGV15"/>
      <c r="TGW15"/>
      <c r="TGX15"/>
      <c r="TGY15"/>
      <c r="TGZ15"/>
      <c r="THA15"/>
      <c r="THB15"/>
      <c r="THC15"/>
      <c r="THD15"/>
      <c r="THE15"/>
      <c r="THF15"/>
      <c r="THG15"/>
      <c r="THH15"/>
      <c r="THI15"/>
      <c r="THJ15"/>
      <c r="THK15"/>
      <c r="THL15"/>
      <c r="THM15"/>
      <c r="THN15"/>
      <c r="THO15"/>
      <c r="THP15"/>
      <c r="THQ15"/>
      <c r="THR15"/>
      <c r="THS15"/>
      <c r="THT15"/>
      <c r="THU15"/>
      <c r="THV15"/>
      <c r="THW15"/>
      <c r="THX15"/>
      <c r="THY15"/>
      <c r="THZ15"/>
      <c r="TIA15"/>
      <c r="TIB15"/>
      <c r="TIC15"/>
      <c r="TID15"/>
      <c r="TIE15"/>
      <c r="TIF15"/>
      <c r="TIG15"/>
      <c r="TIH15"/>
      <c r="TII15"/>
      <c r="TIJ15"/>
      <c r="TIK15"/>
      <c r="TIL15"/>
      <c r="TIM15"/>
      <c r="TIN15"/>
      <c r="TIO15"/>
      <c r="TIP15"/>
      <c r="TIQ15"/>
      <c r="TIR15"/>
      <c r="TIS15"/>
      <c r="TIT15"/>
      <c r="TIU15"/>
      <c r="TIV15"/>
      <c r="TIW15"/>
      <c r="TIX15"/>
      <c r="TIY15"/>
      <c r="TIZ15"/>
      <c r="TJA15"/>
      <c r="TJB15"/>
      <c r="TJC15"/>
      <c r="TJD15"/>
      <c r="TJE15"/>
      <c r="TJF15"/>
      <c r="TJG15"/>
      <c r="TJH15"/>
      <c r="TJI15"/>
      <c r="TJJ15"/>
      <c r="TJK15"/>
      <c r="TJL15"/>
      <c r="TJM15"/>
      <c r="TJN15"/>
      <c r="TJO15"/>
      <c r="TJP15"/>
      <c r="TJQ15"/>
      <c r="TJR15"/>
      <c r="TJS15"/>
      <c r="TJT15"/>
      <c r="TJU15"/>
      <c r="TJV15"/>
      <c r="TJW15"/>
      <c r="TJX15"/>
      <c r="TJY15"/>
      <c r="TJZ15"/>
      <c r="TKA15"/>
      <c r="TKB15"/>
      <c r="TKC15"/>
      <c r="TKD15"/>
      <c r="TKE15"/>
      <c r="TKF15"/>
      <c r="TKG15"/>
      <c r="TKH15"/>
      <c r="TKI15"/>
      <c r="TKJ15"/>
      <c r="TKK15"/>
      <c r="TKL15"/>
      <c r="TKM15"/>
      <c r="TKN15"/>
      <c r="TKO15"/>
      <c r="TKP15"/>
      <c r="TKQ15"/>
      <c r="TKR15"/>
      <c r="TKS15"/>
      <c r="TKT15"/>
      <c r="TKU15"/>
      <c r="TKV15"/>
      <c r="TKW15"/>
      <c r="TKX15"/>
      <c r="TKY15"/>
      <c r="TKZ15"/>
      <c r="TLA15"/>
      <c r="TLB15"/>
      <c r="TLC15"/>
      <c r="TLD15"/>
      <c r="TLE15"/>
      <c r="TLF15"/>
      <c r="TLG15"/>
      <c r="TLH15"/>
      <c r="TLI15"/>
      <c r="TLJ15"/>
      <c r="TLK15"/>
      <c r="TLL15"/>
      <c r="TLM15"/>
      <c r="TLN15"/>
      <c r="TLO15"/>
      <c r="TLP15"/>
      <c r="TLQ15"/>
      <c r="TLR15"/>
      <c r="TLS15"/>
      <c r="TLT15"/>
      <c r="TLU15"/>
      <c r="TLV15"/>
      <c r="TLW15"/>
      <c r="TLX15"/>
      <c r="TLY15"/>
      <c r="TLZ15"/>
      <c r="TMA15"/>
      <c r="TMB15"/>
      <c r="TMC15"/>
      <c r="TMD15"/>
      <c r="TME15"/>
      <c r="TMF15"/>
      <c r="TMG15"/>
      <c r="TMH15"/>
      <c r="TMI15"/>
      <c r="TMJ15"/>
      <c r="TMK15"/>
      <c r="TML15"/>
      <c r="TMM15"/>
      <c r="TMN15"/>
      <c r="TMO15"/>
      <c r="TMP15"/>
      <c r="TMQ15"/>
      <c r="TMR15"/>
      <c r="TMS15"/>
      <c r="TMT15"/>
      <c r="TMU15"/>
      <c r="TMV15"/>
      <c r="TMW15"/>
      <c r="TMX15"/>
      <c r="TMY15"/>
      <c r="TMZ15"/>
      <c r="TNA15"/>
      <c r="TNB15"/>
      <c r="TNC15"/>
      <c r="TND15"/>
      <c r="TNE15"/>
      <c r="TNF15"/>
      <c r="TNG15"/>
      <c r="TNH15"/>
      <c r="TNI15"/>
      <c r="TNJ15"/>
      <c r="TNK15"/>
      <c r="TNL15"/>
      <c r="TNM15"/>
      <c r="TNN15"/>
      <c r="TNO15"/>
      <c r="TNP15"/>
      <c r="TNQ15"/>
      <c r="TNR15"/>
      <c r="TNS15"/>
      <c r="TNT15"/>
      <c r="TNU15"/>
      <c r="TNV15"/>
      <c r="TNW15"/>
      <c r="TNX15"/>
      <c r="TNY15"/>
      <c r="TNZ15"/>
      <c r="TOA15"/>
      <c r="TOB15"/>
      <c r="TOC15"/>
      <c r="TOD15"/>
      <c r="TOE15"/>
      <c r="TOF15"/>
      <c r="TOG15"/>
      <c r="TOH15"/>
      <c r="TOI15"/>
      <c r="TOJ15"/>
      <c r="TOK15"/>
      <c r="TOL15"/>
      <c r="TOM15"/>
      <c r="TON15"/>
      <c r="TOO15"/>
      <c r="TOP15"/>
      <c r="TOQ15"/>
      <c r="TOR15"/>
      <c r="TOS15"/>
      <c r="TOT15"/>
      <c r="TOU15"/>
      <c r="TOV15"/>
      <c r="TOW15"/>
      <c r="TOX15"/>
      <c r="TOY15"/>
      <c r="TOZ15"/>
      <c r="TPA15"/>
      <c r="TPB15"/>
      <c r="TPC15"/>
      <c r="TPD15"/>
      <c r="TPE15"/>
      <c r="TPF15"/>
      <c r="TPG15"/>
      <c r="TPH15"/>
      <c r="TPI15"/>
      <c r="TPJ15"/>
      <c r="TPK15"/>
      <c r="TPL15"/>
      <c r="TPM15"/>
      <c r="TPN15"/>
      <c r="TPO15"/>
      <c r="TPP15"/>
      <c r="TPQ15"/>
      <c r="TPR15"/>
      <c r="TPS15"/>
      <c r="TPT15"/>
      <c r="TPU15"/>
      <c r="TPV15"/>
      <c r="TPW15"/>
      <c r="TPX15"/>
      <c r="TPY15"/>
      <c r="TPZ15"/>
      <c r="TQA15"/>
      <c r="TQB15"/>
      <c r="TQC15"/>
      <c r="TQD15"/>
      <c r="TQE15"/>
      <c r="TQF15"/>
      <c r="TQG15"/>
      <c r="TQH15"/>
      <c r="TQI15"/>
      <c r="TQJ15"/>
      <c r="TQK15"/>
      <c r="TQL15"/>
      <c r="TQM15"/>
      <c r="TQN15"/>
      <c r="TQO15"/>
      <c r="TQP15"/>
      <c r="TQQ15"/>
      <c r="TQR15"/>
      <c r="TQS15"/>
      <c r="TQT15"/>
      <c r="TQU15"/>
      <c r="TQV15"/>
      <c r="TQW15"/>
      <c r="TQX15"/>
      <c r="TQY15"/>
      <c r="TQZ15"/>
      <c r="TRA15"/>
      <c r="TRB15"/>
      <c r="TRC15"/>
      <c r="TRD15"/>
      <c r="TRE15"/>
      <c r="TRF15"/>
      <c r="TRG15"/>
      <c r="TRH15"/>
      <c r="TRI15"/>
      <c r="TRJ15"/>
      <c r="TRK15"/>
      <c r="TRL15"/>
      <c r="TRM15"/>
      <c r="TRN15"/>
      <c r="TRO15"/>
      <c r="TRP15"/>
      <c r="TRQ15"/>
      <c r="TRR15"/>
      <c r="TRS15"/>
      <c r="TRT15"/>
      <c r="TRU15"/>
      <c r="TRV15"/>
      <c r="TRW15"/>
      <c r="TRX15"/>
      <c r="TRY15"/>
      <c r="TRZ15"/>
      <c r="TSA15"/>
      <c r="TSB15"/>
      <c r="TSC15"/>
      <c r="TSD15"/>
      <c r="TSE15"/>
      <c r="TSF15"/>
      <c r="TSG15"/>
      <c r="TSH15"/>
      <c r="TSI15"/>
      <c r="TSJ15"/>
      <c r="TSK15"/>
      <c r="TSL15"/>
      <c r="TSM15"/>
      <c r="TSN15"/>
      <c r="TSO15"/>
      <c r="TSP15"/>
      <c r="TSQ15"/>
      <c r="TSR15"/>
      <c r="TSS15"/>
      <c r="TST15"/>
      <c r="TSU15"/>
      <c r="TSV15"/>
      <c r="TSW15"/>
      <c r="TSX15"/>
      <c r="TSY15"/>
      <c r="TSZ15"/>
      <c r="TTA15"/>
      <c r="TTB15"/>
      <c r="TTC15"/>
      <c r="TTD15"/>
      <c r="TTE15"/>
      <c r="TTF15"/>
      <c r="TTG15"/>
      <c r="TTH15"/>
      <c r="TTI15"/>
      <c r="TTJ15"/>
      <c r="TTK15"/>
      <c r="TTL15"/>
      <c r="TTM15"/>
      <c r="TTN15"/>
      <c r="TTO15"/>
      <c r="TTP15"/>
      <c r="TTQ15"/>
      <c r="TTR15"/>
      <c r="TTS15"/>
      <c r="TTT15"/>
      <c r="TTU15"/>
      <c r="TTV15"/>
      <c r="TTW15"/>
      <c r="TTX15"/>
      <c r="TTY15"/>
      <c r="TTZ15"/>
      <c r="TUA15"/>
      <c r="TUB15"/>
      <c r="TUC15"/>
      <c r="TUD15"/>
      <c r="TUE15"/>
      <c r="TUF15"/>
      <c r="TUG15"/>
      <c r="TUH15"/>
      <c r="TUI15"/>
      <c r="TUJ15"/>
      <c r="TUK15"/>
      <c r="TUL15"/>
      <c r="TUM15"/>
      <c r="TUN15"/>
      <c r="TUO15"/>
      <c r="TUP15"/>
      <c r="TUQ15"/>
      <c r="TUR15"/>
      <c r="TUS15"/>
      <c r="TUT15"/>
      <c r="TUU15"/>
      <c r="TUV15"/>
      <c r="TUW15"/>
      <c r="TUX15"/>
      <c r="TUY15"/>
      <c r="TUZ15"/>
      <c r="TVA15"/>
      <c r="TVB15"/>
      <c r="TVC15"/>
      <c r="TVD15"/>
      <c r="TVE15"/>
      <c r="TVF15"/>
      <c r="TVG15"/>
      <c r="TVH15"/>
      <c r="TVI15"/>
      <c r="TVJ15"/>
      <c r="TVK15"/>
      <c r="TVL15"/>
      <c r="TVM15"/>
      <c r="TVN15"/>
      <c r="TVO15"/>
      <c r="TVP15"/>
      <c r="TVQ15"/>
      <c r="TVR15"/>
      <c r="TVS15"/>
      <c r="TVT15"/>
      <c r="TVU15"/>
      <c r="TVV15"/>
      <c r="TVW15"/>
      <c r="TVX15"/>
      <c r="TVY15"/>
      <c r="TVZ15"/>
      <c r="TWA15"/>
      <c r="TWB15"/>
      <c r="TWC15"/>
      <c r="TWD15"/>
      <c r="TWE15"/>
      <c r="TWF15"/>
      <c r="TWG15"/>
      <c r="TWH15"/>
      <c r="TWI15"/>
      <c r="TWJ15"/>
      <c r="TWK15"/>
      <c r="TWL15"/>
      <c r="TWM15"/>
      <c r="TWN15"/>
      <c r="TWO15"/>
      <c r="TWP15"/>
      <c r="TWQ15"/>
      <c r="TWR15"/>
      <c r="TWS15"/>
      <c r="TWT15"/>
      <c r="TWU15"/>
      <c r="TWV15"/>
      <c r="TWW15"/>
      <c r="TWX15"/>
      <c r="TWY15"/>
      <c r="TWZ15"/>
      <c r="TXA15"/>
      <c r="TXB15"/>
      <c r="TXC15"/>
      <c r="TXD15"/>
      <c r="TXE15"/>
      <c r="TXF15"/>
      <c r="TXG15"/>
      <c r="TXH15"/>
      <c r="TXI15"/>
      <c r="TXJ15"/>
      <c r="TXK15"/>
      <c r="TXL15"/>
      <c r="TXM15"/>
      <c r="TXN15"/>
      <c r="TXO15"/>
      <c r="TXP15"/>
      <c r="TXQ15"/>
      <c r="TXR15"/>
      <c r="TXS15"/>
      <c r="TXT15"/>
      <c r="TXU15"/>
      <c r="TXV15"/>
      <c r="TXW15"/>
      <c r="TXX15"/>
      <c r="TXY15"/>
      <c r="TXZ15"/>
      <c r="TYA15"/>
      <c r="TYB15"/>
      <c r="TYC15"/>
      <c r="TYD15"/>
      <c r="TYE15"/>
      <c r="TYF15"/>
      <c r="TYG15"/>
      <c r="TYH15"/>
      <c r="TYI15"/>
      <c r="TYJ15"/>
      <c r="TYK15"/>
      <c r="TYL15"/>
      <c r="TYM15"/>
      <c r="TYN15"/>
      <c r="TYO15"/>
      <c r="TYP15"/>
      <c r="TYQ15"/>
      <c r="TYR15"/>
      <c r="TYS15"/>
      <c r="TYT15"/>
      <c r="TYU15"/>
      <c r="TYV15"/>
      <c r="TYW15"/>
      <c r="TYX15"/>
      <c r="TYY15"/>
      <c r="TYZ15"/>
      <c r="TZA15"/>
      <c r="TZB15"/>
      <c r="TZC15"/>
      <c r="TZD15"/>
      <c r="TZE15"/>
      <c r="TZF15"/>
      <c r="TZG15"/>
      <c r="TZH15"/>
      <c r="TZI15"/>
      <c r="TZJ15"/>
      <c r="TZK15"/>
      <c r="TZL15"/>
      <c r="TZM15"/>
      <c r="TZN15"/>
      <c r="TZO15"/>
      <c r="TZP15"/>
      <c r="TZQ15"/>
      <c r="TZR15"/>
      <c r="TZS15"/>
      <c r="TZT15"/>
      <c r="TZU15"/>
      <c r="TZV15"/>
      <c r="TZW15"/>
      <c r="TZX15"/>
      <c r="TZY15"/>
      <c r="TZZ15"/>
      <c r="UAA15"/>
      <c r="UAB15"/>
      <c r="UAC15"/>
      <c r="UAD15"/>
      <c r="UAE15"/>
      <c r="UAF15"/>
      <c r="UAG15"/>
      <c r="UAH15"/>
      <c r="UAI15"/>
      <c r="UAJ15"/>
      <c r="UAK15"/>
      <c r="UAL15"/>
      <c r="UAM15"/>
      <c r="UAN15"/>
      <c r="UAO15"/>
      <c r="UAP15"/>
      <c r="UAQ15"/>
      <c r="UAR15"/>
      <c r="UAS15"/>
      <c r="UAT15"/>
      <c r="UAU15"/>
      <c r="UAV15"/>
      <c r="UAW15"/>
      <c r="UAX15"/>
      <c r="UAY15"/>
      <c r="UAZ15"/>
      <c r="UBA15"/>
      <c r="UBB15"/>
      <c r="UBC15"/>
      <c r="UBD15"/>
      <c r="UBE15"/>
      <c r="UBF15"/>
      <c r="UBG15"/>
      <c r="UBH15"/>
      <c r="UBI15"/>
      <c r="UBJ15"/>
      <c r="UBK15"/>
      <c r="UBL15"/>
      <c r="UBM15"/>
      <c r="UBN15"/>
      <c r="UBO15"/>
      <c r="UBP15"/>
      <c r="UBQ15"/>
      <c r="UBR15"/>
      <c r="UBS15"/>
      <c r="UBT15"/>
      <c r="UBU15"/>
      <c r="UBV15"/>
      <c r="UBW15"/>
      <c r="UBX15"/>
      <c r="UBY15"/>
      <c r="UBZ15"/>
      <c r="UCA15"/>
      <c r="UCB15"/>
      <c r="UCC15"/>
      <c r="UCD15"/>
      <c r="UCE15"/>
      <c r="UCF15"/>
      <c r="UCG15"/>
      <c r="UCH15"/>
      <c r="UCI15"/>
      <c r="UCJ15"/>
      <c r="UCK15"/>
      <c r="UCL15"/>
      <c r="UCM15"/>
      <c r="UCN15"/>
      <c r="UCO15"/>
      <c r="UCP15"/>
      <c r="UCQ15"/>
      <c r="UCR15"/>
      <c r="UCS15"/>
      <c r="UCT15"/>
      <c r="UCU15"/>
      <c r="UCV15"/>
      <c r="UCW15"/>
      <c r="UCX15"/>
      <c r="UCY15"/>
      <c r="UCZ15"/>
      <c r="UDA15"/>
      <c r="UDB15"/>
      <c r="UDC15"/>
      <c r="UDD15"/>
      <c r="UDE15"/>
      <c r="UDF15"/>
      <c r="UDG15"/>
      <c r="UDH15"/>
      <c r="UDI15"/>
      <c r="UDJ15"/>
      <c r="UDK15"/>
      <c r="UDL15"/>
      <c r="UDM15"/>
      <c r="UDN15"/>
      <c r="UDO15"/>
      <c r="UDP15"/>
      <c r="UDQ15"/>
      <c r="UDR15"/>
      <c r="UDS15"/>
      <c r="UDT15"/>
      <c r="UDU15"/>
      <c r="UDV15"/>
      <c r="UDW15"/>
      <c r="UDX15"/>
      <c r="UDY15"/>
      <c r="UDZ15"/>
      <c r="UEA15"/>
      <c r="UEB15"/>
      <c r="UEC15"/>
      <c r="UED15"/>
      <c r="UEE15"/>
      <c r="UEF15"/>
      <c r="UEG15"/>
      <c r="UEH15"/>
      <c r="UEI15"/>
      <c r="UEJ15"/>
      <c r="UEK15"/>
      <c r="UEL15"/>
      <c r="UEM15"/>
      <c r="UEN15"/>
      <c r="UEO15"/>
      <c r="UEP15"/>
      <c r="UEQ15"/>
      <c r="UER15"/>
      <c r="UES15"/>
      <c r="UET15"/>
      <c r="UEU15"/>
      <c r="UEV15"/>
      <c r="UEW15"/>
      <c r="UEX15"/>
      <c r="UEY15"/>
      <c r="UEZ15"/>
      <c r="UFA15"/>
      <c r="UFB15"/>
      <c r="UFC15"/>
      <c r="UFD15"/>
      <c r="UFE15"/>
      <c r="UFF15"/>
      <c r="UFG15"/>
      <c r="UFH15"/>
      <c r="UFI15"/>
      <c r="UFJ15"/>
      <c r="UFK15"/>
      <c r="UFL15"/>
      <c r="UFM15"/>
      <c r="UFN15"/>
      <c r="UFO15"/>
      <c r="UFP15"/>
      <c r="UFQ15"/>
      <c r="UFR15"/>
      <c r="UFS15"/>
      <c r="UFT15"/>
      <c r="UFU15"/>
      <c r="UFV15"/>
      <c r="UFW15"/>
      <c r="UFX15"/>
      <c r="UFY15"/>
      <c r="UFZ15"/>
      <c r="UGA15"/>
      <c r="UGB15"/>
      <c r="UGC15"/>
      <c r="UGD15"/>
      <c r="UGE15"/>
      <c r="UGF15"/>
      <c r="UGG15"/>
      <c r="UGH15"/>
      <c r="UGI15"/>
      <c r="UGJ15"/>
      <c r="UGK15"/>
      <c r="UGL15"/>
      <c r="UGM15"/>
      <c r="UGN15"/>
      <c r="UGO15"/>
      <c r="UGP15"/>
      <c r="UGQ15"/>
      <c r="UGR15"/>
      <c r="UGS15"/>
      <c r="UGT15"/>
      <c r="UGU15"/>
      <c r="UGV15"/>
      <c r="UGW15"/>
      <c r="UGX15"/>
      <c r="UGY15"/>
      <c r="UGZ15"/>
      <c r="UHA15"/>
      <c r="UHB15"/>
      <c r="UHC15"/>
      <c r="UHD15"/>
      <c r="UHE15"/>
      <c r="UHF15"/>
      <c r="UHG15"/>
      <c r="UHH15"/>
      <c r="UHI15"/>
      <c r="UHJ15"/>
      <c r="UHK15"/>
      <c r="UHL15"/>
      <c r="UHM15"/>
      <c r="UHN15"/>
      <c r="UHO15"/>
      <c r="UHP15"/>
      <c r="UHQ15"/>
      <c r="UHR15"/>
      <c r="UHS15"/>
      <c r="UHT15"/>
      <c r="UHU15"/>
      <c r="UHV15"/>
      <c r="UHW15"/>
      <c r="UHX15"/>
      <c r="UHY15"/>
      <c r="UHZ15"/>
      <c r="UIA15"/>
      <c r="UIB15"/>
      <c r="UIC15"/>
      <c r="UID15"/>
      <c r="UIE15"/>
      <c r="UIF15"/>
      <c r="UIG15"/>
      <c r="UIH15"/>
      <c r="UII15"/>
      <c r="UIJ15"/>
      <c r="UIK15"/>
      <c r="UIL15"/>
      <c r="UIM15"/>
      <c r="UIN15"/>
      <c r="UIO15"/>
      <c r="UIP15"/>
      <c r="UIQ15"/>
      <c r="UIR15"/>
      <c r="UIS15"/>
      <c r="UIT15"/>
      <c r="UIU15"/>
      <c r="UIV15"/>
      <c r="UIW15"/>
      <c r="UIX15"/>
      <c r="UIY15"/>
      <c r="UIZ15"/>
      <c r="UJA15"/>
      <c r="UJB15"/>
      <c r="UJC15"/>
      <c r="UJD15"/>
      <c r="UJE15"/>
      <c r="UJF15"/>
      <c r="UJG15"/>
      <c r="UJH15"/>
      <c r="UJI15"/>
      <c r="UJJ15"/>
      <c r="UJK15"/>
      <c r="UJL15"/>
      <c r="UJM15"/>
      <c r="UJN15"/>
      <c r="UJO15"/>
      <c r="UJP15"/>
      <c r="UJQ15"/>
      <c r="UJR15"/>
      <c r="UJS15"/>
      <c r="UJT15"/>
      <c r="UJU15"/>
      <c r="UJV15"/>
      <c r="UJW15"/>
      <c r="UJX15"/>
      <c r="UJY15"/>
      <c r="UJZ15"/>
      <c r="UKA15"/>
      <c r="UKB15"/>
      <c r="UKC15"/>
      <c r="UKD15"/>
      <c r="UKE15"/>
      <c r="UKF15"/>
      <c r="UKG15"/>
      <c r="UKH15"/>
      <c r="UKI15"/>
      <c r="UKJ15"/>
      <c r="UKK15"/>
      <c r="UKL15"/>
      <c r="UKM15"/>
      <c r="UKN15"/>
      <c r="UKO15"/>
      <c r="UKP15"/>
      <c r="UKQ15"/>
      <c r="UKR15"/>
      <c r="UKS15"/>
      <c r="UKT15"/>
      <c r="UKU15"/>
      <c r="UKV15"/>
      <c r="UKW15"/>
      <c r="UKX15"/>
      <c r="UKY15"/>
      <c r="UKZ15"/>
      <c r="ULA15"/>
      <c r="ULB15"/>
      <c r="ULC15"/>
      <c r="ULD15"/>
      <c r="ULE15"/>
      <c r="ULF15"/>
      <c r="ULG15"/>
      <c r="ULH15"/>
      <c r="ULI15"/>
      <c r="ULJ15"/>
      <c r="ULK15"/>
      <c r="ULL15"/>
      <c r="ULM15"/>
      <c r="ULN15"/>
      <c r="ULO15"/>
      <c r="ULP15"/>
      <c r="ULQ15"/>
      <c r="ULR15"/>
      <c r="ULS15"/>
      <c r="ULT15"/>
      <c r="ULU15"/>
      <c r="ULV15"/>
      <c r="ULW15"/>
      <c r="ULX15"/>
      <c r="ULY15"/>
      <c r="ULZ15"/>
      <c r="UMA15"/>
      <c r="UMB15"/>
      <c r="UMC15"/>
      <c r="UMD15"/>
      <c r="UME15"/>
      <c r="UMF15"/>
      <c r="UMG15"/>
      <c r="UMH15"/>
      <c r="UMI15"/>
      <c r="UMJ15"/>
      <c r="UMK15"/>
      <c r="UML15"/>
      <c r="UMM15"/>
      <c r="UMN15"/>
      <c r="UMO15"/>
      <c r="UMP15"/>
      <c r="UMQ15"/>
      <c r="UMR15"/>
      <c r="UMS15"/>
      <c r="UMT15"/>
      <c r="UMU15"/>
      <c r="UMV15"/>
      <c r="UMW15"/>
      <c r="UMX15"/>
      <c r="UMY15"/>
      <c r="UMZ15"/>
      <c r="UNA15"/>
      <c r="UNB15"/>
      <c r="UNC15"/>
      <c r="UND15"/>
      <c r="UNE15"/>
      <c r="UNF15"/>
      <c r="UNG15"/>
      <c r="UNH15"/>
      <c r="UNI15"/>
      <c r="UNJ15"/>
      <c r="UNK15"/>
      <c r="UNL15"/>
      <c r="UNM15"/>
      <c r="UNN15"/>
      <c r="UNO15"/>
      <c r="UNP15"/>
      <c r="UNQ15"/>
      <c r="UNR15"/>
      <c r="UNS15"/>
      <c r="UNT15"/>
      <c r="UNU15"/>
      <c r="UNV15"/>
      <c r="UNW15"/>
      <c r="UNX15"/>
      <c r="UNY15"/>
      <c r="UNZ15"/>
      <c r="UOA15"/>
      <c r="UOB15"/>
      <c r="UOC15"/>
      <c r="UOD15"/>
      <c r="UOE15"/>
      <c r="UOF15"/>
      <c r="UOG15"/>
      <c r="UOH15"/>
      <c r="UOI15"/>
      <c r="UOJ15"/>
      <c r="UOK15"/>
      <c r="UOL15"/>
      <c r="UOM15"/>
      <c r="UON15"/>
      <c r="UOO15"/>
      <c r="UOP15"/>
      <c r="UOQ15"/>
      <c r="UOR15"/>
      <c r="UOS15"/>
      <c r="UOT15"/>
      <c r="UOU15"/>
      <c r="UOV15"/>
      <c r="UOW15"/>
      <c r="UOX15"/>
      <c r="UOY15"/>
      <c r="UOZ15"/>
      <c r="UPA15"/>
      <c r="UPB15"/>
      <c r="UPC15"/>
      <c r="UPD15"/>
      <c r="UPE15"/>
      <c r="UPF15"/>
      <c r="UPG15"/>
      <c r="UPH15"/>
      <c r="UPI15"/>
      <c r="UPJ15"/>
      <c r="UPK15"/>
      <c r="UPL15"/>
      <c r="UPM15"/>
      <c r="UPN15"/>
      <c r="UPO15"/>
      <c r="UPP15"/>
      <c r="UPQ15"/>
      <c r="UPR15"/>
      <c r="UPS15"/>
      <c r="UPT15"/>
      <c r="UPU15"/>
      <c r="UPV15"/>
      <c r="UPW15"/>
      <c r="UPX15"/>
      <c r="UPY15"/>
      <c r="UPZ15"/>
      <c r="UQA15"/>
      <c r="UQB15"/>
      <c r="UQC15"/>
      <c r="UQD15"/>
      <c r="UQE15"/>
      <c r="UQF15"/>
      <c r="UQG15"/>
      <c r="UQH15"/>
      <c r="UQI15"/>
      <c r="UQJ15"/>
      <c r="UQK15"/>
      <c r="UQL15"/>
      <c r="UQM15"/>
      <c r="UQN15"/>
      <c r="UQO15"/>
      <c r="UQP15"/>
      <c r="UQQ15"/>
      <c r="UQR15"/>
      <c r="UQS15"/>
      <c r="UQT15"/>
      <c r="UQU15"/>
      <c r="UQV15"/>
      <c r="UQW15"/>
      <c r="UQX15"/>
      <c r="UQY15"/>
      <c r="UQZ15"/>
      <c r="URA15"/>
      <c r="URB15"/>
      <c r="URC15"/>
      <c r="URD15"/>
      <c r="URE15"/>
      <c r="URF15"/>
      <c r="URG15"/>
      <c r="URH15"/>
      <c r="URI15"/>
      <c r="URJ15"/>
      <c r="URK15"/>
      <c r="URL15"/>
      <c r="URM15"/>
      <c r="URN15"/>
      <c r="URO15"/>
      <c r="URP15"/>
      <c r="URQ15"/>
      <c r="URR15"/>
      <c r="URS15"/>
      <c r="URT15"/>
      <c r="URU15"/>
      <c r="URV15"/>
      <c r="URW15"/>
      <c r="URX15"/>
      <c r="URY15"/>
      <c r="URZ15"/>
      <c r="USA15"/>
      <c r="USB15"/>
      <c r="USC15"/>
      <c r="USD15"/>
      <c r="USE15"/>
      <c r="USF15"/>
      <c r="USG15"/>
      <c r="USH15"/>
      <c r="USI15"/>
      <c r="USJ15"/>
      <c r="USK15"/>
      <c r="USL15"/>
      <c r="USM15"/>
      <c r="USN15"/>
      <c r="USO15"/>
      <c r="USP15"/>
      <c r="USQ15"/>
      <c r="USR15"/>
      <c r="USS15"/>
      <c r="UST15"/>
      <c r="USU15"/>
      <c r="USV15"/>
      <c r="USW15"/>
      <c r="USX15"/>
      <c r="USY15"/>
      <c r="USZ15"/>
      <c r="UTA15"/>
      <c r="UTB15"/>
      <c r="UTC15"/>
      <c r="UTD15"/>
      <c r="UTE15"/>
      <c r="UTF15"/>
      <c r="UTG15"/>
      <c r="UTH15"/>
      <c r="UTI15"/>
      <c r="UTJ15"/>
      <c r="UTK15"/>
      <c r="UTL15"/>
      <c r="UTM15"/>
      <c r="UTN15"/>
      <c r="UTO15"/>
      <c r="UTP15"/>
      <c r="UTQ15"/>
      <c r="UTR15"/>
      <c r="UTS15"/>
      <c r="UTT15"/>
      <c r="UTU15"/>
      <c r="UTV15"/>
      <c r="UTW15"/>
      <c r="UTX15"/>
      <c r="UTY15"/>
      <c r="UTZ15"/>
      <c r="UUA15"/>
      <c r="UUB15"/>
      <c r="UUC15"/>
      <c r="UUD15"/>
      <c r="UUE15"/>
      <c r="UUF15"/>
      <c r="UUG15"/>
      <c r="UUH15"/>
      <c r="UUI15"/>
      <c r="UUJ15"/>
      <c r="UUK15"/>
      <c r="UUL15"/>
      <c r="UUM15"/>
      <c r="UUN15"/>
      <c r="UUO15"/>
      <c r="UUP15"/>
      <c r="UUQ15"/>
      <c r="UUR15"/>
      <c r="UUS15"/>
      <c r="UUT15"/>
      <c r="UUU15"/>
      <c r="UUV15"/>
      <c r="UUW15"/>
      <c r="UUX15"/>
      <c r="UUY15"/>
      <c r="UUZ15"/>
      <c r="UVA15"/>
      <c r="UVB15"/>
      <c r="UVC15"/>
      <c r="UVD15"/>
      <c r="UVE15"/>
      <c r="UVF15"/>
      <c r="UVG15"/>
      <c r="UVH15"/>
      <c r="UVI15"/>
      <c r="UVJ15"/>
      <c r="UVK15"/>
      <c r="UVL15"/>
      <c r="UVM15"/>
      <c r="UVN15"/>
      <c r="UVO15"/>
      <c r="UVP15"/>
      <c r="UVQ15"/>
      <c r="UVR15"/>
      <c r="UVS15"/>
      <c r="UVT15"/>
      <c r="UVU15"/>
      <c r="UVV15"/>
      <c r="UVW15"/>
      <c r="UVX15"/>
      <c r="UVY15"/>
      <c r="UVZ15"/>
      <c r="UWA15"/>
      <c r="UWB15"/>
      <c r="UWC15"/>
      <c r="UWD15"/>
      <c r="UWE15"/>
      <c r="UWF15"/>
      <c r="UWG15"/>
      <c r="UWH15"/>
      <c r="UWI15"/>
      <c r="UWJ15"/>
      <c r="UWK15"/>
      <c r="UWL15"/>
      <c r="UWM15"/>
      <c r="UWN15"/>
      <c r="UWO15"/>
      <c r="UWP15"/>
      <c r="UWQ15"/>
      <c r="UWR15"/>
      <c r="UWS15"/>
      <c r="UWT15"/>
      <c r="UWU15"/>
      <c r="UWV15"/>
      <c r="UWW15"/>
      <c r="UWX15"/>
      <c r="UWY15"/>
      <c r="UWZ15"/>
      <c r="UXA15"/>
      <c r="UXB15"/>
      <c r="UXC15"/>
      <c r="UXD15"/>
      <c r="UXE15"/>
      <c r="UXF15"/>
      <c r="UXG15"/>
      <c r="UXH15"/>
      <c r="UXI15"/>
      <c r="UXJ15"/>
      <c r="UXK15"/>
      <c r="UXL15"/>
      <c r="UXM15"/>
      <c r="UXN15"/>
      <c r="UXO15"/>
      <c r="UXP15"/>
      <c r="UXQ15"/>
      <c r="UXR15"/>
      <c r="UXS15"/>
      <c r="UXT15"/>
      <c r="UXU15"/>
      <c r="UXV15"/>
      <c r="UXW15"/>
      <c r="UXX15"/>
      <c r="UXY15"/>
      <c r="UXZ15"/>
      <c r="UYA15"/>
      <c r="UYB15"/>
      <c r="UYC15"/>
      <c r="UYD15"/>
      <c r="UYE15"/>
      <c r="UYF15"/>
      <c r="UYG15"/>
      <c r="UYH15"/>
      <c r="UYI15"/>
      <c r="UYJ15"/>
      <c r="UYK15"/>
      <c r="UYL15"/>
      <c r="UYM15"/>
      <c r="UYN15"/>
      <c r="UYO15"/>
      <c r="UYP15"/>
      <c r="UYQ15"/>
      <c r="UYR15"/>
      <c r="UYS15"/>
      <c r="UYT15"/>
      <c r="UYU15"/>
      <c r="UYV15"/>
      <c r="UYW15"/>
      <c r="UYX15"/>
      <c r="UYY15"/>
      <c r="UYZ15"/>
      <c r="UZA15"/>
      <c r="UZB15"/>
      <c r="UZC15"/>
      <c r="UZD15"/>
      <c r="UZE15"/>
      <c r="UZF15"/>
      <c r="UZG15"/>
      <c r="UZH15"/>
      <c r="UZI15"/>
      <c r="UZJ15"/>
      <c r="UZK15"/>
      <c r="UZL15"/>
      <c r="UZM15"/>
      <c r="UZN15"/>
      <c r="UZO15"/>
      <c r="UZP15"/>
      <c r="UZQ15"/>
      <c r="UZR15"/>
      <c r="UZS15"/>
      <c r="UZT15"/>
      <c r="UZU15"/>
      <c r="UZV15"/>
      <c r="UZW15"/>
      <c r="UZX15"/>
      <c r="UZY15"/>
      <c r="UZZ15"/>
      <c r="VAA15"/>
      <c r="VAB15"/>
      <c r="VAC15"/>
      <c r="VAD15"/>
      <c r="VAE15"/>
      <c r="VAF15"/>
      <c r="VAG15"/>
      <c r="VAH15"/>
      <c r="VAI15"/>
      <c r="VAJ15"/>
      <c r="VAK15"/>
      <c r="VAL15"/>
      <c r="VAM15"/>
      <c r="VAN15"/>
      <c r="VAO15"/>
      <c r="VAP15"/>
      <c r="VAQ15"/>
      <c r="VAR15"/>
      <c r="VAS15"/>
      <c r="VAT15"/>
      <c r="VAU15"/>
      <c r="VAV15"/>
      <c r="VAW15"/>
      <c r="VAX15"/>
      <c r="VAY15"/>
      <c r="VAZ15"/>
      <c r="VBA15"/>
      <c r="VBB15"/>
      <c r="VBC15"/>
      <c r="VBD15"/>
      <c r="VBE15"/>
      <c r="VBF15"/>
      <c r="VBG15"/>
      <c r="VBH15"/>
      <c r="VBI15"/>
      <c r="VBJ15"/>
      <c r="VBK15"/>
      <c r="VBL15"/>
      <c r="VBM15"/>
      <c r="VBN15"/>
      <c r="VBO15"/>
      <c r="VBP15"/>
      <c r="VBQ15"/>
      <c r="VBR15"/>
      <c r="VBS15"/>
      <c r="VBT15"/>
      <c r="VBU15"/>
      <c r="VBV15"/>
      <c r="VBW15"/>
      <c r="VBX15"/>
      <c r="VBY15"/>
      <c r="VBZ15"/>
      <c r="VCA15"/>
      <c r="VCB15"/>
      <c r="VCC15"/>
      <c r="VCD15"/>
      <c r="VCE15"/>
      <c r="VCF15"/>
      <c r="VCG15"/>
      <c r="VCH15"/>
      <c r="VCI15"/>
      <c r="VCJ15"/>
      <c r="VCK15"/>
      <c r="VCL15"/>
      <c r="VCM15"/>
      <c r="VCN15"/>
      <c r="VCO15"/>
      <c r="VCP15"/>
      <c r="VCQ15"/>
      <c r="VCR15"/>
      <c r="VCS15"/>
      <c r="VCT15"/>
      <c r="VCU15"/>
      <c r="VCV15"/>
      <c r="VCW15"/>
      <c r="VCX15"/>
      <c r="VCY15"/>
      <c r="VCZ15"/>
      <c r="VDA15"/>
      <c r="VDB15"/>
      <c r="VDC15"/>
      <c r="VDD15"/>
      <c r="VDE15"/>
      <c r="VDF15"/>
      <c r="VDG15"/>
      <c r="VDH15"/>
      <c r="VDI15"/>
      <c r="VDJ15"/>
      <c r="VDK15"/>
      <c r="VDL15"/>
      <c r="VDM15"/>
      <c r="VDN15"/>
      <c r="VDO15"/>
      <c r="VDP15"/>
      <c r="VDQ15"/>
      <c r="VDR15"/>
      <c r="VDS15"/>
      <c r="VDT15"/>
      <c r="VDU15"/>
      <c r="VDV15"/>
      <c r="VDW15"/>
      <c r="VDX15"/>
      <c r="VDY15"/>
      <c r="VDZ15"/>
      <c r="VEA15"/>
      <c r="VEB15"/>
      <c r="VEC15"/>
      <c r="VED15"/>
      <c r="VEE15"/>
      <c r="VEF15"/>
      <c r="VEG15"/>
      <c r="VEH15"/>
      <c r="VEI15"/>
      <c r="VEJ15"/>
      <c r="VEK15"/>
      <c r="VEL15"/>
      <c r="VEM15"/>
      <c r="VEN15"/>
      <c r="VEO15"/>
      <c r="VEP15"/>
      <c r="VEQ15"/>
      <c r="VER15"/>
      <c r="VES15"/>
      <c r="VET15"/>
      <c r="VEU15"/>
      <c r="VEV15"/>
      <c r="VEW15"/>
      <c r="VEX15"/>
      <c r="VEY15"/>
      <c r="VEZ15"/>
      <c r="VFA15"/>
      <c r="VFB15"/>
      <c r="VFC15"/>
      <c r="VFD15"/>
      <c r="VFE15"/>
      <c r="VFF15"/>
      <c r="VFG15"/>
      <c r="VFH15"/>
      <c r="VFI15"/>
      <c r="VFJ15"/>
      <c r="VFK15"/>
      <c r="VFL15"/>
      <c r="VFM15"/>
      <c r="VFN15"/>
      <c r="VFO15"/>
      <c r="VFP15"/>
      <c r="VFQ15"/>
      <c r="VFR15"/>
      <c r="VFS15"/>
      <c r="VFT15"/>
      <c r="VFU15"/>
      <c r="VFV15"/>
      <c r="VFW15"/>
      <c r="VFX15"/>
      <c r="VFY15"/>
      <c r="VFZ15"/>
      <c r="VGA15"/>
      <c r="VGB15"/>
      <c r="VGC15"/>
      <c r="VGD15"/>
      <c r="VGE15"/>
      <c r="VGF15"/>
      <c r="VGG15"/>
      <c r="VGH15"/>
      <c r="VGI15"/>
      <c r="VGJ15"/>
      <c r="VGK15"/>
      <c r="VGL15"/>
      <c r="VGM15"/>
      <c r="VGN15"/>
      <c r="VGO15"/>
      <c r="VGP15"/>
      <c r="VGQ15"/>
      <c r="VGR15"/>
      <c r="VGS15"/>
      <c r="VGT15"/>
      <c r="VGU15"/>
      <c r="VGV15"/>
      <c r="VGW15"/>
      <c r="VGX15"/>
      <c r="VGY15"/>
      <c r="VGZ15"/>
      <c r="VHA15"/>
      <c r="VHB15"/>
      <c r="VHC15"/>
      <c r="VHD15"/>
      <c r="VHE15"/>
      <c r="VHF15"/>
      <c r="VHG15"/>
      <c r="VHH15"/>
      <c r="VHI15"/>
      <c r="VHJ15"/>
      <c r="VHK15"/>
      <c r="VHL15"/>
      <c r="VHM15"/>
      <c r="VHN15"/>
      <c r="VHO15"/>
      <c r="VHP15"/>
      <c r="VHQ15"/>
      <c r="VHR15"/>
      <c r="VHS15"/>
      <c r="VHT15"/>
      <c r="VHU15"/>
      <c r="VHV15"/>
      <c r="VHW15"/>
      <c r="VHX15"/>
      <c r="VHY15"/>
      <c r="VHZ15"/>
      <c r="VIA15"/>
      <c r="VIB15"/>
      <c r="VIC15"/>
      <c r="VID15"/>
      <c r="VIE15"/>
      <c r="VIF15"/>
      <c r="VIG15"/>
      <c r="VIH15"/>
      <c r="VII15"/>
      <c r="VIJ15"/>
      <c r="VIK15"/>
      <c r="VIL15"/>
      <c r="VIM15"/>
      <c r="VIN15"/>
      <c r="VIO15"/>
      <c r="VIP15"/>
      <c r="VIQ15"/>
      <c r="VIR15"/>
      <c r="VIS15"/>
      <c r="VIT15"/>
      <c r="VIU15"/>
      <c r="VIV15"/>
      <c r="VIW15"/>
      <c r="VIX15"/>
      <c r="VIY15"/>
      <c r="VIZ15"/>
      <c r="VJA15"/>
      <c r="VJB15"/>
      <c r="VJC15"/>
      <c r="VJD15"/>
      <c r="VJE15"/>
      <c r="VJF15"/>
      <c r="VJG15"/>
      <c r="VJH15"/>
      <c r="VJI15"/>
      <c r="VJJ15"/>
      <c r="VJK15"/>
      <c r="VJL15"/>
      <c r="VJM15"/>
      <c r="VJN15"/>
      <c r="VJO15"/>
      <c r="VJP15"/>
      <c r="VJQ15"/>
      <c r="VJR15"/>
      <c r="VJS15"/>
      <c r="VJT15"/>
      <c r="VJU15"/>
      <c r="VJV15"/>
      <c r="VJW15"/>
      <c r="VJX15"/>
      <c r="VJY15"/>
      <c r="VJZ15"/>
      <c r="VKA15"/>
      <c r="VKB15"/>
      <c r="VKC15"/>
      <c r="VKD15"/>
      <c r="VKE15"/>
      <c r="VKF15"/>
      <c r="VKG15"/>
      <c r="VKH15"/>
      <c r="VKI15"/>
      <c r="VKJ15"/>
      <c r="VKK15"/>
      <c r="VKL15"/>
      <c r="VKM15"/>
      <c r="VKN15"/>
      <c r="VKO15"/>
      <c r="VKP15"/>
      <c r="VKQ15"/>
      <c r="VKR15"/>
      <c r="VKS15"/>
      <c r="VKT15"/>
      <c r="VKU15"/>
      <c r="VKV15"/>
      <c r="VKW15"/>
      <c r="VKX15"/>
      <c r="VKY15"/>
      <c r="VKZ15"/>
      <c r="VLA15"/>
      <c r="VLB15"/>
      <c r="VLC15"/>
      <c r="VLD15"/>
      <c r="VLE15"/>
      <c r="VLF15"/>
      <c r="VLG15"/>
      <c r="VLH15"/>
      <c r="VLI15"/>
      <c r="VLJ15"/>
      <c r="VLK15"/>
      <c r="VLL15"/>
      <c r="VLM15"/>
      <c r="VLN15"/>
      <c r="VLO15"/>
      <c r="VLP15"/>
      <c r="VLQ15"/>
      <c r="VLR15"/>
      <c r="VLS15"/>
      <c r="VLT15"/>
      <c r="VLU15"/>
      <c r="VLV15"/>
      <c r="VLW15"/>
      <c r="VLX15"/>
      <c r="VLY15"/>
      <c r="VLZ15"/>
      <c r="VMA15"/>
      <c r="VMB15"/>
      <c r="VMC15"/>
      <c r="VMD15"/>
      <c r="VME15"/>
      <c r="VMF15"/>
      <c r="VMG15"/>
      <c r="VMH15"/>
      <c r="VMI15"/>
      <c r="VMJ15"/>
      <c r="VMK15"/>
      <c r="VML15"/>
      <c r="VMM15"/>
      <c r="VMN15"/>
      <c r="VMO15"/>
      <c r="VMP15"/>
      <c r="VMQ15"/>
      <c r="VMR15"/>
      <c r="VMS15"/>
      <c r="VMT15"/>
      <c r="VMU15"/>
      <c r="VMV15"/>
      <c r="VMW15"/>
      <c r="VMX15"/>
      <c r="VMY15"/>
      <c r="VMZ15"/>
      <c r="VNA15"/>
      <c r="VNB15"/>
      <c r="VNC15"/>
      <c r="VND15"/>
      <c r="VNE15"/>
      <c r="VNF15"/>
      <c r="VNG15"/>
      <c r="VNH15"/>
      <c r="VNI15"/>
      <c r="VNJ15"/>
      <c r="VNK15"/>
      <c r="VNL15"/>
      <c r="VNM15"/>
      <c r="VNN15"/>
      <c r="VNO15"/>
      <c r="VNP15"/>
      <c r="VNQ15"/>
      <c r="VNR15"/>
      <c r="VNS15"/>
      <c r="VNT15"/>
      <c r="VNU15"/>
      <c r="VNV15"/>
      <c r="VNW15"/>
      <c r="VNX15"/>
      <c r="VNY15"/>
      <c r="VNZ15"/>
      <c r="VOA15"/>
      <c r="VOB15"/>
      <c r="VOC15"/>
      <c r="VOD15"/>
      <c r="VOE15"/>
      <c r="VOF15"/>
      <c r="VOG15"/>
      <c r="VOH15"/>
      <c r="VOI15"/>
      <c r="VOJ15"/>
      <c r="VOK15"/>
      <c r="VOL15"/>
      <c r="VOM15"/>
      <c r="VON15"/>
      <c r="VOO15"/>
      <c r="VOP15"/>
      <c r="VOQ15"/>
      <c r="VOR15"/>
      <c r="VOS15"/>
      <c r="VOT15"/>
      <c r="VOU15"/>
      <c r="VOV15"/>
      <c r="VOW15"/>
      <c r="VOX15"/>
      <c r="VOY15"/>
      <c r="VOZ15"/>
      <c r="VPA15"/>
      <c r="VPB15"/>
      <c r="VPC15"/>
      <c r="VPD15"/>
      <c r="VPE15"/>
      <c r="VPF15"/>
      <c r="VPG15"/>
      <c r="VPH15"/>
      <c r="VPI15"/>
      <c r="VPJ15"/>
      <c r="VPK15"/>
      <c r="VPL15"/>
      <c r="VPM15"/>
      <c r="VPN15"/>
      <c r="VPO15"/>
      <c r="VPP15"/>
      <c r="VPQ15"/>
      <c r="VPR15"/>
      <c r="VPS15"/>
      <c r="VPT15"/>
      <c r="VPU15"/>
      <c r="VPV15"/>
      <c r="VPW15"/>
      <c r="VPX15"/>
      <c r="VPY15"/>
      <c r="VPZ15"/>
      <c r="VQA15"/>
      <c r="VQB15"/>
      <c r="VQC15"/>
      <c r="VQD15"/>
      <c r="VQE15"/>
      <c r="VQF15"/>
      <c r="VQG15"/>
      <c r="VQH15"/>
      <c r="VQI15"/>
      <c r="VQJ15"/>
      <c r="VQK15"/>
      <c r="VQL15"/>
      <c r="VQM15"/>
      <c r="VQN15"/>
      <c r="VQO15"/>
      <c r="VQP15"/>
      <c r="VQQ15"/>
      <c r="VQR15"/>
      <c r="VQS15"/>
      <c r="VQT15"/>
      <c r="VQU15"/>
      <c r="VQV15"/>
      <c r="VQW15"/>
      <c r="VQX15"/>
      <c r="VQY15"/>
      <c r="VQZ15"/>
      <c r="VRA15"/>
      <c r="VRB15"/>
      <c r="VRC15"/>
      <c r="VRD15"/>
      <c r="VRE15"/>
      <c r="VRF15"/>
      <c r="VRG15"/>
      <c r="VRH15"/>
      <c r="VRI15"/>
      <c r="VRJ15"/>
      <c r="VRK15"/>
      <c r="VRL15"/>
      <c r="VRM15"/>
      <c r="VRN15"/>
      <c r="VRO15"/>
      <c r="VRP15"/>
      <c r="VRQ15"/>
      <c r="VRR15"/>
      <c r="VRS15"/>
      <c r="VRT15"/>
      <c r="VRU15"/>
      <c r="VRV15"/>
      <c r="VRW15"/>
      <c r="VRX15"/>
      <c r="VRY15"/>
      <c r="VRZ15"/>
      <c r="VSA15"/>
      <c r="VSB15"/>
      <c r="VSC15"/>
      <c r="VSD15"/>
      <c r="VSE15"/>
      <c r="VSF15"/>
      <c r="VSG15"/>
      <c r="VSH15"/>
      <c r="VSI15"/>
      <c r="VSJ15"/>
      <c r="VSK15"/>
      <c r="VSL15"/>
      <c r="VSM15"/>
      <c r="VSN15"/>
      <c r="VSO15"/>
      <c r="VSP15"/>
      <c r="VSQ15"/>
      <c r="VSR15"/>
      <c r="VSS15"/>
      <c r="VST15"/>
      <c r="VSU15"/>
      <c r="VSV15"/>
      <c r="VSW15"/>
      <c r="VSX15"/>
      <c r="VSY15"/>
      <c r="VSZ15"/>
      <c r="VTA15"/>
      <c r="VTB15"/>
      <c r="VTC15"/>
      <c r="VTD15"/>
      <c r="VTE15"/>
      <c r="VTF15"/>
      <c r="VTG15"/>
      <c r="VTH15"/>
      <c r="VTI15"/>
      <c r="VTJ15"/>
      <c r="VTK15"/>
      <c r="VTL15"/>
      <c r="VTM15"/>
      <c r="VTN15"/>
      <c r="VTO15"/>
      <c r="VTP15"/>
      <c r="VTQ15"/>
      <c r="VTR15"/>
      <c r="VTS15"/>
      <c r="VTT15"/>
      <c r="VTU15"/>
      <c r="VTV15"/>
      <c r="VTW15"/>
      <c r="VTX15"/>
      <c r="VTY15"/>
      <c r="VTZ15"/>
      <c r="VUA15"/>
      <c r="VUB15"/>
      <c r="VUC15"/>
      <c r="VUD15"/>
      <c r="VUE15"/>
      <c r="VUF15"/>
      <c r="VUG15"/>
      <c r="VUH15"/>
      <c r="VUI15"/>
      <c r="VUJ15"/>
      <c r="VUK15"/>
      <c r="VUL15"/>
      <c r="VUM15"/>
      <c r="VUN15"/>
      <c r="VUO15"/>
      <c r="VUP15"/>
      <c r="VUQ15"/>
      <c r="VUR15"/>
      <c r="VUS15"/>
      <c r="VUT15"/>
      <c r="VUU15"/>
      <c r="VUV15"/>
      <c r="VUW15"/>
      <c r="VUX15"/>
      <c r="VUY15"/>
      <c r="VUZ15"/>
      <c r="VVA15"/>
      <c r="VVB15"/>
      <c r="VVC15"/>
      <c r="VVD15"/>
      <c r="VVE15"/>
      <c r="VVF15"/>
      <c r="VVG15"/>
      <c r="VVH15"/>
      <c r="VVI15"/>
      <c r="VVJ15"/>
      <c r="VVK15"/>
      <c r="VVL15"/>
      <c r="VVM15"/>
      <c r="VVN15"/>
      <c r="VVO15"/>
      <c r="VVP15"/>
      <c r="VVQ15"/>
      <c r="VVR15"/>
      <c r="VVS15"/>
      <c r="VVT15"/>
      <c r="VVU15"/>
      <c r="VVV15"/>
      <c r="VVW15"/>
      <c r="VVX15"/>
      <c r="VVY15"/>
      <c r="VVZ15"/>
      <c r="VWA15"/>
      <c r="VWB15"/>
      <c r="VWC15"/>
      <c r="VWD15"/>
      <c r="VWE15"/>
      <c r="VWF15"/>
      <c r="VWG15"/>
      <c r="VWH15"/>
      <c r="VWI15"/>
      <c r="VWJ15"/>
      <c r="VWK15"/>
      <c r="VWL15"/>
      <c r="VWM15"/>
      <c r="VWN15"/>
      <c r="VWO15"/>
      <c r="VWP15"/>
      <c r="VWQ15"/>
      <c r="VWR15"/>
      <c r="VWS15"/>
      <c r="VWT15"/>
      <c r="VWU15"/>
      <c r="VWV15"/>
      <c r="VWW15"/>
      <c r="VWX15"/>
      <c r="VWY15"/>
      <c r="VWZ15"/>
      <c r="VXA15"/>
      <c r="VXB15"/>
      <c r="VXC15"/>
      <c r="VXD15"/>
      <c r="VXE15"/>
      <c r="VXF15"/>
      <c r="VXG15"/>
      <c r="VXH15"/>
      <c r="VXI15"/>
      <c r="VXJ15"/>
      <c r="VXK15"/>
      <c r="VXL15"/>
      <c r="VXM15"/>
      <c r="VXN15"/>
      <c r="VXO15"/>
      <c r="VXP15"/>
      <c r="VXQ15"/>
      <c r="VXR15"/>
      <c r="VXS15"/>
      <c r="VXT15"/>
      <c r="VXU15"/>
      <c r="VXV15"/>
      <c r="VXW15"/>
      <c r="VXX15"/>
      <c r="VXY15"/>
      <c r="VXZ15"/>
      <c r="VYA15"/>
      <c r="VYB15"/>
      <c r="VYC15"/>
      <c r="VYD15"/>
      <c r="VYE15"/>
      <c r="VYF15"/>
      <c r="VYG15"/>
      <c r="VYH15"/>
      <c r="VYI15"/>
      <c r="VYJ15"/>
      <c r="VYK15"/>
      <c r="VYL15"/>
      <c r="VYM15"/>
      <c r="VYN15"/>
      <c r="VYO15"/>
      <c r="VYP15"/>
      <c r="VYQ15"/>
      <c r="VYR15"/>
      <c r="VYS15"/>
      <c r="VYT15"/>
      <c r="VYU15"/>
      <c r="VYV15"/>
      <c r="VYW15"/>
      <c r="VYX15"/>
      <c r="VYY15"/>
      <c r="VYZ15"/>
      <c r="VZA15"/>
      <c r="VZB15"/>
      <c r="VZC15"/>
      <c r="VZD15"/>
      <c r="VZE15"/>
      <c r="VZF15"/>
      <c r="VZG15"/>
      <c r="VZH15"/>
      <c r="VZI15"/>
      <c r="VZJ15"/>
      <c r="VZK15"/>
      <c r="VZL15"/>
      <c r="VZM15"/>
      <c r="VZN15"/>
      <c r="VZO15"/>
      <c r="VZP15"/>
      <c r="VZQ15"/>
      <c r="VZR15"/>
      <c r="VZS15"/>
      <c r="VZT15"/>
      <c r="VZU15"/>
      <c r="VZV15"/>
      <c r="VZW15"/>
      <c r="VZX15"/>
      <c r="VZY15"/>
      <c r="VZZ15"/>
      <c r="WAA15"/>
      <c r="WAB15"/>
      <c r="WAC15"/>
      <c r="WAD15"/>
      <c r="WAE15"/>
      <c r="WAF15"/>
      <c r="WAG15"/>
      <c r="WAH15"/>
      <c r="WAI15"/>
      <c r="WAJ15"/>
      <c r="WAK15"/>
      <c r="WAL15"/>
      <c r="WAM15"/>
      <c r="WAN15"/>
      <c r="WAO15"/>
      <c r="WAP15"/>
      <c r="WAQ15"/>
      <c r="WAR15"/>
      <c r="WAS15"/>
      <c r="WAT15"/>
      <c r="WAU15"/>
      <c r="WAV15"/>
      <c r="WAW15"/>
      <c r="WAX15"/>
      <c r="WAY15"/>
      <c r="WAZ15"/>
      <c r="WBA15"/>
      <c r="WBB15"/>
      <c r="WBC15"/>
      <c r="WBD15"/>
      <c r="WBE15"/>
      <c r="WBF15"/>
      <c r="WBG15"/>
      <c r="WBH15"/>
      <c r="WBI15"/>
      <c r="WBJ15"/>
      <c r="WBK15"/>
      <c r="WBL15"/>
      <c r="WBM15"/>
      <c r="WBN15"/>
      <c r="WBO15"/>
      <c r="WBP15"/>
      <c r="WBQ15"/>
      <c r="WBR15"/>
      <c r="WBS15"/>
      <c r="WBT15"/>
      <c r="WBU15"/>
      <c r="WBV15"/>
      <c r="WBW15"/>
      <c r="WBX15"/>
      <c r="WBY15"/>
      <c r="WBZ15"/>
      <c r="WCA15"/>
      <c r="WCB15"/>
      <c r="WCC15"/>
      <c r="WCD15"/>
      <c r="WCE15"/>
      <c r="WCF15"/>
      <c r="WCG15"/>
      <c r="WCH15"/>
      <c r="WCI15"/>
      <c r="WCJ15"/>
      <c r="WCK15"/>
      <c r="WCL15"/>
      <c r="WCM15"/>
      <c r="WCN15"/>
      <c r="WCO15"/>
      <c r="WCP15"/>
      <c r="WCQ15"/>
      <c r="WCR15"/>
      <c r="WCS15"/>
      <c r="WCT15"/>
      <c r="WCU15"/>
      <c r="WCV15"/>
      <c r="WCW15"/>
      <c r="WCX15"/>
      <c r="WCY15"/>
      <c r="WCZ15"/>
      <c r="WDA15"/>
      <c r="WDB15"/>
      <c r="WDC15"/>
      <c r="WDD15"/>
      <c r="WDE15"/>
      <c r="WDF15"/>
      <c r="WDG15"/>
      <c r="WDH15"/>
      <c r="WDI15"/>
      <c r="WDJ15"/>
      <c r="WDK15"/>
      <c r="WDL15"/>
      <c r="WDM15"/>
      <c r="WDN15"/>
      <c r="WDO15"/>
      <c r="WDP15"/>
      <c r="WDQ15"/>
      <c r="WDR15"/>
      <c r="WDS15"/>
      <c r="WDT15"/>
      <c r="WDU15"/>
      <c r="WDV15"/>
      <c r="WDW15"/>
      <c r="WDX15"/>
      <c r="WDY15"/>
      <c r="WDZ15"/>
      <c r="WEA15"/>
      <c r="WEB15"/>
      <c r="WEC15"/>
      <c r="WED15"/>
      <c r="WEE15"/>
      <c r="WEF15"/>
      <c r="WEG15"/>
      <c r="WEH15"/>
      <c r="WEI15"/>
      <c r="WEJ15"/>
      <c r="WEK15"/>
      <c r="WEL15"/>
      <c r="WEM15"/>
      <c r="WEN15"/>
      <c r="WEO15"/>
      <c r="WEP15"/>
      <c r="WEQ15"/>
      <c r="WER15"/>
      <c r="WES15"/>
      <c r="WET15"/>
      <c r="WEU15"/>
      <c r="WEV15"/>
      <c r="WEW15"/>
      <c r="WEX15"/>
      <c r="WEY15"/>
      <c r="WEZ15"/>
      <c r="WFA15"/>
      <c r="WFB15"/>
      <c r="WFC15"/>
      <c r="WFD15"/>
      <c r="WFE15"/>
      <c r="WFF15"/>
      <c r="WFG15"/>
      <c r="WFH15"/>
      <c r="WFI15"/>
      <c r="WFJ15"/>
      <c r="WFK15"/>
      <c r="WFL15"/>
      <c r="WFM15"/>
      <c r="WFN15"/>
      <c r="WFO15"/>
      <c r="WFP15"/>
      <c r="WFQ15"/>
      <c r="WFR15"/>
      <c r="WFS15"/>
      <c r="WFT15"/>
      <c r="WFU15"/>
      <c r="WFV15"/>
      <c r="WFW15"/>
      <c r="WFX15"/>
      <c r="WFY15"/>
      <c r="WFZ15"/>
      <c r="WGA15"/>
      <c r="WGB15"/>
      <c r="WGC15"/>
      <c r="WGD15"/>
      <c r="WGE15"/>
      <c r="WGF15"/>
      <c r="WGG15"/>
      <c r="WGH15"/>
      <c r="WGI15"/>
      <c r="WGJ15"/>
      <c r="WGK15"/>
      <c r="WGL15"/>
      <c r="WGM15"/>
      <c r="WGN15"/>
      <c r="WGO15"/>
      <c r="WGP15"/>
      <c r="WGQ15"/>
      <c r="WGR15"/>
      <c r="WGS15"/>
      <c r="WGT15"/>
      <c r="WGU15"/>
      <c r="WGV15"/>
      <c r="WGW15"/>
      <c r="WGX15"/>
      <c r="WGY15"/>
      <c r="WGZ15"/>
      <c r="WHA15"/>
      <c r="WHB15"/>
      <c r="WHC15"/>
      <c r="WHD15"/>
      <c r="WHE15"/>
      <c r="WHF15"/>
      <c r="WHG15"/>
      <c r="WHH15"/>
      <c r="WHI15"/>
      <c r="WHJ15"/>
      <c r="WHK15"/>
      <c r="WHL15"/>
      <c r="WHM15"/>
      <c r="WHN15"/>
      <c r="WHO15"/>
      <c r="WHP15"/>
      <c r="WHQ15"/>
      <c r="WHR15"/>
      <c r="WHS15"/>
      <c r="WHT15"/>
      <c r="WHU15"/>
      <c r="WHV15"/>
      <c r="WHW15"/>
      <c r="WHX15"/>
      <c r="WHY15"/>
      <c r="WHZ15"/>
      <c r="WIA15"/>
      <c r="WIB15"/>
      <c r="WIC15"/>
      <c r="WID15"/>
      <c r="WIE15"/>
      <c r="WIF15"/>
      <c r="WIG15"/>
      <c r="WIH15"/>
      <c r="WII15"/>
      <c r="WIJ15"/>
      <c r="WIK15"/>
      <c r="WIL15"/>
      <c r="WIM15"/>
      <c r="WIN15"/>
      <c r="WIO15"/>
      <c r="WIP15"/>
      <c r="WIQ15"/>
      <c r="WIR15"/>
      <c r="WIS15"/>
      <c r="WIT15"/>
      <c r="WIU15"/>
      <c r="WIV15"/>
      <c r="WIW15"/>
      <c r="WIX15"/>
      <c r="WIY15"/>
      <c r="WIZ15"/>
      <c r="WJA15"/>
      <c r="WJB15"/>
      <c r="WJC15"/>
      <c r="WJD15"/>
      <c r="WJE15"/>
      <c r="WJF15"/>
      <c r="WJG15"/>
      <c r="WJH15"/>
      <c r="WJI15"/>
      <c r="WJJ15"/>
      <c r="WJK15"/>
      <c r="WJL15"/>
      <c r="WJM15"/>
      <c r="WJN15"/>
      <c r="WJO15"/>
      <c r="WJP15"/>
      <c r="WJQ15"/>
      <c r="WJR15"/>
      <c r="WJS15"/>
      <c r="WJT15"/>
      <c r="WJU15"/>
      <c r="WJV15"/>
      <c r="WJW15"/>
      <c r="WJX15"/>
      <c r="WJY15"/>
      <c r="WJZ15"/>
      <c r="WKA15"/>
      <c r="WKB15"/>
      <c r="WKC15"/>
      <c r="WKD15"/>
      <c r="WKE15"/>
      <c r="WKF15"/>
      <c r="WKG15"/>
      <c r="WKH15"/>
      <c r="WKI15"/>
      <c r="WKJ15"/>
      <c r="WKK15"/>
      <c r="WKL15"/>
      <c r="WKM15"/>
      <c r="WKN15"/>
      <c r="WKO15"/>
      <c r="WKP15"/>
      <c r="WKQ15"/>
      <c r="WKR15"/>
      <c r="WKS15"/>
      <c r="WKT15"/>
      <c r="WKU15"/>
      <c r="WKV15"/>
      <c r="WKW15"/>
      <c r="WKX15"/>
      <c r="WKY15"/>
      <c r="WKZ15"/>
      <c r="WLA15"/>
      <c r="WLB15"/>
      <c r="WLC15"/>
      <c r="WLD15"/>
      <c r="WLE15"/>
      <c r="WLF15"/>
      <c r="WLG15"/>
      <c r="WLH15"/>
      <c r="WLI15"/>
      <c r="WLJ15"/>
      <c r="WLK15"/>
      <c r="WLL15"/>
      <c r="WLM15"/>
      <c r="WLN15"/>
      <c r="WLO15"/>
      <c r="WLP15"/>
      <c r="WLQ15"/>
      <c r="WLR15"/>
      <c r="WLS15"/>
      <c r="WLT15"/>
      <c r="WLU15"/>
      <c r="WLV15"/>
      <c r="WLW15"/>
      <c r="WLX15"/>
      <c r="WLY15"/>
      <c r="WLZ15"/>
      <c r="WMA15"/>
      <c r="WMB15"/>
      <c r="WMC15"/>
      <c r="WMD15"/>
      <c r="WME15"/>
      <c r="WMF15"/>
      <c r="WMG15"/>
      <c r="WMH15"/>
      <c r="WMI15"/>
      <c r="WMJ15"/>
      <c r="WMK15"/>
      <c r="WML15"/>
      <c r="WMM15"/>
      <c r="WMN15"/>
      <c r="WMO15"/>
      <c r="WMP15"/>
      <c r="WMQ15"/>
      <c r="WMR15"/>
      <c r="WMS15"/>
      <c r="WMT15"/>
      <c r="WMU15"/>
      <c r="WMV15"/>
      <c r="WMW15"/>
      <c r="WMX15"/>
      <c r="WMY15"/>
      <c r="WMZ15"/>
      <c r="WNA15"/>
      <c r="WNB15"/>
      <c r="WNC15"/>
      <c r="WND15"/>
      <c r="WNE15"/>
      <c r="WNF15"/>
      <c r="WNG15"/>
      <c r="WNH15"/>
      <c r="WNI15"/>
      <c r="WNJ15"/>
      <c r="WNK15"/>
      <c r="WNL15"/>
      <c r="WNM15"/>
      <c r="WNN15"/>
      <c r="WNO15"/>
      <c r="WNP15"/>
      <c r="WNQ15"/>
      <c r="WNR15"/>
      <c r="WNS15"/>
      <c r="WNT15"/>
      <c r="WNU15"/>
      <c r="WNV15"/>
      <c r="WNW15"/>
      <c r="WNX15"/>
      <c r="WNY15"/>
      <c r="WNZ15"/>
      <c r="WOA15"/>
      <c r="WOB15"/>
      <c r="WOC15"/>
      <c r="WOD15"/>
      <c r="WOE15"/>
      <c r="WOF15"/>
      <c r="WOG15"/>
      <c r="WOH15"/>
      <c r="WOI15"/>
      <c r="WOJ15"/>
      <c r="WOK15"/>
      <c r="WOL15"/>
      <c r="WOM15"/>
      <c r="WON15"/>
      <c r="WOO15"/>
      <c r="WOP15"/>
      <c r="WOQ15"/>
      <c r="WOR15"/>
      <c r="WOS15"/>
      <c r="WOT15"/>
      <c r="WOU15"/>
      <c r="WOV15"/>
      <c r="WOW15"/>
      <c r="WOX15"/>
      <c r="WOY15"/>
      <c r="WOZ15"/>
      <c r="WPA15"/>
      <c r="WPB15"/>
      <c r="WPC15"/>
      <c r="WPD15"/>
      <c r="WPE15"/>
      <c r="WPF15"/>
      <c r="WPG15"/>
      <c r="WPH15"/>
      <c r="WPI15"/>
      <c r="WPJ15"/>
      <c r="WPK15"/>
      <c r="WPL15"/>
      <c r="WPM15"/>
      <c r="WPN15"/>
      <c r="WPO15"/>
      <c r="WPP15"/>
      <c r="WPQ15"/>
      <c r="WPR15"/>
      <c r="WPS15"/>
      <c r="WPT15"/>
      <c r="WPU15"/>
      <c r="WPV15"/>
      <c r="WPW15"/>
      <c r="WPX15"/>
      <c r="WPY15"/>
      <c r="WPZ15"/>
      <c r="WQA15"/>
      <c r="WQB15"/>
      <c r="WQC15"/>
      <c r="WQD15"/>
      <c r="WQE15"/>
      <c r="WQF15"/>
      <c r="WQG15"/>
      <c r="WQH15"/>
      <c r="WQI15"/>
      <c r="WQJ15"/>
      <c r="WQK15"/>
      <c r="WQL15"/>
      <c r="WQM15"/>
      <c r="WQN15"/>
      <c r="WQO15"/>
      <c r="WQP15"/>
      <c r="WQQ15"/>
      <c r="WQR15"/>
      <c r="WQS15"/>
      <c r="WQT15"/>
      <c r="WQU15"/>
      <c r="WQV15"/>
      <c r="WQW15"/>
      <c r="WQX15"/>
      <c r="WQY15"/>
      <c r="WQZ15"/>
      <c r="WRA15"/>
      <c r="WRB15"/>
      <c r="WRC15"/>
      <c r="WRD15"/>
      <c r="WRE15"/>
      <c r="WRF15"/>
      <c r="WRG15"/>
      <c r="WRH15"/>
      <c r="WRI15"/>
      <c r="WRJ15"/>
      <c r="WRK15"/>
      <c r="WRL15"/>
      <c r="WRM15"/>
      <c r="WRN15"/>
      <c r="WRO15"/>
      <c r="WRP15"/>
      <c r="WRQ15"/>
      <c r="WRR15"/>
      <c r="WRS15"/>
      <c r="WRT15"/>
      <c r="WRU15"/>
      <c r="WRV15"/>
      <c r="WRW15"/>
      <c r="WRX15"/>
      <c r="WRY15"/>
      <c r="WRZ15"/>
      <c r="WSA15"/>
      <c r="WSB15"/>
      <c r="WSC15"/>
      <c r="WSD15"/>
      <c r="WSE15"/>
      <c r="WSF15"/>
      <c r="WSG15"/>
      <c r="WSH15"/>
      <c r="WSI15"/>
      <c r="WSJ15"/>
      <c r="WSK15"/>
      <c r="WSL15"/>
      <c r="WSM15"/>
      <c r="WSN15"/>
      <c r="WSO15"/>
      <c r="WSP15"/>
      <c r="WSQ15"/>
      <c r="WSR15"/>
      <c r="WSS15"/>
      <c r="WST15"/>
      <c r="WSU15"/>
      <c r="WSV15"/>
      <c r="WSW15"/>
      <c r="WSX15"/>
      <c r="WSY15"/>
      <c r="WSZ15"/>
      <c r="WTA15"/>
      <c r="WTB15"/>
      <c r="WTC15"/>
      <c r="WTD15"/>
      <c r="WTE15"/>
      <c r="WTF15"/>
      <c r="WTG15"/>
      <c r="WTH15"/>
      <c r="WTI15"/>
      <c r="WTJ15"/>
      <c r="WTK15"/>
      <c r="WTL15"/>
      <c r="WTM15"/>
      <c r="WTN15"/>
      <c r="WTO15"/>
      <c r="WTP15"/>
      <c r="WTQ15"/>
      <c r="WTR15"/>
      <c r="WTS15"/>
      <c r="WTT15"/>
      <c r="WTU15"/>
      <c r="WTV15"/>
      <c r="WTW15"/>
      <c r="WTX15"/>
      <c r="WTY15"/>
      <c r="WTZ15"/>
      <c r="WUA15"/>
      <c r="WUB15"/>
      <c r="WUC15"/>
      <c r="WUD15"/>
      <c r="WUE15"/>
      <c r="WUF15"/>
      <c r="WUG15"/>
      <c r="WUH15"/>
      <c r="WUI15"/>
      <c r="WUJ15"/>
      <c r="WUK15"/>
      <c r="WUL15"/>
      <c r="WUM15"/>
      <c r="WUN15"/>
      <c r="WUO15"/>
      <c r="WUP15"/>
      <c r="WUQ15"/>
      <c r="WUR15"/>
      <c r="WUS15"/>
      <c r="WUT15"/>
      <c r="WUU15"/>
      <c r="WUV15"/>
      <c r="WUW15"/>
      <c r="WUX15"/>
      <c r="WUY15"/>
      <c r="WUZ15"/>
      <c r="WVA15"/>
      <c r="WVB15"/>
      <c r="WVC15"/>
      <c r="WVD15"/>
      <c r="WVE15"/>
      <c r="WVF15"/>
      <c r="WVG15"/>
      <c r="WVH15"/>
      <c r="WVI15"/>
      <c r="WVJ15"/>
      <c r="WVK15"/>
      <c r="WVL15"/>
      <c r="WVM15"/>
      <c r="WVN15"/>
      <c r="WVO15"/>
      <c r="WVP15"/>
      <c r="WVQ15"/>
      <c r="WVR15"/>
      <c r="WVS15"/>
      <c r="WVT15"/>
      <c r="WVU15"/>
      <c r="WVV15"/>
      <c r="WVW15"/>
      <c r="WVX15"/>
      <c r="WVY15"/>
      <c r="WVZ15"/>
      <c r="WWA15"/>
      <c r="WWB15"/>
      <c r="WWC15"/>
      <c r="WWD15"/>
      <c r="WWE15"/>
      <c r="WWF15"/>
      <c r="WWG15"/>
      <c r="WWH15"/>
      <c r="WWI15"/>
      <c r="WWJ15"/>
      <c r="WWK15"/>
      <c r="WWL15"/>
      <c r="WWM15"/>
      <c r="WWN15"/>
      <c r="WWO15"/>
      <c r="WWP15"/>
      <c r="WWQ15"/>
      <c r="WWR15"/>
      <c r="WWS15"/>
      <c r="WWT15"/>
      <c r="WWU15"/>
      <c r="WWV15"/>
      <c r="WWW15"/>
      <c r="WWX15"/>
      <c r="WWY15"/>
      <c r="WWZ15"/>
      <c r="WXA15"/>
      <c r="WXB15"/>
      <c r="WXC15"/>
      <c r="WXD15"/>
      <c r="WXE15"/>
      <c r="WXF15"/>
      <c r="WXG15"/>
      <c r="WXH15"/>
      <c r="WXI15"/>
      <c r="WXJ15"/>
      <c r="WXK15"/>
      <c r="WXL15"/>
      <c r="WXM15"/>
      <c r="WXN15"/>
      <c r="WXO15"/>
      <c r="WXP15"/>
      <c r="WXQ15"/>
      <c r="WXR15"/>
      <c r="WXS15"/>
      <c r="WXT15"/>
      <c r="WXU15"/>
      <c r="WXV15"/>
      <c r="WXW15"/>
      <c r="WXX15"/>
      <c r="WXY15"/>
      <c r="WXZ15"/>
      <c r="WYA15"/>
      <c r="WYB15"/>
      <c r="WYC15"/>
      <c r="WYD15"/>
      <c r="WYE15"/>
      <c r="WYF15"/>
      <c r="WYG15"/>
      <c r="WYH15"/>
      <c r="WYI15"/>
      <c r="WYJ15"/>
      <c r="WYK15"/>
      <c r="WYL15"/>
      <c r="WYM15"/>
      <c r="WYN15"/>
      <c r="WYO15"/>
      <c r="WYP15"/>
      <c r="WYQ15"/>
      <c r="WYR15"/>
      <c r="WYS15"/>
      <c r="WYT15"/>
      <c r="WYU15"/>
      <c r="WYV15"/>
      <c r="WYW15"/>
      <c r="WYX15"/>
      <c r="WYY15"/>
      <c r="WYZ15"/>
      <c r="WZA15"/>
      <c r="WZB15"/>
      <c r="WZC15"/>
      <c r="WZD15"/>
      <c r="WZE15"/>
      <c r="WZF15"/>
      <c r="WZG15"/>
      <c r="WZH15"/>
      <c r="WZI15"/>
      <c r="WZJ15"/>
      <c r="WZK15"/>
      <c r="WZL15"/>
      <c r="WZM15"/>
      <c r="WZN15"/>
      <c r="WZO15"/>
      <c r="WZP15"/>
      <c r="WZQ15"/>
      <c r="WZR15"/>
      <c r="WZS15"/>
      <c r="WZT15"/>
      <c r="WZU15"/>
      <c r="WZV15"/>
      <c r="WZW15"/>
      <c r="WZX15"/>
      <c r="WZY15"/>
      <c r="WZZ15"/>
      <c r="XAA15"/>
      <c r="XAB15"/>
      <c r="XAC15"/>
      <c r="XAD15"/>
      <c r="XAE15"/>
      <c r="XAF15"/>
      <c r="XAG15"/>
      <c r="XAH15"/>
      <c r="XAI15"/>
      <c r="XAJ15"/>
      <c r="XAK15"/>
      <c r="XAL15"/>
      <c r="XAM15"/>
      <c r="XAN15"/>
      <c r="XAO15"/>
      <c r="XAP15"/>
      <c r="XAQ15"/>
      <c r="XAR15"/>
      <c r="XAS15"/>
      <c r="XAT15"/>
      <c r="XAU15"/>
      <c r="XAV15"/>
      <c r="XAW15"/>
      <c r="XAX15"/>
      <c r="XAY15"/>
      <c r="XAZ15"/>
      <c r="XBA15"/>
      <c r="XBB15"/>
      <c r="XBC15"/>
      <c r="XBD15"/>
      <c r="XBE15"/>
      <c r="XBF15"/>
      <c r="XBG15"/>
      <c r="XBH15"/>
      <c r="XBI15"/>
      <c r="XBJ15"/>
      <c r="XBK15"/>
      <c r="XBL15"/>
      <c r="XBM15"/>
      <c r="XBN15"/>
      <c r="XBO15"/>
      <c r="XBP15"/>
      <c r="XBQ15"/>
      <c r="XBR15"/>
      <c r="XBS15"/>
      <c r="XBT15"/>
      <c r="XBU15"/>
      <c r="XBV15"/>
      <c r="XBW15"/>
      <c r="XBX15"/>
      <c r="XBY15"/>
      <c r="XBZ15"/>
      <c r="XCA15"/>
      <c r="XCB15"/>
      <c r="XCC15"/>
      <c r="XCD15"/>
      <c r="XCE15"/>
      <c r="XCF15"/>
      <c r="XCG15"/>
      <c r="XCH15"/>
      <c r="XCI15"/>
      <c r="XCJ15"/>
      <c r="XCK15"/>
      <c r="XCL15"/>
      <c r="XCM15"/>
      <c r="XCN15"/>
      <c r="XCO15"/>
      <c r="XCP15"/>
      <c r="XCQ15"/>
      <c r="XCR15"/>
      <c r="XCS15"/>
      <c r="XCT15"/>
      <c r="XCU15"/>
      <c r="XCV15"/>
      <c r="XCW15"/>
      <c r="XCX15"/>
      <c r="XCY15"/>
      <c r="XCZ15"/>
      <c r="XDA15"/>
      <c r="XDB15"/>
      <c r="XDC15"/>
      <c r="XDD15"/>
      <c r="XDE15"/>
      <c r="XDF15"/>
      <c r="XDG15"/>
      <c r="XDH15"/>
      <c r="XDI15"/>
      <c r="XDJ15"/>
      <c r="XDK15"/>
      <c r="XDL15"/>
      <c r="XDM15"/>
      <c r="XDN15"/>
      <c r="XDO15"/>
      <c r="XDP15"/>
      <c r="XDQ15"/>
      <c r="XDR15"/>
      <c r="XDS15"/>
      <c r="XDT15"/>
      <c r="XDU15"/>
      <c r="XDV15"/>
      <c r="XDW15"/>
      <c r="XDX15"/>
      <c r="XDY15"/>
      <c r="XDZ15"/>
      <c r="XEA15"/>
      <c r="XEB15"/>
      <c r="XEC15"/>
      <c r="XED15"/>
      <c r="XEE15"/>
      <c r="XEF15"/>
      <c r="XEG15"/>
      <c r="XEH15"/>
      <c r="XEI15"/>
      <c r="XEJ15"/>
      <c r="XEK15"/>
      <c r="XEL15"/>
      <c r="XEM15"/>
      <c r="XEN15"/>
      <c r="XEO15"/>
      <c r="XEP15"/>
      <c r="XEQ15"/>
      <c r="XER15"/>
      <c r="XES15"/>
      <c r="XET15"/>
      <c r="XEU15"/>
      <c r="XEV15"/>
      <c r="XEW15"/>
      <c r="XEX15"/>
      <c r="XEY15"/>
      <c r="XEZ15"/>
      <c r="XFA15"/>
      <c r="XFB15"/>
    </row>
    <row r="16" spans="1:16382" x14ac:dyDescent="0.35">
      <c r="B16" t="s">
        <v>914</v>
      </c>
      <c r="C16" s="28" t="s">
        <v>260</v>
      </c>
      <c r="D16" s="29" t="s">
        <v>261</v>
      </c>
      <c r="E16" s="29" t="s">
        <v>262</v>
      </c>
      <c r="F16" s="29"/>
      <c r="G16" s="29"/>
      <c r="H16" s="29"/>
      <c r="I16" s="29" t="s">
        <v>266</v>
      </c>
      <c r="J16" s="30"/>
      <c r="K16" s="29" t="s">
        <v>82</v>
      </c>
      <c r="L16" s="81">
        <v>2250</v>
      </c>
      <c r="M16" s="81">
        <v>2250</v>
      </c>
      <c r="N16" s="16">
        <f t="shared" si="0"/>
        <v>-4414.2151898734173</v>
      </c>
      <c r="O16" s="81">
        <v>2250</v>
      </c>
      <c r="P16" s="81">
        <v>2250</v>
      </c>
      <c r="Q16" s="16">
        <f t="shared" si="1"/>
        <v>-476.48571428571432</v>
      </c>
      <c r="R16" s="81">
        <v>2250</v>
      </c>
      <c r="S16" s="81">
        <v>2250</v>
      </c>
      <c r="T16" s="16">
        <f t="shared" si="2"/>
        <v>-343.54918032786884</v>
      </c>
      <c r="U16" s="81">
        <v>500</v>
      </c>
      <c r="V16" s="81">
        <v>500</v>
      </c>
      <c r="W16" s="16">
        <f t="shared" si="3"/>
        <v>-2.8292682926829267</v>
      </c>
      <c r="X16" s="81">
        <v>500</v>
      </c>
      <c r="Y16" s="81">
        <v>500</v>
      </c>
      <c r="Z16" s="16">
        <f t="shared" si="4"/>
        <v>0</v>
      </c>
      <c r="AA16" s="81">
        <v>500</v>
      </c>
      <c r="AB16" s="81">
        <v>500</v>
      </c>
      <c r="AC16" s="16">
        <f t="shared" si="5"/>
        <v>-17.172413793103448</v>
      </c>
      <c r="AD16" s="32" t="s">
        <v>82</v>
      </c>
      <c r="AE16" s="5">
        <v>1</v>
      </c>
    </row>
    <row r="17" spans="1:16382" x14ac:dyDescent="0.35">
      <c r="B17" t="s">
        <v>914</v>
      </c>
      <c r="C17" s="25" t="s">
        <v>309</v>
      </c>
      <c r="D17" s="26" t="s">
        <v>310</v>
      </c>
      <c r="E17" s="26" t="s">
        <v>311</v>
      </c>
      <c r="F17" s="26"/>
      <c r="G17" s="26"/>
      <c r="H17" s="26"/>
      <c r="I17" s="26" t="s">
        <v>315</v>
      </c>
      <c r="J17" s="27"/>
      <c r="K17" s="26" t="s">
        <v>82</v>
      </c>
      <c r="L17" s="37">
        <v>2250</v>
      </c>
      <c r="M17" s="37">
        <v>2250</v>
      </c>
      <c r="N17" s="16">
        <f t="shared" si="0"/>
        <v>-4414.2151898734173</v>
      </c>
      <c r="O17" s="37">
        <v>2250</v>
      </c>
      <c r="P17" s="37">
        <v>2250</v>
      </c>
      <c r="Q17" s="16">
        <f t="shared" si="1"/>
        <v>-476.48571428571432</v>
      </c>
      <c r="R17" s="37">
        <v>2250</v>
      </c>
      <c r="S17" s="37">
        <v>2250</v>
      </c>
      <c r="T17" s="16">
        <f t="shared" si="2"/>
        <v>-343.54918032786884</v>
      </c>
      <c r="U17" s="37">
        <v>0</v>
      </c>
      <c r="V17" s="37">
        <v>0</v>
      </c>
      <c r="W17" s="16">
        <f t="shared" si="3"/>
        <v>0</v>
      </c>
      <c r="X17" s="37">
        <v>0</v>
      </c>
      <c r="Y17" s="37">
        <v>0</v>
      </c>
      <c r="Z17" s="16">
        <f t="shared" si="4"/>
        <v>0</v>
      </c>
      <c r="AA17" s="37">
        <v>0</v>
      </c>
      <c r="AB17" s="37">
        <v>0</v>
      </c>
      <c r="AC17" s="16">
        <f t="shared" si="5"/>
        <v>0</v>
      </c>
      <c r="AD17" s="31" t="s">
        <v>82</v>
      </c>
      <c r="AE17" s="5">
        <v>1</v>
      </c>
    </row>
    <row r="18" spans="1:16382" x14ac:dyDescent="0.35">
      <c r="B18" t="s">
        <v>914</v>
      </c>
      <c r="C18" s="28" t="s">
        <v>324</v>
      </c>
      <c r="D18" s="29" t="s">
        <v>325</v>
      </c>
      <c r="E18" s="29" t="s">
        <v>326</v>
      </c>
      <c r="F18" s="29"/>
      <c r="G18" s="29"/>
      <c r="H18" s="29"/>
      <c r="I18" s="29" t="s">
        <v>160</v>
      </c>
      <c r="J18" s="30"/>
      <c r="K18" s="29" t="s">
        <v>82</v>
      </c>
      <c r="L18" s="81">
        <v>2250</v>
      </c>
      <c r="M18" s="81">
        <v>2250</v>
      </c>
      <c r="N18" s="16">
        <f t="shared" si="0"/>
        <v>-4414.2151898734173</v>
      </c>
      <c r="O18" s="81">
        <v>2250</v>
      </c>
      <c r="P18" s="81">
        <v>2250</v>
      </c>
      <c r="Q18" s="16">
        <f t="shared" si="1"/>
        <v>-476.48571428571432</v>
      </c>
      <c r="R18" s="81">
        <v>2250</v>
      </c>
      <c r="S18" s="81">
        <v>2250</v>
      </c>
      <c r="T18" s="16">
        <f t="shared" si="2"/>
        <v>-343.54918032786884</v>
      </c>
      <c r="U18" s="81">
        <v>2250</v>
      </c>
      <c r="V18" s="81">
        <v>2250</v>
      </c>
      <c r="W18" s="16">
        <f t="shared" si="3"/>
        <v>-12.73170731707317</v>
      </c>
      <c r="X18" s="81">
        <v>0</v>
      </c>
      <c r="Y18" s="81">
        <v>0</v>
      </c>
      <c r="Z18" s="16">
        <f t="shared" si="4"/>
        <v>0</v>
      </c>
      <c r="AA18" s="81">
        <v>500</v>
      </c>
      <c r="AB18" s="81">
        <v>500</v>
      </c>
      <c r="AC18" s="16">
        <f t="shared" si="5"/>
        <v>-17.172413793103448</v>
      </c>
      <c r="AD18" s="32" t="s">
        <v>82</v>
      </c>
      <c r="AE18" s="5">
        <v>1</v>
      </c>
    </row>
    <row r="19" spans="1:16382" x14ac:dyDescent="0.35">
      <c r="B19" t="s">
        <v>914</v>
      </c>
      <c r="C19" s="28" t="s">
        <v>331</v>
      </c>
      <c r="D19" s="29" t="s">
        <v>332</v>
      </c>
      <c r="E19" s="29" t="s">
        <v>333</v>
      </c>
      <c r="F19" s="29"/>
      <c r="G19" s="29"/>
      <c r="H19" s="29"/>
      <c r="I19" s="29" t="s">
        <v>160</v>
      </c>
      <c r="J19" s="30"/>
      <c r="K19" s="29" t="s">
        <v>82</v>
      </c>
      <c r="L19" s="81">
        <v>1000</v>
      </c>
      <c r="M19" s="81">
        <v>1000</v>
      </c>
      <c r="N19" s="16">
        <f t="shared" si="0"/>
        <v>-1961.873417721519</v>
      </c>
      <c r="O19" s="81">
        <v>500</v>
      </c>
      <c r="P19" s="81">
        <v>500</v>
      </c>
      <c r="Q19" s="16">
        <f t="shared" si="1"/>
        <v>-105.88571428571429</v>
      </c>
      <c r="R19" s="81">
        <v>1000</v>
      </c>
      <c r="S19" s="81">
        <v>1000</v>
      </c>
      <c r="T19" s="16">
        <f t="shared" si="2"/>
        <v>-152.68852459016395</v>
      </c>
      <c r="U19" s="81">
        <v>500</v>
      </c>
      <c r="V19" s="81">
        <v>500</v>
      </c>
      <c r="W19" s="16">
        <f t="shared" si="3"/>
        <v>-2.8292682926829267</v>
      </c>
      <c r="X19" s="81">
        <v>500</v>
      </c>
      <c r="Y19" s="81">
        <v>500</v>
      </c>
      <c r="Z19" s="16">
        <f t="shared" si="4"/>
        <v>0</v>
      </c>
      <c r="AA19" s="81">
        <v>0</v>
      </c>
      <c r="AB19" s="81">
        <v>0</v>
      </c>
      <c r="AC19" s="16">
        <f t="shared" si="5"/>
        <v>0</v>
      </c>
      <c r="AD19" s="32" t="s">
        <v>82</v>
      </c>
      <c r="AE19" s="5">
        <v>1</v>
      </c>
    </row>
    <row r="20" spans="1:16382" x14ac:dyDescent="0.35">
      <c r="B20" t="s">
        <v>914</v>
      </c>
      <c r="C20" s="28" t="s">
        <v>353</v>
      </c>
      <c r="D20" s="29" t="s">
        <v>354</v>
      </c>
      <c r="E20" s="29" t="s">
        <v>355</v>
      </c>
      <c r="F20" s="29"/>
      <c r="G20" s="29"/>
      <c r="H20" s="29"/>
      <c r="I20" s="29" t="s">
        <v>160</v>
      </c>
      <c r="J20" s="30"/>
      <c r="K20" s="29" t="s">
        <v>82</v>
      </c>
      <c r="L20" s="81">
        <v>1000</v>
      </c>
      <c r="M20" s="81">
        <v>1000</v>
      </c>
      <c r="N20" s="16">
        <f t="shared" si="0"/>
        <v>-1961.873417721519</v>
      </c>
      <c r="O20" s="81">
        <v>500</v>
      </c>
      <c r="P20" s="81">
        <v>500</v>
      </c>
      <c r="Q20" s="16">
        <f t="shared" si="1"/>
        <v>-105.88571428571429</v>
      </c>
      <c r="R20" s="81">
        <v>1000</v>
      </c>
      <c r="S20" s="81">
        <v>1000</v>
      </c>
      <c r="T20" s="16">
        <f t="shared" si="2"/>
        <v>-152.68852459016395</v>
      </c>
      <c r="U20" s="81">
        <v>0</v>
      </c>
      <c r="V20" s="81">
        <v>0</v>
      </c>
      <c r="W20" s="16">
        <f t="shared" si="3"/>
        <v>0</v>
      </c>
      <c r="X20" s="81">
        <v>0</v>
      </c>
      <c r="Y20" s="81">
        <v>0</v>
      </c>
      <c r="Z20" s="16">
        <f t="shared" si="4"/>
        <v>0</v>
      </c>
      <c r="AA20" s="81">
        <v>0</v>
      </c>
      <c r="AB20" s="81">
        <v>0</v>
      </c>
      <c r="AC20" s="16">
        <f t="shared" si="5"/>
        <v>0</v>
      </c>
      <c r="AD20" s="32" t="s">
        <v>82</v>
      </c>
      <c r="AE20" s="5">
        <v>1</v>
      </c>
    </row>
    <row r="21" spans="1:16382" s="44" customFormat="1" x14ac:dyDescent="0.35">
      <c r="A21"/>
      <c r="B21" t="s">
        <v>914</v>
      </c>
      <c r="C21" s="25" t="s">
        <v>360</v>
      </c>
      <c r="D21" s="26" t="s">
        <v>361</v>
      </c>
      <c r="E21" s="26" t="s">
        <v>362</v>
      </c>
      <c r="F21" s="26"/>
      <c r="G21" s="26"/>
      <c r="H21" s="26"/>
      <c r="I21" s="26" t="s">
        <v>322</v>
      </c>
      <c r="J21" s="27"/>
      <c r="K21" s="26" t="s">
        <v>82</v>
      </c>
      <c r="L21" s="37">
        <v>2250</v>
      </c>
      <c r="M21" s="37">
        <v>2250</v>
      </c>
      <c r="N21" s="16">
        <f t="shared" si="0"/>
        <v>-4414.2151898734173</v>
      </c>
      <c r="O21" s="37">
        <v>2250</v>
      </c>
      <c r="P21" s="37">
        <v>2250</v>
      </c>
      <c r="Q21" s="16">
        <f t="shared" si="1"/>
        <v>-476.48571428571432</v>
      </c>
      <c r="R21" s="37">
        <v>2250</v>
      </c>
      <c r="S21" s="37">
        <v>2250</v>
      </c>
      <c r="T21" s="16">
        <f t="shared" si="2"/>
        <v>-343.54918032786884</v>
      </c>
      <c r="U21" s="37">
        <v>0</v>
      </c>
      <c r="V21" s="37">
        <v>0</v>
      </c>
      <c r="W21" s="16">
        <f t="shared" si="3"/>
        <v>0</v>
      </c>
      <c r="X21" s="37">
        <v>0</v>
      </c>
      <c r="Y21" s="37">
        <v>0</v>
      </c>
      <c r="Z21" s="16">
        <f t="shared" si="4"/>
        <v>0</v>
      </c>
      <c r="AA21" s="37">
        <v>0</v>
      </c>
      <c r="AB21" s="37">
        <v>0</v>
      </c>
      <c r="AC21" s="16">
        <f t="shared" si="5"/>
        <v>0</v>
      </c>
      <c r="AD21" s="31" t="s">
        <v>82</v>
      </c>
      <c r="AE21" s="5">
        <v>1</v>
      </c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  <c r="AJY21"/>
      <c r="AJZ21"/>
      <c r="AKA21"/>
      <c r="AKB21"/>
      <c r="AKC21"/>
      <c r="AKD21"/>
      <c r="AKE21"/>
      <c r="AKF21"/>
      <c r="AKG21"/>
      <c r="AKH21"/>
      <c r="AKI21"/>
      <c r="AKJ21"/>
      <c r="AKK21"/>
      <c r="AKL21"/>
      <c r="AKM21"/>
      <c r="AKN21"/>
      <c r="AKO21"/>
      <c r="AKP21"/>
      <c r="AKQ21"/>
      <c r="AKR21"/>
      <c r="AKS21"/>
      <c r="AKT21"/>
      <c r="AKU21"/>
      <c r="AKV21"/>
      <c r="AKW21"/>
      <c r="AKX21"/>
      <c r="AKY21"/>
      <c r="AKZ21"/>
      <c r="ALA21"/>
      <c r="ALB21"/>
      <c r="ALC21"/>
      <c r="ALD21"/>
      <c r="ALE21"/>
      <c r="ALF21"/>
      <c r="ALG21"/>
      <c r="ALH21"/>
      <c r="ALI21"/>
      <c r="ALJ21"/>
      <c r="ALK21"/>
      <c r="ALL21"/>
      <c r="ALM21"/>
      <c r="ALN21"/>
      <c r="ALO21"/>
      <c r="ALP21"/>
      <c r="ALQ21"/>
      <c r="ALR21"/>
      <c r="ALS21"/>
      <c r="ALT21"/>
      <c r="ALU21"/>
      <c r="ALV21"/>
      <c r="ALW21"/>
      <c r="ALX21"/>
      <c r="ALY21"/>
      <c r="ALZ21"/>
      <c r="AMA21"/>
      <c r="AMB21"/>
      <c r="AMC21"/>
      <c r="AMD21"/>
      <c r="AME21"/>
      <c r="AMF21"/>
      <c r="AMG21"/>
      <c r="AMH21"/>
      <c r="AMI21"/>
      <c r="AMJ21"/>
      <c r="AMK21"/>
      <c r="AML21"/>
      <c r="AMM21"/>
      <c r="AMN21"/>
      <c r="AMO21"/>
      <c r="AMP21"/>
      <c r="AMQ21"/>
      <c r="AMR21"/>
      <c r="AMS21"/>
      <c r="AMT21"/>
      <c r="AMU21"/>
      <c r="AMV21"/>
      <c r="AMW21"/>
      <c r="AMX21"/>
      <c r="AMY21"/>
      <c r="AMZ21"/>
      <c r="ANA21"/>
      <c r="ANB21"/>
      <c r="ANC21"/>
      <c r="AND21"/>
      <c r="ANE21"/>
      <c r="ANF21"/>
      <c r="ANG21"/>
      <c r="ANH21"/>
      <c r="ANI21"/>
      <c r="ANJ21"/>
      <c r="ANK21"/>
      <c r="ANL21"/>
      <c r="ANM21"/>
      <c r="ANN21"/>
      <c r="ANO21"/>
      <c r="ANP21"/>
      <c r="ANQ21"/>
      <c r="ANR21"/>
      <c r="ANS21"/>
      <c r="ANT21"/>
      <c r="ANU21"/>
      <c r="ANV21"/>
      <c r="ANW21"/>
      <c r="ANX21"/>
      <c r="ANY21"/>
      <c r="ANZ21"/>
      <c r="AOA21"/>
      <c r="AOB21"/>
      <c r="AOC21"/>
      <c r="AOD21"/>
      <c r="AOE21"/>
      <c r="AOF21"/>
      <c r="AOG21"/>
      <c r="AOH21"/>
      <c r="AOI21"/>
      <c r="AOJ21"/>
      <c r="AOK21"/>
      <c r="AOL21"/>
      <c r="AOM21"/>
      <c r="AON21"/>
      <c r="AOO21"/>
      <c r="AOP21"/>
      <c r="AOQ21"/>
      <c r="AOR21"/>
      <c r="AOS21"/>
      <c r="AOT21"/>
      <c r="AOU21"/>
      <c r="AOV21"/>
      <c r="AOW21"/>
      <c r="AOX21"/>
      <c r="AOY21"/>
      <c r="AOZ21"/>
      <c r="APA21"/>
      <c r="APB21"/>
      <c r="APC21"/>
      <c r="APD21"/>
      <c r="APE21"/>
      <c r="APF21"/>
      <c r="APG21"/>
      <c r="APH21"/>
      <c r="API21"/>
      <c r="APJ21"/>
      <c r="APK21"/>
      <c r="APL21"/>
      <c r="APM21"/>
      <c r="APN21"/>
      <c r="APO21"/>
      <c r="APP21"/>
      <c r="APQ21"/>
      <c r="APR21"/>
      <c r="APS21"/>
      <c r="APT21"/>
      <c r="APU21"/>
      <c r="APV21"/>
      <c r="APW21"/>
      <c r="APX21"/>
      <c r="APY21"/>
      <c r="APZ21"/>
      <c r="AQA21"/>
      <c r="AQB21"/>
      <c r="AQC21"/>
      <c r="AQD21"/>
      <c r="AQE21"/>
      <c r="AQF21"/>
      <c r="AQG21"/>
      <c r="AQH21"/>
      <c r="AQI21"/>
      <c r="AQJ21"/>
      <c r="AQK21"/>
      <c r="AQL21"/>
      <c r="AQM21"/>
      <c r="AQN21"/>
      <c r="AQO21"/>
      <c r="AQP21"/>
      <c r="AQQ21"/>
      <c r="AQR21"/>
      <c r="AQS21"/>
      <c r="AQT21"/>
      <c r="AQU21"/>
      <c r="AQV21"/>
      <c r="AQW21"/>
      <c r="AQX21"/>
      <c r="AQY21"/>
      <c r="AQZ21"/>
      <c r="ARA21"/>
      <c r="ARB21"/>
      <c r="ARC21"/>
      <c r="ARD21"/>
      <c r="ARE21"/>
      <c r="ARF21"/>
      <c r="ARG21"/>
      <c r="ARH21"/>
      <c r="ARI21"/>
      <c r="ARJ21"/>
      <c r="ARK21"/>
      <c r="ARL21"/>
      <c r="ARM21"/>
      <c r="ARN21"/>
      <c r="ARO21"/>
      <c r="ARP21"/>
      <c r="ARQ21"/>
      <c r="ARR21"/>
      <c r="ARS21"/>
      <c r="ART21"/>
      <c r="ARU21"/>
      <c r="ARV21"/>
      <c r="ARW21"/>
      <c r="ARX21"/>
      <c r="ARY21"/>
      <c r="ARZ21"/>
      <c r="ASA21"/>
      <c r="ASB21"/>
      <c r="ASC21"/>
      <c r="ASD21"/>
      <c r="ASE21"/>
      <c r="ASF21"/>
      <c r="ASG21"/>
      <c r="ASH21"/>
      <c r="ASI21"/>
      <c r="ASJ21"/>
      <c r="ASK21"/>
      <c r="ASL21"/>
      <c r="ASM21"/>
      <c r="ASN21"/>
      <c r="ASO21"/>
      <c r="ASP21"/>
      <c r="ASQ21"/>
      <c r="ASR21"/>
      <c r="ASS21"/>
      <c r="AST21"/>
      <c r="ASU21"/>
      <c r="ASV21"/>
      <c r="ASW21"/>
      <c r="ASX21"/>
      <c r="ASY21"/>
      <c r="ASZ21"/>
      <c r="ATA21"/>
      <c r="ATB21"/>
      <c r="ATC21"/>
      <c r="ATD21"/>
      <c r="ATE21"/>
      <c r="ATF21"/>
      <c r="ATG21"/>
      <c r="ATH21"/>
      <c r="ATI21"/>
      <c r="ATJ21"/>
      <c r="ATK21"/>
      <c r="ATL21"/>
      <c r="ATM21"/>
      <c r="ATN21"/>
      <c r="ATO21"/>
      <c r="ATP21"/>
      <c r="ATQ21"/>
      <c r="ATR21"/>
      <c r="ATS21"/>
      <c r="ATT21"/>
      <c r="ATU21"/>
      <c r="ATV21"/>
      <c r="ATW21"/>
      <c r="ATX21"/>
      <c r="ATY21"/>
      <c r="ATZ21"/>
      <c r="AUA21"/>
      <c r="AUB21"/>
      <c r="AUC21"/>
      <c r="AUD21"/>
      <c r="AUE21"/>
      <c r="AUF21"/>
      <c r="AUG21"/>
      <c r="AUH21"/>
      <c r="AUI21"/>
      <c r="AUJ21"/>
      <c r="AUK21"/>
      <c r="AUL21"/>
      <c r="AUM21"/>
      <c r="AUN21"/>
      <c r="AUO21"/>
      <c r="AUP21"/>
      <c r="AUQ21"/>
      <c r="AUR21"/>
      <c r="AUS21"/>
      <c r="AUT21"/>
      <c r="AUU21"/>
      <c r="AUV21"/>
      <c r="AUW21"/>
      <c r="AUX21"/>
      <c r="AUY21"/>
      <c r="AUZ21"/>
      <c r="AVA21"/>
      <c r="AVB21"/>
      <c r="AVC21"/>
      <c r="AVD21"/>
      <c r="AVE21"/>
      <c r="AVF21"/>
      <c r="AVG21"/>
      <c r="AVH21"/>
      <c r="AVI21"/>
      <c r="AVJ21"/>
      <c r="AVK21"/>
      <c r="AVL21"/>
      <c r="AVM21"/>
      <c r="AVN21"/>
      <c r="AVO21"/>
      <c r="AVP21"/>
      <c r="AVQ21"/>
      <c r="AVR21"/>
      <c r="AVS21"/>
      <c r="AVT21"/>
      <c r="AVU21"/>
      <c r="AVV21"/>
      <c r="AVW21"/>
      <c r="AVX21"/>
      <c r="AVY21"/>
      <c r="AVZ21"/>
      <c r="AWA21"/>
      <c r="AWB21"/>
      <c r="AWC21"/>
      <c r="AWD21"/>
      <c r="AWE21"/>
      <c r="AWF21"/>
      <c r="AWG21"/>
      <c r="AWH21"/>
      <c r="AWI21"/>
      <c r="AWJ21"/>
      <c r="AWK21"/>
      <c r="AWL21"/>
      <c r="AWM21"/>
      <c r="AWN21"/>
      <c r="AWO21"/>
      <c r="AWP21"/>
      <c r="AWQ21"/>
      <c r="AWR21"/>
      <c r="AWS21"/>
      <c r="AWT21"/>
      <c r="AWU21"/>
      <c r="AWV21"/>
      <c r="AWW21"/>
      <c r="AWX21"/>
      <c r="AWY21"/>
      <c r="AWZ21"/>
      <c r="AXA21"/>
      <c r="AXB21"/>
      <c r="AXC21"/>
      <c r="AXD21"/>
      <c r="AXE21"/>
      <c r="AXF21"/>
      <c r="AXG21"/>
      <c r="AXH21"/>
      <c r="AXI21"/>
      <c r="AXJ21"/>
      <c r="AXK21"/>
      <c r="AXL21"/>
      <c r="AXM21"/>
      <c r="AXN21"/>
      <c r="AXO21"/>
      <c r="AXP21"/>
      <c r="AXQ21"/>
      <c r="AXR21"/>
      <c r="AXS21"/>
      <c r="AXT21"/>
      <c r="AXU21"/>
      <c r="AXV21"/>
      <c r="AXW21"/>
      <c r="AXX21"/>
      <c r="AXY21"/>
      <c r="AXZ21"/>
      <c r="AYA21"/>
      <c r="AYB21"/>
      <c r="AYC21"/>
      <c r="AYD21"/>
      <c r="AYE21"/>
      <c r="AYF21"/>
      <c r="AYG21"/>
      <c r="AYH21"/>
      <c r="AYI21"/>
      <c r="AYJ21"/>
      <c r="AYK21"/>
      <c r="AYL21"/>
      <c r="AYM21"/>
      <c r="AYN21"/>
      <c r="AYO21"/>
      <c r="AYP21"/>
      <c r="AYQ21"/>
      <c r="AYR21"/>
      <c r="AYS21"/>
      <c r="AYT21"/>
      <c r="AYU21"/>
      <c r="AYV21"/>
      <c r="AYW21"/>
      <c r="AYX21"/>
      <c r="AYY21"/>
      <c r="AYZ21"/>
      <c r="AZA21"/>
      <c r="AZB21"/>
      <c r="AZC21"/>
      <c r="AZD21"/>
      <c r="AZE21"/>
      <c r="AZF21"/>
      <c r="AZG21"/>
      <c r="AZH21"/>
      <c r="AZI21"/>
      <c r="AZJ21"/>
      <c r="AZK21"/>
      <c r="AZL21"/>
      <c r="AZM21"/>
      <c r="AZN21"/>
      <c r="AZO21"/>
      <c r="AZP21"/>
      <c r="AZQ21"/>
      <c r="AZR21"/>
      <c r="AZS21"/>
      <c r="AZT21"/>
      <c r="AZU21"/>
      <c r="AZV21"/>
      <c r="AZW21"/>
      <c r="AZX21"/>
      <c r="AZY21"/>
      <c r="AZZ21"/>
      <c r="BAA21"/>
      <c r="BAB21"/>
      <c r="BAC21"/>
      <c r="BAD21"/>
      <c r="BAE21"/>
      <c r="BAF21"/>
      <c r="BAG21"/>
      <c r="BAH21"/>
      <c r="BAI21"/>
      <c r="BAJ21"/>
      <c r="BAK21"/>
      <c r="BAL21"/>
      <c r="BAM21"/>
      <c r="BAN21"/>
      <c r="BAO21"/>
      <c r="BAP21"/>
      <c r="BAQ21"/>
      <c r="BAR21"/>
      <c r="BAS21"/>
      <c r="BAT21"/>
      <c r="BAU21"/>
      <c r="BAV21"/>
      <c r="BAW21"/>
      <c r="BAX21"/>
      <c r="BAY21"/>
      <c r="BAZ21"/>
      <c r="BBA21"/>
      <c r="BBB21"/>
      <c r="BBC21"/>
      <c r="BBD21"/>
      <c r="BBE21"/>
      <c r="BBF21"/>
      <c r="BBG21"/>
      <c r="BBH21"/>
      <c r="BBI21"/>
      <c r="BBJ21"/>
      <c r="BBK21"/>
      <c r="BBL21"/>
      <c r="BBM21"/>
      <c r="BBN21"/>
      <c r="BBO21"/>
      <c r="BBP21"/>
      <c r="BBQ21"/>
      <c r="BBR21"/>
      <c r="BBS21"/>
      <c r="BBT21"/>
      <c r="BBU21"/>
      <c r="BBV21"/>
      <c r="BBW21"/>
      <c r="BBX21"/>
      <c r="BBY21"/>
      <c r="BBZ21"/>
      <c r="BCA21"/>
      <c r="BCB21"/>
      <c r="BCC21"/>
      <c r="BCD21"/>
      <c r="BCE21"/>
      <c r="BCF21"/>
      <c r="BCG21"/>
      <c r="BCH21"/>
      <c r="BCI21"/>
      <c r="BCJ21"/>
      <c r="BCK21"/>
      <c r="BCL21"/>
      <c r="BCM21"/>
      <c r="BCN21"/>
      <c r="BCO21"/>
      <c r="BCP21"/>
      <c r="BCQ21"/>
      <c r="BCR21"/>
      <c r="BCS21"/>
      <c r="BCT21"/>
      <c r="BCU21"/>
      <c r="BCV21"/>
      <c r="BCW21"/>
      <c r="BCX21"/>
      <c r="BCY21"/>
      <c r="BCZ21"/>
      <c r="BDA21"/>
      <c r="BDB21"/>
      <c r="BDC21"/>
      <c r="BDD21"/>
      <c r="BDE21"/>
      <c r="BDF21"/>
      <c r="BDG21"/>
      <c r="BDH21"/>
      <c r="BDI21"/>
      <c r="BDJ21"/>
      <c r="BDK21"/>
      <c r="BDL21"/>
      <c r="BDM21"/>
      <c r="BDN21"/>
      <c r="BDO21"/>
      <c r="BDP21"/>
      <c r="BDQ21"/>
      <c r="BDR21"/>
      <c r="BDS21"/>
      <c r="BDT21"/>
      <c r="BDU21"/>
      <c r="BDV21"/>
      <c r="BDW21"/>
      <c r="BDX21"/>
      <c r="BDY21"/>
      <c r="BDZ21"/>
      <c r="BEA21"/>
      <c r="BEB21"/>
      <c r="BEC21"/>
      <c r="BED21"/>
      <c r="BEE21"/>
      <c r="BEF21"/>
      <c r="BEG21"/>
      <c r="BEH21"/>
      <c r="BEI21"/>
      <c r="BEJ21"/>
      <c r="BEK21"/>
      <c r="BEL21"/>
      <c r="BEM21"/>
      <c r="BEN21"/>
      <c r="BEO21"/>
      <c r="BEP21"/>
      <c r="BEQ21"/>
      <c r="BER21"/>
      <c r="BES21"/>
      <c r="BET21"/>
      <c r="BEU21"/>
      <c r="BEV21"/>
      <c r="BEW21"/>
      <c r="BEX21"/>
      <c r="BEY21"/>
      <c r="BEZ21"/>
      <c r="BFA21"/>
      <c r="BFB21"/>
      <c r="BFC21"/>
      <c r="BFD21"/>
      <c r="BFE21"/>
      <c r="BFF21"/>
      <c r="BFG21"/>
      <c r="BFH21"/>
      <c r="BFI21"/>
      <c r="BFJ21"/>
      <c r="BFK21"/>
      <c r="BFL21"/>
      <c r="BFM21"/>
      <c r="BFN21"/>
      <c r="BFO21"/>
      <c r="BFP21"/>
      <c r="BFQ21"/>
      <c r="BFR21"/>
      <c r="BFS21"/>
      <c r="BFT21"/>
      <c r="BFU21"/>
      <c r="BFV21"/>
      <c r="BFW21"/>
      <c r="BFX21"/>
      <c r="BFY21"/>
      <c r="BFZ21"/>
      <c r="BGA21"/>
      <c r="BGB21"/>
      <c r="BGC21"/>
      <c r="BGD21"/>
      <c r="BGE21"/>
      <c r="BGF21"/>
      <c r="BGG21"/>
      <c r="BGH21"/>
      <c r="BGI21"/>
      <c r="BGJ21"/>
      <c r="BGK21"/>
      <c r="BGL21"/>
      <c r="BGM21"/>
      <c r="BGN21"/>
      <c r="BGO21"/>
      <c r="BGP21"/>
      <c r="BGQ21"/>
      <c r="BGR21"/>
      <c r="BGS21"/>
      <c r="BGT21"/>
      <c r="BGU21"/>
      <c r="BGV21"/>
      <c r="BGW21"/>
      <c r="BGX21"/>
      <c r="BGY21"/>
      <c r="BGZ21"/>
      <c r="BHA21"/>
      <c r="BHB21"/>
      <c r="BHC21"/>
      <c r="BHD21"/>
      <c r="BHE21"/>
      <c r="BHF21"/>
      <c r="BHG21"/>
      <c r="BHH21"/>
      <c r="BHI21"/>
      <c r="BHJ21"/>
      <c r="BHK21"/>
      <c r="BHL21"/>
      <c r="BHM21"/>
      <c r="BHN21"/>
      <c r="BHO21"/>
      <c r="BHP21"/>
      <c r="BHQ21"/>
      <c r="BHR21"/>
      <c r="BHS21"/>
      <c r="BHT21"/>
      <c r="BHU21"/>
      <c r="BHV21"/>
      <c r="BHW21"/>
      <c r="BHX21"/>
      <c r="BHY21"/>
      <c r="BHZ21"/>
      <c r="BIA21"/>
      <c r="BIB21"/>
      <c r="BIC21"/>
      <c r="BID21"/>
      <c r="BIE21"/>
      <c r="BIF21"/>
      <c r="BIG21"/>
      <c r="BIH21"/>
      <c r="BII21"/>
      <c r="BIJ21"/>
      <c r="BIK21"/>
      <c r="BIL21"/>
      <c r="BIM21"/>
      <c r="BIN21"/>
      <c r="BIO21"/>
      <c r="BIP21"/>
      <c r="BIQ21"/>
      <c r="BIR21"/>
      <c r="BIS21"/>
      <c r="BIT21"/>
      <c r="BIU21"/>
      <c r="BIV21"/>
      <c r="BIW21"/>
      <c r="BIX21"/>
      <c r="BIY21"/>
      <c r="BIZ21"/>
      <c r="BJA21"/>
      <c r="BJB21"/>
      <c r="BJC21"/>
      <c r="BJD21"/>
      <c r="BJE21"/>
      <c r="BJF21"/>
      <c r="BJG21"/>
      <c r="BJH21"/>
      <c r="BJI21"/>
      <c r="BJJ21"/>
      <c r="BJK21"/>
      <c r="BJL21"/>
      <c r="BJM21"/>
      <c r="BJN21"/>
      <c r="BJO21"/>
      <c r="BJP21"/>
      <c r="BJQ21"/>
      <c r="BJR21"/>
      <c r="BJS21"/>
      <c r="BJT21"/>
      <c r="BJU21"/>
      <c r="BJV21"/>
      <c r="BJW21"/>
      <c r="BJX21"/>
      <c r="BJY21"/>
      <c r="BJZ21"/>
      <c r="BKA21"/>
      <c r="BKB21"/>
      <c r="BKC21"/>
      <c r="BKD21"/>
      <c r="BKE21"/>
      <c r="BKF21"/>
      <c r="BKG21"/>
      <c r="BKH21"/>
      <c r="BKI21"/>
      <c r="BKJ21"/>
      <c r="BKK21"/>
      <c r="BKL21"/>
      <c r="BKM21"/>
      <c r="BKN21"/>
      <c r="BKO21"/>
      <c r="BKP21"/>
      <c r="BKQ21"/>
      <c r="BKR21"/>
      <c r="BKS21"/>
      <c r="BKT21"/>
      <c r="BKU21"/>
      <c r="BKV21"/>
      <c r="BKW21"/>
      <c r="BKX21"/>
      <c r="BKY21"/>
      <c r="BKZ21"/>
      <c r="BLA21"/>
      <c r="BLB21"/>
      <c r="BLC21"/>
      <c r="BLD21"/>
      <c r="BLE21"/>
      <c r="BLF21"/>
      <c r="BLG21"/>
      <c r="BLH21"/>
      <c r="BLI21"/>
      <c r="BLJ21"/>
      <c r="BLK21"/>
      <c r="BLL21"/>
      <c r="BLM21"/>
      <c r="BLN21"/>
      <c r="BLO21"/>
      <c r="BLP21"/>
      <c r="BLQ21"/>
      <c r="BLR21"/>
      <c r="BLS21"/>
      <c r="BLT21"/>
      <c r="BLU21"/>
      <c r="BLV21"/>
      <c r="BLW21"/>
      <c r="BLX21"/>
      <c r="BLY21"/>
      <c r="BLZ21"/>
      <c r="BMA21"/>
      <c r="BMB21"/>
      <c r="BMC21"/>
      <c r="BMD21"/>
      <c r="BME21"/>
      <c r="BMF21"/>
      <c r="BMG21"/>
      <c r="BMH21"/>
      <c r="BMI21"/>
      <c r="BMJ21"/>
      <c r="BMK21"/>
      <c r="BML21"/>
      <c r="BMM21"/>
      <c r="BMN21"/>
      <c r="BMO21"/>
      <c r="BMP21"/>
      <c r="BMQ21"/>
      <c r="BMR21"/>
      <c r="BMS21"/>
      <c r="BMT21"/>
      <c r="BMU21"/>
      <c r="BMV21"/>
      <c r="BMW21"/>
      <c r="BMX21"/>
      <c r="BMY21"/>
      <c r="BMZ21"/>
      <c r="BNA21"/>
      <c r="BNB21"/>
      <c r="BNC21"/>
      <c r="BND21"/>
      <c r="BNE21"/>
      <c r="BNF21"/>
      <c r="BNG21"/>
      <c r="BNH21"/>
      <c r="BNI21"/>
      <c r="BNJ21"/>
      <c r="BNK21"/>
      <c r="BNL21"/>
      <c r="BNM21"/>
      <c r="BNN21"/>
      <c r="BNO21"/>
      <c r="BNP21"/>
      <c r="BNQ21"/>
      <c r="BNR21"/>
      <c r="BNS21"/>
      <c r="BNT21"/>
      <c r="BNU21"/>
      <c r="BNV21"/>
      <c r="BNW21"/>
      <c r="BNX21"/>
      <c r="BNY21"/>
      <c r="BNZ21"/>
      <c r="BOA21"/>
      <c r="BOB21"/>
      <c r="BOC21"/>
      <c r="BOD21"/>
      <c r="BOE21"/>
      <c r="BOF21"/>
      <c r="BOG21"/>
      <c r="BOH21"/>
      <c r="BOI21"/>
      <c r="BOJ21"/>
      <c r="BOK21"/>
      <c r="BOL21"/>
      <c r="BOM21"/>
      <c r="BON21"/>
      <c r="BOO21"/>
      <c r="BOP21"/>
      <c r="BOQ21"/>
      <c r="BOR21"/>
      <c r="BOS21"/>
      <c r="BOT21"/>
      <c r="BOU21"/>
      <c r="BOV21"/>
      <c r="BOW21"/>
      <c r="BOX21"/>
      <c r="BOY21"/>
      <c r="BOZ21"/>
      <c r="BPA21"/>
      <c r="BPB21"/>
      <c r="BPC21"/>
      <c r="BPD21"/>
      <c r="BPE21"/>
      <c r="BPF21"/>
      <c r="BPG21"/>
      <c r="BPH21"/>
      <c r="BPI21"/>
      <c r="BPJ21"/>
      <c r="BPK21"/>
      <c r="BPL21"/>
      <c r="BPM21"/>
      <c r="BPN21"/>
      <c r="BPO21"/>
      <c r="BPP21"/>
      <c r="BPQ21"/>
      <c r="BPR21"/>
      <c r="BPS21"/>
      <c r="BPT21"/>
      <c r="BPU21"/>
      <c r="BPV21"/>
      <c r="BPW21"/>
      <c r="BPX21"/>
      <c r="BPY21"/>
      <c r="BPZ21"/>
      <c r="BQA21"/>
      <c r="BQB21"/>
      <c r="BQC21"/>
      <c r="BQD21"/>
      <c r="BQE21"/>
      <c r="BQF21"/>
      <c r="BQG21"/>
      <c r="BQH21"/>
      <c r="BQI21"/>
      <c r="BQJ21"/>
      <c r="BQK21"/>
      <c r="BQL21"/>
      <c r="BQM21"/>
      <c r="BQN21"/>
      <c r="BQO21"/>
      <c r="BQP21"/>
      <c r="BQQ21"/>
      <c r="BQR21"/>
      <c r="BQS21"/>
      <c r="BQT21"/>
      <c r="BQU21"/>
      <c r="BQV21"/>
      <c r="BQW21"/>
      <c r="BQX21"/>
      <c r="BQY21"/>
      <c r="BQZ21"/>
      <c r="BRA21"/>
      <c r="BRB21"/>
      <c r="BRC21"/>
      <c r="BRD21"/>
      <c r="BRE21"/>
      <c r="BRF21"/>
      <c r="BRG21"/>
      <c r="BRH21"/>
      <c r="BRI21"/>
      <c r="BRJ21"/>
      <c r="BRK21"/>
      <c r="BRL21"/>
      <c r="BRM21"/>
      <c r="BRN21"/>
      <c r="BRO21"/>
      <c r="BRP21"/>
      <c r="BRQ21"/>
      <c r="BRR21"/>
      <c r="BRS21"/>
      <c r="BRT21"/>
      <c r="BRU21"/>
      <c r="BRV21"/>
      <c r="BRW21"/>
      <c r="BRX21"/>
      <c r="BRY21"/>
      <c r="BRZ21"/>
      <c r="BSA21"/>
      <c r="BSB21"/>
      <c r="BSC21"/>
      <c r="BSD21"/>
      <c r="BSE21"/>
      <c r="BSF21"/>
      <c r="BSG21"/>
      <c r="BSH21"/>
      <c r="BSI21"/>
      <c r="BSJ21"/>
      <c r="BSK21"/>
      <c r="BSL21"/>
      <c r="BSM21"/>
      <c r="BSN21"/>
      <c r="BSO21"/>
      <c r="BSP21"/>
      <c r="BSQ21"/>
      <c r="BSR21"/>
      <c r="BSS21"/>
      <c r="BST21"/>
      <c r="BSU21"/>
      <c r="BSV21"/>
      <c r="BSW21"/>
      <c r="BSX21"/>
      <c r="BSY21"/>
      <c r="BSZ21"/>
      <c r="BTA21"/>
      <c r="BTB21"/>
      <c r="BTC21"/>
      <c r="BTD21"/>
      <c r="BTE21"/>
      <c r="BTF21"/>
      <c r="BTG21"/>
      <c r="BTH21"/>
      <c r="BTI21"/>
      <c r="BTJ21"/>
      <c r="BTK21"/>
      <c r="BTL21"/>
      <c r="BTM21"/>
      <c r="BTN21"/>
      <c r="BTO21"/>
      <c r="BTP21"/>
      <c r="BTQ21"/>
      <c r="BTR21"/>
      <c r="BTS21"/>
      <c r="BTT21"/>
      <c r="BTU21"/>
      <c r="BTV21"/>
      <c r="BTW21"/>
      <c r="BTX21"/>
      <c r="BTY21"/>
      <c r="BTZ21"/>
      <c r="BUA21"/>
      <c r="BUB21"/>
      <c r="BUC21"/>
      <c r="BUD21"/>
      <c r="BUE21"/>
      <c r="BUF21"/>
      <c r="BUG21"/>
      <c r="BUH21"/>
      <c r="BUI21"/>
      <c r="BUJ21"/>
      <c r="BUK21"/>
      <c r="BUL21"/>
      <c r="BUM21"/>
      <c r="BUN21"/>
      <c r="BUO21"/>
      <c r="BUP21"/>
      <c r="BUQ21"/>
      <c r="BUR21"/>
      <c r="BUS21"/>
      <c r="BUT21"/>
      <c r="BUU21"/>
      <c r="BUV21"/>
      <c r="BUW21"/>
      <c r="BUX21"/>
      <c r="BUY21"/>
      <c r="BUZ21"/>
      <c r="BVA21"/>
      <c r="BVB21"/>
      <c r="BVC21"/>
      <c r="BVD21"/>
      <c r="BVE21"/>
      <c r="BVF21"/>
      <c r="BVG21"/>
      <c r="BVH21"/>
      <c r="BVI21"/>
      <c r="BVJ21"/>
      <c r="BVK21"/>
      <c r="BVL21"/>
      <c r="BVM21"/>
      <c r="BVN21"/>
      <c r="BVO21"/>
      <c r="BVP21"/>
      <c r="BVQ21"/>
      <c r="BVR21"/>
      <c r="BVS21"/>
      <c r="BVT21"/>
      <c r="BVU21"/>
      <c r="BVV21"/>
      <c r="BVW21"/>
      <c r="BVX21"/>
      <c r="BVY21"/>
      <c r="BVZ21"/>
      <c r="BWA21"/>
      <c r="BWB21"/>
      <c r="BWC21"/>
      <c r="BWD21"/>
      <c r="BWE21"/>
      <c r="BWF21"/>
      <c r="BWG21"/>
      <c r="BWH21"/>
      <c r="BWI21"/>
      <c r="BWJ21"/>
      <c r="BWK21"/>
      <c r="BWL21"/>
      <c r="BWM21"/>
      <c r="BWN21"/>
      <c r="BWO21"/>
      <c r="BWP21"/>
      <c r="BWQ21"/>
      <c r="BWR21"/>
      <c r="BWS21"/>
      <c r="BWT21"/>
      <c r="BWU21"/>
      <c r="BWV21"/>
      <c r="BWW21"/>
      <c r="BWX21"/>
      <c r="BWY21"/>
      <c r="BWZ21"/>
      <c r="BXA21"/>
      <c r="BXB21"/>
      <c r="BXC21"/>
      <c r="BXD21"/>
      <c r="BXE21"/>
      <c r="BXF21"/>
      <c r="BXG21"/>
      <c r="BXH21"/>
      <c r="BXI21"/>
      <c r="BXJ21"/>
      <c r="BXK21"/>
      <c r="BXL21"/>
      <c r="BXM21"/>
      <c r="BXN21"/>
      <c r="BXO21"/>
      <c r="BXP21"/>
      <c r="BXQ21"/>
      <c r="BXR21"/>
      <c r="BXS21"/>
      <c r="BXT21"/>
      <c r="BXU21"/>
      <c r="BXV21"/>
      <c r="BXW21"/>
      <c r="BXX21"/>
      <c r="BXY21"/>
      <c r="BXZ21"/>
      <c r="BYA21"/>
      <c r="BYB21"/>
      <c r="BYC21"/>
      <c r="BYD21"/>
      <c r="BYE21"/>
      <c r="BYF21"/>
      <c r="BYG21"/>
      <c r="BYH21"/>
      <c r="BYI21"/>
      <c r="BYJ21"/>
      <c r="BYK21"/>
      <c r="BYL21"/>
      <c r="BYM21"/>
      <c r="BYN21"/>
      <c r="BYO21"/>
      <c r="BYP21"/>
      <c r="BYQ21"/>
      <c r="BYR21"/>
      <c r="BYS21"/>
      <c r="BYT21"/>
      <c r="BYU21"/>
      <c r="BYV21"/>
      <c r="BYW21"/>
      <c r="BYX21"/>
      <c r="BYY21"/>
      <c r="BYZ21"/>
      <c r="BZA21"/>
      <c r="BZB21"/>
      <c r="BZC21"/>
      <c r="BZD21"/>
      <c r="BZE21"/>
      <c r="BZF21"/>
      <c r="BZG21"/>
      <c r="BZH21"/>
      <c r="BZI21"/>
      <c r="BZJ21"/>
      <c r="BZK21"/>
      <c r="BZL21"/>
      <c r="BZM21"/>
      <c r="BZN21"/>
      <c r="BZO21"/>
      <c r="BZP21"/>
      <c r="BZQ21"/>
      <c r="BZR21"/>
      <c r="BZS21"/>
      <c r="BZT21"/>
      <c r="BZU21"/>
      <c r="BZV21"/>
      <c r="BZW21"/>
      <c r="BZX21"/>
      <c r="BZY21"/>
      <c r="BZZ21"/>
      <c r="CAA21"/>
      <c r="CAB21"/>
      <c r="CAC21"/>
      <c r="CAD21"/>
      <c r="CAE21"/>
      <c r="CAF21"/>
      <c r="CAG21"/>
      <c r="CAH21"/>
      <c r="CAI21"/>
      <c r="CAJ21"/>
      <c r="CAK21"/>
      <c r="CAL21"/>
      <c r="CAM21"/>
      <c r="CAN21"/>
      <c r="CAO21"/>
      <c r="CAP21"/>
      <c r="CAQ21"/>
      <c r="CAR21"/>
      <c r="CAS21"/>
      <c r="CAT21"/>
      <c r="CAU21"/>
      <c r="CAV21"/>
      <c r="CAW21"/>
      <c r="CAX21"/>
      <c r="CAY21"/>
      <c r="CAZ21"/>
      <c r="CBA21"/>
      <c r="CBB21"/>
      <c r="CBC21"/>
      <c r="CBD21"/>
      <c r="CBE21"/>
      <c r="CBF21"/>
      <c r="CBG21"/>
      <c r="CBH21"/>
      <c r="CBI21"/>
      <c r="CBJ21"/>
      <c r="CBK21"/>
      <c r="CBL21"/>
      <c r="CBM21"/>
      <c r="CBN21"/>
      <c r="CBO21"/>
      <c r="CBP21"/>
      <c r="CBQ21"/>
      <c r="CBR21"/>
      <c r="CBS21"/>
      <c r="CBT21"/>
      <c r="CBU21"/>
      <c r="CBV21"/>
      <c r="CBW21"/>
      <c r="CBX21"/>
      <c r="CBY21"/>
      <c r="CBZ21"/>
      <c r="CCA21"/>
      <c r="CCB21"/>
      <c r="CCC21"/>
      <c r="CCD21"/>
      <c r="CCE21"/>
      <c r="CCF21"/>
      <c r="CCG21"/>
      <c r="CCH21"/>
      <c r="CCI21"/>
      <c r="CCJ21"/>
      <c r="CCK21"/>
      <c r="CCL21"/>
      <c r="CCM21"/>
      <c r="CCN21"/>
      <c r="CCO21"/>
      <c r="CCP21"/>
      <c r="CCQ21"/>
      <c r="CCR21"/>
      <c r="CCS21"/>
      <c r="CCT21"/>
      <c r="CCU21"/>
      <c r="CCV21"/>
      <c r="CCW21"/>
      <c r="CCX21"/>
      <c r="CCY21"/>
      <c r="CCZ21"/>
      <c r="CDA21"/>
      <c r="CDB21"/>
      <c r="CDC21"/>
      <c r="CDD21"/>
      <c r="CDE21"/>
      <c r="CDF21"/>
      <c r="CDG21"/>
      <c r="CDH21"/>
      <c r="CDI21"/>
      <c r="CDJ21"/>
      <c r="CDK21"/>
      <c r="CDL21"/>
      <c r="CDM21"/>
      <c r="CDN21"/>
      <c r="CDO21"/>
      <c r="CDP21"/>
      <c r="CDQ21"/>
      <c r="CDR21"/>
      <c r="CDS21"/>
      <c r="CDT21"/>
      <c r="CDU21"/>
      <c r="CDV21"/>
      <c r="CDW21"/>
      <c r="CDX21"/>
      <c r="CDY21"/>
      <c r="CDZ21"/>
      <c r="CEA21"/>
      <c r="CEB21"/>
      <c r="CEC21"/>
      <c r="CED21"/>
      <c r="CEE21"/>
      <c r="CEF21"/>
      <c r="CEG21"/>
      <c r="CEH21"/>
      <c r="CEI21"/>
      <c r="CEJ21"/>
      <c r="CEK21"/>
      <c r="CEL21"/>
      <c r="CEM21"/>
      <c r="CEN21"/>
      <c r="CEO21"/>
      <c r="CEP21"/>
      <c r="CEQ21"/>
      <c r="CER21"/>
      <c r="CES21"/>
      <c r="CET21"/>
      <c r="CEU21"/>
      <c r="CEV21"/>
      <c r="CEW21"/>
      <c r="CEX21"/>
      <c r="CEY21"/>
      <c r="CEZ21"/>
      <c r="CFA21"/>
      <c r="CFB21"/>
      <c r="CFC21"/>
      <c r="CFD21"/>
      <c r="CFE21"/>
      <c r="CFF21"/>
      <c r="CFG21"/>
      <c r="CFH21"/>
      <c r="CFI21"/>
      <c r="CFJ21"/>
      <c r="CFK21"/>
      <c r="CFL21"/>
      <c r="CFM21"/>
      <c r="CFN21"/>
      <c r="CFO21"/>
      <c r="CFP21"/>
      <c r="CFQ21"/>
      <c r="CFR21"/>
      <c r="CFS21"/>
      <c r="CFT21"/>
      <c r="CFU21"/>
      <c r="CFV21"/>
      <c r="CFW21"/>
      <c r="CFX21"/>
      <c r="CFY21"/>
      <c r="CFZ21"/>
      <c r="CGA21"/>
      <c r="CGB21"/>
      <c r="CGC21"/>
      <c r="CGD21"/>
      <c r="CGE21"/>
      <c r="CGF21"/>
      <c r="CGG21"/>
      <c r="CGH21"/>
      <c r="CGI21"/>
      <c r="CGJ21"/>
      <c r="CGK21"/>
      <c r="CGL21"/>
      <c r="CGM21"/>
      <c r="CGN21"/>
      <c r="CGO21"/>
      <c r="CGP21"/>
      <c r="CGQ21"/>
      <c r="CGR21"/>
      <c r="CGS21"/>
      <c r="CGT21"/>
      <c r="CGU21"/>
      <c r="CGV21"/>
      <c r="CGW21"/>
      <c r="CGX21"/>
      <c r="CGY21"/>
      <c r="CGZ21"/>
      <c r="CHA21"/>
      <c r="CHB21"/>
      <c r="CHC21"/>
      <c r="CHD21"/>
      <c r="CHE21"/>
      <c r="CHF21"/>
      <c r="CHG21"/>
      <c r="CHH21"/>
      <c r="CHI21"/>
      <c r="CHJ21"/>
      <c r="CHK21"/>
      <c r="CHL21"/>
      <c r="CHM21"/>
      <c r="CHN21"/>
      <c r="CHO21"/>
      <c r="CHP21"/>
      <c r="CHQ21"/>
      <c r="CHR21"/>
      <c r="CHS21"/>
      <c r="CHT21"/>
      <c r="CHU21"/>
      <c r="CHV21"/>
      <c r="CHW21"/>
      <c r="CHX21"/>
      <c r="CHY21"/>
      <c r="CHZ21"/>
      <c r="CIA21"/>
      <c r="CIB21"/>
      <c r="CIC21"/>
      <c r="CID21"/>
      <c r="CIE21"/>
      <c r="CIF21"/>
      <c r="CIG21"/>
      <c r="CIH21"/>
      <c r="CII21"/>
      <c r="CIJ21"/>
      <c r="CIK21"/>
      <c r="CIL21"/>
      <c r="CIM21"/>
      <c r="CIN21"/>
      <c r="CIO21"/>
      <c r="CIP21"/>
      <c r="CIQ21"/>
      <c r="CIR21"/>
      <c r="CIS21"/>
      <c r="CIT21"/>
      <c r="CIU21"/>
      <c r="CIV21"/>
      <c r="CIW21"/>
      <c r="CIX21"/>
      <c r="CIY21"/>
      <c r="CIZ21"/>
      <c r="CJA21"/>
      <c r="CJB21"/>
      <c r="CJC21"/>
      <c r="CJD21"/>
      <c r="CJE21"/>
      <c r="CJF21"/>
      <c r="CJG21"/>
      <c r="CJH21"/>
      <c r="CJI21"/>
      <c r="CJJ21"/>
      <c r="CJK21"/>
      <c r="CJL21"/>
      <c r="CJM21"/>
      <c r="CJN21"/>
      <c r="CJO21"/>
      <c r="CJP21"/>
      <c r="CJQ21"/>
      <c r="CJR21"/>
      <c r="CJS21"/>
      <c r="CJT21"/>
      <c r="CJU21"/>
      <c r="CJV21"/>
      <c r="CJW21"/>
      <c r="CJX21"/>
      <c r="CJY21"/>
      <c r="CJZ21"/>
      <c r="CKA21"/>
      <c r="CKB21"/>
      <c r="CKC21"/>
      <c r="CKD21"/>
      <c r="CKE21"/>
      <c r="CKF21"/>
      <c r="CKG21"/>
      <c r="CKH21"/>
      <c r="CKI21"/>
      <c r="CKJ21"/>
      <c r="CKK21"/>
      <c r="CKL21"/>
      <c r="CKM21"/>
      <c r="CKN21"/>
      <c r="CKO21"/>
      <c r="CKP21"/>
      <c r="CKQ21"/>
      <c r="CKR21"/>
      <c r="CKS21"/>
      <c r="CKT21"/>
      <c r="CKU21"/>
      <c r="CKV21"/>
      <c r="CKW21"/>
      <c r="CKX21"/>
      <c r="CKY21"/>
      <c r="CKZ21"/>
      <c r="CLA21"/>
      <c r="CLB21"/>
      <c r="CLC21"/>
      <c r="CLD21"/>
      <c r="CLE21"/>
      <c r="CLF21"/>
      <c r="CLG21"/>
      <c r="CLH21"/>
      <c r="CLI21"/>
      <c r="CLJ21"/>
      <c r="CLK21"/>
      <c r="CLL21"/>
      <c r="CLM21"/>
      <c r="CLN21"/>
      <c r="CLO21"/>
      <c r="CLP21"/>
      <c r="CLQ21"/>
      <c r="CLR21"/>
      <c r="CLS21"/>
      <c r="CLT21"/>
      <c r="CLU21"/>
      <c r="CLV21"/>
      <c r="CLW21"/>
      <c r="CLX21"/>
      <c r="CLY21"/>
      <c r="CLZ21"/>
      <c r="CMA21"/>
      <c r="CMB21"/>
      <c r="CMC21"/>
      <c r="CMD21"/>
      <c r="CME21"/>
      <c r="CMF21"/>
      <c r="CMG21"/>
      <c r="CMH21"/>
      <c r="CMI21"/>
      <c r="CMJ21"/>
      <c r="CMK21"/>
      <c r="CML21"/>
      <c r="CMM21"/>
      <c r="CMN21"/>
      <c r="CMO21"/>
      <c r="CMP21"/>
      <c r="CMQ21"/>
      <c r="CMR21"/>
      <c r="CMS21"/>
      <c r="CMT21"/>
      <c r="CMU21"/>
      <c r="CMV21"/>
      <c r="CMW21"/>
      <c r="CMX21"/>
      <c r="CMY21"/>
      <c r="CMZ21"/>
      <c r="CNA21"/>
      <c r="CNB21"/>
      <c r="CNC21"/>
      <c r="CND21"/>
      <c r="CNE21"/>
      <c r="CNF21"/>
      <c r="CNG21"/>
      <c r="CNH21"/>
      <c r="CNI21"/>
      <c r="CNJ21"/>
      <c r="CNK21"/>
      <c r="CNL21"/>
      <c r="CNM21"/>
      <c r="CNN21"/>
      <c r="CNO21"/>
      <c r="CNP21"/>
      <c r="CNQ21"/>
      <c r="CNR21"/>
      <c r="CNS21"/>
      <c r="CNT21"/>
      <c r="CNU21"/>
      <c r="CNV21"/>
      <c r="CNW21"/>
      <c r="CNX21"/>
      <c r="CNY21"/>
      <c r="CNZ21"/>
      <c r="COA21"/>
      <c r="COB21"/>
      <c r="COC21"/>
      <c r="COD21"/>
      <c r="COE21"/>
      <c r="COF21"/>
      <c r="COG21"/>
      <c r="COH21"/>
      <c r="COI21"/>
      <c r="COJ21"/>
      <c r="COK21"/>
      <c r="COL21"/>
      <c r="COM21"/>
      <c r="CON21"/>
      <c r="COO21"/>
      <c r="COP21"/>
      <c r="COQ21"/>
      <c r="COR21"/>
      <c r="COS21"/>
      <c r="COT21"/>
      <c r="COU21"/>
      <c r="COV21"/>
      <c r="COW21"/>
      <c r="COX21"/>
      <c r="COY21"/>
      <c r="COZ21"/>
      <c r="CPA21"/>
      <c r="CPB21"/>
      <c r="CPC21"/>
      <c r="CPD21"/>
      <c r="CPE21"/>
      <c r="CPF21"/>
      <c r="CPG21"/>
      <c r="CPH21"/>
      <c r="CPI21"/>
      <c r="CPJ21"/>
      <c r="CPK21"/>
      <c r="CPL21"/>
      <c r="CPM21"/>
      <c r="CPN21"/>
      <c r="CPO21"/>
      <c r="CPP21"/>
      <c r="CPQ21"/>
      <c r="CPR21"/>
      <c r="CPS21"/>
      <c r="CPT21"/>
      <c r="CPU21"/>
      <c r="CPV21"/>
      <c r="CPW21"/>
      <c r="CPX21"/>
      <c r="CPY21"/>
      <c r="CPZ21"/>
      <c r="CQA21"/>
      <c r="CQB21"/>
      <c r="CQC21"/>
      <c r="CQD21"/>
      <c r="CQE21"/>
      <c r="CQF21"/>
      <c r="CQG21"/>
      <c r="CQH21"/>
      <c r="CQI21"/>
      <c r="CQJ21"/>
      <c r="CQK21"/>
      <c r="CQL21"/>
      <c r="CQM21"/>
      <c r="CQN21"/>
      <c r="CQO21"/>
      <c r="CQP21"/>
      <c r="CQQ21"/>
      <c r="CQR21"/>
      <c r="CQS21"/>
      <c r="CQT21"/>
      <c r="CQU21"/>
      <c r="CQV21"/>
      <c r="CQW21"/>
      <c r="CQX21"/>
      <c r="CQY21"/>
      <c r="CQZ21"/>
      <c r="CRA21"/>
      <c r="CRB21"/>
      <c r="CRC21"/>
      <c r="CRD21"/>
      <c r="CRE21"/>
      <c r="CRF21"/>
      <c r="CRG21"/>
      <c r="CRH21"/>
      <c r="CRI21"/>
      <c r="CRJ21"/>
      <c r="CRK21"/>
      <c r="CRL21"/>
      <c r="CRM21"/>
      <c r="CRN21"/>
      <c r="CRO21"/>
      <c r="CRP21"/>
      <c r="CRQ21"/>
      <c r="CRR21"/>
      <c r="CRS21"/>
      <c r="CRT21"/>
      <c r="CRU21"/>
      <c r="CRV21"/>
      <c r="CRW21"/>
      <c r="CRX21"/>
      <c r="CRY21"/>
      <c r="CRZ21"/>
      <c r="CSA21"/>
      <c r="CSB21"/>
      <c r="CSC21"/>
      <c r="CSD21"/>
      <c r="CSE21"/>
      <c r="CSF21"/>
      <c r="CSG21"/>
      <c r="CSH21"/>
      <c r="CSI21"/>
      <c r="CSJ21"/>
      <c r="CSK21"/>
      <c r="CSL21"/>
      <c r="CSM21"/>
      <c r="CSN21"/>
      <c r="CSO21"/>
      <c r="CSP21"/>
      <c r="CSQ21"/>
      <c r="CSR21"/>
      <c r="CSS21"/>
      <c r="CST21"/>
      <c r="CSU21"/>
      <c r="CSV21"/>
      <c r="CSW21"/>
      <c r="CSX21"/>
      <c r="CSY21"/>
      <c r="CSZ21"/>
      <c r="CTA21"/>
      <c r="CTB21"/>
      <c r="CTC21"/>
      <c r="CTD21"/>
      <c r="CTE21"/>
      <c r="CTF21"/>
      <c r="CTG21"/>
      <c r="CTH21"/>
      <c r="CTI21"/>
      <c r="CTJ21"/>
      <c r="CTK21"/>
      <c r="CTL21"/>
      <c r="CTM21"/>
      <c r="CTN21"/>
      <c r="CTO21"/>
      <c r="CTP21"/>
      <c r="CTQ21"/>
      <c r="CTR21"/>
      <c r="CTS21"/>
      <c r="CTT21"/>
      <c r="CTU21"/>
      <c r="CTV21"/>
      <c r="CTW21"/>
      <c r="CTX21"/>
      <c r="CTY21"/>
      <c r="CTZ21"/>
      <c r="CUA21"/>
      <c r="CUB21"/>
      <c r="CUC21"/>
      <c r="CUD21"/>
      <c r="CUE21"/>
      <c r="CUF21"/>
      <c r="CUG21"/>
      <c r="CUH21"/>
      <c r="CUI21"/>
      <c r="CUJ21"/>
      <c r="CUK21"/>
      <c r="CUL21"/>
      <c r="CUM21"/>
      <c r="CUN21"/>
      <c r="CUO21"/>
      <c r="CUP21"/>
      <c r="CUQ21"/>
      <c r="CUR21"/>
      <c r="CUS21"/>
      <c r="CUT21"/>
      <c r="CUU21"/>
      <c r="CUV21"/>
      <c r="CUW21"/>
      <c r="CUX21"/>
      <c r="CUY21"/>
      <c r="CUZ21"/>
      <c r="CVA21"/>
      <c r="CVB21"/>
      <c r="CVC21"/>
      <c r="CVD21"/>
      <c r="CVE21"/>
      <c r="CVF21"/>
      <c r="CVG21"/>
      <c r="CVH21"/>
      <c r="CVI21"/>
      <c r="CVJ21"/>
      <c r="CVK21"/>
      <c r="CVL21"/>
      <c r="CVM21"/>
      <c r="CVN21"/>
      <c r="CVO21"/>
      <c r="CVP21"/>
      <c r="CVQ21"/>
      <c r="CVR21"/>
      <c r="CVS21"/>
      <c r="CVT21"/>
      <c r="CVU21"/>
      <c r="CVV21"/>
      <c r="CVW21"/>
      <c r="CVX21"/>
      <c r="CVY21"/>
      <c r="CVZ21"/>
      <c r="CWA21"/>
      <c r="CWB21"/>
      <c r="CWC21"/>
      <c r="CWD21"/>
      <c r="CWE21"/>
      <c r="CWF21"/>
      <c r="CWG21"/>
      <c r="CWH21"/>
      <c r="CWI21"/>
      <c r="CWJ21"/>
      <c r="CWK21"/>
      <c r="CWL21"/>
      <c r="CWM21"/>
      <c r="CWN21"/>
      <c r="CWO21"/>
      <c r="CWP21"/>
      <c r="CWQ21"/>
      <c r="CWR21"/>
      <c r="CWS21"/>
      <c r="CWT21"/>
      <c r="CWU21"/>
      <c r="CWV21"/>
      <c r="CWW21"/>
      <c r="CWX21"/>
      <c r="CWY21"/>
      <c r="CWZ21"/>
      <c r="CXA21"/>
      <c r="CXB21"/>
      <c r="CXC21"/>
      <c r="CXD21"/>
      <c r="CXE21"/>
      <c r="CXF21"/>
      <c r="CXG21"/>
      <c r="CXH21"/>
      <c r="CXI21"/>
      <c r="CXJ21"/>
      <c r="CXK21"/>
      <c r="CXL21"/>
      <c r="CXM21"/>
      <c r="CXN21"/>
      <c r="CXO21"/>
      <c r="CXP21"/>
      <c r="CXQ21"/>
      <c r="CXR21"/>
      <c r="CXS21"/>
      <c r="CXT21"/>
      <c r="CXU21"/>
      <c r="CXV21"/>
      <c r="CXW21"/>
      <c r="CXX21"/>
      <c r="CXY21"/>
      <c r="CXZ21"/>
      <c r="CYA21"/>
      <c r="CYB21"/>
      <c r="CYC21"/>
      <c r="CYD21"/>
      <c r="CYE21"/>
      <c r="CYF21"/>
      <c r="CYG21"/>
      <c r="CYH21"/>
      <c r="CYI21"/>
      <c r="CYJ21"/>
      <c r="CYK21"/>
      <c r="CYL21"/>
      <c r="CYM21"/>
      <c r="CYN21"/>
      <c r="CYO21"/>
      <c r="CYP21"/>
      <c r="CYQ21"/>
      <c r="CYR21"/>
      <c r="CYS21"/>
      <c r="CYT21"/>
      <c r="CYU21"/>
      <c r="CYV21"/>
      <c r="CYW21"/>
      <c r="CYX21"/>
      <c r="CYY21"/>
      <c r="CYZ21"/>
      <c r="CZA21"/>
      <c r="CZB21"/>
      <c r="CZC21"/>
      <c r="CZD21"/>
      <c r="CZE21"/>
      <c r="CZF21"/>
      <c r="CZG21"/>
      <c r="CZH21"/>
      <c r="CZI21"/>
      <c r="CZJ21"/>
      <c r="CZK21"/>
      <c r="CZL21"/>
      <c r="CZM21"/>
      <c r="CZN21"/>
      <c r="CZO21"/>
      <c r="CZP21"/>
      <c r="CZQ21"/>
      <c r="CZR21"/>
      <c r="CZS21"/>
      <c r="CZT21"/>
      <c r="CZU21"/>
      <c r="CZV21"/>
      <c r="CZW21"/>
      <c r="CZX21"/>
      <c r="CZY21"/>
      <c r="CZZ21"/>
      <c r="DAA21"/>
      <c r="DAB21"/>
      <c r="DAC21"/>
      <c r="DAD21"/>
      <c r="DAE21"/>
      <c r="DAF21"/>
      <c r="DAG21"/>
      <c r="DAH21"/>
      <c r="DAI21"/>
      <c r="DAJ21"/>
      <c r="DAK21"/>
      <c r="DAL21"/>
      <c r="DAM21"/>
      <c r="DAN21"/>
      <c r="DAO21"/>
      <c r="DAP21"/>
      <c r="DAQ21"/>
      <c r="DAR21"/>
      <c r="DAS21"/>
      <c r="DAT21"/>
      <c r="DAU21"/>
      <c r="DAV21"/>
      <c r="DAW21"/>
      <c r="DAX21"/>
      <c r="DAY21"/>
      <c r="DAZ21"/>
      <c r="DBA21"/>
      <c r="DBB21"/>
      <c r="DBC21"/>
      <c r="DBD21"/>
      <c r="DBE21"/>
      <c r="DBF21"/>
      <c r="DBG21"/>
      <c r="DBH21"/>
      <c r="DBI21"/>
      <c r="DBJ21"/>
      <c r="DBK21"/>
      <c r="DBL21"/>
      <c r="DBM21"/>
      <c r="DBN21"/>
      <c r="DBO21"/>
      <c r="DBP21"/>
      <c r="DBQ21"/>
      <c r="DBR21"/>
      <c r="DBS21"/>
      <c r="DBT21"/>
      <c r="DBU21"/>
      <c r="DBV21"/>
      <c r="DBW21"/>
      <c r="DBX21"/>
      <c r="DBY21"/>
      <c r="DBZ21"/>
      <c r="DCA21"/>
      <c r="DCB21"/>
      <c r="DCC21"/>
      <c r="DCD21"/>
      <c r="DCE21"/>
      <c r="DCF21"/>
      <c r="DCG21"/>
      <c r="DCH21"/>
      <c r="DCI21"/>
      <c r="DCJ21"/>
      <c r="DCK21"/>
      <c r="DCL21"/>
      <c r="DCM21"/>
      <c r="DCN21"/>
      <c r="DCO21"/>
      <c r="DCP21"/>
      <c r="DCQ21"/>
      <c r="DCR21"/>
      <c r="DCS21"/>
      <c r="DCT21"/>
      <c r="DCU21"/>
      <c r="DCV21"/>
      <c r="DCW21"/>
      <c r="DCX21"/>
      <c r="DCY21"/>
      <c r="DCZ21"/>
      <c r="DDA21"/>
      <c r="DDB21"/>
      <c r="DDC21"/>
      <c r="DDD21"/>
      <c r="DDE21"/>
      <c r="DDF21"/>
      <c r="DDG21"/>
      <c r="DDH21"/>
      <c r="DDI21"/>
      <c r="DDJ21"/>
      <c r="DDK21"/>
      <c r="DDL21"/>
      <c r="DDM21"/>
      <c r="DDN21"/>
      <c r="DDO21"/>
      <c r="DDP21"/>
      <c r="DDQ21"/>
      <c r="DDR21"/>
      <c r="DDS21"/>
      <c r="DDT21"/>
      <c r="DDU21"/>
      <c r="DDV21"/>
      <c r="DDW21"/>
      <c r="DDX21"/>
      <c r="DDY21"/>
      <c r="DDZ21"/>
      <c r="DEA21"/>
      <c r="DEB21"/>
      <c r="DEC21"/>
      <c r="DED21"/>
      <c r="DEE21"/>
      <c r="DEF21"/>
      <c r="DEG21"/>
      <c r="DEH21"/>
      <c r="DEI21"/>
      <c r="DEJ21"/>
      <c r="DEK21"/>
      <c r="DEL21"/>
      <c r="DEM21"/>
      <c r="DEN21"/>
      <c r="DEO21"/>
      <c r="DEP21"/>
      <c r="DEQ21"/>
      <c r="DER21"/>
      <c r="DES21"/>
      <c r="DET21"/>
      <c r="DEU21"/>
      <c r="DEV21"/>
      <c r="DEW21"/>
      <c r="DEX21"/>
      <c r="DEY21"/>
      <c r="DEZ21"/>
      <c r="DFA21"/>
      <c r="DFB21"/>
      <c r="DFC21"/>
      <c r="DFD21"/>
      <c r="DFE21"/>
      <c r="DFF21"/>
      <c r="DFG21"/>
      <c r="DFH21"/>
      <c r="DFI21"/>
      <c r="DFJ21"/>
      <c r="DFK21"/>
      <c r="DFL21"/>
      <c r="DFM21"/>
      <c r="DFN21"/>
      <c r="DFO21"/>
      <c r="DFP21"/>
      <c r="DFQ21"/>
      <c r="DFR21"/>
      <c r="DFS21"/>
      <c r="DFT21"/>
      <c r="DFU21"/>
      <c r="DFV21"/>
      <c r="DFW21"/>
      <c r="DFX21"/>
      <c r="DFY21"/>
      <c r="DFZ21"/>
      <c r="DGA21"/>
      <c r="DGB21"/>
      <c r="DGC21"/>
      <c r="DGD21"/>
      <c r="DGE21"/>
      <c r="DGF21"/>
      <c r="DGG21"/>
      <c r="DGH21"/>
      <c r="DGI21"/>
      <c r="DGJ21"/>
      <c r="DGK21"/>
      <c r="DGL21"/>
      <c r="DGM21"/>
      <c r="DGN21"/>
      <c r="DGO21"/>
      <c r="DGP21"/>
      <c r="DGQ21"/>
      <c r="DGR21"/>
      <c r="DGS21"/>
      <c r="DGT21"/>
      <c r="DGU21"/>
      <c r="DGV21"/>
      <c r="DGW21"/>
      <c r="DGX21"/>
      <c r="DGY21"/>
      <c r="DGZ21"/>
      <c r="DHA21"/>
      <c r="DHB21"/>
      <c r="DHC21"/>
      <c r="DHD21"/>
      <c r="DHE21"/>
      <c r="DHF21"/>
      <c r="DHG21"/>
      <c r="DHH21"/>
      <c r="DHI21"/>
      <c r="DHJ21"/>
      <c r="DHK21"/>
      <c r="DHL21"/>
      <c r="DHM21"/>
      <c r="DHN21"/>
      <c r="DHO21"/>
      <c r="DHP21"/>
      <c r="DHQ21"/>
      <c r="DHR21"/>
      <c r="DHS21"/>
      <c r="DHT21"/>
      <c r="DHU21"/>
      <c r="DHV21"/>
      <c r="DHW21"/>
      <c r="DHX21"/>
      <c r="DHY21"/>
      <c r="DHZ21"/>
      <c r="DIA21"/>
      <c r="DIB21"/>
      <c r="DIC21"/>
      <c r="DID21"/>
      <c r="DIE21"/>
      <c r="DIF21"/>
      <c r="DIG21"/>
      <c r="DIH21"/>
      <c r="DII21"/>
      <c r="DIJ21"/>
      <c r="DIK21"/>
      <c r="DIL21"/>
      <c r="DIM21"/>
      <c r="DIN21"/>
      <c r="DIO21"/>
      <c r="DIP21"/>
      <c r="DIQ21"/>
      <c r="DIR21"/>
      <c r="DIS21"/>
      <c r="DIT21"/>
      <c r="DIU21"/>
      <c r="DIV21"/>
      <c r="DIW21"/>
      <c r="DIX21"/>
      <c r="DIY21"/>
      <c r="DIZ21"/>
      <c r="DJA21"/>
      <c r="DJB21"/>
      <c r="DJC21"/>
      <c r="DJD21"/>
      <c r="DJE21"/>
      <c r="DJF21"/>
      <c r="DJG21"/>
      <c r="DJH21"/>
      <c r="DJI21"/>
      <c r="DJJ21"/>
      <c r="DJK21"/>
      <c r="DJL21"/>
      <c r="DJM21"/>
      <c r="DJN21"/>
      <c r="DJO21"/>
      <c r="DJP21"/>
      <c r="DJQ21"/>
      <c r="DJR21"/>
      <c r="DJS21"/>
      <c r="DJT21"/>
      <c r="DJU21"/>
      <c r="DJV21"/>
      <c r="DJW21"/>
      <c r="DJX21"/>
      <c r="DJY21"/>
      <c r="DJZ21"/>
      <c r="DKA21"/>
      <c r="DKB21"/>
      <c r="DKC21"/>
      <c r="DKD21"/>
      <c r="DKE21"/>
      <c r="DKF21"/>
      <c r="DKG21"/>
      <c r="DKH21"/>
      <c r="DKI21"/>
      <c r="DKJ21"/>
      <c r="DKK21"/>
      <c r="DKL21"/>
      <c r="DKM21"/>
      <c r="DKN21"/>
      <c r="DKO21"/>
      <c r="DKP21"/>
      <c r="DKQ21"/>
      <c r="DKR21"/>
      <c r="DKS21"/>
      <c r="DKT21"/>
      <c r="DKU21"/>
      <c r="DKV21"/>
      <c r="DKW21"/>
      <c r="DKX21"/>
      <c r="DKY21"/>
      <c r="DKZ21"/>
      <c r="DLA21"/>
      <c r="DLB21"/>
      <c r="DLC21"/>
      <c r="DLD21"/>
      <c r="DLE21"/>
      <c r="DLF21"/>
      <c r="DLG21"/>
      <c r="DLH21"/>
      <c r="DLI21"/>
      <c r="DLJ21"/>
      <c r="DLK21"/>
      <c r="DLL21"/>
      <c r="DLM21"/>
      <c r="DLN21"/>
      <c r="DLO21"/>
      <c r="DLP21"/>
      <c r="DLQ21"/>
      <c r="DLR21"/>
      <c r="DLS21"/>
      <c r="DLT21"/>
      <c r="DLU21"/>
      <c r="DLV21"/>
      <c r="DLW21"/>
      <c r="DLX21"/>
      <c r="DLY21"/>
      <c r="DLZ21"/>
      <c r="DMA21"/>
      <c r="DMB21"/>
      <c r="DMC21"/>
      <c r="DMD21"/>
      <c r="DME21"/>
      <c r="DMF21"/>
      <c r="DMG21"/>
      <c r="DMH21"/>
      <c r="DMI21"/>
      <c r="DMJ21"/>
      <c r="DMK21"/>
      <c r="DML21"/>
      <c r="DMM21"/>
      <c r="DMN21"/>
      <c r="DMO21"/>
      <c r="DMP21"/>
      <c r="DMQ21"/>
      <c r="DMR21"/>
      <c r="DMS21"/>
      <c r="DMT21"/>
      <c r="DMU21"/>
      <c r="DMV21"/>
      <c r="DMW21"/>
      <c r="DMX21"/>
      <c r="DMY21"/>
      <c r="DMZ21"/>
      <c r="DNA21"/>
      <c r="DNB21"/>
      <c r="DNC21"/>
      <c r="DND21"/>
      <c r="DNE21"/>
      <c r="DNF21"/>
      <c r="DNG21"/>
      <c r="DNH21"/>
      <c r="DNI21"/>
      <c r="DNJ21"/>
      <c r="DNK21"/>
      <c r="DNL21"/>
      <c r="DNM21"/>
      <c r="DNN21"/>
      <c r="DNO21"/>
      <c r="DNP21"/>
      <c r="DNQ21"/>
      <c r="DNR21"/>
      <c r="DNS21"/>
      <c r="DNT21"/>
      <c r="DNU21"/>
      <c r="DNV21"/>
      <c r="DNW21"/>
      <c r="DNX21"/>
      <c r="DNY21"/>
      <c r="DNZ21"/>
      <c r="DOA21"/>
      <c r="DOB21"/>
      <c r="DOC21"/>
      <c r="DOD21"/>
      <c r="DOE21"/>
      <c r="DOF21"/>
      <c r="DOG21"/>
      <c r="DOH21"/>
      <c r="DOI21"/>
      <c r="DOJ21"/>
      <c r="DOK21"/>
      <c r="DOL21"/>
      <c r="DOM21"/>
      <c r="DON21"/>
      <c r="DOO21"/>
      <c r="DOP21"/>
      <c r="DOQ21"/>
      <c r="DOR21"/>
      <c r="DOS21"/>
      <c r="DOT21"/>
      <c r="DOU21"/>
      <c r="DOV21"/>
      <c r="DOW21"/>
      <c r="DOX21"/>
      <c r="DOY21"/>
      <c r="DOZ21"/>
      <c r="DPA21"/>
      <c r="DPB21"/>
      <c r="DPC21"/>
      <c r="DPD21"/>
      <c r="DPE21"/>
      <c r="DPF21"/>
      <c r="DPG21"/>
      <c r="DPH21"/>
      <c r="DPI21"/>
      <c r="DPJ21"/>
      <c r="DPK21"/>
      <c r="DPL21"/>
      <c r="DPM21"/>
      <c r="DPN21"/>
      <c r="DPO21"/>
      <c r="DPP21"/>
      <c r="DPQ21"/>
      <c r="DPR21"/>
      <c r="DPS21"/>
      <c r="DPT21"/>
      <c r="DPU21"/>
      <c r="DPV21"/>
      <c r="DPW21"/>
      <c r="DPX21"/>
      <c r="DPY21"/>
      <c r="DPZ21"/>
      <c r="DQA21"/>
      <c r="DQB21"/>
      <c r="DQC21"/>
      <c r="DQD21"/>
      <c r="DQE21"/>
      <c r="DQF21"/>
      <c r="DQG21"/>
      <c r="DQH21"/>
      <c r="DQI21"/>
      <c r="DQJ21"/>
      <c r="DQK21"/>
      <c r="DQL21"/>
      <c r="DQM21"/>
      <c r="DQN21"/>
      <c r="DQO21"/>
      <c r="DQP21"/>
      <c r="DQQ21"/>
      <c r="DQR21"/>
      <c r="DQS21"/>
      <c r="DQT21"/>
      <c r="DQU21"/>
      <c r="DQV21"/>
      <c r="DQW21"/>
      <c r="DQX21"/>
      <c r="DQY21"/>
      <c r="DQZ21"/>
      <c r="DRA21"/>
      <c r="DRB21"/>
      <c r="DRC21"/>
      <c r="DRD21"/>
      <c r="DRE21"/>
      <c r="DRF21"/>
      <c r="DRG21"/>
      <c r="DRH21"/>
      <c r="DRI21"/>
      <c r="DRJ21"/>
      <c r="DRK21"/>
      <c r="DRL21"/>
      <c r="DRM21"/>
      <c r="DRN21"/>
      <c r="DRO21"/>
      <c r="DRP21"/>
      <c r="DRQ21"/>
      <c r="DRR21"/>
      <c r="DRS21"/>
      <c r="DRT21"/>
      <c r="DRU21"/>
      <c r="DRV21"/>
      <c r="DRW21"/>
      <c r="DRX21"/>
      <c r="DRY21"/>
      <c r="DRZ21"/>
      <c r="DSA21"/>
      <c r="DSB21"/>
      <c r="DSC21"/>
      <c r="DSD21"/>
      <c r="DSE21"/>
      <c r="DSF21"/>
      <c r="DSG21"/>
      <c r="DSH21"/>
      <c r="DSI21"/>
      <c r="DSJ21"/>
      <c r="DSK21"/>
      <c r="DSL21"/>
      <c r="DSM21"/>
      <c r="DSN21"/>
      <c r="DSO21"/>
      <c r="DSP21"/>
      <c r="DSQ21"/>
      <c r="DSR21"/>
      <c r="DSS21"/>
      <c r="DST21"/>
      <c r="DSU21"/>
      <c r="DSV21"/>
      <c r="DSW21"/>
      <c r="DSX21"/>
      <c r="DSY21"/>
      <c r="DSZ21"/>
      <c r="DTA21"/>
      <c r="DTB21"/>
      <c r="DTC21"/>
      <c r="DTD21"/>
      <c r="DTE21"/>
      <c r="DTF21"/>
      <c r="DTG21"/>
      <c r="DTH21"/>
      <c r="DTI21"/>
      <c r="DTJ21"/>
      <c r="DTK21"/>
      <c r="DTL21"/>
      <c r="DTM21"/>
      <c r="DTN21"/>
      <c r="DTO21"/>
      <c r="DTP21"/>
      <c r="DTQ21"/>
      <c r="DTR21"/>
      <c r="DTS21"/>
      <c r="DTT21"/>
      <c r="DTU21"/>
      <c r="DTV21"/>
      <c r="DTW21"/>
      <c r="DTX21"/>
      <c r="DTY21"/>
      <c r="DTZ21"/>
      <c r="DUA21"/>
      <c r="DUB21"/>
      <c r="DUC21"/>
      <c r="DUD21"/>
      <c r="DUE21"/>
      <c r="DUF21"/>
      <c r="DUG21"/>
      <c r="DUH21"/>
      <c r="DUI21"/>
      <c r="DUJ21"/>
      <c r="DUK21"/>
      <c r="DUL21"/>
      <c r="DUM21"/>
      <c r="DUN21"/>
      <c r="DUO21"/>
      <c r="DUP21"/>
      <c r="DUQ21"/>
      <c r="DUR21"/>
      <c r="DUS21"/>
      <c r="DUT21"/>
      <c r="DUU21"/>
      <c r="DUV21"/>
      <c r="DUW21"/>
      <c r="DUX21"/>
      <c r="DUY21"/>
      <c r="DUZ21"/>
      <c r="DVA21"/>
      <c r="DVB21"/>
      <c r="DVC21"/>
      <c r="DVD21"/>
      <c r="DVE21"/>
      <c r="DVF21"/>
      <c r="DVG21"/>
      <c r="DVH21"/>
      <c r="DVI21"/>
      <c r="DVJ21"/>
      <c r="DVK21"/>
      <c r="DVL21"/>
      <c r="DVM21"/>
      <c r="DVN21"/>
      <c r="DVO21"/>
      <c r="DVP21"/>
      <c r="DVQ21"/>
      <c r="DVR21"/>
      <c r="DVS21"/>
      <c r="DVT21"/>
      <c r="DVU21"/>
      <c r="DVV21"/>
      <c r="DVW21"/>
      <c r="DVX21"/>
      <c r="DVY21"/>
      <c r="DVZ21"/>
      <c r="DWA21"/>
      <c r="DWB21"/>
      <c r="DWC21"/>
      <c r="DWD21"/>
      <c r="DWE21"/>
      <c r="DWF21"/>
      <c r="DWG21"/>
      <c r="DWH21"/>
      <c r="DWI21"/>
      <c r="DWJ21"/>
      <c r="DWK21"/>
      <c r="DWL21"/>
      <c r="DWM21"/>
      <c r="DWN21"/>
      <c r="DWO21"/>
      <c r="DWP21"/>
      <c r="DWQ21"/>
      <c r="DWR21"/>
      <c r="DWS21"/>
      <c r="DWT21"/>
      <c r="DWU21"/>
      <c r="DWV21"/>
      <c r="DWW21"/>
      <c r="DWX21"/>
      <c r="DWY21"/>
      <c r="DWZ21"/>
      <c r="DXA21"/>
      <c r="DXB21"/>
      <c r="DXC21"/>
      <c r="DXD21"/>
      <c r="DXE21"/>
      <c r="DXF21"/>
      <c r="DXG21"/>
      <c r="DXH21"/>
      <c r="DXI21"/>
      <c r="DXJ21"/>
      <c r="DXK21"/>
      <c r="DXL21"/>
      <c r="DXM21"/>
      <c r="DXN21"/>
      <c r="DXO21"/>
      <c r="DXP21"/>
      <c r="DXQ21"/>
      <c r="DXR21"/>
      <c r="DXS21"/>
      <c r="DXT21"/>
      <c r="DXU21"/>
      <c r="DXV21"/>
      <c r="DXW21"/>
      <c r="DXX21"/>
      <c r="DXY21"/>
      <c r="DXZ21"/>
      <c r="DYA21"/>
      <c r="DYB21"/>
      <c r="DYC21"/>
      <c r="DYD21"/>
      <c r="DYE21"/>
      <c r="DYF21"/>
      <c r="DYG21"/>
      <c r="DYH21"/>
      <c r="DYI21"/>
      <c r="DYJ21"/>
      <c r="DYK21"/>
      <c r="DYL21"/>
      <c r="DYM21"/>
      <c r="DYN21"/>
      <c r="DYO21"/>
      <c r="DYP21"/>
      <c r="DYQ21"/>
      <c r="DYR21"/>
      <c r="DYS21"/>
      <c r="DYT21"/>
      <c r="DYU21"/>
      <c r="DYV21"/>
      <c r="DYW21"/>
      <c r="DYX21"/>
      <c r="DYY21"/>
      <c r="DYZ21"/>
      <c r="DZA21"/>
      <c r="DZB21"/>
      <c r="DZC21"/>
      <c r="DZD21"/>
      <c r="DZE21"/>
      <c r="DZF21"/>
      <c r="DZG21"/>
      <c r="DZH21"/>
      <c r="DZI21"/>
      <c r="DZJ21"/>
      <c r="DZK21"/>
      <c r="DZL21"/>
      <c r="DZM21"/>
      <c r="DZN21"/>
      <c r="DZO21"/>
      <c r="DZP21"/>
      <c r="DZQ21"/>
      <c r="DZR21"/>
      <c r="DZS21"/>
      <c r="DZT21"/>
      <c r="DZU21"/>
      <c r="DZV21"/>
      <c r="DZW21"/>
      <c r="DZX21"/>
      <c r="DZY21"/>
      <c r="DZZ21"/>
      <c r="EAA21"/>
      <c r="EAB21"/>
      <c r="EAC21"/>
      <c r="EAD21"/>
      <c r="EAE21"/>
      <c r="EAF21"/>
      <c r="EAG21"/>
      <c r="EAH21"/>
      <c r="EAI21"/>
      <c r="EAJ21"/>
      <c r="EAK21"/>
      <c r="EAL21"/>
      <c r="EAM21"/>
      <c r="EAN21"/>
      <c r="EAO21"/>
      <c r="EAP21"/>
      <c r="EAQ21"/>
      <c r="EAR21"/>
      <c r="EAS21"/>
      <c r="EAT21"/>
      <c r="EAU21"/>
      <c r="EAV21"/>
      <c r="EAW21"/>
      <c r="EAX21"/>
      <c r="EAY21"/>
      <c r="EAZ21"/>
      <c r="EBA21"/>
      <c r="EBB21"/>
      <c r="EBC21"/>
      <c r="EBD21"/>
      <c r="EBE21"/>
      <c r="EBF21"/>
      <c r="EBG21"/>
      <c r="EBH21"/>
      <c r="EBI21"/>
      <c r="EBJ21"/>
      <c r="EBK21"/>
      <c r="EBL21"/>
      <c r="EBM21"/>
      <c r="EBN21"/>
      <c r="EBO21"/>
      <c r="EBP21"/>
      <c r="EBQ21"/>
      <c r="EBR21"/>
      <c r="EBS21"/>
      <c r="EBT21"/>
      <c r="EBU21"/>
      <c r="EBV21"/>
      <c r="EBW21"/>
      <c r="EBX21"/>
      <c r="EBY21"/>
      <c r="EBZ21"/>
      <c r="ECA21"/>
      <c r="ECB21"/>
      <c r="ECC21"/>
      <c r="ECD21"/>
      <c r="ECE21"/>
      <c r="ECF21"/>
      <c r="ECG21"/>
      <c r="ECH21"/>
      <c r="ECI21"/>
      <c r="ECJ21"/>
      <c r="ECK21"/>
      <c r="ECL21"/>
      <c r="ECM21"/>
      <c r="ECN21"/>
      <c r="ECO21"/>
      <c r="ECP21"/>
      <c r="ECQ21"/>
      <c r="ECR21"/>
      <c r="ECS21"/>
      <c r="ECT21"/>
      <c r="ECU21"/>
      <c r="ECV21"/>
      <c r="ECW21"/>
      <c r="ECX21"/>
      <c r="ECY21"/>
      <c r="ECZ21"/>
      <c r="EDA21"/>
      <c r="EDB21"/>
      <c r="EDC21"/>
      <c r="EDD21"/>
      <c r="EDE21"/>
      <c r="EDF21"/>
      <c r="EDG21"/>
      <c r="EDH21"/>
      <c r="EDI21"/>
      <c r="EDJ21"/>
      <c r="EDK21"/>
      <c r="EDL21"/>
      <c r="EDM21"/>
      <c r="EDN21"/>
      <c r="EDO21"/>
      <c r="EDP21"/>
      <c r="EDQ21"/>
      <c r="EDR21"/>
      <c r="EDS21"/>
      <c r="EDT21"/>
      <c r="EDU21"/>
      <c r="EDV21"/>
      <c r="EDW21"/>
      <c r="EDX21"/>
      <c r="EDY21"/>
      <c r="EDZ21"/>
      <c r="EEA21"/>
      <c r="EEB21"/>
      <c r="EEC21"/>
      <c r="EED21"/>
      <c r="EEE21"/>
      <c r="EEF21"/>
      <c r="EEG21"/>
      <c r="EEH21"/>
      <c r="EEI21"/>
      <c r="EEJ21"/>
      <c r="EEK21"/>
      <c r="EEL21"/>
      <c r="EEM21"/>
      <c r="EEN21"/>
      <c r="EEO21"/>
      <c r="EEP21"/>
      <c r="EEQ21"/>
      <c r="EER21"/>
      <c r="EES21"/>
      <c r="EET21"/>
      <c r="EEU21"/>
      <c r="EEV21"/>
      <c r="EEW21"/>
      <c r="EEX21"/>
      <c r="EEY21"/>
      <c r="EEZ21"/>
      <c r="EFA21"/>
      <c r="EFB21"/>
      <c r="EFC21"/>
      <c r="EFD21"/>
      <c r="EFE21"/>
      <c r="EFF21"/>
      <c r="EFG21"/>
      <c r="EFH21"/>
      <c r="EFI21"/>
      <c r="EFJ21"/>
      <c r="EFK21"/>
      <c r="EFL21"/>
      <c r="EFM21"/>
      <c r="EFN21"/>
      <c r="EFO21"/>
      <c r="EFP21"/>
      <c r="EFQ21"/>
      <c r="EFR21"/>
      <c r="EFS21"/>
      <c r="EFT21"/>
      <c r="EFU21"/>
      <c r="EFV21"/>
      <c r="EFW21"/>
      <c r="EFX21"/>
      <c r="EFY21"/>
      <c r="EFZ21"/>
      <c r="EGA21"/>
      <c r="EGB21"/>
      <c r="EGC21"/>
      <c r="EGD21"/>
      <c r="EGE21"/>
      <c r="EGF21"/>
      <c r="EGG21"/>
      <c r="EGH21"/>
      <c r="EGI21"/>
      <c r="EGJ21"/>
      <c r="EGK21"/>
      <c r="EGL21"/>
      <c r="EGM21"/>
      <c r="EGN21"/>
      <c r="EGO21"/>
      <c r="EGP21"/>
      <c r="EGQ21"/>
      <c r="EGR21"/>
      <c r="EGS21"/>
      <c r="EGT21"/>
      <c r="EGU21"/>
      <c r="EGV21"/>
      <c r="EGW21"/>
      <c r="EGX21"/>
      <c r="EGY21"/>
      <c r="EGZ21"/>
      <c r="EHA21"/>
      <c r="EHB21"/>
      <c r="EHC21"/>
      <c r="EHD21"/>
      <c r="EHE21"/>
      <c r="EHF21"/>
      <c r="EHG21"/>
      <c r="EHH21"/>
      <c r="EHI21"/>
      <c r="EHJ21"/>
      <c r="EHK21"/>
      <c r="EHL21"/>
      <c r="EHM21"/>
      <c r="EHN21"/>
      <c r="EHO21"/>
      <c r="EHP21"/>
      <c r="EHQ21"/>
      <c r="EHR21"/>
      <c r="EHS21"/>
      <c r="EHT21"/>
      <c r="EHU21"/>
      <c r="EHV21"/>
      <c r="EHW21"/>
      <c r="EHX21"/>
      <c r="EHY21"/>
      <c r="EHZ21"/>
      <c r="EIA21"/>
      <c r="EIB21"/>
      <c r="EIC21"/>
      <c r="EID21"/>
      <c r="EIE21"/>
      <c r="EIF21"/>
      <c r="EIG21"/>
      <c r="EIH21"/>
      <c r="EII21"/>
      <c r="EIJ21"/>
      <c r="EIK21"/>
      <c r="EIL21"/>
      <c r="EIM21"/>
      <c r="EIN21"/>
      <c r="EIO21"/>
      <c r="EIP21"/>
      <c r="EIQ21"/>
      <c r="EIR21"/>
      <c r="EIS21"/>
      <c r="EIT21"/>
      <c r="EIU21"/>
      <c r="EIV21"/>
      <c r="EIW21"/>
      <c r="EIX21"/>
      <c r="EIY21"/>
      <c r="EIZ21"/>
      <c r="EJA21"/>
      <c r="EJB21"/>
      <c r="EJC21"/>
      <c r="EJD21"/>
      <c r="EJE21"/>
      <c r="EJF21"/>
      <c r="EJG21"/>
      <c r="EJH21"/>
      <c r="EJI21"/>
      <c r="EJJ21"/>
      <c r="EJK21"/>
      <c r="EJL21"/>
      <c r="EJM21"/>
      <c r="EJN21"/>
      <c r="EJO21"/>
      <c r="EJP21"/>
      <c r="EJQ21"/>
      <c r="EJR21"/>
      <c r="EJS21"/>
      <c r="EJT21"/>
      <c r="EJU21"/>
      <c r="EJV21"/>
      <c r="EJW21"/>
      <c r="EJX21"/>
      <c r="EJY21"/>
      <c r="EJZ21"/>
      <c r="EKA21"/>
      <c r="EKB21"/>
      <c r="EKC21"/>
      <c r="EKD21"/>
      <c r="EKE21"/>
      <c r="EKF21"/>
      <c r="EKG21"/>
      <c r="EKH21"/>
      <c r="EKI21"/>
      <c r="EKJ21"/>
      <c r="EKK21"/>
      <c r="EKL21"/>
      <c r="EKM21"/>
      <c r="EKN21"/>
      <c r="EKO21"/>
      <c r="EKP21"/>
      <c r="EKQ21"/>
      <c r="EKR21"/>
      <c r="EKS21"/>
      <c r="EKT21"/>
      <c r="EKU21"/>
      <c r="EKV21"/>
      <c r="EKW21"/>
      <c r="EKX21"/>
      <c r="EKY21"/>
      <c r="EKZ21"/>
      <c r="ELA21"/>
      <c r="ELB21"/>
      <c r="ELC21"/>
      <c r="ELD21"/>
      <c r="ELE21"/>
      <c r="ELF21"/>
      <c r="ELG21"/>
      <c r="ELH21"/>
      <c r="ELI21"/>
      <c r="ELJ21"/>
      <c r="ELK21"/>
      <c r="ELL21"/>
      <c r="ELM21"/>
      <c r="ELN21"/>
      <c r="ELO21"/>
      <c r="ELP21"/>
      <c r="ELQ21"/>
      <c r="ELR21"/>
      <c r="ELS21"/>
      <c r="ELT21"/>
      <c r="ELU21"/>
      <c r="ELV21"/>
      <c r="ELW21"/>
      <c r="ELX21"/>
      <c r="ELY21"/>
      <c r="ELZ21"/>
      <c r="EMA21"/>
      <c r="EMB21"/>
      <c r="EMC21"/>
      <c r="EMD21"/>
      <c r="EME21"/>
      <c r="EMF21"/>
      <c r="EMG21"/>
      <c r="EMH21"/>
      <c r="EMI21"/>
      <c r="EMJ21"/>
      <c r="EMK21"/>
      <c r="EML21"/>
      <c r="EMM21"/>
      <c r="EMN21"/>
      <c r="EMO21"/>
      <c r="EMP21"/>
      <c r="EMQ21"/>
      <c r="EMR21"/>
      <c r="EMS21"/>
      <c r="EMT21"/>
      <c r="EMU21"/>
      <c r="EMV21"/>
      <c r="EMW21"/>
      <c r="EMX21"/>
      <c r="EMY21"/>
      <c r="EMZ21"/>
      <c r="ENA21"/>
      <c r="ENB21"/>
      <c r="ENC21"/>
      <c r="END21"/>
      <c r="ENE21"/>
      <c r="ENF21"/>
      <c r="ENG21"/>
      <c r="ENH21"/>
      <c r="ENI21"/>
      <c r="ENJ21"/>
      <c r="ENK21"/>
      <c r="ENL21"/>
      <c r="ENM21"/>
      <c r="ENN21"/>
      <c r="ENO21"/>
      <c r="ENP21"/>
      <c r="ENQ21"/>
      <c r="ENR21"/>
      <c r="ENS21"/>
      <c r="ENT21"/>
      <c r="ENU21"/>
      <c r="ENV21"/>
      <c r="ENW21"/>
      <c r="ENX21"/>
      <c r="ENY21"/>
      <c r="ENZ21"/>
      <c r="EOA21"/>
      <c r="EOB21"/>
      <c r="EOC21"/>
      <c r="EOD21"/>
      <c r="EOE21"/>
      <c r="EOF21"/>
      <c r="EOG21"/>
      <c r="EOH21"/>
      <c r="EOI21"/>
      <c r="EOJ21"/>
      <c r="EOK21"/>
      <c r="EOL21"/>
      <c r="EOM21"/>
      <c r="EON21"/>
      <c r="EOO21"/>
      <c r="EOP21"/>
      <c r="EOQ21"/>
      <c r="EOR21"/>
      <c r="EOS21"/>
      <c r="EOT21"/>
      <c r="EOU21"/>
      <c r="EOV21"/>
      <c r="EOW21"/>
      <c r="EOX21"/>
      <c r="EOY21"/>
      <c r="EOZ21"/>
      <c r="EPA21"/>
      <c r="EPB21"/>
      <c r="EPC21"/>
      <c r="EPD21"/>
      <c r="EPE21"/>
      <c r="EPF21"/>
      <c r="EPG21"/>
      <c r="EPH21"/>
      <c r="EPI21"/>
      <c r="EPJ21"/>
      <c r="EPK21"/>
      <c r="EPL21"/>
      <c r="EPM21"/>
      <c r="EPN21"/>
      <c r="EPO21"/>
      <c r="EPP21"/>
      <c r="EPQ21"/>
      <c r="EPR21"/>
      <c r="EPS21"/>
      <c r="EPT21"/>
      <c r="EPU21"/>
      <c r="EPV21"/>
      <c r="EPW21"/>
      <c r="EPX21"/>
      <c r="EPY21"/>
      <c r="EPZ21"/>
      <c r="EQA21"/>
      <c r="EQB21"/>
      <c r="EQC21"/>
      <c r="EQD21"/>
      <c r="EQE21"/>
      <c r="EQF21"/>
      <c r="EQG21"/>
      <c r="EQH21"/>
      <c r="EQI21"/>
      <c r="EQJ21"/>
      <c r="EQK21"/>
      <c r="EQL21"/>
      <c r="EQM21"/>
      <c r="EQN21"/>
      <c r="EQO21"/>
      <c r="EQP21"/>
      <c r="EQQ21"/>
      <c r="EQR21"/>
      <c r="EQS21"/>
      <c r="EQT21"/>
      <c r="EQU21"/>
      <c r="EQV21"/>
      <c r="EQW21"/>
      <c r="EQX21"/>
      <c r="EQY21"/>
      <c r="EQZ21"/>
      <c r="ERA21"/>
      <c r="ERB21"/>
      <c r="ERC21"/>
      <c r="ERD21"/>
      <c r="ERE21"/>
      <c r="ERF21"/>
      <c r="ERG21"/>
      <c r="ERH21"/>
      <c r="ERI21"/>
      <c r="ERJ21"/>
      <c r="ERK21"/>
      <c r="ERL21"/>
      <c r="ERM21"/>
      <c r="ERN21"/>
      <c r="ERO21"/>
      <c r="ERP21"/>
      <c r="ERQ21"/>
      <c r="ERR21"/>
      <c r="ERS21"/>
      <c r="ERT21"/>
      <c r="ERU21"/>
      <c r="ERV21"/>
      <c r="ERW21"/>
      <c r="ERX21"/>
      <c r="ERY21"/>
      <c r="ERZ21"/>
      <c r="ESA21"/>
      <c r="ESB21"/>
      <c r="ESC21"/>
      <c r="ESD21"/>
      <c r="ESE21"/>
      <c r="ESF21"/>
      <c r="ESG21"/>
      <c r="ESH21"/>
      <c r="ESI21"/>
      <c r="ESJ21"/>
      <c r="ESK21"/>
      <c r="ESL21"/>
      <c r="ESM21"/>
      <c r="ESN21"/>
      <c r="ESO21"/>
      <c r="ESP21"/>
      <c r="ESQ21"/>
      <c r="ESR21"/>
      <c r="ESS21"/>
      <c r="EST21"/>
      <c r="ESU21"/>
      <c r="ESV21"/>
      <c r="ESW21"/>
      <c r="ESX21"/>
      <c r="ESY21"/>
      <c r="ESZ21"/>
      <c r="ETA21"/>
      <c r="ETB21"/>
      <c r="ETC21"/>
      <c r="ETD21"/>
      <c r="ETE21"/>
      <c r="ETF21"/>
      <c r="ETG21"/>
      <c r="ETH21"/>
      <c r="ETI21"/>
      <c r="ETJ21"/>
      <c r="ETK21"/>
      <c r="ETL21"/>
      <c r="ETM21"/>
      <c r="ETN21"/>
      <c r="ETO21"/>
      <c r="ETP21"/>
      <c r="ETQ21"/>
      <c r="ETR21"/>
      <c r="ETS21"/>
      <c r="ETT21"/>
      <c r="ETU21"/>
      <c r="ETV21"/>
      <c r="ETW21"/>
      <c r="ETX21"/>
      <c r="ETY21"/>
      <c r="ETZ21"/>
      <c r="EUA21"/>
      <c r="EUB21"/>
      <c r="EUC21"/>
      <c r="EUD21"/>
      <c r="EUE21"/>
      <c r="EUF21"/>
      <c r="EUG21"/>
      <c r="EUH21"/>
      <c r="EUI21"/>
      <c r="EUJ21"/>
      <c r="EUK21"/>
      <c r="EUL21"/>
      <c r="EUM21"/>
      <c r="EUN21"/>
      <c r="EUO21"/>
      <c r="EUP21"/>
      <c r="EUQ21"/>
      <c r="EUR21"/>
      <c r="EUS21"/>
      <c r="EUT21"/>
      <c r="EUU21"/>
      <c r="EUV21"/>
      <c r="EUW21"/>
      <c r="EUX21"/>
      <c r="EUY21"/>
      <c r="EUZ21"/>
      <c r="EVA21"/>
      <c r="EVB21"/>
      <c r="EVC21"/>
      <c r="EVD21"/>
      <c r="EVE21"/>
      <c r="EVF21"/>
      <c r="EVG21"/>
      <c r="EVH21"/>
      <c r="EVI21"/>
      <c r="EVJ21"/>
      <c r="EVK21"/>
      <c r="EVL21"/>
      <c r="EVM21"/>
      <c r="EVN21"/>
      <c r="EVO21"/>
      <c r="EVP21"/>
      <c r="EVQ21"/>
      <c r="EVR21"/>
      <c r="EVS21"/>
      <c r="EVT21"/>
      <c r="EVU21"/>
      <c r="EVV21"/>
      <c r="EVW21"/>
      <c r="EVX21"/>
      <c r="EVY21"/>
      <c r="EVZ21"/>
      <c r="EWA21"/>
      <c r="EWB21"/>
      <c r="EWC21"/>
      <c r="EWD21"/>
      <c r="EWE21"/>
      <c r="EWF21"/>
      <c r="EWG21"/>
      <c r="EWH21"/>
      <c r="EWI21"/>
      <c r="EWJ21"/>
      <c r="EWK21"/>
      <c r="EWL21"/>
      <c r="EWM21"/>
      <c r="EWN21"/>
      <c r="EWO21"/>
      <c r="EWP21"/>
      <c r="EWQ21"/>
      <c r="EWR21"/>
      <c r="EWS21"/>
      <c r="EWT21"/>
      <c r="EWU21"/>
      <c r="EWV21"/>
      <c r="EWW21"/>
      <c r="EWX21"/>
      <c r="EWY21"/>
      <c r="EWZ21"/>
      <c r="EXA21"/>
      <c r="EXB21"/>
      <c r="EXC21"/>
      <c r="EXD21"/>
      <c r="EXE21"/>
      <c r="EXF21"/>
      <c r="EXG21"/>
      <c r="EXH21"/>
      <c r="EXI21"/>
      <c r="EXJ21"/>
      <c r="EXK21"/>
      <c r="EXL21"/>
      <c r="EXM21"/>
      <c r="EXN21"/>
      <c r="EXO21"/>
      <c r="EXP21"/>
      <c r="EXQ21"/>
      <c r="EXR21"/>
      <c r="EXS21"/>
      <c r="EXT21"/>
      <c r="EXU21"/>
      <c r="EXV21"/>
      <c r="EXW21"/>
      <c r="EXX21"/>
      <c r="EXY21"/>
      <c r="EXZ21"/>
      <c r="EYA21"/>
      <c r="EYB21"/>
      <c r="EYC21"/>
      <c r="EYD21"/>
      <c r="EYE21"/>
      <c r="EYF21"/>
      <c r="EYG21"/>
      <c r="EYH21"/>
      <c r="EYI21"/>
      <c r="EYJ21"/>
      <c r="EYK21"/>
      <c r="EYL21"/>
      <c r="EYM21"/>
      <c r="EYN21"/>
      <c r="EYO21"/>
      <c r="EYP21"/>
      <c r="EYQ21"/>
      <c r="EYR21"/>
      <c r="EYS21"/>
      <c r="EYT21"/>
      <c r="EYU21"/>
      <c r="EYV21"/>
      <c r="EYW21"/>
      <c r="EYX21"/>
      <c r="EYY21"/>
      <c r="EYZ21"/>
      <c r="EZA21"/>
      <c r="EZB21"/>
      <c r="EZC21"/>
      <c r="EZD21"/>
      <c r="EZE21"/>
      <c r="EZF21"/>
      <c r="EZG21"/>
      <c r="EZH21"/>
      <c r="EZI21"/>
      <c r="EZJ21"/>
      <c r="EZK21"/>
      <c r="EZL21"/>
      <c r="EZM21"/>
      <c r="EZN21"/>
      <c r="EZO21"/>
      <c r="EZP21"/>
      <c r="EZQ21"/>
      <c r="EZR21"/>
      <c r="EZS21"/>
      <c r="EZT21"/>
      <c r="EZU21"/>
      <c r="EZV21"/>
      <c r="EZW21"/>
      <c r="EZX21"/>
      <c r="EZY21"/>
      <c r="EZZ21"/>
      <c r="FAA21"/>
      <c r="FAB21"/>
      <c r="FAC21"/>
      <c r="FAD21"/>
      <c r="FAE21"/>
      <c r="FAF21"/>
      <c r="FAG21"/>
      <c r="FAH21"/>
      <c r="FAI21"/>
      <c r="FAJ21"/>
      <c r="FAK21"/>
      <c r="FAL21"/>
      <c r="FAM21"/>
      <c r="FAN21"/>
      <c r="FAO21"/>
      <c r="FAP21"/>
      <c r="FAQ21"/>
      <c r="FAR21"/>
      <c r="FAS21"/>
      <c r="FAT21"/>
      <c r="FAU21"/>
      <c r="FAV21"/>
      <c r="FAW21"/>
      <c r="FAX21"/>
      <c r="FAY21"/>
      <c r="FAZ21"/>
      <c r="FBA21"/>
      <c r="FBB21"/>
      <c r="FBC21"/>
      <c r="FBD21"/>
      <c r="FBE21"/>
      <c r="FBF21"/>
      <c r="FBG21"/>
      <c r="FBH21"/>
      <c r="FBI21"/>
      <c r="FBJ21"/>
      <c r="FBK21"/>
      <c r="FBL21"/>
      <c r="FBM21"/>
      <c r="FBN21"/>
      <c r="FBO21"/>
      <c r="FBP21"/>
      <c r="FBQ21"/>
      <c r="FBR21"/>
      <c r="FBS21"/>
      <c r="FBT21"/>
      <c r="FBU21"/>
      <c r="FBV21"/>
      <c r="FBW21"/>
      <c r="FBX21"/>
      <c r="FBY21"/>
      <c r="FBZ21"/>
      <c r="FCA21"/>
      <c r="FCB21"/>
      <c r="FCC21"/>
      <c r="FCD21"/>
      <c r="FCE21"/>
      <c r="FCF21"/>
      <c r="FCG21"/>
      <c r="FCH21"/>
      <c r="FCI21"/>
      <c r="FCJ21"/>
      <c r="FCK21"/>
      <c r="FCL21"/>
      <c r="FCM21"/>
      <c r="FCN21"/>
      <c r="FCO21"/>
      <c r="FCP21"/>
      <c r="FCQ21"/>
      <c r="FCR21"/>
      <c r="FCS21"/>
      <c r="FCT21"/>
      <c r="FCU21"/>
      <c r="FCV21"/>
      <c r="FCW21"/>
      <c r="FCX21"/>
      <c r="FCY21"/>
      <c r="FCZ21"/>
      <c r="FDA21"/>
      <c r="FDB21"/>
      <c r="FDC21"/>
      <c r="FDD21"/>
      <c r="FDE21"/>
      <c r="FDF21"/>
      <c r="FDG21"/>
      <c r="FDH21"/>
      <c r="FDI21"/>
      <c r="FDJ21"/>
      <c r="FDK21"/>
      <c r="FDL21"/>
      <c r="FDM21"/>
      <c r="FDN21"/>
      <c r="FDO21"/>
      <c r="FDP21"/>
      <c r="FDQ21"/>
      <c r="FDR21"/>
      <c r="FDS21"/>
      <c r="FDT21"/>
      <c r="FDU21"/>
      <c r="FDV21"/>
      <c r="FDW21"/>
      <c r="FDX21"/>
      <c r="FDY21"/>
      <c r="FDZ21"/>
      <c r="FEA21"/>
      <c r="FEB21"/>
      <c r="FEC21"/>
      <c r="FED21"/>
      <c r="FEE21"/>
      <c r="FEF21"/>
      <c r="FEG21"/>
      <c r="FEH21"/>
      <c r="FEI21"/>
      <c r="FEJ21"/>
      <c r="FEK21"/>
      <c r="FEL21"/>
      <c r="FEM21"/>
      <c r="FEN21"/>
      <c r="FEO21"/>
      <c r="FEP21"/>
      <c r="FEQ21"/>
      <c r="FER21"/>
      <c r="FES21"/>
      <c r="FET21"/>
      <c r="FEU21"/>
      <c r="FEV21"/>
      <c r="FEW21"/>
      <c r="FEX21"/>
      <c r="FEY21"/>
      <c r="FEZ21"/>
      <c r="FFA21"/>
      <c r="FFB21"/>
      <c r="FFC21"/>
      <c r="FFD21"/>
      <c r="FFE21"/>
      <c r="FFF21"/>
      <c r="FFG21"/>
      <c r="FFH21"/>
      <c r="FFI21"/>
      <c r="FFJ21"/>
      <c r="FFK21"/>
      <c r="FFL21"/>
      <c r="FFM21"/>
      <c r="FFN21"/>
      <c r="FFO21"/>
      <c r="FFP21"/>
      <c r="FFQ21"/>
      <c r="FFR21"/>
      <c r="FFS21"/>
      <c r="FFT21"/>
      <c r="FFU21"/>
      <c r="FFV21"/>
      <c r="FFW21"/>
      <c r="FFX21"/>
      <c r="FFY21"/>
      <c r="FFZ21"/>
      <c r="FGA21"/>
      <c r="FGB21"/>
      <c r="FGC21"/>
      <c r="FGD21"/>
      <c r="FGE21"/>
      <c r="FGF21"/>
      <c r="FGG21"/>
      <c r="FGH21"/>
      <c r="FGI21"/>
      <c r="FGJ21"/>
      <c r="FGK21"/>
      <c r="FGL21"/>
      <c r="FGM21"/>
      <c r="FGN21"/>
      <c r="FGO21"/>
      <c r="FGP21"/>
      <c r="FGQ21"/>
      <c r="FGR21"/>
      <c r="FGS21"/>
      <c r="FGT21"/>
      <c r="FGU21"/>
      <c r="FGV21"/>
      <c r="FGW21"/>
      <c r="FGX21"/>
      <c r="FGY21"/>
      <c r="FGZ21"/>
      <c r="FHA21"/>
      <c r="FHB21"/>
      <c r="FHC21"/>
      <c r="FHD21"/>
      <c r="FHE21"/>
      <c r="FHF21"/>
      <c r="FHG21"/>
      <c r="FHH21"/>
      <c r="FHI21"/>
      <c r="FHJ21"/>
      <c r="FHK21"/>
      <c r="FHL21"/>
      <c r="FHM21"/>
      <c r="FHN21"/>
      <c r="FHO21"/>
      <c r="FHP21"/>
      <c r="FHQ21"/>
      <c r="FHR21"/>
      <c r="FHS21"/>
      <c r="FHT21"/>
      <c r="FHU21"/>
      <c r="FHV21"/>
      <c r="FHW21"/>
      <c r="FHX21"/>
      <c r="FHY21"/>
      <c r="FHZ21"/>
      <c r="FIA21"/>
      <c r="FIB21"/>
      <c r="FIC21"/>
      <c r="FID21"/>
      <c r="FIE21"/>
      <c r="FIF21"/>
      <c r="FIG21"/>
      <c r="FIH21"/>
      <c r="FII21"/>
      <c r="FIJ21"/>
      <c r="FIK21"/>
      <c r="FIL21"/>
      <c r="FIM21"/>
      <c r="FIN21"/>
      <c r="FIO21"/>
      <c r="FIP21"/>
      <c r="FIQ21"/>
      <c r="FIR21"/>
      <c r="FIS21"/>
      <c r="FIT21"/>
      <c r="FIU21"/>
      <c r="FIV21"/>
      <c r="FIW21"/>
      <c r="FIX21"/>
      <c r="FIY21"/>
      <c r="FIZ21"/>
      <c r="FJA21"/>
      <c r="FJB21"/>
      <c r="FJC21"/>
      <c r="FJD21"/>
      <c r="FJE21"/>
      <c r="FJF21"/>
      <c r="FJG21"/>
      <c r="FJH21"/>
      <c r="FJI21"/>
      <c r="FJJ21"/>
      <c r="FJK21"/>
      <c r="FJL21"/>
      <c r="FJM21"/>
      <c r="FJN21"/>
      <c r="FJO21"/>
      <c r="FJP21"/>
      <c r="FJQ21"/>
      <c r="FJR21"/>
      <c r="FJS21"/>
      <c r="FJT21"/>
      <c r="FJU21"/>
      <c r="FJV21"/>
      <c r="FJW21"/>
      <c r="FJX21"/>
      <c r="FJY21"/>
      <c r="FJZ21"/>
      <c r="FKA21"/>
      <c r="FKB21"/>
      <c r="FKC21"/>
      <c r="FKD21"/>
      <c r="FKE21"/>
      <c r="FKF21"/>
      <c r="FKG21"/>
      <c r="FKH21"/>
      <c r="FKI21"/>
      <c r="FKJ21"/>
      <c r="FKK21"/>
      <c r="FKL21"/>
      <c r="FKM21"/>
      <c r="FKN21"/>
      <c r="FKO21"/>
      <c r="FKP21"/>
      <c r="FKQ21"/>
      <c r="FKR21"/>
      <c r="FKS21"/>
      <c r="FKT21"/>
      <c r="FKU21"/>
      <c r="FKV21"/>
      <c r="FKW21"/>
      <c r="FKX21"/>
      <c r="FKY21"/>
      <c r="FKZ21"/>
      <c r="FLA21"/>
      <c r="FLB21"/>
      <c r="FLC21"/>
      <c r="FLD21"/>
      <c r="FLE21"/>
      <c r="FLF21"/>
      <c r="FLG21"/>
      <c r="FLH21"/>
      <c r="FLI21"/>
      <c r="FLJ21"/>
      <c r="FLK21"/>
      <c r="FLL21"/>
      <c r="FLM21"/>
      <c r="FLN21"/>
      <c r="FLO21"/>
      <c r="FLP21"/>
      <c r="FLQ21"/>
      <c r="FLR21"/>
      <c r="FLS21"/>
      <c r="FLT21"/>
      <c r="FLU21"/>
      <c r="FLV21"/>
      <c r="FLW21"/>
      <c r="FLX21"/>
      <c r="FLY21"/>
      <c r="FLZ21"/>
      <c r="FMA21"/>
      <c r="FMB21"/>
      <c r="FMC21"/>
      <c r="FMD21"/>
      <c r="FME21"/>
      <c r="FMF21"/>
      <c r="FMG21"/>
      <c r="FMH21"/>
      <c r="FMI21"/>
      <c r="FMJ21"/>
      <c r="FMK21"/>
      <c r="FML21"/>
      <c r="FMM21"/>
      <c r="FMN21"/>
      <c r="FMO21"/>
      <c r="FMP21"/>
      <c r="FMQ21"/>
      <c r="FMR21"/>
      <c r="FMS21"/>
      <c r="FMT21"/>
      <c r="FMU21"/>
      <c r="FMV21"/>
      <c r="FMW21"/>
      <c r="FMX21"/>
      <c r="FMY21"/>
      <c r="FMZ21"/>
      <c r="FNA21"/>
      <c r="FNB21"/>
      <c r="FNC21"/>
      <c r="FND21"/>
      <c r="FNE21"/>
      <c r="FNF21"/>
      <c r="FNG21"/>
      <c r="FNH21"/>
      <c r="FNI21"/>
      <c r="FNJ21"/>
      <c r="FNK21"/>
      <c r="FNL21"/>
      <c r="FNM21"/>
      <c r="FNN21"/>
      <c r="FNO21"/>
      <c r="FNP21"/>
      <c r="FNQ21"/>
      <c r="FNR21"/>
      <c r="FNS21"/>
      <c r="FNT21"/>
      <c r="FNU21"/>
      <c r="FNV21"/>
      <c r="FNW21"/>
      <c r="FNX21"/>
      <c r="FNY21"/>
      <c r="FNZ21"/>
      <c r="FOA21"/>
      <c r="FOB21"/>
      <c r="FOC21"/>
      <c r="FOD21"/>
      <c r="FOE21"/>
      <c r="FOF21"/>
      <c r="FOG21"/>
      <c r="FOH21"/>
      <c r="FOI21"/>
      <c r="FOJ21"/>
      <c r="FOK21"/>
      <c r="FOL21"/>
      <c r="FOM21"/>
      <c r="FON21"/>
      <c r="FOO21"/>
      <c r="FOP21"/>
      <c r="FOQ21"/>
      <c r="FOR21"/>
      <c r="FOS21"/>
      <c r="FOT21"/>
      <c r="FOU21"/>
      <c r="FOV21"/>
      <c r="FOW21"/>
      <c r="FOX21"/>
      <c r="FOY21"/>
      <c r="FOZ21"/>
      <c r="FPA21"/>
      <c r="FPB21"/>
      <c r="FPC21"/>
      <c r="FPD21"/>
      <c r="FPE21"/>
      <c r="FPF21"/>
      <c r="FPG21"/>
      <c r="FPH21"/>
      <c r="FPI21"/>
      <c r="FPJ21"/>
      <c r="FPK21"/>
      <c r="FPL21"/>
      <c r="FPM21"/>
      <c r="FPN21"/>
      <c r="FPO21"/>
      <c r="FPP21"/>
      <c r="FPQ21"/>
      <c r="FPR21"/>
      <c r="FPS21"/>
      <c r="FPT21"/>
      <c r="FPU21"/>
      <c r="FPV21"/>
      <c r="FPW21"/>
      <c r="FPX21"/>
      <c r="FPY21"/>
      <c r="FPZ21"/>
      <c r="FQA21"/>
      <c r="FQB21"/>
      <c r="FQC21"/>
      <c r="FQD21"/>
      <c r="FQE21"/>
      <c r="FQF21"/>
      <c r="FQG21"/>
      <c r="FQH21"/>
      <c r="FQI21"/>
      <c r="FQJ21"/>
      <c r="FQK21"/>
      <c r="FQL21"/>
      <c r="FQM21"/>
      <c r="FQN21"/>
      <c r="FQO21"/>
      <c r="FQP21"/>
      <c r="FQQ21"/>
      <c r="FQR21"/>
      <c r="FQS21"/>
      <c r="FQT21"/>
      <c r="FQU21"/>
      <c r="FQV21"/>
      <c r="FQW21"/>
      <c r="FQX21"/>
      <c r="FQY21"/>
      <c r="FQZ21"/>
      <c r="FRA21"/>
      <c r="FRB21"/>
      <c r="FRC21"/>
      <c r="FRD21"/>
      <c r="FRE21"/>
      <c r="FRF21"/>
      <c r="FRG21"/>
      <c r="FRH21"/>
      <c r="FRI21"/>
      <c r="FRJ21"/>
      <c r="FRK21"/>
      <c r="FRL21"/>
      <c r="FRM21"/>
      <c r="FRN21"/>
      <c r="FRO21"/>
      <c r="FRP21"/>
      <c r="FRQ21"/>
      <c r="FRR21"/>
      <c r="FRS21"/>
      <c r="FRT21"/>
      <c r="FRU21"/>
      <c r="FRV21"/>
      <c r="FRW21"/>
      <c r="FRX21"/>
      <c r="FRY21"/>
      <c r="FRZ21"/>
      <c r="FSA21"/>
      <c r="FSB21"/>
      <c r="FSC21"/>
      <c r="FSD21"/>
      <c r="FSE21"/>
      <c r="FSF21"/>
      <c r="FSG21"/>
      <c r="FSH21"/>
      <c r="FSI21"/>
      <c r="FSJ21"/>
      <c r="FSK21"/>
      <c r="FSL21"/>
      <c r="FSM21"/>
      <c r="FSN21"/>
      <c r="FSO21"/>
      <c r="FSP21"/>
      <c r="FSQ21"/>
      <c r="FSR21"/>
      <c r="FSS21"/>
      <c r="FST21"/>
      <c r="FSU21"/>
      <c r="FSV21"/>
      <c r="FSW21"/>
      <c r="FSX21"/>
      <c r="FSY21"/>
      <c r="FSZ21"/>
      <c r="FTA21"/>
      <c r="FTB21"/>
      <c r="FTC21"/>
      <c r="FTD21"/>
      <c r="FTE21"/>
      <c r="FTF21"/>
      <c r="FTG21"/>
      <c r="FTH21"/>
      <c r="FTI21"/>
      <c r="FTJ21"/>
      <c r="FTK21"/>
      <c r="FTL21"/>
      <c r="FTM21"/>
      <c r="FTN21"/>
      <c r="FTO21"/>
      <c r="FTP21"/>
      <c r="FTQ21"/>
      <c r="FTR21"/>
      <c r="FTS21"/>
      <c r="FTT21"/>
      <c r="FTU21"/>
      <c r="FTV21"/>
      <c r="FTW21"/>
      <c r="FTX21"/>
      <c r="FTY21"/>
      <c r="FTZ21"/>
      <c r="FUA21"/>
      <c r="FUB21"/>
      <c r="FUC21"/>
      <c r="FUD21"/>
      <c r="FUE21"/>
      <c r="FUF21"/>
      <c r="FUG21"/>
      <c r="FUH21"/>
      <c r="FUI21"/>
      <c r="FUJ21"/>
      <c r="FUK21"/>
      <c r="FUL21"/>
      <c r="FUM21"/>
      <c r="FUN21"/>
      <c r="FUO21"/>
      <c r="FUP21"/>
      <c r="FUQ21"/>
      <c r="FUR21"/>
      <c r="FUS21"/>
      <c r="FUT21"/>
      <c r="FUU21"/>
      <c r="FUV21"/>
      <c r="FUW21"/>
      <c r="FUX21"/>
      <c r="FUY21"/>
      <c r="FUZ21"/>
      <c r="FVA21"/>
      <c r="FVB21"/>
      <c r="FVC21"/>
      <c r="FVD21"/>
      <c r="FVE21"/>
      <c r="FVF21"/>
      <c r="FVG21"/>
      <c r="FVH21"/>
      <c r="FVI21"/>
      <c r="FVJ21"/>
      <c r="FVK21"/>
      <c r="FVL21"/>
      <c r="FVM21"/>
      <c r="FVN21"/>
      <c r="FVO21"/>
      <c r="FVP21"/>
      <c r="FVQ21"/>
      <c r="FVR21"/>
      <c r="FVS21"/>
      <c r="FVT21"/>
      <c r="FVU21"/>
      <c r="FVV21"/>
      <c r="FVW21"/>
      <c r="FVX21"/>
      <c r="FVY21"/>
      <c r="FVZ21"/>
      <c r="FWA21"/>
      <c r="FWB21"/>
      <c r="FWC21"/>
      <c r="FWD21"/>
      <c r="FWE21"/>
      <c r="FWF21"/>
      <c r="FWG21"/>
      <c r="FWH21"/>
      <c r="FWI21"/>
      <c r="FWJ21"/>
      <c r="FWK21"/>
      <c r="FWL21"/>
      <c r="FWM21"/>
      <c r="FWN21"/>
      <c r="FWO21"/>
      <c r="FWP21"/>
      <c r="FWQ21"/>
      <c r="FWR21"/>
      <c r="FWS21"/>
      <c r="FWT21"/>
      <c r="FWU21"/>
      <c r="FWV21"/>
      <c r="FWW21"/>
      <c r="FWX21"/>
      <c r="FWY21"/>
      <c r="FWZ21"/>
      <c r="FXA21"/>
      <c r="FXB21"/>
      <c r="FXC21"/>
      <c r="FXD21"/>
      <c r="FXE21"/>
      <c r="FXF21"/>
      <c r="FXG21"/>
      <c r="FXH21"/>
      <c r="FXI21"/>
      <c r="FXJ21"/>
      <c r="FXK21"/>
      <c r="FXL21"/>
      <c r="FXM21"/>
      <c r="FXN21"/>
      <c r="FXO21"/>
      <c r="FXP21"/>
      <c r="FXQ21"/>
      <c r="FXR21"/>
      <c r="FXS21"/>
      <c r="FXT21"/>
      <c r="FXU21"/>
      <c r="FXV21"/>
      <c r="FXW21"/>
      <c r="FXX21"/>
      <c r="FXY21"/>
      <c r="FXZ21"/>
      <c r="FYA21"/>
      <c r="FYB21"/>
      <c r="FYC21"/>
      <c r="FYD21"/>
      <c r="FYE21"/>
      <c r="FYF21"/>
      <c r="FYG21"/>
      <c r="FYH21"/>
      <c r="FYI21"/>
      <c r="FYJ21"/>
      <c r="FYK21"/>
      <c r="FYL21"/>
      <c r="FYM21"/>
      <c r="FYN21"/>
      <c r="FYO21"/>
      <c r="FYP21"/>
      <c r="FYQ21"/>
      <c r="FYR21"/>
      <c r="FYS21"/>
      <c r="FYT21"/>
      <c r="FYU21"/>
      <c r="FYV21"/>
      <c r="FYW21"/>
      <c r="FYX21"/>
      <c r="FYY21"/>
      <c r="FYZ21"/>
      <c r="FZA21"/>
      <c r="FZB21"/>
      <c r="FZC21"/>
      <c r="FZD21"/>
      <c r="FZE21"/>
      <c r="FZF21"/>
      <c r="FZG21"/>
      <c r="FZH21"/>
      <c r="FZI21"/>
      <c r="FZJ21"/>
      <c r="FZK21"/>
      <c r="FZL21"/>
      <c r="FZM21"/>
      <c r="FZN21"/>
      <c r="FZO21"/>
      <c r="FZP21"/>
      <c r="FZQ21"/>
      <c r="FZR21"/>
      <c r="FZS21"/>
      <c r="FZT21"/>
      <c r="FZU21"/>
      <c r="FZV21"/>
      <c r="FZW21"/>
      <c r="FZX21"/>
      <c r="FZY21"/>
      <c r="FZZ21"/>
      <c r="GAA21"/>
      <c r="GAB21"/>
      <c r="GAC21"/>
      <c r="GAD21"/>
      <c r="GAE21"/>
      <c r="GAF21"/>
      <c r="GAG21"/>
      <c r="GAH21"/>
      <c r="GAI21"/>
      <c r="GAJ21"/>
      <c r="GAK21"/>
      <c r="GAL21"/>
      <c r="GAM21"/>
      <c r="GAN21"/>
      <c r="GAO21"/>
      <c r="GAP21"/>
      <c r="GAQ21"/>
      <c r="GAR21"/>
      <c r="GAS21"/>
      <c r="GAT21"/>
      <c r="GAU21"/>
      <c r="GAV21"/>
      <c r="GAW21"/>
      <c r="GAX21"/>
      <c r="GAY21"/>
      <c r="GAZ21"/>
      <c r="GBA21"/>
      <c r="GBB21"/>
      <c r="GBC21"/>
      <c r="GBD21"/>
      <c r="GBE21"/>
      <c r="GBF21"/>
      <c r="GBG21"/>
      <c r="GBH21"/>
      <c r="GBI21"/>
      <c r="GBJ21"/>
      <c r="GBK21"/>
      <c r="GBL21"/>
      <c r="GBM21"/>
      <c r="GBN21"/>
      <c r="GBO21"/>
      <c r="GBP21"/>
      <c r="GBQ21"/>
      <c r="GBR21"/>
      <c r="GBS21"/>
      <c r="GBT21"/>
      <c r="GBU21"/>
      <c r="GBV21"/>
      <c r="GBW21"/>
      <c r="GBX21"/>
      <c r="GBY21"/>
      <c r="GBZ21"/>
      <c r="GCA21"/>
      <c r="GCB21"/>
      <c r="GCC21"/>
      <c r="GCD21"/>
      <c r="GCE21"/>
      <c r="GCF21"/>
      <c r="GCG21"/>
      <c r="GCH21"/>
      <c r="GCI21"/>
      <c r="GCJ21"/>
      <c r="GCK21"/>
      <c r="GCL21"/>
      <c r="GCM21"/>
      <c r="GCN21"/>
      <c r="GCO21"/>
      <c r="GCP21"/>
      <c r="GCQ21"/>
      <c r="GCR21"/>
      <c r="GCS21"/>
      <c r="GCT21"/>
      <c r="GCU21"/>
      <c r="GCV21"/>
      <c r="GCW21"/>
      <c r="GCX21"/>
      <c r="GCY21"/>
      <c r="GCZ21"/>
      <c r="GDA21"/>
      <c r="GDB21"/>
      <c r="GDC21"/>
      <c r="GDD21"/>
      <c r="GDE21"/>
      <c r="GDF21"/>
      <c r="GDG21"/>
      <c r="GDH21"/>
      <c r="GDI21"/>
      <c r="GDJ21"/>
      <c r="GDK21"/>
      <c r="GDL21"/>
      <c r="GDM21"/>
      <c r="GDN21"/>
      <c r="GDO21"/>
      <c r="GDP21"/>
      <c r="GDQ21"/>
      <c r="GDR21"/>
      <c r="GDS21"/>
      <c r="GDT21"/>
      <c r="GDU21"/>
      <c r="GDV21"/>
      <c r="GDW21"/>
      <c r="GDX21"/>
      <c r="GDY21"/>
      <c r="GDZ21"/>
      <c r="GEA21"/>
      <c r="GEB21"/>
      <c r="GEC21"/>
      <c r="GED21"/>
      <c r="GEE21"/>
      <c r="GEF21"/>
      <c r="GEG21"/>
      <c r="GEH21"/>
      <c r="GEI21"/>
      <c r="GEJ21"/>
      <c r="GEK21"/>
      <c r="GEL21"/>
      <c r="GEM21"/>
      <c r="GEN21"/>
      <c r="GEO21"/>
      <c r="GEP21"/>
      <c r="GEQ21"/>
      <c r="GER21"/>
      <c r="GES21"/>
      <c r="GET21"/>
      <c r="GEU21"/>
      <c r="GEV21"/>
      <c r="GEW21"/>
      <c r="GEX21"/>
      <c r="GEY21"/>
      <c r="GEZ21"/>
      <c r="GFA21"/>
      <c r="GFB21"/>
      <c r="GFC21"/>
      <c r="GFD21"/>
      <c r="GFE21"/>
      <c r="GFF21"/>
      <c r="GFG21"/>
      <c r="GFH21"/>
      <c r="GFI21"/>
      <c r="GFJ21"/>
      <c r="GFK21"/>
      <c r="GFL21"/>
      <c r="GFM21"/>
      <c r="GFN21"/>
      <c r="GFO21"/>
      <c r="GFP21"/>
      <c r="GFQ21"/>
      <c r="GFR21"/>
      <c r="GFS21"/>
      <c r="GFT21"/>
      <c r="GFU21"/>
      <c r="GFV21"/>
      <c r="GFW21"/>
      <c r="GFX21"/>
      <c r="GFY21"/>
      <c r="GFZ21"/>
      <c r="GGA21"/>
      <c r="GGB21"/>
      <c r="GGC21"/>
      <c r="GGD21"/>
      <c r="GGE21"/>
      <c r="GGF21"/>
      <c r="GGG21"/>
      <c r="GGH21"/>
      <c r="GGI21"/>
      <c r="GGJ21"/>
      <c r="GGK21"/>
      <c r="GGL21"/>
      <c r="GGM21"/>
      <c r="GGN21"/>
      <c r="GGO21"/>
      <c r="GGP21"/>
      <c r="GGQ21"/>
      <c r="GGR21"/>
      <c r="GGS21"/>
      <c r="GGT21"/>
      <c r="GGU21"/>
      <c r="GGV21"/>
      <c r="GGW21"/>
      <c r="GGX21"/>
      <c r="GGY21"/>
      <c r="GGZ21"/>
      <c r="GHA21"/>
      <c r="GHB21"/>
      <c r="GHC21"/>
      <c r="GHD21"/>
      <c r="GHE21"/>
      <c r="GHF21"/>
      <c r="GHG21"/>
      <c r="GHH21"/>
      <c r="GHI21"/>
      <c r="GHJ21"/>
      <c r="GHK21"/>
      <c r="GHL21"/>
      <c r="GHM21"/>
      <c r="GHN21"/>
      <c r="GHO21"/>
      <c r="GHP21"/>
      <c r="GHQ21"/>
      <c r="GHR21"/>
      <c r="GHS21"/>
      <c r="GHT21"/>
      <c r="GHU21"/>
      <c r="GHV21"/>
      <c r="GHW21"/>
      <c r="GHX21"/>
      <c r="GHY21"/>
      <c r="GHZ21"/>
      <c r="GIA21"/>
      <c r="GIB21"/>
      <c r="GIC21"/>
      <c r="GID21"/>
      <c r="GIE21"/>
      <c r="GIF21"/>
      <c r="GIG21"/>
      <c r="GIH21"/>
      <c r="GII21"/>
      <c r="GIJ21"/>
      <c r="GIK21"/>
      <c r="GIL21"/>
      <c r="GIM21"/>
      <c r="GIN21"/>
      <c r="GIO21"/>
      <c r="GIP21"/>
      <c r="GIQ21"/>
      <c r="GIR21"/>
      <c r="GIS21"/>
      <c r="GIT21"/>
      <c r="GIU21"/>
      <c r="GIV21"/>
      <c r="GIW21"/>
      <c r="GIX21"/>
      <c r="GIY21"/>
      <c r="GIZ21"/>
      <c r="GJA21"/>
      <c r="GJB21"/>
      <c r="GJC21"/>
      <c r="GJD21"/>
      <c r="GJE21"/>
      <c r="GJF21"/>
      <c r="GJG21"/>
      <c r="GJH21"/>
      <c r="GJI21"/>
      <c r="GJJ21"/>
      <c r="GJK21"/>
      <c r="GJL21"/>
      <c r="GJM21"/>
      <c r="GJN21"/>
      <c r="GJO21"/>
      <c r="GJP21"/>
      <c r="GJQ21"/>
      <c r="GJR21"/>
      <c r="GJS21"/>
      <c r="GJT21"/>
      <c r="GJU21"/>
      <c r="GJV21"/>
      <c r="GJW21"/>
      <c r="GJX21"/>
      <c r="GJY21"/>
      <c r="GJZ21"/>
      <c r="GKA21"/>
      <c r="GKB21"/>
      <c r="GKC21"/>
      <c r="GKD21"/>
      <c r="GKE21"/>
      <c r="GKF21"/>
      <c r="GKG21"/>
      <c r="GKH21"/>
      <c r="GKI21"/>
      <c r="GKJ21"/>
      <c r="GKK21"/>
      <c r="GKL21"/>
      <c r="GKM21"/>
      <c r="GKN21"/>
      <c r="GKO21"/>
      <c r="GKP21"/>
      <c r="GKQ21"/>
      <c r="GKR21"/>
      <c r="GKS21"/>
      <c r="GKT21"/>
      <c r="GKU21"/>
      <c r="GKV21"/>
      <c r="GKW21"/>
      <c r="GKX21"/>
      <c r="GKY21"/>
      <c r="GKZ21"/>
      <c r="GLA21"/>
      <c r="GLB21"/>
      <c r="GLC21"/>
      <c r="GLD21"/>
      <c r="GLE21"/>
      <c r="GLF21"/>
      <c r="GLG21"/>
      <c r="GLH21"/>
      <c r="GLI21"/>
      <c r="GLJ21"/>
      <c r="GLK21"/>
      <c r="GLL21"/>
      <c r="GLM21"/>
      <c r="GLN21"/>
      <c r="GLO21"/>
      <c r="GLP21"/>
      <c r="GLQ21"/>
      <c r="GLR21"/>
      <c r="GLS21"/>
      <c r="GLT21"/>
      <c r="GLU21"/>
      <c r="GLV21"/>
      <c r="GLW21"/>
      <c r="GLX21"/>
      <c r="GLY21"/>
      <c r="GLZ21"/>
      <c r="GMA21"/>
      <c r="GMB21"/>
      <c r="GMC21"/>
      <c r="GMD21"/>
      <c r="GME21"/>
      <c r="GMF21"/>
      <c r="GMG21"/>
      <c r="GMH21"/>
      <c r="GMI21"/>
      <c r="GMJ21"/>
      <c r="GMK21"/>
      <c r="GML21"/>
      <c r="GMM21"/>
      <c r="GMN21"/>
      <c r="GMO21"/>
      <c r="GMP21"/>
      <c r="GMQ21"/>
      <c r="GMR21"/>
      <c r="GMS21"/>
      <c r="GMT21"/>
      <c r="GMU21"/>
      <c r="GMV21"/>
      <c r="GMW21"/>
      <c r="GMX21"/>
      <c r="GMY21"/>
      <c r="GMZ21"/>
      <c r="GNA21"/>
      <c r="GNB21"/>
      <c r="GNC21"/>
      <c r="GND21"/>
      <c r="GNE21"/>
      <c r="GNF21"/>
      <c r="GNG21"/>
      <c r="GNH21"/>
      <c r="GNI21"/>
      <c r="GNJ21"/>
      <c r="GNK21"/>
      <c r="GNL21"/>
      <c r="GNM21"/>
      <c r="GNN21"/>
      <c r="GNO21"/>
      <c r="GNP21"/>
      <c r="GNQ21"/>
      <c r="GNR21"/>
      <c r="GNS21"/>
      <c r="GNT21"/>
      <c r="GNU21"/>
      <c r="GNV21"/>
      <c r="GNW21"/>
      <c r="GNX21"/>
      <c r="GNY21"/>
      <c r="GNZ21"/>
      <c r="GOA21"/>
      <c r="GOB21"/>
      <c r="GOC21"/>
      <c r="GOD21"/>
      <c r="GOE21"/>
      <c r="GOF21"/>
      <c r="GOG21"/>
      <c r="GOH21"/>
      <c r="GOI21"/>
      <c r="GOJ21"/>
      <c r="GOK21"/>
      <c r="GOL21"/>
      <c r="GOM21"/>
      <c r="GON21"/>
      <c r="GOO21"/>
      <c r="GOP21"/>
      <c r="GOQ21"/>
      <c r="GOR21"/>
      <c r="GOS21"/>
      <c r="GOT21"/>
      <c r="GOU21"/>
      <c r="GOV21"/>
      <c r="GOW21"/>
      <c r="GOX21"/>
      <c r="GOY21"/>
      <c r="GOZ21"/>
      <c r="GPA21"/>
      <c r="GPB21"/>
      <c r="GPC21"/>
      <c r="GPD21"/>
      <c r="GPE21"/>
      <c r="GPF21"/>
      <c r="GPG21"/>
      <c r="GPH21"/>
      <c r="GPI21"/>
      <c r="GPJ21"/>
      <c r="GPK21"/>
      <c r="GPL21"/>
      <c r="GPM21"/>
      <c r="GPN21"/>
      <c r="GPO21"/>
      <c r="GPP21"/>
      <c r="GPQ21"/>
      <c r="GPR21"/>
      <c r="GPS21"/>
      <c r="GPT21"/>
      <c r="GPU21"/>
      <c r="GPV21"/>
      <c r="GPW21"/>
      <c r="GPX21"/>
      <c r="GPY21"/>
      <c r="GPZ21"/>
      <c r="GQA21"/>
      <c r="GQB21"/>
      <c r="GQC21"/>
      <c r="GQD21"/>
      <c r="GQE21"/>
      <c r="GQF21"/>
      <c r="GQG21"/>
      <c r="GQH21"/>
      <c r="GQI21"/>
      <c r="GQJ21"/>
      <c r="GQK21"/>
      <c r="GQL21"/>
      <c r="GQM21"/>
      <c r="GQN21"/>
      <c r="GQO21"/>
      <c r="GQP21"/>
      <c r="GQQ21"/>
      <c r="GQR21"/>
      <c r="GQS21"/>
      <c r="GQT21"/>
      <c r="GQU21"/>
      <c r="GQV21"/>
      <c r="GQW21"/>
      <c r="GQX21"/>
      <c r="GQY21"/>
      <c r="GQZ21"/>
      <c r="GRA21"/>
      <c r="GRB21"/>
      <c r="GRC21"/>
      <c r="GRD21"/>
      <c r="GRE21"/>
      <c r="GRF21"/>
      <c r="GRG21"/>
      <c r="GRH21"/>
      <c r="GRI21"/>
      <c r="GRJ21"/>
      <c r="GRK21"/>
      <c r="GRL21"/>
      <c r="GRM21"/>
      <c r="GRN21"/>
      <c r="GRO21"/>
      <c r="GRP21"/>
      <c r="GRQ21"/>
      <c r="GRR21"/>
      <c r="GRS21"/>
      <c r="GRT21"/>
      <c r="GRU21"/>
      <c r="GRV21"/>
      <c r="GRW21"/>
      <c r="GRX21"/>
      <c r="GRY21"/>
      <c r="GRZ21"/>
      <c r="GSA21"/>
      <c r="GSB21"/>
      <c r="GSC21"/>
      <c r="GSD21"/>
      <c r="GSE21"/>
      <c r="GSF21"/>
      <c r="GSG21"/>
      <c r="GSH21"/>
      <c r="GSI21"/>
      <c r="GSJ21"/>
      <c r="GSK21"/>
      <c r="GSL21"/>
      <c r="GSM21"/>
      <c r="GSN21"/>
      <c r="GSO21"/>
      <c r="GSP21"/>
      <c r="GSQ21"/>
      <c r="GSR21"/>
      <c r="GSS21"/>
      <c r="GST21"/>
      <c r="GSU21"/>
      <c r="GSV21"/>
      <c r="GSW21"/>
      <c r="GSX21"/>
      <c r="GSY21"/>
      <c r="GSZ21"/>
      <c r="GTA21"/>
      <c r="GTB21"/>
      <c r="GTC21"/>
      <c r="GTD21"/>
      <c r="GTE21"/>
      <c r="GTF21"/>
      <c r="GTG21"/>
      <c r="GTH21"/>
      <c r="GTI21"/>
      <c r="GTJ21"/>
      <c r="GTK21"/>
      <c r="GTL21"/>
      <c r="GTM21"/>
      <c r="GTN21"/>
      <c r="GTO21"/>
      <c r="GTP21"/>
      <c r="GTQ21"/>
      <c r="GTR21"/>
      <c r="GTS21"/>
      <c r="GTT21"/>
      <c r="GTU21"/>
      <c r="GTV21"/>
      <c r="GTW21"/>
      <c r="GTX21"/>
      <c r="GTY21"/>
      <c r="GTZ21"/>
      <c r="GUA21"/>
      <c r="GUB21"/>
      <c r="GUC21"/>
      <c r="GUD21"/>
      <c r="GUE21"/>
      <c r="GUF21"/>
      <c r="GUG21"/>
      <c r="GUH21"/>
      <c r="GUI21"/>
      <c r="GUJ21"/>
      <c r="GUK21"/>
      <c r="GUL21"/>
      <c r="GUM21"/>
      <c r="GUN21"/>
      <c r="GUO21"/>
      <c r="GUP21"/>
      <c r="GUQ21"/>
      <c r="GUR21"/>
      <c r="GUS21"/>
      <c r="GUT21"/>
      <c r="GUU21"/>
      <c r="GUV21"/>
      <c r="GUW21"/>
      <c r="GUX21"/>
      <c r="GUY21"/>
      <c r="GUZ21"/>
      <c r="GVA21"/>
      <c r="GVB21"/>
      <c r="GVC21"/>
      <c r="GVD21"/>
      <c r="GVE21"/>
      <c r="GVF21"/>
      <c r="GVG21"/>
      <c r="GVH21"/>
      <c r="GVI21"/>
      <c r="GVJ21"/>
      <c r="GVK21"/>
      <c r="GVL21"/>
      <c r="GVM21"/>
      <c r="GVN21"/>
      <c r="GVO21"/>
      <c r="GVP21"/>
      <c r="GVQ21"/>
      <c r="GVR21"/>
      <c r="GVS21"/>
      <c r="GVT21"/>
      <c r="GVU21"/>
      <c r="GVV21"/>
      <c r="GVW21"/>
      <c r="GVX21"/>
      <c r="GVY21"/>
      <c r="GVZ21"/>
      <c r="GWA21"/>
      <c r="GWB21"/>
      <c r="GWC21"/>
      <c r="GWD21"/>
      <c r="GWE21"/>
      <c r="GWF21"/>
      <c r="GWG21"/>
      <c r="GWH21"/>
      <c r="GWI21"/>
      <c r="GWJ21"/>
      <c r="GWK21"/>
      <c r="GWL21"/>
      <c r="GWM21"/>
      <c r="GWN21"/>
      <c r="GWO21"/>
      <c r="GWP21"/>
      <c r="GWQ21"/>
      <c r="GWR21"/>
      <c r="GWS21"/>
      <c r="GWT21"/>
      <c r="GWU21"/>
      <c r="GWV21"/>
      <c r="GWW21"/>
      <c r="GWX21"/>
      <c r="GWY21"/>
      <c r="GWZ21"/>
      <c r="GXA21"/>
      <c r="GXB21"/>
      <c r="GXC21"/>
      <c r="GXD21"/>
      <c r="GXE21"/>
      <c r="GXF21"/>
      <c r="GXG21"/>
      <c r="GXH21"/>
      <c r="GXI21"/>
      <c r="GXJ21"/>
      <c r="GXK21"/>
      <c r="GXL21"/>
      <c r="GXM21"/>
      <c r="GXN21"/>
      <c r="GXO21"/>
      <c r="GXP21"/>
      <c r="GXQ21"/>
      <c r="GXR21"/>
      <c r="GXS21"/>
      <c r="GXT21"/>
      <c r="GXU21"/>
      <c r="GXV21"/>
      <c r="GXW21"/>
      <c r="GXX21"/>
      <c r="GXY21"/>
      <c r="GXZ21"/>
      <c r="GYA21"/>
      <c r="GYB21"/>
      <c r="GYC21"/>
      <c r="GYD21"/>
      <c r="GYE21"/>
      <c r="GYF21"/>
      <c r="GYG21"/>
      <c r="GYH21"/>
      <c r="GYI21"/>
      <c r="GYJ21"/>
      <c r="GYK21"/>
      <c r="GYL21"/>
      <c r="GYM21"/>
      <c r="GYN21"/>
      <c r="GYO21"/>
      <c r="GYP21"/>
      <c r="GYQ21"/>
      <c r="GYR21"/>
      <c r="GYS21"/>
      <c r="GYT21"/>
      <c r="GYU21"/>
      <c r="GYV21"/>
      <c r="GYW21"/>
      <c r="GYX21"/>
      <c r="GYY21"/>
      <c r="GYZ21"/>
      <c r="GZA21"/>
      <c r="GZB21"/>
      <c r="GZC21"/>
      <c r="GZD21"/>
      <c r="GZE21"/>
      <c r="GZF21"/>
      <c r="GZG21"/>
      <c r="GZH21"/>
      <c r="GZI21"/>
      <c r="GZJ21"/>
      <c r="GZK21"/>
      <c r="GZL21"/>
      <c r="GZM21"/>
      <c r="GZN21"/>
      <c r="GZO21"/>
      <c r="GZP21"/>
      <c r="GZQ21"/>
      <c r="GZR21"/>
      <c r="GZS21"/>
      <c r="GZT21"/>
      <c r="GZU21"/>
      <c r="GZV21"/>
      <c r="GZW21"/>
      <c r="GZX21"/>
      <c r="GZY21"/>
      <c r="GZZ21"/>
      <c r="HAA21"/>
      <c r="HAB21"/>
      <c r="HAC21"/>
      <c r="HAD21"/>
      <c r="HAE21"/>
      <c r="HAF21"/>
      <c r="HAG21"/>
      <c r="HAH21"/>
      <c r="HAI21"/>
      <c r="HAJ21"/>
      <c r="HAK21"/>
      <c r="HAL21"/>
      <c r="HAM21"/>
      <c r="HAN21"/>
      <c r="HAO21"/>
      <c r="HAP21"/>
      <c r="HAQ21"/>
      <c r="HAR21"/>
      <c r="HAS21"/>
      <c r="HAT21"/>
      <c r="HAU21"/>
      <c r="HAV21"/>
      <c r="HAW21"/>
      <c r="HAX21"/>
      <c r="HAY21"/>
      <c r="HAZ21"/>
      <c r="HBA21"/>
      <c r="HBB21"/>
      <c r="HBC21"/>
      <c r="HBD21"/>
      <c r="HBE21"/>
      <c r="HBF21"/>
      <c r="HBG21"/>
      <c r="HBH21"/>
      <c r="HBI21"/>
      <c r="HBJ21"/>
      <c r="HBK21"/>
      <c r="HBL21"/>
      <c r="HBM21"/>
      <c r="HBN21"/>
      <c r="HBO21"/>
      <c r="HBP21"/>
      <c r="HBQ21"/>
      <c r="HBR21"/>
      <c r="HBS21"/>
      <c r="HBT21"/>
      <c r="HBU21"/>
      <c r="HBV21"/>
      <c r="HBW21"/>
      <c r="HBX21"/>
      <c r="HBY21"/>
      <c r="HBZ21"/>
      <c r="HCA21"/>
      <c r="HCB21"/>
      <c r="HCC21"/>
      <c r="HCD21"/>
      <c r="HCE21"/>
      <c r="HCF21"/>
      <c r="HCG21"/>
      <c r="HCH21"/>
      <c r="HCI21"/>
      <c r="HCJ21"/>
      <c r="HCK21"/>
      <c r="HCL21"/>
      <c r="HCM21"/>
      <c r="HCN21"/>
      <c r="HCO21"/>
      <c r="HCP21"/>
      <c r="HCQ21"/>
      <c r="HCR21"/>
      <c r="HCS21"/>
      <c r="HCT21"/>
      <c r="HCU21"/>
      <c r="HCV21"/>
      <c r="HCW21"/>
      <c r="HCX21"/>
      <c r="HCY21"/>
      <c r="HCZ21"/>
      <c r="HDA21"/>
      <c r="HDB21"/>
      <c r="HDC21"/>
      <c r="HDD21"/>
      <c r="HDE21"/>
      <c r="HDF21"/>
      <c r="HDG21"/>
      <c r="HDH21"/>
      <c r="HDI21"/>
      <c r="HDJ21"/>
      <c r="HDK21"/>
      <c r="HDL21"/>
      <c r="HDM21"/>
      <c r="HDN21"/>
      <c r="HDO21"/>
      <c r="HDP21"/>
      <c r="HDQ21"/>
      <c r="HDR21"/>
      <c r="HDS21"/>
      <c r="HDT21"/>
      <c r="HDU21"/>
      <c r="HDV21"/>
      <c r="HDW21"/>
      <c r="HDX21"/>
      <c r="HDY21"/>
      <c r="HDZ21"/>
      <c r="HEA21"/>
      <c r="HEB21"/>
      <c r="HEC21"/>
      <c r="HED21"/>
      <c r="HEE21"/>
      <c r="HEF21"/>
      <c r="HEG21"/>
      <c r="HEH21"/>
      <c r="HEI21"/>
      <c r="HEJ21"/>
      <c r="HEK21"/>
      <c r="HEL21"/>
      <c r="HEM21"/>
      <c r="HEN21"/>
      <c r="HEO21"/>
      <c r="HEP21"/>
      <c r="HEQ21"/>
      <c r="HER21"/>
      <c r="HES21"/>
      <c r="HET21"/>
      <c r="HEU21"/>
      <c r="HEV21"/>
      <c r="HEW21"/>
      <c r="HEX21"/>
      <c r="HEY21"/>
      <c r="HEZ21"/>
      <c r="HFA21"/>
      <c r="HFB21"/>
      <c r="HFC21"/>
      <c r="HFD21"/>
      <c r="HFE21"/>
      <c r="HFF21"/>
      <c r="HFG21"/>
      <c r="HFH21"/>
      <c r="HFI21"/>
      <c r="HFJ21"/>
      <c r="HFK21"/>
      <c r="HFL21"/>
      <c r="HFM21"/>
      <c r="HFN21"/>
      <c r="HFO21"/>
      <c r="HFP21"/>
      <c r="HFQ21"/>
      <c r="HFR21"/>
      <c r="HFS21"/>
      <c r="HFT21"/>
      <c r="HFU21"/>
      <c r="HFV21"/>
      <c r="HFW21"/>
      <c r="HFX21"/>
      <c r="HFY21"/>
      <c r="HFZ21"/>
      <c r="HGA21"/>
      <c r="HGB21"/>
      <c r="HGC21"/>
      <c r="HGD21"/>
      <c r="HGE21"/>
      <c r="HGF21"/>
      <c r="HGG21"/>
      <c r="HGH21"/>
      <c r="HGI21"/>
      <c r="HGJ21"/>
      <c r="HGK21"/>
      <c r="HGL21"/>
      <c r="HGM21"/>
      <c r="HGN21"/>
      <c r="HGO21"/>
      <c r="HGP21"/>
      <c r="HGQ21"/>
      <c r="HGR21"/>
      <c r="HGS21"/>
      <c r="HGT21"/>
      <c r="HGU21"/>
      <c r="HGV21"/>
      <c r="HGW21"/>
      <c r="HGX21"/>
      <c r="HGY21"/>
      <c r="HGZ21"/>
      <c r="HHA21"/>
      <c r="HHB21"/>
      <c r="HHC21"/>
      <c r="HHD21"/>
      <c r="HHE21"/>
      <c r="HHF21"/>
      <c r="HHG21"/>
      <c r="HHH21"/>
      <c r="HHI21"/>
      <c r="HHJ21"/>
      <c r="HHK21"/>
      <c r="HHL21"/>
      <c r="HHM21"/>
      <c r="HHN21"/>
      <c r="HHO21"/>
      <c r="HHP21"/>
      <c r="HHQ21"/>
      <c r="HHR21"/>
      <c r="HHS21"/>
      <c r="HHT21"/>
      <c r="HHU21"/>
      <c r="HHV21"/>
      <c r="HHW21"/>
      <c r="HHX21"/>
      <c r="HHY21"/>
      <c r="HHZ21"/>
      <c r="HIA21"/>
      <c r="HIB21"/>
      <c r="HIC21"/>
      <c r="HID21"/>
      <c r="HIE21"/>
      <c r="HIF21"/>
      <c r="HIG21"/>
      <c r="HIH21"/>
      <c r="HII21"/>
      <c r="HIJ21"/>
      <c r="HIK21"/>
      <c r="HIL21"/>
      <c r="HIM21"/>
      <c r="HIN21"/>
      <c r="HIO21"/>
      <c r="HIP21"/>
      <c r="HIQ21"/>
      <c r="HIR21"/>
      <c r="HIS21"/>
      <c r="HIT21"/>
      <c r="HIU21"/>
      <c r="HIV21"/>
      <c r="HIW21"/>
      <c r="HIX21"/>
      <c r="HIY21"/>
      <c r="HIZ21"/>
      <c r="HJA21"/>
      <c r="HJB21"/>
      <c r="HJC21"/>
      <c r="HJD21"/>
      <c r="HJE21"/>
      <c r="HJF21"/>
      <c r="HJG21"/>
      <c r="HJH21"/>
      <c r="HJI21"/>
      <c r="HJJ21"/>
      <c r="HJK21"/>
      <c r="HJL21"/>
      <c r="HJM21"/>
      <c r="HJN21"/>
      <c r="HJO21"/>
      <c r="HJP21"/>
      <c r="HJQ21"/>
      <c r="HJR21"/>
      <c r="HJS21"/>
      <c r="HJT21"/>
      <c r="HJU21"/>
      <c r="HJV21"/>
      <c r="HJW21"/>
      <c r="HJX21"/>
      <c r="HJY21"/>
      <c r="HJZ21"/>
      <c r="HKA21"/>
      <c r="HKB21"/>
      <c r="HKC21"/>
      <c r="HKD21"/>
      <c r="HKE21"/>
      <c r="HKF21"/>
      <c r="HKG21"/>
      <c r="HKH21"/>
      <c r="HKI21"/>
      <c r="HKJ21"/>
      <c r="HKK21"/>
      <c r="HKL21"/>
      <c r="HKM21"/>
      <c r="HKN21"/>
      <c r="HKO21"/>
      <c r="HKP21"/>
      <c r="HKQ21"/>
      <c r="HKR21"/>
      <c r="HKS21"/>
      <c r="HKT21"/>
      <c r="HKU21"/>
      <c r="HKV21"/>
      <c r="HKW21"/>
      <c r="HKX21"/>
      <c r="HKY21"/>
      <c r="HKZ21"/>
      <c r="HLA21"/>
      <c r="HLB21"/>
      <c r="HLC21"/>
      <c r="HLD21"/>
      <c r="HLE21"/>
      <c r="HLF21"/>
      <c r="HLG21"/>
      <c r="HLH21"/>
      <c r="HLI21"/>
      <c r="HLJ21"/>
      <c r="HLK21"/>
      <c r="HLL21"/>
      <c r="HLM21"/>
      <c r="HLN21"/>
      <c r="HLO21"/>
      <c r="HLP21"/>
      <c r="HLQ21"/>
      <c r="HLR21"/>
      <c r="HLS21"/>
      <c r="HLT21"/>
      <c r="HLU21"/>
      <c r="HLV21"/>
      <c r="HLW21"/>
      <c r="HLX21"/>
      <c r="HLY21"/>
      <c r="HLZ21"/>
      <c r="HMA21"/>
      <c r="HMB21"/>
      <c r="HMC21"/>
      <c r="HMD21"/>
      <c r="HME21"/>
      <c r="HMF21"/>
      <c r="HMG21"/>
      <c r="HMH21"/>
      <c r="HMI21"/>
      <c r="HMJ21"/>
      <c r="HMK21"/>
      <c r="HML21"/>
      <c r="HMM21"/>
      <c r="HMN21"/>
      <c r="HMO21"/>
      <c r="HMP21"/>
      <c r="HMQ21"/>
      <c r="HMR21"/>
      <c r="HMS21"/>
      <c r="HMT21"/>
      <c r="HMU21"/>
      <c r="HMV21"/>
      <c r="HMW21"/>
      <c r="HMX21"/>
      <c r="HMY21"/>
      <c r="HMZ21"/>
      <c r="HNA21"/>
      <c r="HNB21"/>
      <c r="HNC21"/>
      <c r="HND21"/>
      <c r="HNE21"/>
      <c r="HNF21"/>
      <c r="HNG21"/>
      <c r="HNH21"/>
      <c r="HNI21"/>
      <c r="HNJ21"/>
      <c r="HNK21"/>
      <c r="HNL21"/>
      <c r="HNM21"/>
      <c r="HNN21"/>
      <c r="HNO21"/>
      <c r="HNP21"/>
      <c r="HNQ21"/>
      <c r="HNR21"/>
      <c r="HNS21"/>
      <c r="HNT21"/>
      <c r="HNU21"/>
      <c r="HNV21"/>
      <c r="HNW21"/>
      <c r="HNX21"/>
      <c r="HNY21"/>
      <c r="HNZ21"/>
      <c r="HOA21"/>
      <c r="HOB21"/>
      <c r="HOC21"/>
      <c r="HOD21"/>
      <c r="HOE21"/>
      <c r="HOF21"/>
      <c r="HOG21"/>
      <c r="HOH21"/>
      <c r="HOI21"/>
      <c r="HOJ21"/>
      <c r="HOK21"/>
      <c r="HOL21"/>
      <c r="HOM21"/>
      <c r="HON21"/>
      <c r="HOO21"/>
      <c r="HOP21"/>
      <c r="HOQ21"/>
      <c r="HOR21"/>
      <c r="HOS21"/>
      <c r="HOT21"/>
      <c r="HOU21"/>
      <c r="HOV21"/>
      <c r="HOW21"/>
      <c r="HOX21"/>
      <c r="HOY21"/>
      <c r="HOZ21"/>
      <c r="HPA21"/>
      <c r="HPB21"/>
      <c r="HPC21"/>
      <c r="HPD21"/>
      <c r="HPE21"/>
      <c r="HPF21"/>
      <c r="HPG21"/>
      <c r="HPH21"/>
      <c r="HPI21"/>
      <c r="HPJ21"/>
      <c r="HPK21"/>
      <c r="HPL21"/>
      <c r="HPM21"/>
      <c r="HPN21"/>
      <c r="HPO21"/>
      <c r="HPP21"/>
      <c r="HPQ21"/>
      <c r="HPR21"/>
      <c r="HPS21"/>
      <c r="HPT21"/>
      <c r="HPU21"/>
      <c r="HPV21"/>
      <c r="HPW21"/>
      <c r="HPX21"/>
      <c r="HPY21"/>
      <c r="HPZ21"/>
      <c r="HQA21"/>
      <c r="HQB21"/>
      <c r="HQC21"/>
      <c r="HQD21"/>
      <c r="HQE21"/>
      <c r="HQF21"/>
      <c r="HQG21"/>
      <c r="HQH21"/>
      <c r="HQI21"/>
      <c r="HQJ21"/>
      <c r="HQK21"/>
      <c r="HQL21"/>
      <c r="HQM21"/>
      <c r="HQN21"/>
      <c r="HQO21"/>
      <c r="HQP21"/>
      <c r="HQQ21"/>
      <c r="HQR21"/>
      <c r="HQS21"/>
      <c r="HQT21"/>
      <c r="HQU21"/>
      <c r="HQV21"/>
      <c r="HQW21"/>
      <c r="HQX21"/>
      <c r="HQY21"/>
      <c r="HQZ21"/>
      <c r="HRA21"/>
      <c r="HRB21"/>
      <c r="HRC21"/>
      <c r="HRD21"/>
      <c r="HRE21"/>
      <c r="HRF21"/>
      <c r="HRG21"/>
      <c r="HRH21"/>
      <c r="HRI21"/>
      <c r="HRJ21"/>
      <c r="HRK21"/>
      <c r="HRL21"/>
      <c r="HRM21"/>
      <c r="HRN21"/>
      <c r="HRO21"/>
      <c r="HRP21"/>
      <c r="HRQ21"/>
      <c r="HRR21"/>
      <c r="HRS21"/>
      <c r="HRT21"/>
      <c r="HRU21"/>
      <c r="HRV21"/>
      <c r="HRW21"/>
      <c r="HRX21"/>
      <c r="HRY21"/>
      <c r="HRZ21"/>
      <c r="HSA21"/>
      <c r="HSB21"/>
      <c r="HSC21"/>
      <c r="HSD21"/>
      <c r="HSE21"/>
      <c r="HSF21"/>
      <c r="HSG21"/>
      <c r="HSH21"/>
      <c r="HSI21"/>
      <c r="HSJ21"/>
      <c r="HSK21"/>
      <c r="HSL21"/>
      <c r="HSM21"/>
      <c r="HSN21"/>
      <c r="HSO21"/>
      <c r="HSP21"/>
      <c r="HSQ21"/>
      <c r="HSR21"/>
      <c r="HSS21"/>
      <c r="HST21"/>
      <c r="HSU21"/>
      <c r="HSV21"/>
      <c r="HSW21"/>
      <c r="HSX21"/>
      <c r="HSY21"/>
      <c r="HSZ21"/>
      <c r="HTA21"/>
      <c r="HTB21"/>
      <c r="HTC21"/>
      <c r="HTD21"/>
      <c r="HTE21"/>
      <c r="HTF21"/>
      <c r="HTG21"/>
      <c r="HTH21"/>
      <c r="HTI21"/>
      <c r="HTJ21"/>
      <c r="HTK21"/>
      <c r="HTL21"/>
      <c r="HTM21"/>
      <c r="HTN21"/>
      <c r="HTO21"/>
      <c r="HTP21"/>
      <c r="HTQ21"/>
      <c r="HTR21"/>
      <c r="HTS21"/>
      <c r="HTT21"/>
      <c r="HTU21"/>
      <c r="HTV21"/>
      <c r="HTW21"/>
      <c r="HTX21"/>
      <c r="HTY21"/>
      <c r="HTZ21"/>
      <c r="HUA21"/>
      <c r="HUB21"/>
      <c r="HUC21"/>
      <c r="HUD21"/>
      <c r="HUE21"/>
      <c r="HUF21"/>
      <c r="HUG21"/>
      <c r="HUH21"/>
      <c r="HUI21"/>
      <c r="HUJ21"/>
      <c r="HUK21"/>
      <c r="HUL21"/>
      <c r="HUM21"/>
      <c r="HUN21"/>
      <c r="HUO21"/>
      <c r="HUP21"/>
      <c r="HUQ21"/>
      <c r="HUR21"/>
      <c r="HUS21"/>
      <c r="HUT21"/>
      <c r="HUU21"/>
      <c r="HUV21"/>
      <c r="HUW21"/>
      <c r="HUX21"/>
      <c r="HUY21"/>
      <c r="HUZ21"/>
      <c r="HVA21"/>
      <c r="HVB21"/>
      <c r="HVC21"/>
      <c r="HVD21"/>
      <c r="HVE21"/>
      <c r="HVF21"/>
      <c r="HVG21"/>
      <c r="HVH21"/>
      <c r="HVI21"/>
      <c r="HVJ21"/>
      <c r="HVK21"/>
      <c r="HVL21"/>
      <c r="HVM21"/>
      <c r="HVN21"/>
      <c r="HVO21"/>
      <c r="HVP21"/>
      <c r="HVQ21"/>
      <c r="HVR21"/>
      <c r="HVS21"/>
      <c r="HVT21"/>
      <c r="HVU21"/>
      <c r="HVV21"/>
      <c r="HVW21"/>
      <c r="HVX21"/>
      <c r="HVY21"/>
      <c r="HVZ21"/>
      <c r="HWA21"/>
      <c r="HWB21"/>
      <c r="HWC21"/>
      <c r="HWD21"/>
      <c r="HWE21"/>
      <c r="HWF21"/>
      <c r="HWG21"/>
      <c r="HWH21"/>
      <c r="HWI21"/>
      <c r="HWJ21"/>
      <c r="HWK21"/>
      <c r="HWL21"/>
      <c r="HWM21"/>
      <c r="HWN21"/>
      <c r="HWO21"/>
      <c r="HWP21"/>
      <c r="HWQ21"/>
      <c r="HWR21"/>
      <c r="HWS21"/>
      <c r="HWT21"/>
      <c r="HWU21"/>
      <c r="HWV21"/>
      <c r="HWW21"/>
      <c r="HWX21"/>
      <c r="HWY21"/>
      <c r="HWZ21"/>
      <c r="HXA21"/>
      <c r="HXB21"/>
      <c r="HXC21"/>
      <c r="HXD21"/>
      <c r="HXE21"/>
      <c r="HXF21"/>
      <c r="HXG21"/>
      <c r="HXH21"/>
      <c r="HXI21"/>
      <c r="HXJ21"/>
      <c r="HXK21"/>
      <c r="HXL21"/>
      <c r="HXM21"/>
      <c r="HXN21"/>
      <c r="HXO21"/>
      <c r="HXP21"/>
      <c r="HXQ21"/>
      <c r="HXR21"/>
      <c r="HXS21"/>
      <c r="HXT21"/>
      <c r="HXU21"/>
      <c r="HXV21"/>
      <c r="HXW21"/>
      <c r="HXX21"/>
      <c r="HXY21"/>
      <c r="HXZ21"/>
      <c r="HYA21"/>
      <c r="HYB21"/>
      <c r="HYC21"/>
      <c r="HYD21"/>
      <c r="HYE21"/>
      <c r="HYF21"/>
      <c r="HYG21"/>
      <c r="HYH21"/>
      <c r="HYI21"/>
      <c r="HYJ21"/>
      <c r="HYK21"/>
      <c r="HYL21"/>
      <c r="HYM21"/>
      <c r="HYN21"/>
      <c r="HYO21"/>
      <c r="HYP21"/>
      <c r="HYQ21"/>
      <c r="HYR21"/>
      <c r="HYS21"/>
      <c r="HYT21"/>
      <c r="HYU21"/>
      <c r="HYV21"/>
      <c r="HYW21"/>
      <c r="HYX21"/>
      <c r="HYY21"/>
      <c r="HYZ21"/>
      <c r="HZA21"/>
      <c r="HZB21"/>
      <c r="HZC21"/>
      <c r="HZD21"/>
      <c r="HZE21"/>
      <c r="HZF21"/>
      <c r="HZG21"/>
      <c r="HZH21"/>
      <c r="HZI21"/>
      <c r="HZJ21"/>
      <c r="HZK21"/>
      <c r="HZL21"/>
      <c r="HZM21"/>
      <c r="HZN21"/>
      <c r="HZO21"/>
      <c r="HZP21"/>
      <c r="HZQ21"/>
      <c r="HZR21"/>
      <c r="HZS21"/>
      <c r="HZT21"/>
      <c r="HZU21"/>
      <c r="HZV21"/>
      <c r="HZW21"/>
      <c r="HZX21"/>
      <c r="HZY21"/>
      <c r="HZZ21"/>
      <c r="IAA21"/>
      <c r="IAB21"/>
      <c r="IAC21"/>
      <c r="IAD21"/>
      <c r="IAE21"/>
      <c r="IAF21"/>
      <c r="IAG21"/>
      <c r="IAH21"/>
      <c r="IAI21"/>
      <c r="IAJ21"/>
      <c r="IAK21"/>
      <c r="IAL21"/>
      <c r="IAM21"/>
      <c r="IAN21"/>
      <c r="IAO21"/>
      <c r="IAP21"/>
      <c r="IAQ21"/>
      <c r="IAR21"/>
      <c r="IAS21"/>
      <c r="IAT21"/>
      <c r="IAU21"/>
      <c r="IAV21"/>
      <c r="IAW21"/>
      <c r="IAX21"/>
      <c r="IAY21"/>
      <c r="IAZ21"/>
      <c r="IBA21"/>
      <c r="IBB21"/>
      <c r="IBC21"/>
      <c r="IBD21"/>
      <c r="IBE21"/>
      <c r="IBF21"/>
      <c r="IBG21"/>
      <c r="IBH21"/>
      <c r="IBI21"/>
      <c r="IBJ21"/>
      <c r="IBK21"/>
      <c r="IBL21"/>
      <c r="IBM21"/>
      <c r="IBN21"/>
      <c r="IBO21"/>
      <c r="IBP21"/>
      <c r="IBQ21"/>
      <c r="IBR21"/>
      <c r="IBS21"/>
      <c r="IBT21"/>
      <c r="IBU21"/>
      <c r="IBV21"/>
      <c r="IBW21"/>
      <c r="IBX21"/>
      <c r="IBY21"/>
      <c r="IBZ21"/>
      <c r="ICA21"/>
      <c r="ICB21"/>
      <c r="ICC21"/>
      <c r="ICD21"/>
      <c r="ICE21"/>
      <c r="ICF21"/>
      <c r="ICG21"/>
      <c r="ICH21"/>
      <c r="ICI21"/>
      <c r="ICJ21"/>
      <c r="ICK21"/>
      <c r="ICL21"/>
      <c r="ICM21"/>
      <c r="ICN21"/>
      <c r="ICO21"/>
      <c r="ICP21"/>
      <c r="ICQ21"/>
      <c r="ICR21"/>
      <c r="ICS21"/>
      <c r="ICT21"/>
      <c r="ICU21"/>
      <c r="ICV21"/>
      <c r="ICW21"/>
      <c r="ICX21"/>
      <c r="ICY21"/>
      <c r="ICZ21"/>
      <c r="IDA21"/>
      <c r="IDB21"/>
      <c r="IDC21"/>
      <c r="IDD21"/>
      <c r="IDE21"/>
      <c r="IDF21"/>
      <c r="IDG21"/>
      <c r="IDH21"/>
      <c r="IDI21"/>
      <c r="IDJ21"/>
      <c r="IDK21"/>
      <c r="IDL21"/>
      <c r="IDM21"/>
      <c r="IDN21"/>
      <c r="IDO21"/>
      <c r="IDP21"/>
      <c r="IDQ21"/>
      <c r="IDR21"/>
      <c r="IDS21"/>
      <c r="IDT21"/>
      <c r="IDU21"/>
      <c r="IDV21"/>
      <c r="IDW21"/>
      <c r="IDX21"/>
      <c r="IDY21"/>
      <c r="IDZ21"/>
      <c r="IEA21"/>
      <c r="IEB21"/>
      <c r="IEC21"/>
      <c r="IED21"/>
      <c r="IEE21"/>
      <c r="IEF21"/>
      <c r="IEG21"/>
      <c r="IEH21"/>
      <c r="IEI21"/>
      <c r="IEJ21"/>
      <c r="IEK21"/>
      <c r="IEL21"/>
      <c r="IEM21"/>
      <c r="IEN21"/>
      <c r="IEO21"/>
      <c r="IEP21"/>
      <c r="IEQ21"/>
      <c r="IER21"/>
      <c r="IES21"/>
      <c r="IET21"/>
      <c r="IEU21"/>
      <c r="IEV21"/>
      <c r="IEW21"/>
      <c r="IEX21"/>
      <c r="IEY21"/>
      <c r="IEZ21"/>
      <c r="IFA21"/>
      <c r="IFB21"/>
      <c r="IFC21"/>
      <c r="IFD21"/>
      <c r="IFE21"/>
      <c r="IFF21"/>
      <c r="IFG21"/>
      <c r="IFH21"/>
      <c r="IFI21"/>
      <c r="IFJ21"/>
      <c r="IFK21"/>
      <c r="IFL21"/>
      <c r="IFM21"/>
      <c r="IFN21"/>
      <c r="IFO21"/>
      <c r="IFP21"/>
      <c r="IFQ21"/>
      <c r="IFR21"/>
      <c r="IFS21"/>
      <c r="IFT21"/>
      <c r="IFU21"/>
      <c r="IFV21"/>
      <c r="IFW21"/>
      <c r="IFX21"/>
      <c r="IFY21"/>
      <c r="IFZ21"/>
      <c r="IGA21"/>
      <c r="IGB21"/>
      <c r="IGC21"/>
      <c r="IGD21"/>
      <c r="IGE21"/>
      <c r="IGF21"/>
      <c r="IGG21"/>
      <c r="IGH21"/>
      <c r="IGI21"/>
      <c r="IGJ21"/>
      <c r="IGK21"/>
      <c r="IGL21"/>
      <c r="IGM21"/>
      <c r="IGN21"/>
      <c r="IGO21"/>
      <c r="IGP21"/>
      <c r="IGQ21"/>
      <c r="IGR21"/>
      <c r="IGS21"/>
      <c r="IGT21"/>
      <c r="IGU21"/>
      <c r="IGV21"/>
      <c r="IGW21"/>
      <c r="IGX21"/>
      <c r="IGY21"/>
      <c r="IGZ21"/>
      <c r="IHA21"/>
      <c r="IHB21"/>
      <c r="IHC21"/>
      <c r="IHD21"/>
      <c r="IHE21"/>
      <c r="IHF21"/>
      <c r="IHG21"/>
      <c r="IHH21"/>
      <c r="IHI21"/>
      <c r="IHJ21"/>
      <c r="IHK21"/>
      <c r="IHL21"/>
      <c r="IHM21"/>
      <c r="IHN21"/>
      <c r="IHO21"/>
      <c r="IHP21"/>
      <c r="IHQ21"/>
      <c r="IHR21"/>
      <c r="IHS21"/>
      <c r="IHT21"/>
      <c r="IHU21"/>
      <c r="IHV21"/>
      <c r="IHW21"/>
      <c r="IHX21"/>
      <c r="IHY21"/>
      <c r="IHZ21"/>
      <c r="IIA21"/>
      <c r="IIB21"/>
      <c r="IIC21"/>
      <c r="IID21"/>
      <c r="IIE21"/>
      <c r="IIF21"/>
      <c r="IIG21"/>
      <c r="IIH21"/>
      <c r="III21"/>
      <c r="IIJ21"/>
      <c r="IIK21"/>
      <c r="IIL21"/>
      <c r="IIM21"/>
      <c r="IIN21"/>
      <c r="IIO21"/>
      <c r="IIP21"/>
      <c r="IIQ21"/>
      <c r="IIR21"/>
      <c r="IIS21"/>
      <c r="IIT21"/>
      <c r="IIU21"/>
      <c r="IIV21"/>
      <c r="IIW21"/>
      <c r="IIX21"/>
      <c r="IIY21"/>
      <c r="IIZ21"/>
      <c r="IJA21"/>
      <c r="IJB21"/>
      <c r="IJC21"/>
      <c r="IJD21"/>
      <c r="IJE21"/>
      <c r="IJF21"/>
      <c r="IJG21"/>
      <c r="IJH21"/>
      <c r="IJI21"/>
      <c r="IJJ21"/>
      <c r="IJK21"/>
      <c r="IJL21"/>
      <c r="IJM21"/>
      <c r="IJN21"/>
      <c r="IJO21"/>
      <c r="IJP21"/>
      <c r="IJQ21"/>
      <c r="IJR21"/>
      <c r="IJS21"/>
      <c r="IJT21"/>
      <c r="IJU21"/>
      <c r="IJV21"/>
      <c r="IJW21"/>
      <c r="IJX21"/>
      <c r="IJY21"/>
      <c r="IJZ21"/>
      <c r="IKA21"/>
      <c r="IKB21"/>
      <c r="IKC21"/>
      <c r="IKD21"/>
      <c r="IKE21"/>
      <c r="IKF21"/>
      <c r="IKG21"/>
      <c r="IKH21"/>
      <c r="IKI21"/>
      <c r="IKJ21"/>
      <c r="IKK21"/>
      <c r="IKL21"/>
      <c r="IKM21"/>
      <c r="IKN21"/>
      <c r="IKO21"/>
      <c r="IKP21"/>
      <c r="IKQ21"/>
      <c r="IKR21"/>
      <c r="IKS21"/>
      <c r="IKT21"/>
      <c r="IKU21"/>
      <c r="IKV21"/>
      <c r="IKW21"/>
      <c r="IKX21"/>
      <c r="IKY21"/>
      <c r="IKZ21"/>
      <c r="ILA21"/>
      <c r="ILB21"/>
      <c r="ILC21"/>
      <c r="ILD21"/>
      <c r="ILE21"/>
      <c r="ILF21"/>
      <c r="ILG21"/>
      <c r="ILH21"/>
      <c r="ILI21"/>
      <c r="ILJ21"/>
      <c r="ILK21"/>
      <c r="ILL21"/>
      <c r="ILM21"/>
      <c r="ILN21"/>
      <c r="ILO21"/>
      <c r="ILP21"/>
      <c r="ILQ21"/>
      <c r="ILR21"/>
      <c r="ILS21"/>
      <c r="ILT21"/>
      <c r="ILU21"/>
      <c r="ILV21"/>
      <c r="ILW21"/>
      <c r="ILX21"/>
      <c r="ILY21"/>
      <c r="ILZ21"/>
      <c r="IMA21"/>
      <c r="IMB21"/>
      <c r="IMC21"/>
      <c r="IMD21"/>
      <c r="IME21"/>
      <c r="IMF21"/>
      <c r="IMG21"/>
      <c r="IMH21"/>
      <c r="IMI21"/>
      <c r="IMJ21"/>
      <c r="IMK21"/>
      <c r="IML21"/>
      <c r="IMM21"/>
      <c r="IMN21"/>
      <c r="IMO21"/>
      <c r="IMP21"/>
      <c r="IMQ21"/>
      <c r="IMR21"/>
      <c r="IMS21"/>
      <c r="IMT21"/>
      <c r="IMU21"/>
      <c r="IMV21"/>
      <c r="IMW21"/>
      <c r="IMX21"/>
      <c r="IMY21"/>
      <c r="IMZ21"/>
      <c r="INA21"/>
      <c r="INB21"/>
      <c r="INC21"/>
      <c r="IND21"/>
      <c r="INE21"/>
      <c r="INF21"/>
      <c r="ING21"/>
      <c r="INH21"/>
      <c r="INI21"/>
      <c r="INJ21"/>
      <c r="INK21"/>
      <c r="INL21"/>
      <c r="INM21"/>
      <c r="INN21"/>
      <c r="INO21"/>
      <c r="INP21"/>
      <c r="INQ21"/>
      <c r="INR21"/>
      <c r="INS21"/>
      <c r="INT21"/>
      <c r="INU21"/>
      <c r="INV21"/>
      <c r="INW21"/>
      <c r="INX21"/>
      <c r="INY21"/>
      <c r="INZ21"/>
      <c r="IOA21"/>
      <c r="IOB21"/>
      <c r="IOC21"/>
      <c r="IOD21"/>
      <c r="IOE21"/>
      <c r="IOF21"/>
      <c r="IOG21"/>
      <c r="IOH21"/>
      <c r="IOI21"/>
      <c r="IOJ21"/>
      <c r="IOK21"/>
      <c r="IOL21"/>
      <c r="IOM21"/>
      <c r="ION21"/>
      <c r="IOO21"/>
      <c r="IOP21"/>
      <c r="IOQ21"/>
      <c r="IOR21"/>
      <c r="IOS21"/>
      <c r="IOT21"/>
      <c r="IOU21"/>
      <c r="IOV21"/>
      <c r="IOW21"/>
      <c r="IOX21"/>
      <c r="IOY21"/>
      <c r="IOZ21"/>
      <c r="IPA21"/>
      <c r="IPB21"/>
      <c r="IPC21"/>
      <c r="IPD21"/>
      <c r="IPE21"/>
      <c r="IPF21"/>
      <c r="IPG21"/>
      <c r="IPH21"/>
      <c r="IPI21"/>
      <c r="IPJ21"/>
      <c r="IPK21"/>
      <c r="IPL21"/>
      <c r="IPM21"/>
      <c r="IPN21"/>
      <c r="IPO21"/>
      <c r="IPP21"/>
      <c r="IPQ21"/>
      <c r="IPR21"/>
      <c r="IPS21"/>
      <c r="IPT21"/>
      <c r="IPU21"/>
      <c r="IPV21"/>
      <c r="IPW21"/>
      <c r="IPX21"/>
      <c r="IPY21"/>
      <c r="IPZ21"/>
      <c r="IQA21"/>
      <c r="IQB21"/>
      <c r="IQC21"/>
      <c r="IQD21"/>
      <c r="IQE21"/>
      <c r="IQF21"/>
      <c r="IQG21"/>
      <c r="IQH21"/>
      <c r="IQI21"/>
      <c r="IQJ21"/>
      <c r="IQK21"/>
      <c r="IQL21"/>
      <c r="IQM21"/>
      <c r="IQN21"/>
      <c r="IQO21"/>
      <c r="IQP21"/>
      <c r="IQQ21"/>
      <c r="IQR21"/>
      <c r="IQS21"/>
      <c r="IQT21"/>
      <c r="IQU21"/>
      <c r="IQV21"/>
      <c r="IQW21"/>
      <c r="IQX21"/>
      <c r="IQY21"/>
      <c r="IQZ21"/>
      <c r="IRA21"/>
      <c r="IRB21"/>
      <c r="IRC21"/>
      <c r="IRD21"/>
      <c r="IRE21"/>
      <c r="IRF21"/>
      <c r="IRG21"/>
      <c r="IRH21"/>
      <c r="IRI21"/>
      <c r="IRJ21"/>
      <c r="IRK21"/>
      <c r="IRL21"/>
      <c r="IRM21"/>
      <c r="IRN21"/>
      <c r="IRO21"/>
      <c r="IRP21"/>
      <c r="IRQ21"/>
      <c r="IRR21"/>
      <c r="IRS21"/>
      <c r="IRT21"/>
      <c r="IRU21"/>
      <c r="IRV21"/>
      <c r="IRW21"/>
      <c r="IRX21"/>
      <c r="IRY21"/>
      <c r="IRZ21"/>
      <c r="ISA21"/>
      <c r="ISB21"/>
      <c r="ISC21"/>
      <c r="ISD21"/>
      <c r="ISE21"/>
      <c r="ISF21"/>
      <c r="ISG21"/>
      <c r="ISH21"/>
      <c r="ISI21"/>
      <c r="ISJ21"/>
      <c r="ISK21"/>
      <c r="ISL21"/>
      <c r="ISM21"/>
      <c r="ISN21"/>
      <c r="ISO21"/>
      <c r="ISP21"/>
      <c r="ISQ21"/>
      <c r="ISR21"/>
      <c r="ISS21"/>
      <c r="IST21"/>
      <c r="ISU21"/>
      <c r="ISV21"/>
      <c r="ISW21"/>
      <c r="ISX21"/>
      <c r="ISY21"/>
      <c r="ISZ21"/>
      <c r="ITA21"/>
      <c r="ITB21"/>
      <c r="ITC21"/>
      <c r="ITD21"/>
      <c r="ITE21"/>
      <c r="ITF21"/>
      <c r="ITG21"/>
      <c r="ITH21"/>
      <c r="ITI21"/>
      <c r="ITJ21"/>
      <c r="ITK21"/>
      <c r="ITL21"/>
      <c r="ITM21"/>
      <c r="ITN21"/>
      <c r="ITO21"/>
      <c r="ITP21"/>
      <c r="ITQ21"/>
      <c r="ITR21"/>
      <c r="ITS21"/>
      <c r="ITT21"/>
      <c r="ITU21"/>
      <c r="ITV21"/>
      <c r="ITW21"/>
      <c r="ITX21"/>
      <c r="ITY21"/>
      <c r="ITZ21"/>
      <c r="IUA21"/>
      <c r="IUB21"/>
      <c r="IUC21"/>
      <c r="IUD21"/>
      <c r="IUE21"/>
      <c r="IUF21"/>
      <c r="IUG21"/>
      <c r="IUH21"/>
      <c r="IUI21"/>
      <c r="IUJ21"/>
      <c r="IUK21"/>
      <c r="IUL21"/>
      <c r="IUM21"/>
      <c r="IUN21"/>
      <c r="IUO21"/>
      <c r="IUP21"/>
      <c r="IUQ21"/>
      <c r="IUR21"/>
      <c r="IUS21"/>
      <c r="IUT21"/>
      <c r="IUU21"/>
      <c r="IUV21"/>
      <c r="IUW21"/>
      <c r="IUX21"/>
      <c r="IUY21"/>
      <c r="IUZ21"/>
      <c r="IVA21"/>
      <c r="IVB21"/>
      <c r="IVC21"/>
      <c r="IVD21"/>
      <c r="IVE21"/>
      <c r="IVF21"/>
      <c r="IVG21"/>
      <c r="IVH21"/>
      <c r="IVI21"/>
      <c r="IVJ21"/>
      <c r="IVK21"/>
      <c r="IVL21"/>
      <c r="IVM21"/>
      <c r="IVN21"/>
      <c r="IVO21"/>
      <c r="IVP21"/>
      <c r="IVQ21"/>
      <c r="IVR21"/>
      <c r="IVS21"/>
      <c r="IVT21"/>
      <c r="IVU21"/>
      <c r="IVV21"/>
      <c r="IVW21"/>
      <c r="IVX21"/>
      <c r="IVY21"/>
      <c r="IVZ21"/>
      <c r="IWA21"/>
      <c r="IWB21"/>
      <c r="IWC21"/>
      <c r="IWD21"/>
      <c r="IWE21"/>
      <c r="IWF21"/>
      <c r="IWG21"/>
      <c r="IWH21"/>
      <c r="IWI21"/>
      <c r="IWJ21"/>
      <c r="IWK21"/>
      <c r="IWL21"/>
      <c r="IWM21"/>
      <c r="IWN21"/>
      <c r="IWO21"/>
      <c r="IWP21"/>
      <c r="IWQ21"/>
      <c r="IWR21"/>
      <c r="IWS21"/>
      <c r="IWT21"/>
      <c r="IWU21"/>
      <c r="IWV21"/>
      <c r="IWW21"/>
      <c r="IWX21"/>
      <c r="IWY21"/>
      <c r="IWZ21"/>
      <c r="IXA21"/>
      <c r="IXB21"/>
      <c r="IXC21"/>
      <c r="IXD21"/>
      <c r="IXE21"/>
      <c r="IXF21"/>
      <c r="IXG21"/>
      <c r="IXH21"/>
      <c r="IXI21"/>
      <c r="IXJ21"/>
      <c r="IXK21"/>
      <c r="IXL21"/>
      <c r="IXM21"/>
      <c r="IXN21"/>
      <c r="IXO21"/>
      <c r="IXP21"/>
      <c r="IXQ21"/>
      <c r="IXR21"/>
      <c r="IXS21"/>
      <c r="IXT21"/>
      <c r="IXU21"/>
      <c r="IXV21"/>
      <c r="IXW21"/>
      <c r="IXX21"/>
      <c r="IXY21"/>
      <c r="IXZ21"/>
      <c r="IYA21"/>
      <c r="IYB21"/>
      <c r="IYC21"/>
      <c r="IYD21"/>
      <c r="IYE21"/>
      <c r="IYF21"/>
      <c r="IYG21"/>
      <c r="IYH21"/>
      <c r="IYI21"/>
      <c r="IYJ21"/>
      <c r="IYK21"/>
      <c r="IYL21"/>
      <c r="IYM21"/>
      <c r="IYN21"/>
      <c r="IYO21"/>
      <c r="IYP21"/>
      <c r="IYQ21"/>
      <c r="IYR21"/>
      <c r="IYS21"/>
      <c r="IYT21"/>
      <c r="IYU21"/>
      <c r="IYV21"/>
      <c r="IYW21"/>
      <c r="IYX21"/>
      <c r="IYY21"/>
      <c r="IYZ21"/>
      <c r="IZA21"/>
      <c r="IZB21"/>
      <c r="IZC21"/>
      <c r="IZD21"/>
      <c r="IZE21"/>
      <c r="IZF21"/>
      <c r="IZG21"/>
      <c r="IZH21"/>
      <c r="IZI21"/>
      <c r="IZJ21"/>
      <c r="IZK21"/>
      <c r="IZL21"/>
      <c r="IZM21"/>
      <c r="IZN21"/>
      <c r="IZO21"/>
      <c r="IZP21"/>
      <c r="IZQ21"/>
      <c r="IZR21"/>
      <c r="IZS21"/>
      <c r="IZT21"/>
      <c r="IZU21"/>
      <c r="IZV21"/>
      <c r="IZW21"/>
      <c r="IZX21"/>
      <c r="IZY21"/>
      <c r="IZZ21"/>
      <c r="JAA21"/>
      <c r="JAB21"/>
      <c r="JAC21"/>
      <c r="JAD21"/>
      <c r="JAE21"/>
      <c r="JAF21"/>
      <c r="JAG21"/>
      <c r="JAH21"/>
      <c r="JAI21"/>
      <c r="JAJ21"/>
      <c r="JAK21"/>
      <c r="JAL21"/>
      <c r="JAM21"/>
      <c r="JAN21"/>
      <c r="JAO21"/>
      <c r="JAP21"/>
      <c r="JAQ21"/>
      <c r="JAR21"/>
      <c r="JAS21"/>
      <c r="JAT21"/>
      <c r="JAU21"/>
      <c r="JAV21"/>
      <c r="JAW21"/>
      <c r="JAX21"/>
      <c r="JAY21"/>
      <c r="JAZ21"/>
      <c r="JBA21"/>
      <c r="JBB21"/>
      <c r="JBC21"/>
      <c r="JBD21"/>
      <c r="JBE21"/>
      <c r="JBF21"/>
      <c r="JBG21"/>
      <c r="JBH21"/>
      <c r="JBI21"/>
      <c r="JBJ21"/>
      <c r="JBK21"/>
      <c r="JBL21"/>
      <c r="JBM21"/>
      <c r="JBN21"/>
      <c r="JBO21"/>
      <c r="JBP21"/>
      <c r="JBQ21"/>
      <c r="JBR21"/>
      <c r="JBS21"/>
      <c r="JBT21"/>
      <c r="JBU21"/>
      <c r="JBV21"/>
      <c r="JBW21"/>
      <c r="JBX21"/>
      <c r="JBY21"/>
      <c r="JBZ21"/>
      <c r="JCA21"/>
      <c r="JCB21"/>
      <c r="JCC21"/>
      <c r="JCD21"/>
      <c r="JCE21"/>
      <c r="JCF21"/>
      <c r="JCG21"/>
      <c r="JCH21"/>
      <c r="JCI21"/>
      <c r="JCJ21"/>
      <c r="JCK21"/>
      <c r="JCL21"/>
      <c r="JCM21"/>
      <c r="JCN21"/>
      <c r="JCO21"/>
      <c r="JCP21"/>
      <c r="JCQ21"/>
      <c r="JCR21"/>
      <c r="JCS21"/>
      <c r="JCT21"/>
      <c r="JCU21"/>
      <c r="JCV21"/>
      <c r="JCW21"/>
      <c r="JCX21"/>
      <c r="JCY21"/>
      <c r="JCZ21"/>
      <c r="JDA21"/>
      <c r="JDB21"/>
      <c r="JDC21"/>
      <c r="JDD21"/>
      <c r="JDE21"/>
      <c r="JDF21"/>
      <c r="JDG21"/>
      <c r="JDH21"/>
      <c r="JDI21"/>
      <c r="JDJ21"/>
      <c r="JDK21"/>
      <c r="JDL21"/>
      <c r="JDM21"/>
      <c r="JDN21"/>
      <c r="JDO21"/>
      <c r="JDP21"/>
      <c r="JDQ21"/>
      <c r="JDR21"/>
      <c r="JDS21"/>
      <c r="JDT21"/>
      <c r="JDU21"/>
      <c r="JDV21"/>
      <c r="JDW21"/>
      <c r="JDX21"/>
      <c r="JDY21"/>
      <c r="JDZ21"/>
      <c r="JEA21"/>
      <c r="JEB21"/>
      <c r="JEC21"/>
      <c r="JED21"/>
      <c r="JEE21"/>
      <c r="JEF21"/>
      <c r="JEG21"/>
      <c r="JEH21"/>
      <c r="JEI21"/>
      <c r="JEJ21"/>
      <c r="JEK21"/>
      <c r="JEL21"/>
      <c r="JEM21"/>
      <c r="JEN21"/>
      <c r="JEO21"/>
      <c r="JEP21"/>
      <c r="JEQ21"/>
      <c r="JER21"/>
      <c r="JES21"/>
      <c r="JET21"/>
      <c r="JEU21"/>
      <c r="JEV21"/>
      <c r="JEW21"/>
      <c r="JEX21"/>
      <c r="JEY21"/>
      <c r="JEZ21"/>
      <c r="JFA21"/>
      <c r="JFB21"/>
      <c r="JFC21"/>
      <c r="JFD21"/>
      <c r="JFE21"/>
      <c r="JFF21"/>
      <c r="JFG21"/>
      <c r="JFH21"/>
      <c r="JFI21"/>
      <c r="JFJ21"/>
      <c r="JFK21"/>
      <c r="JFL21"/>
      <c r="JFM21"/>
      <c r="JFN21"/>
      <c r="JFO21"/>
      <c r="JFP21"/>
      <c r="JFQ21"/>
      <c r="JFR21"/>
      <c r="JFS21"/>
      <c r="JFT21"/>
      <c r="JFU21"/>
      <c r="JFV21"/>
      <c r="JFW21"/>
      <c r="JFX21"/>
      <c r="JFY21"/>
      <c r="JFZ21"/>
      <c r="JGA21"/>
      <c r="JGB21"/>
      <c r="JGC21"/>
      <c r="JGD21"/>
      <c r="JGE21"/>
      <c r="JGF21"/>
      <c r="JGG21"/>
      <c r="JGH21"/>
      <c r="JGI21"/>
      <c r="JGJ21"/>
      <c r="JGK21"/>
      <c r="JGL21"/>
      <c r="JGM21"/>
      <c r="JGN21"/>
      <c r="JGO21"/>
      <c r="JGP21"/>
      <c r="JGQ21"/>
      <c r="JGR21"/>
      <c r="JGS21"/>
      <c r="JGT21"/>
      <c r="JGU21"/>
      <c r="JGV21"/>
      <c r="JGW21"/>
      <c r="JGX21"/>
      <c r="JGY21"/>
      <c r="JGZ21"/>
      <c r="JHA21"/>
      <c r="JHB21"/>
      <c r="JHC21"/>
      <c r="JHD21"/>
      <c r="JHE21"/>
      <c r="JHF21"/>
      <c r="JHG21"/>
      <c r="JHH21"/>
      <c r="JHI21"/>
      <c r="JHJ21"/>
      <c r="JHK21"/>
      <c r="JHL21"/>
      <c r="JHM21"/>
      <c r="JHN21"/>
      <c r="JHO21"/>
      <c r="JHP21"/>
      <c r="JHQ21"/>
      <c r="JHR21"/>
      <c r="JHS21"/>
      <c r="JHT21"/>
      <c r="JHU21"/>
      <c r="JHV21"/>
      <c r="JHW21"/>
      <c r="JHX21"/>
      <c r="JHY21"/>
      <c r="JHZ21"/>
      <c r="JIA21"/>
      <c r="JIB21"/>
      <c r="JIC21"/>
      <c r="JID21"/>
      <c r="JIE21"/>
      <c r="JIF21"/>
      <c r="JIG21"/>
      <c r="JIH21"/>
      <c r="JII21"/>
      <c r="JIJ21"/>
      <c r="JIK21"/>
      <c r="JIL21"/>
      <c r="JIM21"/>
      <c r="JIN21"/>
      <c r="JIO21"/>
      <c r="JIP21"/>
      <c r="JIQ21"/>
      <c r="JIR21"/>
      <c r="JIS21"/>
      <c r="JIT21"/>
      <c r="JIU21"/>
      <c r="JIV21"/>
      <c r="JIW21"/>
      <c r="JIX21"/>
      <c r="JIY21"/>
      <c r="JIZ21"/>
      <c r="JJA21"/>
      <c r="JJB21"/>
      <c r="JJC21"/>
      <c r="JJD21"/>
      <c r="JJE21"/>
      <c r="JJF21"/>
      <c r="JJG21"/>
      <c r="JJH21"/>
      <c r="JJI21"/>
      <c r="JJJ21"/>
      <c r="JJK21"/>
      <c r="JJL21"/>
      <c r="JJM21"/>
      <c r="JJN21"/>
      <c r="JJO21"/>
      <c r="JJP21"/>
      <c r="JJQ21"/>
      <c r="JJR21"/>
      <c r="JJS21"/>
      <c r="JJT21"/>
      <c r="JJU21"/>
      <c r="JJV21"/>
      <c r="JJW21"/>
      <c r="JJX21"/>
      <c r="JJY21"/>
      <c r="JJZ21"/>
      <c r="JKA21"/>
      <c r="JKB21"/>
      <c r="JKC21"/>
      <c r="JKD21"/>
      <c r="JKE21"/>
      <c r="JKF21"/>
      <c r="JKG21"/>
      <c r="JKH21"/>
      <c r="JKI21"/>
      <c r="JKJ21"/>
      <c r="JKK21"/>
      <c r="JKL21"/>
      <c r="JKM21"/>
      <c r="JKN21"/>
      <c r="JKO21"/>
      <c r="JKP21"/>
      <c r="JKQ21"/>
      <c r="JKR21"/>
      <c r="JKS21"/>
      <c r="JKT21"/>
      <c r="JKU21"/>
      <c r="JKV21"/>
      <c r="JKW21"/>
      <c r="JKX21"/>
      <c r="JKY21"/>
      <c r="JKZ21"/>
      <c r="JLA21"/>
      <c r="JLB21"/>
      <c r="JLC21"/>
      <c r="JLD21"/>
      <c r="JLE21"/>
      <c r="JLF21"/>
      <c r="JLG21"/>
      <c r="JLH21"/>
      <c r="JLI21"/>
      <c r="JLJ21"/>
      <c r="JLK21"/>
      <c r="JLL21"/>
      <c r="JLM21"/>
      <c r="JLN21"/>
      <c r="JLO21"/>
      <c r="JLP21"/>
      <c r="JLQ21"/>
      <c r="JLR21"/>
      <c r="JLS21"/>
      <c r="JLT21"/>
      <c r="JLU21"/>
      <c r="JLV21"/>
      <c r="JLW21"/>
      <c r="JLX21"/>
      <c r="JLY21"/>
      <c r="JLZ21"/>
      <c r="JMA21"/>
      <c r="JMB21"/>
      <c r="JMC21"/>
      <c r="JMD21"/>
      <c r="JME21"/>
      <c r="JMF21"/>
      <c r="JMG21"/>
      <c r="JMH21"/>
      <c r="JMI21"/>
      <c r="JMJ21"/>
      <c r="JMK21"/>
      <c r="JML21"/>
      <c r="JMM21"/>
      <c r="JMN21"/>
      <c r="JMO21"/>
      <c r="JMP21"/>
      <c r="JMQ21"/>
      <c r="JMR21"/>
      <c r="JMS21"/>
      <c r="JMT21"/>
      <c r="JMU21"/>
      <c r="JMV21"/>
      <c r="JMW21"/>
      <c r="JMX21"/>
      <c r="JMY21"/>
      <c r="JMZ21"/>
      <c r="JNA21"/>
      <c r="JNB21"/>
      <c r="JNC21"/>
      <c r="JND21"/>
      <c r="JNE21"/>
      <c r="JNF21"/>
      <c r="JNG21"/>
      <c r="JNH21"/>
      <c r="JNI21"/>
      <c r="JNJ21"/>
      <c r="JNK21"/>
      <c r="JNL21"/>
      <c r="JNM21"/>
      <c r="JNN21"/>
      <c r="JNO21"/>
      <c r="JNP21"/>
      <c r="JNQ21"/>
      <c r="JNR21"/>
      <c r="JNS21"/>
      <c r="JNT21"/>
      <c r="JNU21"/>
      <c r="JNV21"/>
      <c r="JNW21"/>
      <c r="JNX21"/>
      <c r="JNY21"/>
      <c r="JNZ21"/>
      <c r="JOA21"/>
      <c r="JOB21"/>
      <c r="JOC21"/>
      <c r="JOD21"/>
      <c r="JOE21"/>
      <c r="JOF21"/>
      <c r="JOG21"/>
      <c r="JOH21"/>
      <c r="JOI21"/>
      <c r="JOJ21"/>
      <c r="JOK21"/>
      <c r="JOL21"/>
      <c r="JOM21"/>
      <c r="JON21"/>
      <c r="JOO21"/>
      <c r="JOP21"/>
      <c r="JOQ21"/>
      <c r="JOR21"/>
      <c r="JOS21"/>
      <c r="JOT21"/>
      <c r="JOU21"/>
      <c r="JOV21"/>
      <c r="JOW21"/>
      <c r="JOX21"/>
      <c r="JOY21"/>
      <c r="JOZ21"/>
      <c r="JPA21"/>
      <c r="JPB21"/>
      <c r="JPC21"/>
      <c r="JPD21"/>
      <c r="JPE21"/>
      <c r="JPF21"/>
      <c r="JPG21"/>
      <c r="JPH21"/>
      <c r="JPI21"/>
      <c r="JPJ21"/>
      <c r="JPK21"/>
      <c r="JPL21"/>
      <c r="JPM21"/>
      <c r="JPN21"/>
      <c r="JPO21"/>
      <c r="JPP21"/>
      <c r="JPQ21"/>
      <c r="JPR21"/>
      <c r="JPS21"/>
      <c r="JPT21"/>
      <c r="JPU21"/>
      <c r="JPV21"/>
      <c r="JPW21"/>
      <c r="JPX21"/>
      <c r="JPY21"/>
      <c r="JPZ21"/>
      <c r="JQA21"/>
      <c r="JQB21"/>
      <c r="JQC21"/>
      <c r="JQD21"/>
      <c r="JQE21"/>
      <c r="JQF21"/>
      <c r="JQG21"/>
      <c r="JQH21"/>
      <c r="JQI21"/>
      <c r="JQJ21"/>
      <c r="JQK21"/>
      <c r="JQL21"/>
      <c r="JQM21"/>
      <c r="JQN21"/>
      <c r="JQO21"/>
      <c r="JQP21"/>
      <c r="JQQ21"/>
      <c r="JQR21"/>
      <c r="JQS21"/>
      <c r="JQT21"/>
      <c r="JQU21"/>
      <c r="JQV21"/>
      <c r="JQW21"/>
      <c r="JQX21"/>
      <c r="JQY21"/>
      <c r="JQZ21"/>
      <c r="JRA21"/>
      <c r="JRB21"/>
      <c r="JRC21"/>
      <c r="JRD21"/>
      <c r="JRE21"/>
      <c r="JRF21"/>
      <c r="JRG21"/>
      <c r="JRH21"/>
      <c r="JRI21"/>
      <c r="JRJ21"/>
      <c r="JRK21"/>
      <c r="JRL21"/>
      <c r="JRM21"/>
      <c r="JRN21"/>
      <c r="JRO21"/>
      <c r="JRP21"/>
      <c r="JRQ21"/>
      <c r="JRR21"/>
      <c r="JRS21"/>
      <c r="JRT21"/>
      <c r="JRU21"/>
      <c r="JRV21"/>
      <c r="JRW21"/>
      <c r="JRX21"/>
      <c r="JRY21"/>
      <c r="JRZ21"/>
      <c r="JSA21"/>
      <c r="JSB21"/>
      <c r="JSC21"/>
      <c r="JSD21"/>
      <c r="JSE21"/>
      <c r="JSF21"/>
      <c r="JSG21"/>
      <c r="JSH21"/>
      <c r="JSI21"/>
      <c r="JSJ21"/>
      <c r="JSK21"/>
      <c r="JSL21"/>
      <c r="JSM21"/>
      <c r="JSN21"/>
      <c r="JSO21"/>
      <c r="JSP21"/>
      <c r="JSQ21"/>
      <c r="JSR21"/>
      <c r="JSS21"/>
      <c r="JST21"/>
      <c r="JSU21"/>
      <c r="JSV21"/>
      <c r="JSW21"/>
      <c r="JSX21"/>
      <c r="JSY21"/>
      <c r="JSZ21"/>
      <c r="JTA21"/>
      <c r="JTB21"/>
      <c r="JTC21"/>
      <c r="JTD21"/>
      <c r="JTE21"/>
      <c r="JTF21"/>
      <c r="JTG21"/>
      <c r="JTH21"/>
      <c r="JTI21"/>
      <c r="JTJ21"/>
      <c r="JTK21"/>
      <c r="JTL21"/>
      <c r="JTM21"/>
      <c r="JTN21"/>
      <c r="JTO21"/>
      <c r="JTP21"/>
      <c r="JTQ21"/>
      <c r="JTR21"/>
      <c r="JTS21"/>
      <c r="JTT21"/>
      <c r="JTU21"/>
      <c r="JTV21"/>
      <c r="JTW21"/>
      <c r="JTX21"/>
      <c r="JTY21"/>
      <c r="JTZ21"/>
      <c r="JUA21"/>
      <c r="JUB21"/>
      <c r="JUC21"/>
      <c r="JUD21"/>
      <c r="JUE21"/>
      <c r="JUF21"/>
      <c r="JUG21"/>
      <c r="JUH21"/>
      <c r="JUI21"/>
      <c r="JUJ21"/>
      <c r="JUK21"/>
      <c r="JUL21"/>
      <c r="JUM21"/>
      <c r="JUN21"/>
      <c r="JUO21"/>
      <c r="JUP21"/>
      <c r="JUQ21"/>
      <c r="JUR21"/>
      <c r="JUS21"/>
      <c r="JUT21"/>
      <c r="JUU21"/>
      <c r="JUV21"/>
      <c r="JUW21"/>
      <c r="JUX21"/>
      <c r="JUY21"/>
      <c r="JUZ21"/>
      <c r="JVA21"/>
      <c r="JVB21"/>
      <c r="JVC21"/>
      <c r="JVD21"/>
      <c r="JVE21"/>
      <c r="JVF21"/>
      <c r="JVG21"/>
      <c r="JVH21"/>
      <c r="JVI21"/>
      <c r="JVJ21"/>
      <c r="JVK21"/>
      <c r="JVL21"/>
      <c r="JVM21"/>
      <c r="JVN21"/>
      <c r="JVO21"/>
      <c r="JVP21"/>
      <c r="JVQ21"/>
      <c r="JVR21"/>
      <c r="JVS21"/>
      <c r="JVT21"/>
      <c r="JVU21"/>
      <c r="JVV21"/>
      <c r="JVW21"/>
      <c r="JVX21"/>
      <c r="JVY21"/>
      <c r="JVZ21"/>
      <c r="JWA21"/>
      <c r="JWB21"/>
      <c r="JWC21"/>
      <c r="JWD21"/>
      <c r="JWE21"/>
      <c r="JWF21"/>
      <c r="JWG21"/>
      <c r="JWH21"/>
      <c r="JWI21"/>
      <c r="JWJ21"/>
      <c r="JWK21"/>
      <c r="JWL21"/>
      <c r="JWM21"/>
      <c r="JWN21"/>
      <c r="JWO21"/>
      <c r="JWP21"/>
      <c r="JWQ21"/>
      <c r="JWR21"/>
      <c r="JWS21"/>
      <c r="JWT21"/>
      <c r="JWU21"/>
      <c r="JWV21"/>
      <c r="JWW21"/>
      <c r="JWX21"/>
      <c r="JWY21"/>
      <c r="JWZ21"/>
      <c r="JXA21"/>
      <c r="JXB21"/>
      <c r="JXC21"/>
      <c r="JXD21"/>
      <c r="JXE21"/>
      <c r="JXF21"/>
      <c r="JXG21"/>
      <c r="JXH21"/>
      <c r="JXI21"/>
      <c r="JXJ21"/>
      <c r="JXK21"/>
      <c r="JXL21"/>
      <c r="JXM21"/>
      <c r="JXN21"/>
      <c r="JXO21"/>
      <c r="JXP21"/>
      <c r="JXQ21"/>
      <c r="JXR21"/>
      <c r="JXS21"/>
      <c r="JXT21"/>
      <c r="JXU21"/>
      <c r="JXV21"/>
      <c r="JXW21"/>
      <c r="JXX21"/>
      <c r="JXY21"/>
      <c r="JXZ21"/>
      <c r="JYA21"/>
      <c r="JYB21"/>
      <c r="JYC21"/>
      <c r="JYD21"/>
      <c r="JYE21"/>
      <c r="JYF21"/>
      <c r="JYG21"/>
      <c r="JYH21"/>
      <c r="JYI21"/>
      <c r="JYJ21"/>
      <c r="JYK21"/>
      <c r="JYL21"/>
      <c r="JYM21"/>
      <c r="JYN21"/>
      <c r="JYO21"/>
      <c r="JYP21"/>
      <c r="JYQ21"/>
      <c r="JYR21"/>
      <c r="JYS21"/>
      <c r="JYT21"/>
      <c r="JYU21"/>
      <c r="JYV21"/>
      <c r="JYW21"/>
      <c r="JYX21"/>
      <c r="JYY21"/>
      <c r="JYZ21"/>
      <c r="JZA21"/>
      <c r="JZB21"/>
      <c r="JZC21"/>
      <c r="JZD21"/>
      <c r="JZE21"/>
      <c r="JZF21"/>
      <c r="JZG21"/>
      <c r="JZH21"/>
      <c r="JZI21"/>
      <c r="JZJ21"/>
      <c r="JZK21"/>
      <c r="JZL21"/>
      <c r="JZM21"/>
      <c r="JZN21"/>
      <c r="JZO21"/>
      <c r="JZP21"/>
      <c r="JZQ21"/>
      <c r="JZR21"/>
      <c r="JZS21"/>
      <c r="JZT21"/>
      <c r="JZU21"/>
      <c r="JZV21"/>
      <c r="JZW21"/>
      <c r="JZX21"/>
      <c r="JZY21"/>
      <c r="JZZ21"/>
      <c r="KAA21"/>
      <c r="KAB21"/>
      <c r="KAC21"/>
      <c r="KAD21"/>
      <c r="KAE21"/>
      <c r="KAF21"/>
      <c r="KAG21"/>
      <c r="KAH21"/>
      <c r="KAI21"/>
      <c r="KAJ21"/>
      <c r="KAK21"/>
      <c r="KAL21"/>
      <c r="KAM21"/>
      <c r="KAN21"/>
      <c r="KAO21"/>
      <c r="KAP21"/>
      <c r="KAQ21"/>
      <c r="KAR21"/>
      <c r="KAS21"/>
      <c r="KAT21"/>
      <c r="KAU21"/>
      <c r="KAV21"/>
      <c r="KAW21"/>
      <c r="KAX21"/>
      <c r="KAY21"/>
      <c r="KAZ21"/>
      <c r="KBA21"/>
      <c r="KBB21"/>
      <c r="KBC21"/>
      <c r="KBD21"/>
      <c r="KBE21"/>
      <c r="KBF21"/>
      <c r="KBG21"/>
      <c r="KBH21"/>
      <c r="KBI21"/>
      <c r="KBJ21"/>
      <c r="KBK21"/>
      <c r="KBL21"/>
      <c r="KBM21"/>
      <c r="KBN21"/>
      <c r="KBO21"/>
      <c r="KBP21"/>
      <c r="KBQ21"/>
      <c r="KBR21"/>
      <c r="KBS21"/>
      <c r="KBT21"/>
      <c r="KBU21"/>
      <c r="KBV21"/>
      <c r="KBW21"/>
      <c r="KBX21"/>
      <c r="KBY21"/>
      <c r="KBZ21"/>
      <c r="KCA21"/>
      <c r="KCB21"/>
      <c r="KCC21"/>
      <c r="KCD21"/>
      <c r="KCE21"/>
      <c r="KCF21"/>
      <c r="KCG21"/>
      <c r="KCH21"/>
      <c r="KCI21"/>
      <c r="KCJ21"/>
      <c r="KCK21"/>
      <c r="KCL21"/>
      <c r="KCM21"/>
      <c r="KCN21"/>
      <c r="KCO21"/>
      <c r="KCP21"/>
      <c r="KCQ21"/>
      <c r="KCR21"/>
      <c r="KCS21"/>
      <c r="KCT21"/>
      <c r="KCU21"/>
      <c r="KCV21"/>
      <c r="KCW21"/>
      <c r="KCX21"/>
      <c r="KCY21"/>
      <c r="KCZ21"/>
      <c r="KDA21"/>
      <c r="KDB21"/>
      <c r="KDC21"/>
      <c r="KDD21"/>
      <c r="KDE21"/>
      <c r="KDF21"/>
      <c r="KDG21"/>
      <c r="KDH21"/>
      <c r="KDI21"/>
      <c r="KDJ21"/>
      <c r="KDK21"/>
      <c r="KDL21"/>
      <c r="KDM21"/>
      <c r="KDN21"/>
      <c r="KDO21"/>
      <c r="KDP21"/>
      <c r="KDQ21"/>
      <c r="KDR21"/>
      <c r="KDS21"/>
      <c r="KDT21"/>
      <c r="KDU21"/>
      <c r="KDV21"/>
      <c r="KDW21"/>
      <c r="KDX21"/>
      <c r="KDY21"/>
      <c r="KDZ21"/>
      <c r="KEA21"/>
      <c r="KEB21"/>
      <c r="KEC21"/>
      <c r="KED21"/>
      <c r="KEE21"/>
      <c r="KEF21"/>
      <c r="KEG21"/>
      <c r="KEH21"/>
      <c r="KEI21"/>
      <c r="KEJ21"/>
      <c r="KEK21"/>
      <c r="KEL21"/>
      <c r="KEM21"/>
      <c r="KEN21"/>
      <c r="KEO21"/>
      <c r="KEP21"/>
      <c r="KEQ21"/>
      <c r="KER21"/>
      <c r="KES21"/>
      <c r="KET21"/>
      <c r="KEU21"/>
      <c r="KEV21"/>
      <c r="KEW21"/>
      <c r="KEX21"/>
      <c r="KEY21"/>
      <c r="KEZ21"/>
      <c r="KFA21"/>
      <c r="KFB21"/>
      <c r="KFC21"/>
      <c r="KFD21"/>
      <c r="KFE21"/>
      <c r="KFF21"/>
      <c r="KFG21"/>
      <c r="KFH21"/>
      <c r="KFI21"/>
      <c r="KFJ21"/>
      <c r="KFK21"/>
      <c r="KFL21"/>
      <c r="KFM21"/>
      <c r="KFN21"/>
      <c r="KFO21"/>
      <c r="KFP21"/>
      <c r="KFQ21"/>
      <c r="KFR21"/>
      <c r="KFS21"/>
      <c r="KFT21"/>
      <c r="KFU21"/>
      <c r="KFV21"/>
      <c r="KFW21"/>
      <c r="KFX21"/>
      <c r="KFY21"/>
      <c r="KFZ21"/>
      <c r="KGA21"/>
      <c r="KGB21"/>
      <c r="KGC21"/>
      <c r="KGD21"/>
      <c r="KGE21"/>
      <c r="KGF21"/>
      <c r="KGG21"/>
      <c r="KGH21"/>
      <c r="KGI21"/>
      <c r="KGJ21"/>
      <c r="KGK21"/>
      <c r="KGL21"/>
      <c r="KGM21"/>
      <c r="KGN21"/>
      <c r="KGO21"/>
      <c r="KGP21"/>
      <c r="KGQ21"/>
      <c r="KGR21"/>
      <c r="KGS21"/>
      <c r="KGT21"/>
      <c r="KGU21"/>
      <c r="KGV21"/>
      <c r="KGW21"/>
      <c r="KGX21"/>
      <c r="KGY21"/>
      <c r="KGZ21"/>
      <c r="KHA21"/>
      <c r="KHB21"/>
      <c r="KHC21"/>
      <c r="KHD21"/>
      <c r="KHE21"/>
      <c r="KHF21"/>
      <c r="KHG21"/>
      <c r="KHH21"/>
      <c r="KHI21"/>
      <c r="KHJ21"/>
      <c r="KHK21"/>
      <c r="KHL21"/>
      <c r="KHM21"/>
      <c r="KHN21"/>
      <c r="KHO21"/>
      <c r="KHP21"/>
      <c r="KHQ21"/>
      <c r="KHR21"/>
      <c r="KHS21"/>
      <c r="KHT21"/>
      <c r="KHU21"/>
      <c r="KHV21"/>
      <c r="KHW21"/>
      <c r="KHX21"/>
      <c r="KHY21"/>
      <c r="KHZ21"/>
      <c r="KIA21"/>
      <c r="KIB21"/>
      <c r="KIC21"/>
      <c r="KID21"/>
      <c r="KIE21"/>
      <c r="KIF21"/>
      <c r="KIG21"/>
      <c r="KIH21"/>
      <c r="KII21"/>
      <c r="KIJ21"/>
      <c r="KIK21"/>
      <c r="KIL21"/>
      <c r="KIM21"/>
      <c r="KIN21"/>
      <c r="KIO21"/>
      <c r="KIP21"/>
      <c r="KIQ21"/>
      <c r="KIR21"/>
      <c r="KIS21"/>
      <c r="KIT21"/>
      <c r="KIU21"/>
      <c r="KIV21"/>
      <c r="KIW21"/>
      <c r="KIX21"/>
      <c r="KIY21"/>
      <c r="KIZ21"/>
      <c r="KJA21"/>
      <c r="KJB21"/>
      <c r="KJC21"/>
      <c r="KJD21"/>
      <c r="KJE21"/>
      <c r="KJF21"/>
      <c r="KJG21"/>
      <c r="KJH21"/>
      <c r="KJI21"/>
      <c r="KJJ21"/>
      <c r="KJK21"/>
      <c r="KJL21"/>
      <c r="KJM21"/>
      <c r="KJN21"/>
      <c r="KJO21"/>
      <c r="KJP21"/>
      <c r="KJQ21"/>
      <c r="KJR21"/>
      <c r="KJS21"/>
      <c r="KJT21"/>
      <c r="KJU21"/>
      <c r="KJV21"/>
      <c r="KJW21"/>
      <c r="KJX21"/>
      <c r="KJY21"/>
      <c r="KJZ21"/>
      <c r="KKA21"/>
      <c r="KKB21"/>
      <c r="KKC21"/>
      <c r="KKD21"/>
      <c r="KKE21"/>
      <c r="KKF21"/>
      <c r="KKG21"/>
      <c r="KKH21"/>
      <c r="KKI21"/>
      <c r="KKJ21"/>
      <c r="KKK21"/>
      <c r="KKL21"/>
      <c r="KKM21"/>
      <c r="KKN21"/>
      <c r="KKO21"/>
      <c r="KKP21"/>
      <c r="KKQ21"/>
      <c r="KKR21"/>
      <c r="KKS21"/>
      <c r="KKT21"/>
      <c r="KKU21"/>
      <c r="KKV21"/>
      <c r="KKW21"/>
      <c r="KKX21"/>
      <c r="KKY21"/>
      <c r="KKZ21"/>
      <c r="KLA21"/>
      <c r="KLB21"/>
      <c r="KLC21"/>
      <c r="KLD21"/>
      <c r="KLE21"/>
      <c r="KLF21"/>
      <c r="KLG21"/>
      <c r="KLH21"/>
      <c r="KLI21"/>
      <c r="KLJ21"/>
      <c r="KLK21"/>
      <c r="KLL21"/>
      <c r="KLM21"/>
      <c r="KLN21"/>
      <c r="KLO21"/>
      <c r="KLP21"/>
      <c r="KLQ21"/>
      <c r="KLR21"/>
      <c r="KLS21"/>
      <c r="KLT21"/>
      <c r="KLU21"/>
      <c r="KLV21"/>
      <c r="KLW21"/>
      <c r="KLX21"/>
      <c r="KLY21"/>
      <c r="KLZ21"/>
      <c r="KMA21"/>
      <c r="KMB21"/>
      <c r="KMC21"/>
      <c r="KMD21"/>
      <c r="KME21"/>
      <c r="KMF21"/>
      <c r="KMG21"/>
      <c r="KMH21"/>
      <c r="KMI21"/>
      <c r="KMJ21"/>
      <c r="KMK21"/>
      <c r="KML21"/>
      <c r="KMM21"/>
      <c r="KMN21"/>
      <c r="KMO21"/>
      <c r="KMP21"/>
      <c r="KMQ21"/>
      <c r="KMR21"/>
      <c r="KMS21"/>
      <c r="KMT21"/>
      <c r="KMU21"/>
      <c r="KMV21"/>
      <c r="KMW21"/>
      <c r="KMX21"/>
      <c r="KMY21"/>
      <c r="KMZ21"/>
      <c r="KNA21"/>
      <c r="KNB21"/>
      <c r="KNC21"/>
      <c r="KND21"/>
      <c r="KNE21"/>
      <c r="KNF21"/>
      <c r="KNG21"/>
      <c r="KNH21"/>
      <c r="KNI21"/>
      <c r="KNJ21"/>
      <c r="KNK21"/>
      <c r="KNL21"/>
      <c r="KNM21"/>
      <c r="KNN21"/>
      <c r="KNO21"/>
      <c r="KNP21"/>
      <c r="KNQ21"/>
      <c r="KNR21"/>
      <c r="KNS21"/>
      <c r="KNT21"/>
      <c r="KNU21"/>
      <c r="KNV21"/>
      <c r="KNW21"/>
      <c r="KNX21"/>
      <c r="KNY21"/>
      <c r="KNZ21"/>
      <c r="KOA21"/>
      <c r="KOB21"/>
      <c r="KOC21"/>
      <c r="KOD21"/>
      <c r="KOE21"/>
      <c r="KOF21"/>
      <c r="KOG21"/>
      <c r="KOH21"/>
      <c r="KOI21"/>
      <c r="KOJ21"/>
      <c r="KOK21"/>
      <c r="KOL21"/>
      <c r="KOM21"/>
      <c r="KON21"/>
      <c r="KOO21"/>
      <c r="KOP21"/>
      <c r="KOQ21"/>
      <c r="KOR21"/>
      <c r="KOS21"/>
      <c r="KOT21"/>
      <c r="KOU21"/>
      <c r="KOV21"/>
      <c r="KOW21"/>
      <c r="KOX21"/>
      <c r="KOY21"/>
      <c r="KOZ21"/>
      <c r="KPA21"/>
      <c r="KPB21"/>
      <c r="KPC21"/>
      <c r="KPD21"/>
      <c r="KPE21"/>
      <c r="KPF21"/>
      <c r="KPG21"/>
      <c r="KPH21"/>
      <c r="KPI21"/>
      <c r="KPJ21"/>
      <c r="KPK21"/>
      <c r="KPL21"/>
      <c r="KPM21"/>
      <c r="KPN21"/>
      <c r="KPO21"/>
      <c r="KPP21"/>
      <c r="KPQ21"/>
      <c r="KPR21"/>
      <c r="KPS21"/>
      <c r="KPT21"/>
      <c r="KPU21"/>
      <c r="KPV21"/>
      <c r="KPW21"/>
      <c r="KPX21"/>
      <c r="KPY21"/>
      <c r="KPZ21"/>
      <c r="KQA21"/>
      <c r="KQB21"/>
      <c r="KQC21"/>
      <c r="KQD21"/>
      <c r="KQE21"/>
      <c r="KQF21"/>
      <c r="KQG21"/>
      <c r="KQH21"/>
      <c r="KQI21"/>
      <c r="KQJ21"/>
      <c r="KQK21"/>
      <c r="KQL21"/>
      <c r="KQM21"/>
      <c r="KQN21"/>
      <c r="KQO21"/>
      <c r="KQP21"/>
      <c r="KQQ21"/>
      <c r="KQR21"/>
      <c r="KQS21"/>
      <c r="KQT21"/>
      <c r="KQU21"/>
      <c r="KQV21"/>
      <c r="KQW21"/>
      <c r="KQX21"/>
      <c r="KQY21"/>
      <c r="KQZ21"/>
      <c r="KRA21"/>
      <c r="KRB21"/>
      <c r="KRC21"/>
      <c r="KRD21"/>
      <c r="KRE21"/>
      <c r="KRF21"/>
      <c r="KRG21"/>
      <c r="KRH21"/>
      <c r="KRI21"/>
      <c r="KRJ21"/>
      <c r="KRK21"/>
      <c r="KRL21"/>
      <c r="KRM21"/>
      <c r="KRN21"/>
      <c r="KRO21"/>
      <c r="KRP21"/>
      <c r="KRQ21"/>
      <c r="KRR21"/>
      <c r="KRS21"/>
      <c r="KRT21"/>
      <c r="KRU21"/>
      <c r="KRV21"/>
      <c r="KRW21"/>
      <c r="KRX21"/>
      <c r="KRY21"/>
      <c r="KRZ21"/>
      <c r="KSA21"/>
      <c r="KSB21"/>
      <c r="KSC21"/>
      <c r="KSD21"/>
      <c r="KSE21"/>
      <c r="KSF21"/>
      <c r="KSG21"/>
      <c r="KSH21"/>
      <c r="KSI21"/>
      <c r="KSJ21"/>
      <c r="KSK21"/>
      <c r="KSL21"/>
      <c r="KSM21"/>
      <c r="KSN21"/>
      <c r="KSO21"/>
      <c r="KSP21"/>
      <c r="KSQ21"/>
      <c r="KSR21"/>
      <c r="KSS21"/>
      <c r="KST21"/>
      <c r="KSU21"/>
      <c r="KSV21"/>
      <c r="KSW21"/>
      <c r="KSX21"/>
      <c r="KSY21"/>
      <c r="KSZ21"/>
      <c r="KTA21"/>
      <c r="KTB21"/>
      <c r="KTC21"/>
      <c r="KTD21"/>
      <c r="KTE21"/>
      <c r="KTF21"/>
      <c r="KTG21"/>
      <c r="KTH21"/>
      <c r="KTI21"/>
      <c r="KTJ21"/>
      <c r="KTK21"/>
      <c r="KTL21"/>
      <c r="KTM21"/>
      <c r="KTN21"/>
      <c r="KTO21"/>
      <c r="KTP21"/>
      <c r="KTQ21"/>
      <c r="KTR21"/>
      <c r="KTS21"/>
      <c r="KTT21"/>
      <c r="KTU21"/>
      <c r="KTV21"/>
      <c r="KTW21"/>
      <c r="KTX21"/>
      <c r="KTY21"/>
      <c r="KTZ21"/>
      <c r="KUA21"/>
      <c r="KUB21"/>
      <c r="KUC21"/>
      <c r="KUD21"/>
      <c r="KUE21"/>
      <c r="KUF21"/>
      <c r="KUG21"/>
      <c r="KUH21"/>
      <c r="KUI21"/>
      <c r="KUJ21"/>
      <c r="KUK21"/>
      <c r="KUL21"/>
      <c r="KUM21"/>
      <c r="KUN21"/>
      <c r="KUO21"/>
      <c r="KUP21"/>
      <c r="KUQ21"/>
      <c r="KUR21"/>
      <c r="KUS21"/>
      <c r="KUT21"/>
      <c r="KUU21"/>
      <c r="KUV21"/>
      <c r="KUW21"/>
      <c r="KUX21"/>
      <c r="KUY21"/>
      <c r="KUZ21"/>
      <c r="KVA21"/>
      <c r="KVB21"/>
      <c r="KVC21"/>
      <c r="KVD21"/>
      <c r="KVE21"/>
      <c r="KVF21"/>
      <c r="KVG21"/>
      <c r="KVH21"/>
      <c r="KVI21"/>
      <c r="KVJ21"/>
      <c r="KVK21"/>
      <c r="KVL21"/>
      <c r="KVM21"/>
      <c r="KVN21"/>
      <c r="KVO21"/>
      <c r="KVP21"/>
      <c r="KVQ21"/>
      <c r="KVR21"/>
      <c r="KVS21"/>
      <c r="KVT21"/>
      <c r="KVU21"/>
      <c r="KVV21"/>
      <c r="KVW21"/>
      <c r="KVX21"/>
      <c r="KVY21"/>
      <c r="KVZ21"/>
      <c r="KWA21"/>
      <c r="KWB21"/>
      <c r="KWC21"/>
      <c r="KWD21"/>
      <c r="KWE21"/>
      <c r="KWF21"/>
      <c r="KWG21"/>
      <c r="KWH21"/>
      <c r="KWI21"/>
      <c r="KWJ21"/>
      <c r="KWK21"/>
      <c r="KWL21"/>
      <c r="KWM21"/>
      <c r="KWN21"/>
      <c r="KWO21"/>
      <c r="KWP21"/>
      <c r="KWQ21"/>
      <c r="KWR21"/>
      <c r="KWS21"/>
      <c r="KWT21"/>
      <c r="KWU21"/>
      <c r="KWV21"/>
      <c r="KWW21"/>
      <c r="KWX21"/>
      <c r="KWY21"/>
      <c r="KWZ21"/>
      <c r="KXA21"/>
      <c r="KXB21"/>
      <c r="KXC21"/>
      <c r="KXD21"/>
      <c r="KXE21"/>
      <c r="KXF21"/>
      <c r="KXG21"/>
      <c r="KXH21"/>
      <c r="KXI21"/>
      <c r="KXJ21"/>
      <c r="KXK21"/>
      <c r="KXL21"/>
      <c r="KXM21"/>
      <c r="KXN21"/>
      <c r="KXO21"/>
      <c r="KXP21"/>
      <c r="KXQ21"/>
      <c r="KXR21"/>
      <c r="KXS21"/>
      <c r="KXT21"/>
      <c r="KXU21"/>
      <c r="KXV21"/>
      <c r="KXW21"/>
      <c r="KXX21"/>
      <c r="KXY21"/>
      <c r="KXZ21"/>
      <c r="KYA21"/>
      <c r="KYB21"/>
      <c r="KYC21"/>
      <c r="KYD21"/>
      <c r="KYE21"/>
      <c r="KYF21"/>
      <c r="KYG21"/>
      <c r="KYH21"/>
      <c r="KYI21"/>
      <c r="KYJ21"/>
      <c r="KYK21"/>
      <c r="KYL21"/>
      <c r="KYM21"/>
      <c r="KYN21"/>
      <c r="KYO21"/>
      <c r="KYP21"/>
      <c r="KYQ21"/>
      <c r="KYR21"/>
      <c r="KYS21"/>
      <c r="KYT21"/>
      <c r="KYU21"/>
      <c r="KYV21"/>
      <c r="KYW21"/>
      <c r="KYX21"/>
      <c r="KYY21"/>
      <c r="KYZ21"/>
      <c r="KZA21"/>
      <c r="KZB21"/>
      <c r="KZC21"/>
      <c r="KZD21"/>
      <c r="KZE21"/>
      <c r="KZF21"/>
      <c r="KZG21"/>
      <c r="KZH21"/>
      <c r="KZI21"/>
      <c r="KZJ21"/>
      <c r="KZK21"/>
      <c r="KZL21"/>
      <c r="KZM21"/>
      <c r="KZN21"/>
      <c r="KZO21"/>
      <c r="KZP21"/>
      <c r="KZQ21"/>
      <c r="KZR21"/>
      <c r="KZS21"/>
      <c r="KZT21"/>
      <c r="KZU21"/>
      <c r="KZV21"/>
      <c r="KZW21"/>
      <c r="KZX21"/>
      <c r="KZY21"/>
      <c r="KZZ21"/>
      <c r="LAA21"/>
      <c r="LAB21"/>
      <c r="LAC21"/>
      <c r="LAD21"/>
      <c r="LAE21"/>
      <c r="LAF21"/>
      <c r="LAG21"/>
      <c r="LAH21"/>
      <c r="LAI21"/>
      <c r="LAJ21"/>
      <c r="LAK21"/>
      <c r="LAL21"/>
      <c r="LAM21"/>
      <c r="LAN21"/>
      <c r="LAO21"/>
      <c r="LAP21"/>
      <c r="LAQ21"/>
      <c r="LAR21"/>
      <c r="LAS21"/>
      <c r="LAT21"/>
      <c r="LAU21"/>
      <c r="LAV21"/>
      <c r="LAW21"/>
      <c r="LAX21"/>
      <c r="LAY21"/>
      <c r="LAZ21"/>
      <c r="LBA21"/>
      <c r="LBB21"/>
      <c r="LBC21"/>
      <c r="LBD21"/>
      <c r="LBE21"/>
      <c r="LBF21"/>
      <c r="LBG21"/>
      <c r="LBH21"/>
      <c r="LBI21"/>
      <c r="LBJ21"/>
      <c r="LBK21"/>
      <c r="LBL21"/>
      <c r="LBM21"/>
      <c r="LBN21"/>
      <c r="LBO21"/>
      <c r="LBP21"/>
      <c r="LBQ21"/>
      <c r="LBR21"/>
      <c r="LBS21"/>
      <c r="LBT21"/>
      <c r="LBU21"/>
      <c r="LBV21"/>
      <c r="LBW21"/>
      <c r="LBX21"/>
      <c r="LBY21"/>
      <c r="LBZ21"/>
      <c r="LCA21"/>
      <c r="LCB21"/>
      <c r="LCC21"/>
      <c r="LCD21"/>
      <c r="LCE21"/>
      <c r="LCF21"/>
      <c r="LCG21"/>
      <c r="LCH21"/>
      <c r="LCI21"/>
      <c r="LCJ21"/>
      <c r="LCK21"/>
      <c r="LCL21"/>
      <c r="LCM21"/>
      <c r="LCN21"/>
      <c r="LCO21"/>
      <c r="LCP21"/>
      <c r="LCQ21"/>
      <c r="LCR21"/>
      <c r="LCS21"/>
      <c r="LCT21"/>
      <c r="LCU21"/>
      <c r="LCV21"/>
      <c r="LCW21"/>
      <c r="LCX21"/>
      <c r="LCY21"/>
      <c r="LCZ21"/>
      <c r="LDA21"/>
      <c r="LDB21"/>
      <c r="LDC21"/>
      <c r="LDD21"/>
      <c r="LDE21"/>
      <c r="LDF21"/>
      <c r="LDG21"/>
      <c r="LDH21"/>
      <c r="LDI21"/>
      <c r="LDJ21"/>
      <c r="LDK21"/>
      <c r="LDL21"/>
      <c r="LDM21"/>
      <c r="LDN21"/>
      <c r="LDO21"/>
      <c r="LDP21"/>
      <c r="LDQ21"/>
      <c r="LDR21"/>
      <c r="LDS21"/>
      <c r="LDT21"/>
      <c r="LDU21"/>
      <c r="LDV21"/>
      <c r="LDW21"/>
      <c r="LDX21"/>
      <c r="LDY21"/>
      <c r="LDZ21"/>
      <c r="LEA21"/>
      <c r="LEB21"/>
      <c r="LEC21"/>
      <c r="LED21"/>
      <c r="LEE21"/>
      <c r="LEF21"/>
      <c r="LEG21"/>
      <c r="LEH21"/>
      <c r="LEI21"/>
      <c r="LEJ21"/>
      <c r="LEK21"/>
      <c r="LEL21"/>
      <c r="LEM21"/>
      <c r="LEN21"/>
      <c r="LEO21"/>
      <c r="LEP21"/>
      <c r="LEQ21"/>
      <c r="LER21"/>
      <c r="LES21"/>
      <c r="LET21"/>
      <c r="LEU21"/>
      <c r="LEV21"/>
      <c r="LEW21"/>
      <c r="LEX21"/>
      <c r="LEY21"/>
      <c r="LEZ21"/>
      <c r="LFA21"/>
      <c r="LFB21"/>
      <c r="LFC21"/>
      <c r="LFD21"/>
      <c r="LFE21"/>
      <c r="LFF21"/>
      <c r="LFG21"/>
      <c r="LFH21"/>
      <c r="LFI21"/>
      <c r="LFJ21"/>
      <c r="LFK21"/>
      <c r="LFL21"/>
      <c r="LFM21"/>
      <c r="LFN21"/>
      <c r="LFO21"/>
      <c r="LFP21"/>
      <c r="LFQ21"/>
      <c r="LFR21"/>
      <c r="LFS21"/>
      <c r="LFT21"/>
      <c r="LFU21"/>
      <c r="LFV21"/>
      <c r="LFW21"/>
      <c r="LFX21"/>
      <c r="LFY21"/>
      <c r="LFZ21"/>
      <c r="LGA21"/>
      <c r="LGB21"/>
      <c r="LGC21"/>
      <c r="LGD21"/>
      <c r="LGE21"/>
      <c r="LGF21"/>
      <c r="LGG21"/>
      <c r="LGH21"/>
      <c r="LGI21"/>
      <c r="LGJ21"/>
      <c r="LGK21"/>
      <c r="LGL21"/>
      <c r="LGM21"/>
      <c r="LGN21"/>
      <c r="LGO21"/>
      <c r="LGP21"/>
      <c r="LGQ21"/>
      <c r="LGR21"/>
      <c r="LGS21"/>
      <c r="LGT21"/>
      <c r="LGU21"/>
      <c r="LGV21"/>
      <c r="LGW21"/>
      <c r="LGX21"/>
      <c r="LGY21"/>
      <c r="LGZ21"/>
      <c r="LHA21"/>
      <c r="LHB21"/>
      <c r="LHC21"/>
      <c r="LHD21"/>
      <c r="LHE21"/>
      <c r="LHF21"/>
      <c r="LHG21"/>
      <c r="LHH21"/>
      <c r="LHI21"/>
      <c r="LHJ21"/>
      <c r="LHK21"/>
      <c r="LHL21"/>
      <c r="LHM21"/>
      <c r="LHN21"/>
      <c r="LHO21"/>
      <c r="LHP21"/>
      <c r="LHQ21"/>
      <c r="LHR21"/>
      <c r="LHS21"/>
      <c r="LHT21"/>
      <c r="LHU21"/>
      <c r="LHV21"/>
      <c r="LHW21"/>
      <c r="LHX21"/>
      <c r="LHY21"/>
      <c r="LHZ21"/>
      <c r="LIA21"/>
      <c r="LIB21"/>
      <c r="LIC21"/>
      <c r="LID21"/>
      <c r="LIE21"/>
      <c r="LIF21"/>
      <c r="LIG21"/>
      <c r="LIH21"/>
      <c r="LII21"/>
      <c r="LIJ21"/>
      <c r="LIK21"/>
      <c r="LIL21"/>
      <c r="LIM21"/>
      <c r="LIN21"/>
      <c r="LIO21"/>
      <c r="LIP21"/>
      <c r="LIQ21"/>
      <c r="LIR21"/>
      <c r="LIS21"/>
      <c r="LIT21"/>
      <c r="LIU21"/>
      <c r="LIV21"/>
      <c r="LIW21"/>
      <c r="LIX21"/>
      <c r="LIY21"/>
      <c r="LIZ21"/>
      <c r="LJA21"/>
      <c r="LJB21"/>
      <c r="LJC21"/>
      <c r="LJD21"/>
      <c r="LJE21"/>
      <c r="LJF21"/>
      <c r="LJG21"/>
      <c r="LJH21"/>
      <c r="LJI21"/>
      <c r="LJJ21"/>
      <c r="LJK21"/>
      <c r="LJL21"/>
      <c r="LJM21"/>
      <c r="LJN21"/>
      <c r="LJO21"/>
      <c r="LJP21"/>
      <c r="LJQ21"/>
      <c r="LJR21"/>
      <c r="LJS21"/>
      <c r="LJT21"/>
      <c r="LJU21"/>
      <c r="LJV21"/>
      <c r="LJW21"/>
      <c r="LJX21"/>
      <c r="LJY21"/>
      <c r="LJZ21"/>
      <c r="LKA21"/>
      <c r="LKB21"/>
      <c r="LKC21"/>
      <c r="LKD21"/>
      <c r="LKE21"/>
      <c r="LKF21"/>
      <c r="LKG21"/>
      <c r="LKH21"/>
      <c r="LKI21"/>
      <c r="LKJ21"/>
      <c r="LKK21"/>
      <c r="LKL21"/>
      <c r="LKM21"/>
      <c r="LKN21"/>
      <c r="LKO21"/>
      <c r="LKP21"/>
      <c r="LKQ21"/>
      <c r="LKR21"/>
      <c r="LKS21"/>
      <c r="LKT21"/>
      <c r="LKU21"/>
      <c r="LKV21"/>
      <c r="LKW21"/>
      <c r="LKX21"/>
      <c r="LKY21"/>
      <c r="LKZ21"/>
      <c r="LLA21"/>
      <c r="LLB21"/>
      <c r="LLC21"/>
      <c r="LLD21"/>
      <c r="LLE21"/>
      <c r="LLF21"/>
      <c r="LLG21"/>
      <c r="LLH21"/>
      <c r="LLI21"/>
      <c r="LLJ21"/>
      <c r="LLK21"/>
      <c r="LLL21"/>
      <c r="LLM21"/>
      <c r="LLN21"/>
      <c r="LLO21"/>
      <c r="LLP21"/>
      <c r="LLQ21"/>
      <c r="LLR21"/>
      <c r="LLS21"/>
      <c r="LLT21"/>
      <c r="LLU21"/>
      <c r="LLV21"/>
      <c r="LLW21"/>
      <c r="LLX21"/>
      <c r="LLY21"/>
      <c r="LLZ21"/>
      <c r="LMA21"/>
      <c r="LMB21"/>
      <c r="LMC21"/>
      <c r="LMD21"/>
      <c r="LME21"/>
      <c r="LMF21"/>
      <c r="LMG21"/>
      <c r="LMH21"/>
      <c r="LMI21"/>
      <c r="LMJ21"/>
      <c r="LMK21"/>
      <c r="LML21"/>
      <c r="LMM21"/>
      <c r="LMN21"/>
      <c r="LMO21"/>
      <c r="LMP21"/>
      <c r="LMQ21"/>
      <c r="LMR21"/>
      <c r="LMS21"/>
      <c r="LMT21"/>
      <c r="LMU21"/>
      <c r="LMV21"/>
      <c r="LMW21"/>
      <c r="LMX21"/>
      <c r="LMY21"/>
      <c r="LMZ21"/>
      <c r="LNA21"/>
      <c r="LNB21"/>
      <c r="LNC21"/>
      <c r="LND21"/>
      <c r="LNE21"/>
      <c r="LNF21"/>
      <c r="LNG21"/>
      <c r="LNH21"/>
      <c r="LNI21"/>
      <c r="LNJ21"/>
      <c r="LNK21"/>
      <c r="LNL21"/>
      <c r="LNM21"/>
      <c r="LNN21"/>
      <c r="LNO21"/>
      <c r="LNP21"/>
      <c r="LNQ21"/>
      <c r="LNR21"/>
      <c r="LNS21"/>
      <c r="LNT21"/>
      <c r="LNU21"/>
      <c r="LNV21"/>
      <c r="LNW21"/>
      <c r="LNX21"/>
      <c r="LNY21"/>
      <c r="LNZ21"/>
      <c r="LOA21"/>
      <c r="LOB21"/>
      <c r="LOC21"/>
      <c r="LOD21"/>
      <c r="LOE21"/>
      <c r="LOF21"/>
      <c r="LOG21"/>
      <c r="LOH21"/>
      <c r="LOI21"/>
      <c r="LOJ21"/>
      <c r="LOK21"/>
      <c r="LOL21"/>
      <c r="LOM21"/>
      <c r="LON21"/>
      <c r="LOO21"/>
      <c r="LOP21"/>
      <c r="LOQ21"/>
      <c r="LOR21"/>
      <c r="LOS21"/>
      <c r="LOT21"/>
      <c r="LOU21"/>
      <c r="LOV21"/>
      <c r="LOW21"/>
      <c r="LOX21"/>
      <c r="LOY21"/>
      <c r="LOZ21"/>
      <c r="LPA21"/>
      <c r="LPB21"/>
      <c r="LPC21"/>
      <c r="LPD21"/>
      <c r="LPE21"/>
      <c r="LPF21"/>
      <c r="LPG21"/>
      <c r="LPH21"/>
      <c r="LPI21"/>
      <c r="LPJ21"/>
      <c r="LPK21"/>
      <c r="LPL21"/>
      <c r="LPM21"/>
      <c r="LPN21"/>
      <c r="LPO21"/>
      <c r="LPP21"/>
      <c r="LPQ21"/>
      <c r="LPR21"/>
      <c r="LPS21"/>
      <c r="LPT21"/>
      <c r="LPU21"/>
      <c r="LPV21"/>
      <c r="LPW21"/>
      <c r="LPX21"/>
      <c r="LPY21"/>
      <c r="LPZ21"/>
      <c r="LQA21"/>
      <c r="LQB21"/>
      <c r="LQC21"/>
      <c r="LQD21"/>
      <c r="LQE21"/>
      <c r="LQF21"/>
      <c r="LQG21"/>
      <c r="LQH21"/>
      <c r="LQI21"/>
      <c r="LQJ21"/>
      <c r="LQK21"/>
      <c r="LQL21"/>
      <c r="LQM21"/>
      <c r="LQN21"/>
      <c r="LQO21"/>
      <c r="LQP21"/>
      <c r="LQQ21"/>
      <c r="LQR21"/>
      <c r="LQS21"/>
      <c r="LQT21"/>
      <c r="LQU21"/>
      <c r="LQV21"/>
      <c r="LQW21"/>
      <c r="LQX21"/>
      <c r="LQY21"/>
      <c r="LQZ21"/>
      <c r="LRA21"/>
      <c r="LRB21"/>
      <c r="LRC21"/>
      <c r="LRD21"/>
      <c r="LRE21"/>
      <c r="LRF21"/>
      <c r="LRG21"/>
      <c r="LRH21"/>
      <c r="LRI21"/>
      <c r="LRJ21"/>
      <c r="LRK21"/>
      <c r="LRL21"/>
      <c r="LRM21"/>
      <c r="LRN21"/>
      <c r="LRO21"/>
      <c r="LRP21"/>
      <c r="LRQ21"/>
      <c r="LRR21"/>
      <c r="LRS21"/>
      <c r="LRT21"/>
      <c r="LRU21"/>
      <c r="LRV21"/>
      <c r="LRW21"/>
      <c r="LRX21"/>
      <c r="LRY21"/>
      <c r="LRZ21"/>
      <c r="LSA21"/>
      <c r="LSB21"/>
      <c r="LSC21"/>
      <c r="LSD21"/>
      <c r="LSE21"/>
      <c r="LSF21"/>
      <c r="LSG21"/>
      <c r="LSH21"/>
      <c r="LSI21"/>
      <c r="LSJ21"/>
      <c r="LSK21"/>
      <c r="LSL21"/>
      <c r="LSM21"/>
      <c r="LSN21"/>
      <c r="LSO21"/>
      <c r="LSP21"/>
      <c r="LSQ21"/>
      <c r="LSR21"/>
      <c r="LSS21"/>
      <c r="LST21"/>
      <c r="LSU21"/>
      <c r="LSV21"/>
      <c r="LSW21"/>
      <c r="LSX21"/>
      <c r="LSY21"/>
      <c r="LSZ21"/>
      <c r="LTA21"/>
      <c r="LTB21"/>
      <c r="LTC21"/>
      <c r="LTD21"/>
      <c r="LTE21"/>
      <c r="LTF21"/>
      <c r="LTG21"/>
      <c r="LTH21"/>
      <c r="LTI21"/>
      <c r="LTJ21"/>
      <c r="LTK21"/>
      <c r="LTL21"/>
      <c r="LTM21"/>
      <c r="LTN21"/>
      <c r="LTO21"/>
      <c r="LTP21"/>
      <c r="LTQ21"/>
      <c r="LTR21"/>
      <c r="LTS21"/>
      <c r="LTT21"/>
      <c r="LTU21"/>
      <c r="LTV21"/>
      <c r="LTW21"/>
      <c r="LTX21"/>
      <c r="LTY21"/>
      <c r="LTZ21"/>
      <c r="LUA21"/>
      <c r="LUB21"/>
      <c r="LUC21"/>
      <c r="LUD21"/>
      <c r="LUE21"/>
      <c r="LUF21"/>
      <c r="LUG21"/>
      <c r="LUH21"/>
      <c r="LUI21"/>
      <c r="LUJ21"/>
      <c r="LUK21"/>
      <c r="LUL21"/>
      <c r="LUM21"/>
      <c r="LUN21"/>
      <c r="LUO21"/>
      <c r="LUP21"/>
      <c r="LUQ21"/>
      <c r="LUR21"/>
      <c r="LUS21"/>
      <c r="LUT21"/>
      <c r="LUU21"/>
      <c r="LUV21"/>
      <c r="LUW21"/>
      <c r="LUX21"/>
      <c r="LUY21"/>
      <c r="LUZ21"/>
      <c r="LVA21"/>
      <c r="LVB21"/>
      <c r="LVC21"/>
      <c r="LVD21"/>
      <c r="LVE21"/>
      <c r="LVF21"/>
      <c r="LVG21"/>
      <c r="LVH21"/>
      <c r="LVI21"/>
      <c r="LVJ21"/>
      <c r="LVK21"/>
      <c r="LVL21"/>
      <c r="LVM21"/>
      <c r="LVN21"/>
      <c r="LVO21"/>
      <c r="LVP21"/>
      <c r="LVQ21"/>
      <c r="LVR21"/>
      <c r="LVS21"/>
      <c r="LVT21"/>
      <c r="LVU21"/>
      <c r="LVV21"/>
      <c r="LVW21"/>
      <c r="LVX21"/>
      <c r="LVY21"/>
      <c r="LVZ21"/>
      <c r="LWA21"/>
      <c r="LWB21"/>
      <c r="LWC21"/>
      <c r="LWD21"/>
      <c r="LWE21"/>
      <c r="LWF21"/>
      <c r="LWG21"/>
      <c r="LWH21"/>
      <c r="LWI21"/>
      <c r="LWJ21"/>
      <c r="LWK21"/>
      <c r="LWL21"/>
      <c r="LWM21"/>
      <c r="LWN21"/>
      <c r="LWO21"/>
      <c r="LWP21"/>
      <c r="LWQ21"/>
      <c r="LWR21"/>
      <c r="LWS21"/>
      <c r="LWT21"/>
      <c r="LWU21"/>
      <c r="LWV21"/>
      <c r="LWW21"/>
      <c r="LWX21"/>
      <c r="LWY21"/>
      <c r="LWZ21"/>
      <c r="LXA21"/>
      <c r="LXB21"/>
      <c r="LXC21"/>
      <c r="LXD21"/>
      <c r="LXE21"/>
      <c r="LXF21"/>
      <c r="LXG21"/>
      <c r="LXH21"/>
      <c r="LXI21"/>
      <c r="LXJ21"/>
      <c r="LXK21"/>
      <c r="LXL21"/>
      <c r="LXM21"/>
      <c r="LXN21"/>
      <c r="LXO21"/>
      <c r="LXP21"/>
      <c r="LXQ21"/>
      <c r="LXR21"/>
      <c r="LXS21"/>
      <c r="LXT21"/>
      <c r="LXU21"/>
      <c r="LXV21"/>
      <c r="LXW21"/>
      <c r="LXX21"/>
      <c r="LXY21"/>
      <c r="LXZ21"/>
      <c r="LYA21"/>
      <c r="LYB21"/>
      <c r="LYC21"/>
      <c r="LYD21"/>
      <c r="LYE21"/>
      <c r="LYF21"/>
      <c r="LYG21"/>
      <c r="LYH21"/>
      <c r="LYI21"/>
      <c r="LYJ21"/>
      <c r="LYK21"/>
      <c r="LYL21"/>
      <c r="LYM21"/>
      <c r="LYN21"/>
      <c r="LYO21"/>
      <c r="LYP21"/>
      <c r="LYQ21"/>
      <c r="LYR21"/>
      <c r="LYS21"/>
      <c r="LYT21"/>
      <c r="LYU21"/>
      <c r="LYV21"/>
      <c r="LYW21"/>
      <c r="LYX21"/>
      <c r="LYY21"/>
      <c r="LYZ21"/>
      <c r="LZA21"/>
      <c r="LZB21"/>
      <c r="LZC21"/>
      <c r="LZD21"/>
      <c r="LZE21"/>
      <c r="LZF21"/>
      <c r="LZG21"/>
      <c r="LZH21"/>
      <c r="LZI21"/>
      <c r="LZJ21"/>
      <c r="LZK21"/>
      <c r="LZL21"/>
      <c r="LZM21"/>
      <c r="LZN21"/>
      <c r="LZO21"/>
      <c r="LZP21"/>
      <c r="LZQ21"/>
      <c r="LZR21"/>
      <c r="LZS21"/>
      <c r="LZT21"/>
      <c r="LZU21"/>
      <c r="LZV21"/>
      <c r="LZW21"/>
      <c r="LZX21"/>
      <c r="LZY21"/>
      <c r="LZZ21"/>
      <c r="MAA21"/>
      <c r="MAB21"/>
      <c r="MAC21"/>
      <c r="MAD21"/>
      <c r="MAE21"/>
      <c r="MAF21"/>
      <c r="MAG21"/>
      <c r="MAH21"/>
      <c r="MAI21"/>
      <c r="MAJ21"/>
      <c r="MAK21"/>
      <c r="MAL21"/>
      <c r="MAM21"/>
      <c r="MAN21"/>
      <c r="MAO21"/>
      <c r="MAP21"/>
      <c r="MAQ21"/>
      <c r="MAR21"/>
      <c r="MAS21"/>
      <c r="MAT21"/>
      <c r="MAU21"/>
      <c r="MAV21"/>
      <c r="MAW21"/>
      <c r="MAX21"/>
      <c r="MAY21"/>
      <c r="MAZ21"/>
      <c r="MBA21"/>
      <c r="MBB21"/>
      <c r="MBC21"/>
      <c r="MBD21"/>
      <c r="MBE21"/>
      <c r="MBF21"/>
      <c r="MBG21"/>
      <c r="MBH21"/>
      <c r="MBI21"/>
      <c r="MBJ21"/>
      <c r="MBK21"/>
      <c r="MBL21"/>
      <c r="MBM21"/>
      <c r="MBN21"/>
      <c r="MBO21"/>
      <c r="MBP21"/>
      <c r="MBQ21"/>
      <c r="MBR21"/>
      <c r="MBS21"/>
      <c r="MBT21"/>
      <c r="MBU21"/>
      <c r="MBV21"/>
      <c r="MBW21"/>
      <c r="MBX21"/>
      <c r="MBY21"/>
      <c r="MBZ21"/>
      <c r="MCA21"/>
      <c r="MCB21"/>
      <c r="MCC21"/>
      <c r="MCD21"/>
      <c r="MCE21"/>
      <c r="MCF21"/>
      <c r="MCG21"/>
      <c r="MCH21"/>
      <c r="MCI21"/>
      <c r="MCJ21"/>
      <c r="MCK21"/>
      <c r="MCL21"/>
      <c r="MCM21"/>
      <c r="MCN21"/>
      <c r="MCO21"/>
      <c r="MCP21"/>
      <c r="MCQ21"/>
      <c r="MCR21"/>
      <c r="MCS21"/>
      <c r="MCT21"/>
      <c r="MCU21"/>
      <c r="MCV21"/>
      <c r="MCW21"/>
      <c r="MCX21"/>
      <c r="MCY21"/>
      <c r="MCZ21"/>
      <c r="MDA21"/>
      <c r="MDB21"/>
      <c r="MDC21"/>
      <c r="MDD21"/>
      <c r="MDE21"/>
      <c r="MDF21"/>
      <c r="MDG21"/>
      <c r="MDH21"/>
      <c r="MDI21"/>
      <c r="MDJ21"/>
      <c r="MDK21"/>
      <c r="MDL21"/>
      <c r="MDM21"/>
      <c r="MDN21"/>
      <c r="MDO21"/>
      <c r="MDP21"/>
      <c r="MDQ21"/>
      <c r="MDR21"/>
      <c r="MDS21"/>
      <c r="MDT21"/>
      <c r="MDU21"/>
      <c r="MDV21"/>
      <c r="MDW21"/>
      <c r="MDX21"/>
      <c r="MDY21"/>
      <c r="MDZ21"/>
      <c r="MEA21"/>
      <c r="MEB21"/>
      <c r="MEC21"/>
      <c r="MED21"/>
      <c r="MEE21"/>
      <c r="MEF21"/>
      <c r="MEG21"/>
      <c r="MEH21"/>
      <c r="MEI21"/>
      <c r="MEJ21"/>
      <c r="MEK21"/>
      <c r="MEL21"/>
      <c r="MEM21"/>
      <c r="MEN21"/>
      <c r="MEO21"/>
      <c r="MEP21"/>
      <c r="MEQ21"/>
      <c r="MER21"/>
      <c r="MES21"/>
      <c r="MET21"/>
      <c r="MEU21"/>
      <c r="MEV21"/>
      <c r="MEW21"/>
      <c r="MEX21"/>
      <c r="MEY21"/>
      <c r="MEZ21"/>
      <c r="MFA21"/>
      <c r="MFB21"/>
      <c r="MFC21"/>
      <c r="MFD21"/>
      <c r="MFE21"/>
      <c r="MFF21"/>
      <c r="MFG21"/>
      <c r="MFH21"/>
      <c r="MFI21"/>
      <c r="MFJ21"/>
      <c r="MFK21"/>
      <c r="MFL21"/>
      <c r="MFM21"/>
      <c r="MFN21"/>
      <c r="MFO21"/>
      <c r="MFP21"/>
      <c r="MFQ21"/>
      <c r="MFR21"/>
      <c r="MFS21"/>
      <c r="MFT21"/>
      <c r="MFU21"/>
      <c r="MFV21"/>
      <c r="MFW21"/>
      <c r="MFX21"/>
      <c r="MFY21"/>
      <c r="MFZ21"/>
      <c r="MGA21"/>
      <c r="MGB21"/>
      <c r="MGC21"/>
      <c r="MGD21"/>
      <c r="MGE21"/>
      <c r="MGF21"/>
      <c r="MGG21"/>
      <c r="MGH21"/>
      <c r="MGI21"/>
      <c r="MGJ21"/>
      <c r="MGK21"/>
      <c r="MGL21"/>
      <c r="MGM21"/>
      <c r="MGN21"/>
      <c r="MGO21"/>
      <c r="MGP21"/>
      <c r="MGQ21"/>
      <c r="MGR21"/>
      <c r="MGS21"/>
      <c r="MGT21"/>
      <c r="MGU21"/>
      <c r="MGV21"/>
      <c r="MGW21"/>
      <c r="MGX21"/>
      <c r="MGY21"/>
      <c r="MGZ21"/>
      <c r="MHA21"/>
      <c r="MHB21"/>
      <c r="MHC21"/>
      <c r="MHD21"/>
      <c r="MHE21"/>
      <c r="MHF21"/>
      <c r="MHG21"/>
      <c r="MHH21"/>
      <c r="MHI21"/>
      <c r="MHJ21"/>
      <c r="MHK21"/>
      <c r="MHL21"/>
      <c r="MHM21"/>
      <c r="MHN21"/>
      <c r="MHO21"/>
      <c r="MHP21"/>
      <c r="MHQ21"/>
      <c r="MHR21"/>
      <c r="MHS21"/>
      <c r="MHT21"/>
      <c r="MHU21"/>
      <c r="MHV21"/>
      <c r="MHW21"/>
      <c r="MHX21"/>
      <c r="MHY21"/>
      <c r="MHZ21"/>
      <c r="MIA21"/>
      <c r="MIB21"/>
      <c r="MIC21"/>
      <c r="MID21"/>
      <c r="MIE21"/>
      <c r="MIF21"/>
      <c r="MIG21"/>
      <c r="MIH21"/>
      <c r="MII21"/>
      <c r="MIJ21"/>
      <c r="MIK21"/>
      <c r="MIL21"/>
      <c r="MIM21"/>
      <c r="MIN21"/>
      <c r="MIO21"/>
      <c r="MIP21"/>
      <c r="MIQ21"/>
      <c r="MIR21"/>
      <c r="MIS21"/>
      <c r="MIT21"/>
      <c r="MIU21"/>
      <c r="MIV21"/>
      <c r="MIW21"/>
      <c r="MIX21"/>
      <c r="MIY21"/>
      <c r="MIZ21"/>
      <c r="MJA21"/>
      <c r="MJB21"/>
      <c r="MJC21"/>
      <c r="MJD21"/>
      <c r="MJE21"/>
      <c r="MJF21"/>
      <c r="MJG21"/>
      <c r="MJH21"/>
      <c r="MJI21"/>
      <c r="MJJ21"/>
      <c r="MJK21"/>
      <c r="MJL21"/>
      <c r="MJM21"/>
      <c r="MJN21"/>
      <c r="MJO21"/>
      <c r="MJP21"/>
      <c r="MJQ21"/>
      <c r="MJR21"/>
      <c r="MJS21"/>
      <c r="MJT21"/>
      <c r="MJU21"/>
      <c r="MJV21"/>
      <c r="MJW21"/>
      <c r="MJX21"/>
      <c r="MJY21"/>
      <c r="MJZ21"/>
      <c r="MKA21"/>
      <c r="MKB21"/>
      <c r="MKC21"/>
      <c r="MKD21"/>
      <c r="MKE21"/>
      <c r="MKF21"/>
      <c r="MKG21"/>
      <c r="MKH21"/>
      <c r="MKI21"/>
      <c r="MKJ21"/>
      <c r="MKK21"/>
      <c r="MKL21"/>
      <c r="MKM21"/>
      <c r="MKN21"/>
      <c r="MKO21"/>
      <c r="MKP21"/>
      <c r="MKQ21"/>
      <c r="MKR21"/>
      <c r="MKS21"/>
      <c r="MKT21"/>
      <c r="MKU21"/>
      <c r="MKV21"/>
      <c r="MKW21"/>
      <c r="MKX21"/>
      <c r="MKY21"/>
      <c r="MKZ21"/>
      <c r="MLA21"/>
      <c r="MLB21"/>
      <c r="MLC21"/>
      <c r="MLD21"/>
      <c r="MLE21"/>
      <c r="MLF21"/>
      <c r="MLG21"/>
      <c r="MLH21"/>
      <c r="MLI21"/>
      <c r="MLJ21"/>
      <c r="MLK21"/>
      <c r="MLL21"/>
      <c r="MLM21"/>
      <c r="MLN21"/>
      <c r="MLO21"/>
      <c r="MLP21"/>
      <c r="MLQ21"/>
      <c r="MLR21"/>
      <c r="MLS21"/>
      <c r="MLT21"/>
      <c r="MLU21"/>
      <c r="MLV21"/>
      <c r="MLW21"/>
      <c r="MLX21"/>
      <c r="MLY21"/>
      <c r="MLZ21"/>
      <c r="MMA21"/>
      <c r="MMB21"/>
      <c r="MMC21"/>
      <c r="MMD21"/>
      <c r="MME21"/>
      <c r="MMF21"/>
      <c r="MMG21"/>
      <c r="MMH21"/>
      <c r="MMI21"/>
      <c r="MMJ21"/>
      <c r="MMK21"/>
      <c r="MML21"/>
      <c r="MMM21"/>
      <c r="MMN21"/>
      <c r="MMO21"/>
      <c r="MMP21"/>
      <c r="MMQ21"/>
      <c r="MMR21"/>
      <c r="MMS21"/>
      <c r="MMT21"/>
      <c r="MMU21"/>
      <c r="MMV21"/>
      <c r="MMW21"/>
      <c r="MMX21"/>
      <c r="MMY21"/>
      <c r="MMZ21"/>
      <c r="MNA21"/>
      <c r="MNB21"/>
      <c r="MNC21"/>
      <c r="MND21"/>
      <c r="MNE21"/>
      <c r="MNF21"/>
      <c r="MNG21"/>
      <c r="MNH21"/>
      <c r="MNI21"/>
      <c r="MNJ21"/>
      <c r="MNK21"/>
      <c r="MNL21"/>
      <c r="MNM21"/>
      <c r="MNN21"/>
      <c r="MNO21"/>
      <c r="MNP21"/>
      <c r="MNQ21"/>
      <c r="MNR21"/>
      <c r="MNS21"/>
      <c r="MNT21"/>
      <c r="MNU21"/>
      <c r="MNV21"/>
      <c r="MNW21"/>
      <c r="MNX21"/>
      <c r="MNY21"/>
      <c r="MNZ21"/>
      <c r="MOA21"/>
      <c r="MOB21"/>
      <c r="MOC21"/>
      <c r="MOD21"/>
      <c r="MOE21"/>
      <c r="MOF21"/>
      <c r="MOG21"/>
      <c r="MOH21"/>
      <c r="MOI21"/>
      <c r="MOJ21"/>
      <c r="MOK21"/>
      <c r="MOL21"/>
      <c r="MOM21"/>
      <c r="MON21"/>
      <c r="MOO21"/>
      <c r="MOP21"/>
      <c r="MOQ21"/>
      <c r="MOR21"/>
      <c r="MOS21"/>
      <c r="MOT21"/>
      <c r="MOU21"/>
      <c r="MOV21"/>
      <c r="MOW21"/>
      <c r="MOX21"/>
      <c r="MOY21"/>
      <c r="MOZ21"/>
      <c r="MPA21"/>
      <c r="MPB21"/>
      <c r="MPC21"/>
      <c r="MPD21"/>
      <c r="MPE21"/>
      <c r="MPF21"/>
      <c r="MPG21"/>
      <c r="MPH21"/>
      <c r="MPI21"/>
      <c r="MPJ21"/>
      <c r="MPK21"/>
      <c r="MPL21"/>
      <c r="MPM21"/>
      <c r="MPN21"/>
      <c r="MPO21"/>
      <c r="MPP21"/>
      <c r="MPQ21"/>
      <c r="MPR21"/>
      <c r="MPS21"/>
      <c r="MPT21"/>
      <c r="MPU21"/>
      <c r="MPV21"/>
      <c r="MPW21"/>
      <c r="MPX21"/>
      <c r="MPY21"/>
      <c r="MPZ21"/>
      <c r="MQA21"/>
      <c r="MQB21"/>
      <c r="MQC21"/>
      <c r="MQD21"/>
      <c r="MQE21"/>
      <c r="MQF21"/>
      <c r="MQG21"/>
      <c r="MQH21"/>
      <c r="MQI21"/>
      <c r="MQJ21"/>
      <c r="MQK21"/>
      <c r="MQL21"/>
      <c r="MQM21"/>
      <c r="MQN21"/>
      <c r="MQO21"/>
      <c r="MQP21"/>
      <c r="MQQ21"/>
      <c r="MQR21"/>
      <c r="MQS21"/>
      <c r="MQT21"/>
      <c r="MQU21"/>
      <c r="MQV21"/>
      <c r="MQW21"/>
      <c r="MQX21"/>
      <c r="MQY21"/>
      <c r="MQZ21"/>
      <c r="MRA21"/>
      <c r="MRB21"/>
      <c r="MRC21"/>
      <c r="MRD21"/>
      <c r="MRE21"/>
      <c r="MRF21"/>
      <c r="MRG21"/>
      <c r="MRH21"/>
      <c r="MRI21"/>
      <c r="MRJ21"/>
      <c r="MRK21"/>
      <c r="MRL21"/>
      <c r="MRM21"/>
      <c r="MRN21"/>
      <c r="MRO21"/>
      <c r="MRP21"/>
      <c r="MRQ21"/>
      <c r="MRR21"/>
      <c r="MRS21"/>
      <c r="MRT21"/>
      <c r="MRU21"/>
      <c r="MRV21"/>
      <c r="MRW21"/>
      <c r="MRX21"/>
      <c r="MRY21"/>
      <c r="MRZ21"/>
      <c r="MSA21"/>
      <c r="MSB21"/>
      <c r="MSC21"/>
      <c r="MSD21"/>
      <c r="MSE21"/>
      <c r="MSF21"/>
      <c r="MSG21"/>
      <c r="MSH21"/>
      <c r="MSI21"/>
      <c r="MSJ21"/>
      <c r="MSK21"/>
      <c r="MSL21"/>
      <c r="MSM21"/>
      <c r="MSN21"/>
      <c r="MSO21"/>
      <c r="MSP21"/>
      <c r="MSQ21"/>
      <c r="MSR21"/>
      <c r="MSS21"/>
      <c r="MST21"/>
      <c r="MSU21"/>
      <c r="MSV21"/>
      <c r="MSW21"/>
      <c r="MSX21"/>
      <c r="MSY21"/>
      <c r="MSZ21"/>
      <c r="MTA21"/>
      <c r="MTB21"/>
      <c r="MTC21"/>
      <c r="MTD21"/>
      <c r="MTE21"/>
      <c r="MTF21"/>
      <c r="MTG21"/>
      <c r="MTH21"/>
      <c r="MTI21"/>
      <c r="MTJ21"/>
      <c r="MTK21"/>
      <c r="MTL21"/>
      <c r="MTM21"/>
      <c r="MTN21"/>
      <c r="MTO21"/>
      <c r="MTP21"/>
      <c r="MTQ21"/>
      <c r="MTR21"/>
      <c r="MTS21"/>
      <c r="MTT21"/>
      <c r="MTU21"/>
      <c r="MTV21"/>
      <c r="MTW21"/>
      <c r="MTX21"/>
      <c r="MTY21"/>
      <c r="MTZ21"/>
      <c r="MUA21"/>
      <c r="MUB21"/>
      <c r="MUC21"/>
      <c r="MUD21"/>
      <c r="MUE21"/>
      <c r="MUF21"/>
      <c r="MUG21"/>
      <c r="MUH21"/>
      <c r="MUI21"/>
      <c r="MUJ21"/>
      <c r="MUK21"/>
      <c r="MUL21"/>
      <c r="MUM21"/>
      <c r="MUN21"/>
      <c r="MUO21"/>
      <c r="MUP21"/>
      <c r="MUQ21"/>
      <c r="MUR21"/>
      <c r="MUS21"/>
      <c r="MUT21"/>
      <c r="MUU21"/>
      <c r="MUV21"/>
      <c r="MUW21"/>
      <c r="MUX21"/>
      <c r="MUY21"/>
      <c r="MUZ21"/>
      <c r="MVA21"/>
      <c r="MVB21"/>
      <c r="MVC21"/>
      <c r="MVD21"/>
      <c r="MVE21"/>
      <c r="MVF21"/>
      <c r="MVG21"/>
      <c r="MVH21"/>
      <c r="MVI21"/>
      <c r="MVJ21"/>
      <c r="MVK21"/>
      <c r="MVL21"/>
      <c r="MVM21"/>
      <c r="MVN21"/>
      <c r="MVO21"/>
      <c r="MVP21"/>
      <c r="MVQ21"/>
      <c r="MVR21"/>
      <c r="MVS21"/>
      <c r="MVT21"/>
      <c r="MVU21"/>
      <c r="MVV21"/>
      <c r="MVW21"/>
      <c r="MVX21"/>
      <c r="MVY21"/>
      <c r="MVZ21"/>
      <c r="MWA21"/>
      <c r="MWB21"/>
      <c r="MWC21"/>
      <c r="MWD21"/>
      <c r="MWE21"/>
      <c r="MWF21"/>
      <c r="MWG21"/>
      <c r="MWH21"/>
      <c r="MWI21"/>
      <c r="MWJ21"/>
      <c r="MWK21"/>
      <c r="MWL21"/>
      <c r="MWM21"/>
      <c r="MWN21"/>
      <c r="MWO21"/>
      <c r="MWP21"/>
      <c r="MWQ21"/>
      <c r="MWR21"/>
      <c r="MWS21"/>
      <c r="MWT21"/>
      <c r="MWU21"/>
      <c r="MWV21"/>
      <c r="MWW21"/>
      <c r="MWX21"/>
      <c r="MWY21"/>
      <c r="MWZ21"/>
      <c r="MXA21"/>
      <c r="MXB21"/>
      <c r="MXC21"/>
      <c r="MXD21"/>
      <c r="MXE21"/>
      <c r="MXF21"/>
      <c r="MXG21"/>
      <c r="MXH21"/>
      <c r="MXI21"/>
      <c r="MXJ21"/>
      <c r="MXK21"/>
      <c r="MXL21"/>
      <c r="MXM21"/>
      <c r="MXN21"/>
      <c r="MXO21"/>
      <c r="MXP21"/>
      <c r="MXQ21"/>
      <c r="MXR21"/>
      <c r="MXS21"/>
      <c r="MXT21"/>
      <c r="MXU21"/>
      <c r="MXV21"/>
      <c r="MXW21"/>
      <c r="MXX21"/>
      <c r="MXY21"/>
      <c r="MXZ21"/>
      <c r="MYA21"/>
      <c r="MYB21"/>
      <c r="MYC21"/>
      <c r="MYD21"/>
      <c r="MYE21"/>
      <c r="MYF21"/>
      <c r="MYG21"/>
      <c r="MYH21"/>
      <c r="MYI21"/>
      <c r="MYJ21"/>
      <c r="MYK21"/>
      <c r="MYL21"/>
      <c r="MYM21"/>
      <c r="MYN21"/>
      <c r="MYO21"/>
      <c r="MYP21"/>
      <c r="MYQ21"/>
      <c r="MYR21"/>
      <c r="MYS21"/>
      <c r="MYT21"/>
      <c r="MYU21"/>
      <c r="MYV21"/>
      <c r="MYW21"/>
      <c r="MYX21"/>
      <c r="MYY21"/>
      <c r="MYZ21"/>
      <c r="MZA21"/>
      <c r="MZB21"/>
      <c r="MZC21"/>
      <c r="MZD21"/>
      <c r="MZE21"/>
      <c r="MZF21"/>
      <c r="MZG21"/>
      <c r="MZH21"/>
      <c r="MZI21"/>
      <c r="MZJ21"/>
      <c r="MZK21"/>
      <c r="MZL21"/>
      <c r="MZM21"/>
      <c r="MZN21"/>
      <c r="MZO21"/>
      <c r="MZP21"/>
      <c r="MZQ21"/>
      <c r="MZR21"/>
      <c r="MZS21"/>
      <c r="MZT21"/>
      <c r="MZU21"/>
      <c r="MZV21"/>
      <c r="MZW21"/>
      <c r="MZX21"/>
      <c r="MZY21"/>
      <c r="MZZ21"/>
      <c r="NAA21"/>
      <c r="NAB21"/>
      <c r="NAC21"/>
      <c r="NAD21"/>
      <c r="NAE21"/>
      <c r="NAF21"/>
      <c r="NAG21"/>
      <c r="NAH21"/>
      <c r="NAI21"/>
      <c r="NAJ21"/>
      <c r="NAK21"/>
      <c r="NAL21"/>
      <c r="NAM21"/>
      <c r="NAN21"/>
      <c r="NAO21"/>
      <c r="NAP21"/>
      <c r="NAQ21"/>
      <c r="NAR21"/>
      <c r="NAS21"/>
      <c r="NAT21"/>
      <c r="NAU21"/>
      <c r="NAV21"/>
      <c r="NAW21"/>
      <c r="NAX21"/>
      <c r="NAY21"/>
      <c r="NAZ21"/>
      <c r="NBA21"/>
      <c r="NBB21"/>
      <c r="NBC21"/>
      <c r="NBD21"/>
      <c r="NBE21"/>
      <c r="NBF21"/>
      <c r="NBG21"/>
      <c r="NBH21"/>
      <c r="NBI21"/>
      <c r="NBJ21"/>
      <c r="NBK21"/>
      <c r="NBL21"/>
      <c r="NBM21"/>
      <c r="NBN21"/>
      <c r="NBO21"/>
      <c r="NBP21"/>
      <c r="NBQ21"/>
      <c r="NBR21"/>
      <c r="NBS21"/>
      <c r="NBT21"/>
      <c r="NBU21"/>
      <c r="NBV21"/>
      <c r="NBW21"/>
      <c r="NBX21"/>
      <c r="NBY21"/>
      <c r="NBZ21"/>
      <c r="NCA21"/>
      <c r="NCB21"/>
      <c r="NCC21"/>
      <c r="NCD21"/>
      <c r="NCE21"/>
      <c r="NCF21"/>
      <c r="NCG21"/>
      <c r="NCH21"/>
      <c r="NCI21"/>
      <c r="NCJ21"/>
      <c r="NCK21"/>
      <c r="NCL21"/>
      <c r="NCM21"/>
      <c r="NCN21"/>
      <c r="NCO21"/>
      <c r="NCP21"/>
      <c r="NCQ21"/>
      <c r="NCR21"/>
      <c r="NCS21"/>
      <c r="NCT21"/>
      <c r="NCU21"/>
      <c r="NCV21"/>
      <c r="NCW21"/>
      <c r="NCX21"/>
      <c r="NCY21"/>
      <c r="NCZ21"/>
      <c r="NDA21"/>
      <c r="NDB21"/>
      <c r="NDC21"/>
      <c r="NDD21"/>
      <c r="NDE21"/>
      <c r="NDF21"/>
      <c r="NDG21"/>
      <c r="NDH21"/>
      <c r="NDI21"/>
      <c r="NDJ21"/>
      <c r="NDK21"/>
      <c r="NDL21"/>
      <c r="NDM21"/>
      <c r="NDN21"/>
      <c r="NDO21"/>
      <c r="NDP21"/>
      <c r="NDQ21"/>
      <c r="NDR21"/>
      <c r="NDS21"/>
      <c r="NDT21"/>
      <c r="NDU21"/>
      <c r="NDV21"/>
      <c r="NDW21"/>
      <c r="NDX21"/>
      <c r="NDY21"/>
      <c r="NDZ21"/>
      <c r="NEA21"/>
      <c r="NEB21"/>
      <c r="NEC21"/>
      <c r="NED21"/>
      <c r="NEE21"/>
      <c r="NEF21"/>
      <c r="NEG21"/>
      <c r="NEH21"/>
      <c r="NEI21"/>
      <c r="NEJ21"/>
      <c r="NEK21"/>
      <c r="NEL21"/>
      <c r="NEM21"/>
      <c r="NEN21"/>
      <c r="NEO21"/>
      <c r="NEP21"/>
      <c r="NEQ21"/>
      <c r="NER21"/>
      <c r="NES21"/>
      <c r="NET21"/>
      <c r="NEU21"/>
      <c r="NEV21"/>
      <c r="NEW21"/>
      <c r="NEX21"/>
      <c r="NEY21"/>
      <c r="NEZ21"/>
      <c r="NFA21"/>
      <c r="NFB21"/>
      <c r="NFC21"/>
      <c r="NFD21"/>
      <c r="NFE21"/>
      <c r="NFF21"/>
      <c r="NFG21"/>
      <c r="NFH21"/>
      <c r="NFI21"/>
      <c r="NFJ21"/>
      <c r="NFK21"/>
      <c r="NFL21"/>
      <c r="NFM21"/>
      <c r="NFN21"/>
      <c r="NFO21"/>
      <c r="NFP21"/>
      <c r="NFQ21"/>
      <c r="NFR21"/>
      <c r="NFS21"/>
      <c r="NFT21"/>
      <c r="NFU21"/>
      <c r="NFV21"/>
      <c r="NFW21"/>
      <c r="NFX21"/>
      <c r="NFY21"/>
      <c r="NFZ21"/>
      <c r="NGA21"/>
      <c r="NGB21"/>
      <c r="NGC21"/>
      <c r="NGD21"/>
      <c r="NGE21"/>
      <c r="NGF21"/>
      <c r="NGG21"/>
      <c r="NGH21"/>
      <c r="NGI21"/>
      <c r="NGJ21"/>
      <c r="NGK21"/>
      <c r="NGL21"/>
      <c r="NGM21"/>
      <c r="NGN21"/>
      <c r="NGO21"/>
      <c r="NGP21"/>
      <c r="NGQ21"/>
      <c r="NGR21"/>
      <c r="NGS21"/>
      <c r="NGT21"/>
      <c r="NGU21"/>
      <c r="NGV21"/>
      <c r="NGW21"/>
      <c r="NGX21"/>
      <c r="NGY21"/>
      <c r="NGZ21"/>
      <c r="NHA21"/>
      <c r="NHB21"/>
      <c r="NHC21"/>
      <c r="NHD21"/>
      <c r="NHE21"/>
      <c r="NHF21"/>
      <c r="NHG21"/>
      <c r="NHH21"/>
      <c r="NHI21"/>
      <c r="NHJ21"/>
      <c r="NHK21"/>
      <c r="NHL21"/>
      <c r="NHM21"/>
      <c r="NHN21"/>
      <c r="NHO21"/>
      <c r="NHP21"/>
      <c r="NHQ21"/>
      <c r="NHR21"/>
      <c r="NHS21"/>
      <c r="NHT21"/>
      <c r="NHU21"/>
      <c r="NHV21"/>
      <c r="NHW21"/>
      <c r="NHX21"/>
      <c r="NHY21"/>
      <c r="NHZ21"/>
      <c r="NIA21"/>
      <c r="NIB21"/>
      <c r="NIC21"/>
      <c r="NID21"/>
      <c r="NIE21"/>
      <c r="NIF21"/>
      <c r="NIG21"/>
      <c r="NIH21"/>
      <c r="NII21"/>
      <c r="NIJ21"/>
      <c r="NIK21"/>
      <c r="NIL21"/>
      <c r="NIM21"/>
      <c r="NIN21"/>
      <c r="NIO21"/>
      <c r="NIP21"/>
      <c r="NIQ21"/>
      <c r="NIR21"/>
      <c r="NIS21"/>
      <c r="NIT21"/>
      <c r="NIU21"/>
      <c r="NIV21"/>
      <c r="NIW21"/>
      <c r="NIX21"/>
      <c r="NIY21"/>
      <c r="NIZ21"/>
      <c r="NJA21"/>
      <c r="NJB21"/>
      <c r="NJC21"/>
      <c r="NJD21"/>
      <c r="NJE21"/>
      <c r="NJF21"/>
      <c r="NJG21"/>
      <c r="NJH21"/>
      <c r="NJI21"/>
      <c r="NJJ21"/>
      <c r="NJK21"/>
      <c r="NJL21"/>
      <c r="NJM21"/>
      <c r="NJN21"/>
      <c r="NJO21"/>
      <c r="NJP21"/>
      <c r="NJQ21"/>
      <c r="NJR21"/>
      <c r="NJS21"/>
      <c r="NJT21"/>
      <c r="NJU21"/>
      <c r="NJV21"/>
      <c r="NJW21"/>
      <c r="NJX21"/>
      <c r="NJY21"/>
      <c r="NJZ21"/>
      <c r="NKA21"/>
      <c r="NKB21"/>
      <c r="NKC21"/>
      <c r="NKD21"/>
      <c r="NKE21"/>
      <c r="NKF21"/>
      <c r="NKG21"/>
      <c r="NKH21"/>
      <c r="NKI21"/>
      <c r="NKJ21"/>
      <c r="NKK21"/>
      <c r="NKL21"/>
      <c r="NKM21"/>
      <c r="NKN21"/>
      <c r="NKO21"/>
      <c r="NKP21"/>
      <c r="NKQ21"/>
      <c r="NKR21"/>
      <c r="NKS21"/>
      <c r="NKT21"/>
      <c r="NKU21"/>
      <c r="NKV21"/>
      <c r="NKW21"/>
      <c r="NKX21"/>
      <c r="NKY21"/>
      <c r="NKZ21"/>
      <c r="NLA21"/>
      <c r="NLB21"/>
      <c r="NLC21"/>
      <c r="NLD21"/>
      <c r="NLE21"/>
      <c r="NLF21"/>
      <c r="NLG21"/>
      <c r="NLH21"/>
      <c r="NLI21"/>
      <c r="NLJ21"/>
      <c r="NLK21"/>
      <c r="NLL21"/>
      <c r="NLM21"/>
      <c r="NLN21"/>
      <c r="NLO21"/>
      <c r="NLP21"/>
      <c r="NLQ21"/>
      <c r="NLR21"/>
      <c r="NLS21"/>
      <c r="NLT21"/>
      <c r="NLU21"/>
      <c r="NLV21"/>
      <c r="NLW21"/>
      <c r="NLX21"/>
      <c r="NLY21"/>
      <c r="NLZ21"/>
      <c r="NMA21"/>
      <c r="NMB21"/>
      <c r="NMC21"/>
      <c r="NMD21"/>
      <c r="NME21"/>
      <c r="NMF21"/>
      <c r="NMG21"/>
      <c r="NMH21"/>
      <c r="NMI21"/>
      <c r="NMJ21"/>
      <c r="NMK21"/>
      <c r="NML21"/>
      <c r="NMM21"/>
      <c r="NMN21"/>
      <c r="NMO21"/>
      <c r="NMP21"/>
      <c r="NMQ21"/>
      <c r="NMR21"/>
      <c r="NMS21"/>
      <c r="NMT21"/>
      <c r="NMU21"/>
      <c r="NMV21"/>
      <c r="NMW21"/>
      <c r="NMX21"/>
      <c r="NMY21"/>
      <c r="NMZ21"/>
      <c r="NNA21"/>
      <c r="NNB21"/>
      <c r="NNC21"/>
      <c r="NND21"/>
      <c r="NNE21"/>
      <c r="NNF21"/>
      <c r="NNG21"/>
      <c r="NNH21"/>
      <c r="NNI21"/>
      <c r="NNJ21"/>
      <c r="NNK21"/>
      <c r="NNL21"/>
      <c r="NNM21"/>
      <c r="NNN21"/>
      <c r="NNO21"/>
      <c r="NNP21"/>
      <c r="NNQ21"/>
      <c r="NNR21"/>
      <c r="NNS21"/>
      <c r="NNT21"/>
      <c r="NNU21"/>
      <c r="NNV21"/>
      <c r="NNW21"/>
      <c r="NNX21"/>
      <c r="NNY21"/>
      <c r="NNZ21"/>
      <c r="NOA21"/>
      <c r="NOB21"/>
      <c r="NOC21"/>
      <c r="NOD21"/>
      <c r="NOE21"/>
      <c r="NOF21"/>
      <c r="NOG21"/>
      <c r="NOH21"/>
      <c r="NOI21"/>
      <c r="NOJ21"/>
      <c r="NOK21"/>
      <c r="NOL21"/>
      <c r="NOM21"/>
      <c r="NON21"/>
      <c r="NOO21"/>
      <c r="NOP21"/>
      <c r="NOQ21"/>
      <c r="NOR21"/>
      <c r="NOS21"/>
      <c r="NOT21"/>
      <c r="NOU21"/>
      <c r="NOV21"/>
      <c r="NOW21"/>
      <c r="NOX21"/>
      <c r="NOY21"/>
      <c r="NOZ21"/>
      <c r="NPA21"/>
      <c r="NPB21"/>
      <c r="NPC21"/>
      <c r="NPD21"/>
      <c r="NPE21"/>
      <c r="NPF21"/>
      <c r="NPG21"/>
      <c r="NPH21"/>
      <c r="NPI21"/>
      <c r="NPJ21"/>
      <c r="NPK21"/>
      <c r="NPL21"/>
      <c r="NPM21"/>
      <c r="NPN21"/>
      <c r="NPO21"/>
      <c r="NPP21"/>
      <c r="NPQ21"/>
      <c r="NPR21"/>
      <c r="NPS21"/>
      <c r="NPT21"/>
      <c r="NPU21"/>
      <c r="NPV21"/>
      <c r="NPW21"/>
      <c r="NPX21"/>
      <c r="NPY21"/>
      <c r="NPZ21"/>
      <c r="NQA21"/>
      <c r="NQB21"/>
      <c r="NQC21"/>
      <c r="NQD21"/>
      <c r="NQE21"/>
      <c r="NQF21"/>
      <c r="NQG21"/>
      <c r="NQH21"/>
      <c r="NQI21"/>
      <c r="NQJ21"/>
      <c r="NQK21"/>
      <c r="NQL21"/>
      <c r="NQM21"/>
      <c r="NQN21"/>
      <c r="NQO21"/>
      <c r="NQP21"/>
      <c r="NQQ21"/>
      <c r="NQR21"/>
      <c r="NQS21"/>
      <c r="NQT21"/>
      <c r="NQU21"/>
      <c r="NQV21"/>
      <c r="NQW21"/>
      <c r="NQX21"/>
      <c r="NQY21"/>
      <c r="NQZ21"/>
      <c r="NRA21"/>
      <c r="NRB21"/>
      <c r="NRC21"/>
      <c r="NRD21"/>
      <c r="NRE21"/>
      <c r="NRF21"/>
      <c r="NRG21"/>
      <c r="NRH21"/>
      <c r="NRI21"/>
      <c r="NRJ21"/>
      <c r="NRK21"/>
      <c r="NRL21"/>
      <c r="NRM21"/>
      <c r="NRN21"/>
      <c r="NRO21"/>
      <c r="NRP21"/>
      <c r="NRQ21"/>
      <c r="NRR21"/>
      <c r="NRS21"/>
      <c r="NRT21"/>
      <c r="NRU21"/>
      <c r="NRV21"/>
      <c r="NRW21"/>
      <c r="NRX21"/>
      <c r="NRY21"/>
      <c r="NRZ21"/>
      <c r="NSA21"/>
      <c r="NSB21"/>
      <c r="NSC21"/>
      <c r="NSD21"/>
      <c r="NSE21"/>
      <c r="NSF21"/>
      <c r="NSG21"/>
      <c r="NSH21"/>
      <c r="NSI21"/>
      <c r="NSJ21"/>
      <c r="NSK21"/>
      <c r="NSL21"/>
      <c r="NSM21"/>
      <c r="NSN21"/>
      <c r="NSO21"/>
      <c r="NSP21"/>
      <c r="NSQ21"/>
      <c r="NSR21"/>
      <c r="NSS21"/>
      <c r="NST21"/>
      <c r="NSU21"/>
      <c r="NSV21"/>
      <c r="NSW21"/>
      <c r="NSX21"/>
      <c r="NSY21"/>
      <c r="NSZ21"/>
      <c r="NTA21"/>
      <c r="NTB21"/>
      <c r="NTC21"/>
      <c r="NTD21"/>
      <c r="NTE21"/>
      <c r="NTF21"/>
      <c r="NTG21"/>
      <c r="NTH21"/>
      <c r="NTI21"/>
      <c r="NTJ21"/>
      <c r="NTK21"/>
      <c r="NTL21"/>
      <c r="NTM21"/>
      <c r="NTN21"/>
      <c r="NTO21"/>
      <c r="NTP21"/>
      <c r="NTQ21"/>
      <c r="NTR21"/>
      <c r="NTS21"/>
      <c r="NTT21"/>
      <c r="NTU21"/>
      <c r="NTV21"/>
      <c r="NTW21"/>
      <c r="NTX21"/>
      <c r="NTY21"/>
      <c r="NTZ21"/>
      <c r="NUA21"/>
      <c r="NUB21"/>
      <c r="NUC21"/>
      <c r="NUD21"/>
      <c r="NUE21"/>
      <c r="NUF21"/>
      <c r="NUG21"/>
      <c r="NUH21"/>
      <c r="NUI21"/>
      <c r="NUJ21"/>
      <c r="NUK21"/>
      <c r="NUL21"/>
      <c r="NUM21"/>
      <c r="NUN21"/>
      <c r="NUO21"/>
      <c r="NUP21"/>
      <c r="NUQ21"/>
      <c r="NUR21"/>
      <c r="NUS21"/>
      <c r="NUT21"/>
      <c r="NUU21"/>
      <c r="NUV21"/>
      <c r="NUW21"/>
      <c r="NUX21"/>
      <c r="NUY21"/>
      <c r="NUZ21"/>
      <c r="NVA21"/>
      <c r="NVB21"/>
      <c r="NVC21"/>
      <c r="NVD21"/>
      <c r="NVE21"/>
      <c r="NVF21"/>
      <c r="NVG21"/>
      <c r="NVH21"/>
      <c r="NVI21"/>
      <c r="NVJ21"/>
      <c r="NVK21"/>
      <c r="NVL21"/>
      <c r="NVM21"/>
      <c r="NVN21"/>
      <c r="NVO21"/>
      <c r="NVP21"/>
      <c r="NVQ21"/>
      <c r="NVR21"/>
      <c r="NVS21"/>
      <c r="NVT21"/>
      <c r="NVU21"/>
      <c r="NVV21"/>
      <c r="NVW21"/>
      <c r="NVX21"/>
      <c r="NVY21"/>
      <c r="NVZ21"/>
      <c r="NWA21"/>
      <c r="NWB21"/>
      <c r="NWC21"/>
      <c r="NWD21"/>
      <c r="NWE21"/>
      <c r="NWF21"/>
      <c r="NWG21"/>
      <c r="NWH21"/>
      <c r="NWI21"/>
      <c r="NWJ21"/>
      <c r="NWK21"/>
      <c r="NWL21"/>
      <c r="NWM21"/>
      <c r="NWN21"/>
      <c r="NWO21"/>
      <c r="NWP21"/>
      <c r="NWQ21"/>
      <c r="NWR21"/>
      <c r="NWS21"/>
      <c r="NWT21"/>
      <c r="NWU21"/>
      <c r="NWV21"/>
      <c r="NWW21"/>
      <c r="NWX21"/>
      <c r="NWY21"/>
      <c r="NWZ21"/>
      <c r="NXA21"/>
      <c r="NXB21"/>
      <c r="NXC21"/>
      <c r="NXD21"/>
      <c r="NXE21"/>
      <c r="NXF21"/>
      <c r="NXG21"/>
      <c r="NXH21"/>
      <c r="NXI21"/>
      <c r="NXJ21"/>
      <c r="NXK21"/>
      <c r="NXL21"/>
      <c r="NXM21"/>
      <c r="NXN21"/>
      <c r="NXO21"/>
      <c r="NXP21"/>
      <c r="NXQ21"/>
      <c r="NXR21"/>
      <c r="NXS21"/>
      <c r="NXT21"/>
      <c r="NXU21"/>
      <c r="NXV21"/>
      <c r="NXW21"/>
      <c r="NXX21"/>
      <c r="NXY21"/>
      <c r="NXZ21"/>
      <c r="NYA21"/>
      <c r="NYB21"/>
      <c r="NYC21"/>
      <c r="NYD21"/>
      <c r="NYE21"/>
      <c r="NYF21"/>
      <c r="NYG21"/>
      <c r="NYH21"/>
      <c r="NYI21"/>
      <c r="NYJ21"/>
      <c r="NYK21"/>
      <c r="NYL21"/>
      <c r="NYM21"/>
      <c r="NYN21"/>
      <c r="NYO21"/>
      <c r="NYP21"/>
      <c r="NYQ21"/>
      <c r="NYR21"/>
      <c r="NYS21"/>
      <c r="NYT21"/>
      <c r="NYU21"/>
      <c r="NYV21"/>
      <c r="NYW21"/>
      <c r="NYX21"/>
      <c r="NYY21"/>
      <c r="NYZ21"/>
      <c r="NZA21"/>
      <c r="NZB21"/>
      <c r="NZC21"/>
      <c r="NZD21"/>
      <c r="NZE21"/>
      <c r="NZF21"/>
      <c r="NZG21"/>
      <c r="NZH21"/>
      <c r="NZI21"/>
      <c r="NZJ21"/>
      <c r="NZK21"/>
      <c r="NZL21"/>
      <c r="NZM21"/>
      <c r="NZN21"/>
      <c r="NZO21"/>
      <c r="NZP21"/>
      <c r="NZQ21"/>
      <c r="NZR21"/>
      <c r="NZS21"/>
      <c r="NZT21"/>
      <c r="NZU21"/>
      <c r="NZV21"/>
      <c r="NZW21"/>
      <c r="NZX21"/>
      <c r="NZY21"/>
      <c r="NZZ21"/>
      <c r="OAA21"/>
      <c r="OAB21"/>
      <c r="OAC21"/>
      <c r="OAD21"/>
      <c r="OAE21"/>
      <c r="OAF21"/>
      <c r="OAG21"/>
      <c r="OAH21"/>
      <c r="OAI21"/>
      <c r="OAJ21"/>
      <c r="OAK21"/>
      <c r="OAL21"/>
      <c r="OAM21"/>
      <c r="OAN21"/>
      <c r="OAO21"/>
      <c r="OAP21"/>
      <c r="OAQ21"/>
      <c r="OAR21"/>
      <c r="OAS21"/>
      <c r="OAT21"/>
      <c r="OAU21"/>
      <c r="OAV21"/>
      <c r="OAW21"/>
      <c r="OAX21"/>
      <c r="OAY21"/>
      <c r="OAZ21"/>
      <c r="OBA21"/>
      <c r="OBB21"/>
      <c r="OBC21"/>
      <c r="OBD21"/>
      <c r="OBE21"/>
      <c r="OBF21"/>
      <c r="OBG21"/>
      <c r="OBH21"/>
      <c r="OBI21"/>
      <c r="OBJ21"/>
      <c r="OBK21"/>
      <c r="OBL21"/>
      <c r="OBM21"/>
      <c r="OBN21"/>
      <c r="OBO21"/>
      <c r="OBP21"/>
      <c r="OBQ21"/>
      <c r="OBR21"/>
      <c r="OBS21"/>
      <c r="OBT21"/>
      <c r="OBU21"/>
      <c r="OBV21"/>
      <c r="OBW21"/>
      <c r="OBX21"/>
      <c r="OBY21"/>
      <c r="OBZ21"/>
      <c r="OCA21"/>
      <c r="OCB21"/>
      <c r="OCC21"/>
      <c r="OCD21"/>
      <c r="OCE21"/>
      <c r="OCF21"/>
      <c r="OCG21"/>
      <c r="OCH21"/>
      <c r="OCI21"/>
      <c r="OCJ21"/>
      <c r="OCK21"/>
      <c r="OCL21"/>
      <c r="OCM21"/>
      <c r="OCN21"/>
      <c r="OCO21"/>
      <c r="OCP21"/>
      <c r="OCQ21"/>
      <c r="OCR21"/>
      <c r="OCS21"/>
      <c r="OCT21"/>
      <c r="OCU21"/>
      <c r="OCV21"/>
      <c r="OCW21"/>
      <c r="OCX21"/>
      <c r="OCY21"/>
      <c r="OCZ21"/>
      <c r="ODA21"/>
      <c r="ODB21"/>
      <c r="ODC21"/>
      <c r="ODD21"/>
      <c r="ODE21"/>
      <c r="ODF21"/>
      <c r="ODG21"/>
      <c r="ODH21"/>
      <c r="ODI21"/>
      <c r="ODJ21"/>
      <c r="ODK21"/>
      <c r="ODL21"/>
      <c r="ODM21"/>
      <c r="ODN21"/>
      <c r="ODO21"/>
      <c r="ODP21"/>
      <c r="ODQ21"/>
      <c r="ODR21"/>
      <c r="ODS21"/>
      <c r="ODT21"/>
      <c r="ODU21"/>
      <c r="ODV21"/>
      <c r="ODW21"/>
      <c r="ODX21"/>
      <c r="ODY21"/>
      <c r="ODZ21"/>
      <c r="OEA21"/>
      <c r="OEB21"/>
      <c r="OEC21"/>
      <c r="OED21"/>
      <c r="OEE21"/>
      <c r="OEF21"/>
      <c r="OEG21"/>
      <c r="OEH21"/>
      <c r="OEI21"/>
      <c r="OEJ21"/>
      <c r="OEK21"/>
      <c r="OEL21"/>
      <c r="OEM21"/>
      <c r="OEN21"/>
      <c r="OEO21"/>
      <c r="OEP21"/>
      <c r="OEQ21"/>
      <c r="OER21"/>
      <c r="OES21"/>
      <c r="OET21"/>
      <c r="OEU21"/>
      <c r="OEV21"/>
      <c r="OEW21"/>
      <c r="OEX21"/>
      <c r="OEY21"/>
      <c r="OEZ21"/>
      <c r="OFA21"/>
      <c r="OFB21"/>
      <c r="OFC21"/>
      <c r="OFD21"/>
      <c r="OFE21"/>
      <c r="OFF21"/>
      <c r="OFG21"/>
      <c r="OFH21"/>
      <c r="OFI21"/>
      <c r="OFJ21"/>
      <c r="OFK21"/>
      <c r="OFL21"/>
      <c r="OFM21"/>
      <c r="OFN21"/>
      <c r="OFO21"/>
      <c r="OFP21"/>
      <c r="OFQ21"/>
      <c r="OFR21"/>
      <c r="OFS21"/>
      <c r="OFT21"/>
      <c r="OFU21"/>
      <c r="OFV21"/>
      <c r="OFW21"/>
      <c r="OFX21"/>
      <c r="OFY21"/>
      <c r="OFZ21"/>
      <c r="OGA21"/>
      <c r="OGB21"/>
      <c r="OGC21"/>
      <c r="OGD21"/>
      <c r="OGE21"/>
      <c r="OGF21"/>
      <c r="OGG21"/>
      <c r="OGH21"/>
      <c r="OGI21"/>
      <c r="OGJ21"/>
      <c r="OGK21"/>
      <c r="OGL21"/>
      <c r="OGM21"/>
      <c r="OGN21"/>
      <c r="OGO21"/>
      <c r="OGP21"/>
      <c r="OGQ21"/>
      <c r="OGR21"/>
      <c r="OGS21"/>
      <c r="OGT21"/>
      <c r="OGU21"/>
      <c r="OGV21"/>
      <c r="OGW21"/>
      <c r="OGX21"/>
      <c r="OGY21"/>
      <c r="OGZ21"/>
      <c r="OHA21"/>
      <c r="OHB21"/>
      <c r="OHC21"/>
      <c r="OHD21"/>
      <c r="OHE21"/>
      <c r="OHF21"/>
      <c r="OHG21"/>
      <c r="OHH21"/>
      <c r="OHI21"/>
      <c r="OHJ21"/>
      <c r="OHK21"/>
      <c r="OHL21"/>
      <c r="OHM21"/>
      <c r="OHN21"/>
      <c r="OHO21"/>
      <c r="OHP21"/>
      <c r="OHQ21"/>
      <c r="OHR21"/>
      <c r="OHS21"/>
      <c r="OHT21"/>
      <c r="OHU21"/>
      <c r="OHV21"/>
      <c r="OHW21"/>
      <c r="OHX21"/>
      <c r="OHY21"/>
      <c r="OHZ21"/>
      <c r="OIA21"/>
      <c r="OIB21"/>
      <c r="OIC21"/>
      <c r="OID21"/>
      <c r="OIE21"/>
      <c r="OIF21"/>
      <c r="OIG21"/>
      <c r="OIH21"/>
      <c r="OII21"/>
      <c r="OIJ21"/>
      <c r="OIK21"/>
      <c r="OIL21"/>
      <c r="OIM21"/>
      <c r="OIN21"/>
      <c r="OIO21"/>
      <c r="OIP21"/>
      <c r="OIQ21"/>
      <c r="OIR21"/>
      <c r="OIS21"/>
      <c r="OIT21"/>
      <c r="OIU21"/>
      <c r="OIV21"/>
      <c r="OIW21"/>
      <c r="OIX21"/>
      <c r="OIY21"/>
      <c r="OIZ21"/>
      <c r="OJA21"/>
      <c r="OJB21"/>
      <c r="OJC21"/>
      <c r="OJD21"/>
      <c r="OJE21"/>
      <c r="OJF21"/>
      <c r="OJG21"/>
      <c r="OJH21"/>
      <c r="OJI21"/>
      <c r="OJJ21"/>
      <c r="OJK21"/>
      <c r="OJL21"/>
      <c r="OJM21"/>
      <c r="OJN21"/>
      <c r="OJO21"/>
      <c r="OJP21"/>
      <c r="OJQ21"/>
      <c r="OJR21"/>
      <c r="OJS21"/>
      <c r="OJT21"/>
      <c r="OJU21"/>
      <c r="OJV21"/>
      <c r="OJW21"/>
      <c r="OJX21"/>
      <c r="OJY21"/>
      <c r="OJZ21"/>
      <c r="OKA21"/>
      <c r="OKB21"/>
      <c r="OKC21"/>
      <c r="OKD21"/>
      <c r="OKE21"/>
      <c r="OKF21"/>
      <c r="OKG21"/>
      <c r="OKH21"/>
      <c r="OKI21"/>
      <c r="OKJ21"/>
      <c r="OKK21"/>
      <c r="OKL21"/>
      <c r="OKM21"/>
      <c r="OKN21"/>
      <c r="OKO21"/>
      <c r="OKP21"/>
      <c r="OKQ21"/>
      <c r="OKR21"/>
      <c r="OKS21"/>
      <c r="OKT21"/>
      <c r="OKU21"/>
      <c r="OKV21"/>
      <c r="OKW21"/>
      <c r="OKX21"/>
      <c r="OKY21"/>
      <c r="OKZ21"/>
      <c r="OLA21"/>
      <c r="OLB21"/>
      <c r="OLC21"/>
      <c r="OLD21"/>
      <c r="OLE21"/>
      <c r="OLF21"/>
      <c r="OLG21"/>
      <c r="OLH21"/>
      <c r="OLI21"/>
      <c r="OLJ21"/>
      <c r="OLK21"/>
      <c r="OLL21"/>
      <c r="OLM21"/>
      <c r="OLN21"/>
      <c r="OLO21"/>
      <c r="OLP21"/>
      <c r="OLQ21"/>
      <c r="OLR21"/>
      <c r="OLS21"/>
      <c r="OLT21"/>
      <c r="OLU21"/>
      <c r="OLV21"/>
      <c r="OLW21"/>
      <c r="OLX21"/>
      <c r="OLY21"/>
      <c r="OLZ21"/>
      <c r="OMA21"/>
      <c r="OMB21"/>
      <c r="OMC21"/>
      <c r="OMD21"/>
      <c r="OME21"/>
      <c r="OMF21"/>
      <c r="OMG21"/>
      <c r="OMH21"/>
      <c r="OMI21"/>
      <c r="OMJ21"/>
      <c r="OMK21"/>
      <c r="OML21"/>
      <c r="OMM21"/>
      <c r="OMN21"/>
      <c r="OMO21"/>
      <c r="OMP21"/>
      <c r="OMQ21"/>
      <c r="OMR21"/>
      <c r="OMS21"/>
      <c r="OMT21"/>
      <c r="OMU21"/>
      <c r="OMV21"/>
      <c r="OMW21"/>
      <c r="OMX21"/>
      <c r="OMY21"/>
      <c r="OMZ21"/>
      <c r="ONA21"/>
      <c r="ONB21"/>
      <c r="ONC21"/>
      <c r="OND21"/>
      <c r="ONE21"/>
      <c r="ONF21"/>
      <c r="ONG21"/>
      <c r="ONH21"/>
      <c r="ONI21"/>
      <c r="ONJ21"/>
      <c r="ONK21"/>
      <c r="ONL21"/>
      <c r="ONM21"/>
      <c r="ONN21"/>
      <c r="ONO21"/>
      <c r="ONP21"/>
      <c r="ONQ21"/>
      <c r="ONR21"/>
      <c r="ONS21"/>
      <c r="ONT21"/>
      <c r="ONU21"/>
      <c r="ONV21"/>
      <c r="ONW21"/>
      <c r="ONX21"/>
      <c r="ONY21"/>
      <c r="ONZ21"/>
      <c r="OOA21"/>
      <c r="OOB21"/>
      <c r="OOC21"/>
      <c r="OOD21"/>
      <c r="OOE21"/>
      <c r="OOF21"/>
      <c r="OOG21"/>
      <c r="OOH21"/>
      <c r="OOI21"/>
      <c r="OOJ21"/>
      <c r="OOK21"/>
      <c r="OOL21"/>
      <c r="OOM21"/>
      <c r="OON21"/>
      <c r="OOO21"/>
      <c r="OOP21"/>
      <c r="OOQ21"/>
      <c r="OOR21"/>
      <c r="OOS21"/>
      <c r="OOT21"/>
      <c r="OOU21"/>
      <c r="OOV21"/>
      <c r="OOW21"/>
      <c r="OOX21"/>
      <c r="OOY21"/>
      <c r="OOZ21"/>
      <c r="OPA21"/>
      <c r="OPB21"/>
      <c r="OPC21"/>
      <c r="OPD21"/>
      <c r="OPE21"/>
      <c r="OPF21"/>
      <c r="OPG21"/>
      <c r="OPH21"/>
      <c r="OPI21"/>
      <c r="OPJ21"/>
      <c r="OPK21"/>
      <c r="OPL21"/>
      <c r="OPM21"/>
      <c r="OPN21"/>
      <c r="OPO21"/>
      <c r="OPP21"/>
      <c r="OPQ21"/>
      <c r="OPR21"/>
      <c r="OPS21"/>
      <c r="OPT21"/>
      <c r="OPU21"/>
      <c r="OPV21"/>
      <c r="OPW21"/>
      <c r="OPX21"/>
      <c r="OPY21"/>
      <c r="OPZ21"/>
      <c r="OQA21"/>
      <c r="OQB21"/>
      <c r="OQC21"/>
      <c r="OQD21"/>
      <c r="OQE21"/>
      <c r="OQF21"/>
      <c r="OQG21"/>
      <c r="OQH21"/>
      <c r="OQI21"/>
      <c r="OQJ21"/>
      <c r="OQK21"/>
      <c r="OQL21"/>
      <c r="OQM21"/>
      <c r="OQN21"/>
      <c r="OQO21"/>
      <c r="OQP21"/>
      <c r="OQQ21"/>
      <c r="OQR21"/>
      <c r="OQS21"/>
      <c r="OQT21"/>
      <c r="OQU21"/>
      <c r="OQV21"/>
      <c r="OQW21"/>
      <c r="OQX21"/>
      <c r="OQY21"/>
      <c r="OQZ21"/>
      <c r="ORA21"/>
      <c r="ORB21"/>
      <c r="ORC21"/>
      <c r="ORD21"/>
      <c r="ORE21"/>
      <c r="ORF21"/>
      <c r="ORG21"/>
      <c r="ORH21"/>
      <c r="ORI21"/>
      <c r="ORJ21"/>
      <c r="ORK21"/>
      <c r="ORL21"/>
      <c r="ORM21"/>
      <c r="ORN21"/>
      <c r="ORO21"/>
      <c r="ORP21"/>
      <c r="ORQ21"/>
      <c r="ORR21"/>
      <c r="ORS21"/>
      <c r="ORT21"/>
      <c r="ORU21"/>
      <c r="ORV21"/>
      <c r="ORW21"/>
      <c r="ORX21"/>
      <c r="ORY21"/>
      <c r="ORZ21"/>
      <c r="OSA21"/>
      <c r="OSB21"/>
      <c r="OSC21"/>
      <c r="OSD21"/>
      <c r="OSE21"/>
      <c r="OSF21"/>
      <c r="OSG21"/>
      <c r="OSH21"/>
      <c r="OSI21"/>
      <c r="OSJ21"/>
      <c r="OSK21"/>
      <c r="OSL21"/>
      <c r="OSM21"/>
      <c r="OSN21"/>
      <c r="OSO21"/>
      <c r="OSP21"/>
      <c r="OSQ21"/>
      <c r="OSR21"/>
      <c r="OSS21"/>
      <c r="OST21"/>
      <c r="OSU21"/>
      <c r="OSV21"/>
      <c r="OSW21"/>
      <c r="OSX21"/>
      <c r="OSY21"/>
      <c r="OSZ21"/>
      <c r="OTA21"/>
      <c r="OTB21"/>
      <c r="OTC21"/>
      <c r="OTD21"/>
      <c r="OTE21"/>
      <c r="OTF21"/>
      <c r="OTG21"/>
      <c r="OTH21"/>
      <c r="OTI21"/>
      <c r="OTJ21"/>
      <c r="OTK21"/>
      <c r="OTL21"/>
      <c r="OTM21"/>
      <c r="OTN21"/>
      <c r="OTO21"/>
      <c r="OTP21"/>
      <c r="OTQ21"/>
      <c r="OTR21"/>
      <c r="OTS21"/>
      <c r="OTT21"/>
      <c r="OTU21"/>
      <c r="OTV21"/>
      <c r="OTW21"/>
      <c r="OTX21"/>
      <c r="OTY21"/>
      <c r="OTZ21"/>
      <c r="OUA21"/>
      <c r="OUB21"/>
      <c r="OUC21"/>
      <c r="OUD21"/>
      <c r="OUE21"/>
      <c r="OUF21"/>
      <c r="OUG21"/>
      <c r="OUH21"/>
      <c r="OUI21"/>
      <c r="OUJ21"/>
      <c r="OUK21"/>
      <c r="OUL21"/>
      <c r="OUM21"/>
      <c r="OUN21"/>
      <c r="OUO21"/>
      <c r="OUP21"/>
      <c r="OUQ21"/>
      <c r="OUR21"/>
      <c r="OUS21"/>
      <c r="OUT21"/>
      <c r="OUU21"/>
      <c r="OUV21"/>
      <c r="OUW21"/>
      <c r="OUX21"/>
      <c r="OUY21"/>
      <c r="OUZ21"/>
      <c r="OVA21"/>
      <c r="OVB21"/>
      <c r="OVC21"/>
      <c r="OVD21"/>
      <c r="OVE21"/>
      <c r="OVF21"/>
      <c r="OVG21"/>
      <c r="OVH21"/>
      <c r="OVI21"/>
      <c r="OVJ21"/>
      <c r="OVK21"/>
      <c r="OVL21"/>
      <c r="OVM21"/>
      <c r="OVN21"/>
      <c r="OVO21"/>
      <c r="OVP21"/>
      <c r="OVQ21"/>
      <c r="OVR21"/>
      <c r="OVS21"/>
      <c r="OVT21"/>
      <c r="OVU21"/>
      <c r="OVV21"/>
      <c r="OVW21"/>
      <c r="OVX21"/>
      <c r="OVY21"/>
      <c r="OVZ21"/>
      <c r="OWA21"/>
      <c r="OWB21"/>
      <c r="OWC21"/>
      <c r="OWD21"/>
      <c r="OWE21"/>
      <c r="OWF21"/>
      <c r="OWG21"/>
      <c r="OWH21"/>
      <c r="OWI21"/>
      <c r="OWJ21"/>
      <c r="OWK21"/>
      <c r="OWL21"/>
      <c r="OWM21"/>
      <c r="OWN21"/>
      <c r="OWO21"/>
      <c r="OWP21"/>
      <c r="OWQ21"/>
      <c r="OWR21"/>
      <c r="OWS21"/>
      <c r="OWT21"/>
      <c r="OWU21"/>
      <c r="OWV21"/>
      <c r="OWW21"/>
      <c r="OWX21"/>
      <c r="OWY21"/>
      <c r="OWZ21"/>
      <c r="OXA21"/>
      <c r="OXB21"/>
      <c r="OXC21"/>
      <c r="OXD21"/>
      <c r="OXE21"/>
      <c r="OXF21"/>
      <c r="OXG21"/>
      <c r="OXH21"/>
      <c r="OXI21"/>
      <c r="OXJ21"/>
      <c r="OXK21"/>
      <c r="OXL21"/>
      <c r="OXM21"/>
      <c r="OXN21"/>
      <c r="OXO21"/>
      <c r="OXP21"/>
      <c r="OXQ21"/>
      <c r="OXR21"/>
      <c r="OXS21"/>
      <c r="OXT21"/>
      <c r="OXU21"/>
      <c r="OXV21"/>
      <c r="OXW21"/>
      <c r="OXX21"/>
      <c r="OXY21"/>
      <c r="OXZ21"/>
      <c r="OYA21"/>
      <c r="OYB21"/>
      <c r="OYC21"/>
      <c r="OYD21"/>
      <c r="OYE21"/>
      <c r="OYF21"/>
      <c r="OYG21"/>
      <c r="OYH21"/>
      <c r="OYI21"/>
      <c r="OYJ21"/>
      <c r="OYK21"/>
      <c r="OYL21"/>
      <c r="OYM21"/>
      <c r="OYN21"/>
      <c r="OYO21"/>
      <c r="OYP21"/>
      <c r="OYQ21"/>
      <c r="OYR21"/>
      <c r="OYS21"/>
      <c r="OYT21"/>
      <c r="OYU21"/>
      <c r="OYV21"/>
      <c r="OYW21"/>
      <c r="OYX21"/>
      <c r="OYY21"/>
      <c r="OYZ21"/>
      <c r="OZA21"/>
      <c r="OZB21"/>
      <c r="OZC21"/>
      <c r="OZD21"/>
      <c r="OZE21"/>
      <c r="OZF21"/>
      <c r="OZG21"/>
      <c r="OZH21"/>
      <c r="OZI21"/>
      <c r="OZJ21"/>
      <c r="OZK21"/>
      <c r="OZL21"/>
      <c r="OZM21"/>
      <c r="OZN21"/>
      <c r="OZO21"/>
      <c r="OZP21"/>
      <c r="OZQ21"/>
      <c r="OZR21"/>
      <c r="OZS21"/>
      <c r="OZT21"/>
      <c r="OZU21"/>
      <c r="OZV21"/>
      <c r="OZW21"/>
      <c r="OZX21"/>
      <c r="OZY21"/>
      <c r="OZZ21"/>
      <c r="PAA21"/>
      <c r="PAB21"/>
      <c r="PAC21"/>
      <c r="PAD21"/>
      <c r="PAE21"/>
      <c r="PAF21"/>
      <c r="PAG21"/>
      <c r="PAH21"/>
      <c r="PAI21"/>
      <c r="PAJ21"/>
      <c r="PAK21"/>
      <c r="PAL21"/>
      <c r="PAM21"/>
      <c r="PAN21"/>
      <c r="PAO21"/>
      <c r="PAP21"/>
      <c r="PAQ21"/>
      <c r="PAR21"/>
      <c r="PAS21"/>
      <c r="PAT21"/>
      <c r="PAU21"/>
      <c r="PAV21"/>
      <c r="PAW21"/>
      <c r="PAX21"/>
      <c r="PAY21"/>
      <c r="PAZ21"/>
      <c r="PBA21"/>
      <c r="PBB21"/>
      <c r="PBC21"/>
      <c r="PBD21"/>
      <c r="PBE21"/>
      <c r="PBF21"/>
      <c r="PBG21"/>
      <c r="PBH21"/>
      <c r="PBI21"/>
      <c r="PBJ21"/>
      <c r="PBK21"/>
      <c r="PBL21"/>
      <c r="PBM21"/>
      <c r="PBN21"/>
      <c r="PBO21"/>
      <c r="PBP21"/>
      <c r="PBQ21"/>
      <c r="PBR21"/>
      <c r="PBS21"/>
      <c r="PBT21"/>
      <c r="PBU21"/>
      <c r="PBV21"/>
      <c r="PBW21"/>
      <c r="PBX21"/>
      <c r="PBY21"/>
      <c r="PBZ21"/>
      <c r="PCA21"/>
      <c r="PCB21"/>
      <c r="PCC21"/>
      <c r="PCD21"/>
      <c r="PCE21"/>
      <c r="PCF21"/>
      <c r="PCG21"/>
      <c r="PCH21"/>
      <c r="PCI21"/>
      <c r="PCJ21"/>
      <c r="PCK21"/>
      <c r="PCL21"/>
      <c r="PCM21"/>
      <c r="PCN21"/>
      <c r="PCO21"/>
      <c r="PCP21"/>
      <c r="PCQ21"/>
      <c r="PCR21"/>
      <c r="PCS21"/>
      <c r="PCT21"/>
      <c r="PCU21"/>
      <c r="PCV21"/>
      <c r="PCW21"/>
      <c r="PCX21"/>
      <c r="PCY21"/>
      <c r="PCZ21"/>
      <c r="PDA21"/>
      <c r="PDB21"/>
      <c r="PDC21"/>
      <c r="PDD21"/>
      <c r="PDE21"/>
      <c r="PDF21"/>
      <c r="PDG21"/>
      <c r="PDH21"/>
      <c r="PDI21"/>
      <c r="PDJ21"/>
      <c r="PDK21"/>
      <c r="PDL21"/>
      <c r="PDM21"/>
      <c r="PDN21"/>
      <c r="PDO21"/>
      <c r="PDP21"/>
      <c r="PDQ21"/>
      <c r="PDR21"/>
      <c r="PDS21"/>
      <c r="PDT21"/>
      <c r="PDU21"/>
      <c r="PDV21"/>
      <c r="PDW21"/>
      <c r="PDX21"/>
      <c r="PDY21"/>
      <c r="PDZ21"/>
      <c r="PEA21"/>
      <c r="PEB21"/>
      <c r="PEC21"/>
      <c r="PED21"/>
      <c r="PEE21"/>
      <c r="PEF21"/>
      <c r="PEG21"/>
      <c r="PEH21"/>
      <c r="PEI21"/>
      <c r="PEJ21"/>
      <c r="PEK21"/>
      <c r="PEL21"/>
      <c r="PEM21"/>
      <c r="PEN21"/>
      <c r="PEO21"/>
      <c r="PEP21"/>
      <c r="PEQ21"/>
      <c r="PER21"/>
      <c r="PES21"/>
      <c r="PET21"/>
      <c r="PEU21"/>
      <c r="PEV21"/>
      <c r="PEW21"/>
      <c r="PEX21"/>
      <c r="PEY21"/>
      <c r="PEZ21"/>
      <c r="PFA21"/>
      <c r="PFB21"/>
      <c r="PFC21"/>
      <c r="PFD21"/>
      <c r="PFE21"/>
      <c r="PFF21"/>
      <c r="PFG21"/>
      <c r="PFH21"/>
      <c r="PFI21"/>
      <c r="PFJ21"/>
      <c r="PFK21"/>
      <c r="PFL21"/>
      <c r="PFM21"/>
      <c r="PFN21"/>
      <c r="PFO21"/>
      <c r="PFP21"/>
      <c r="PFQ21"/>
      <c r="PFR21"/>
      <c r="PFS21"/>
      <c r="PFT21"/>
      <c r="PFU21"/>
      <c r="PFV21"/>
      <c r="PFW21"/>
      <c r="PFX21"/>
      <c r="PFY21"/>
      <c r="PFZ21"/>
      <c r="PGA21"/>
      <c r="PGB21"/>
      <c r="PGC21"/>
      <c r="PGD21"/>
      <c r="PGE21"/>
      <c r="PGF21"/>
      <c r="PGG21"/>
      <c r="PGH21"/>
      <c r="PGI21"/>
      <c r="PGJ21"/>
      <c r="PGK21"/>
      <c r="PGL21"/>
      <c r="PGM21"/>
      <c r="PGN21"/>
      <c r="PGO21"/>
      <c r="PGP21"/>
      <c r="PGQ21"/>
      <c r="PGR21"/>
      <c r="PGS21"/>
      <c r="PGT21"/>
      <c r="PGU21"/>
      <c r="PGV21"/>
      <c r="PGW21"/>
      <c r="PGX21"/>
      <c r="PGY21"/>
      <c r="PGZ21"/>
      <c r="PHA21"/>
      <c r="PHB21"/>
      <c r="PHC21"/>
      <c r="PHD21"/>
      <c r="PHE21"/>
      <c r="PHF21"/>
      <c r="PHG21"/>
      <c r="PHH21"/>
      <c r="PHI21"/>
      <c r="PHJ21"/>
      <c r="PHK21"/>
      <c r="PHL21"/>
      <c r="PHM21"/>
      <c r="PHN21"/>
      <c r="PHO21"/>
      <c r="PHP21"/>
      <c r="PHQ21"/>
      <c r="PHR21"/>
      <c r="PHS21"/>
      <c r="PHT21"/>
      <c r="PHU21"/>
      <c r="PHV21"/>
      <c r="PHW21"/>
      <c r="PHX21"/>
      <c r="PHY21"/>
      <c r="PHZ21"/>
      <c r="PIA21"/>
      <c r="PIB21"/>
      <c r="PIC21"/>
      <c r="PID21"/>
      <c r="PIE21"/>
      <c r="PIF21"/>
      <c r="PIG21"/>
      <c r="PIH21"/>
      <c r="PII21"/>
      <c r="PIJ21"/>
      <c r="PIK21"/>
      <c r="PIL21"/>
      <c r="PIM21"/>
      <c r="PIN21"/>
      <c r="PIO21"/>
      <c r="PIP21"/>
      <c r="PIQ21"/>
      <c r="PIR21"/>
      <c r="PIS21"/>
      <c r="PIT21"/>
      <c r="PIU21"/>
      <c r="PIV21"/>
      <c r="PIW21"/>
      <c r="PIX21"/>
      <c r="PIY21"/>
      <c r="PIZ21"/>
      <c r="PJA21"/>
      <c r="PJB21"/>
      <c r="PJC21"/>
      <c r="PJD21"/>
      <c r="PJE21"/>
      <c r="PJF21"/>
      <c r="PJG21"/>
      <c r="PJH21"/>
      <c r="PJI21"/>
      <c r="PJJ21"/>
      <c r="PJK21"/>
      <c r="PJL21"/>
      <c r="PJM21"/>
      <c r="PJN21"/>
      <c r="PJO21"/>
      <c r="PJP21"/>
      <c r="PJQ21"/>
      <c r="PJR21"/>
      <c r="PJS21"/>
      <c r="PJT21"/>
      <c r="PJU21"/>
      <c r="PJV21"/>
      <c r="PJW21"/>
      <c r="PJX21"/>
      <c r="PJY21"/>
      <c r="PJZ21"/>
      <c r="PKA21"/>
      <c r="PKB21"/>
      <c r="PKC21"/>
      <c r="PKD21"/>
      <c r="PKE21"/>
      <c r="PKF21"/>
      <c r="PKG21"/>
      <c r="PKH21"/>
      <c r="PKI21"/>
      <c r="PKJ21"/>
      <c r="PKK21"/>
      <c r="PKL21"/>
      <c r="PKM21"/>
      <c r="PKN21"/>
      <c r="PKO21"/>
      <c r="PKP21"/>
      <c r="PKQ21"/>
      <c r="PKR21"/>
      <c r="PKS21"/>
      <c r="PKT21"/>
      <c r="PKU21"/>
      <c r="PKV21"/>
      <c r="PKW21"/>
      <c r="PKX21"/>
      <c r="PKY21"/>
      <c r="PKZ21"/>
      <c r="PLA21"/>
      <c r="PLB21"/>
      <c r="PLC21"/>
      <c r="PLD21"/>
      <c r="PLE21"/>
      <c r="PLF21"/>
      <c r="PLG21"/>
      <c r="PLH21"/>
      <c r="PLI21"/>
      <c r="PLJ21"/>
      <c r="PLK21"/>
      <c r="PLL21"/>
      <c r="PLM21"/>
      <c r="PLN21"/>
      <c r="PLO21"/>
      <c r="PLP21"/>
      <c r="PLQ21"/>
      <c r="PLR21"/>
      <c r="PLS21"/>
      <c r="PLT21"/>
      <c r="PLU21"/>
      <c r="PLV21"/>
      <c r="PLW21"/>
      <c r="PLX21"/>
      <c r="PLY21"/>
      <c r="PLZ21"/>
      <c r="PMA21"/>
      <c r="PMB21"/>
      <c r="PMC21"/>
      <c r="PMD21"/>
      <c r="PME21"/>
      <c r="PMF21"/>
      <c r="PMG21"/>
      <c r="PMH21"/>
      <c r="PMI21"/>
      <c r="PMJ21"/>
      <c r="PMK21"/>
      <c r="PML21"/>
      <c r="PMM21"/>
      <c r="PMN21"/>
      <c r="PMO21"/>
      <c r="PMP21"/>
      <c r="PMQ21"/>
      <c r="PMR21"/>
      <c r="PMS21"/>
      <c r="PMT21"/>
      <c r="PMU21"/>
      <c r="PMV21"/>
      <c r="PMW21"/>
      <c r="PMX21"/>
      <c r="PMY21"/>
      <c r="PMZ21"/>
      <c r="PNA21"/>
      <c r="PNB21"/>
      <c r="PNC21"/>
      <c r="PND21"/>
      <c r="PNE21"/>
      <c r="PNF21"/>
      <c r="PNG21"/>
      <c r="PNH21"/>
      <c r="PNI21"/>
      <c r="PNJ21"/>
      <c r="PNK21"/>
      <c r="PNL21"/>
      <c r="PNM21"/>
      <c r="PNN21"/>
      <c r="PNO21"/>
      <c r="PNP21"/>
      <c r="PNQ21"/>
      <c r="PNR21"/>
      <c r="PNS21"/>
      <c r="PNT21"/>
      <c r="PNU21"/>
      <c r="PNV21"/>
      <c r="PNW21"/>
      <c r="PNX21"/>
      <c r="PNY21"/>
      <c r="PNZ21"/>
      <c r="POA21"/>
      <c r="POB21"/>
      <c r="POC21"/>
      <c r="POD21"/>
      <c r="POE21"/>
      <c r="POF21"/>
      <c r="POG21"/>
      <c r="POH21"/>
      <c r="POI21"/>
      <c r="POJ21"/>
      <c r="POK21"/>
      <c r="POL21"/>
      <c r="POM21"/>
      <c r="PON21"/>
      <c r="POO21"/>
      <c r="POP21"/>
      <c r="POQ21"/>
      <c r="POR21"/>
      <c r="POS21"/>
      <c r="POT21"/>
      <c r="POU21"/>
      <c r="POV21"/>
      <c r="POW21"/>
      <c r="POX21"/>
      <c r="POY21"/>
      <c r="POZ21"/>
      <c r="PPA21"/>
      <c r="PPB21"/>
      <c r="PPC21"/>
      <c r="PPD21"/>
      <c r="PPE21"/>
      <c r="PPF21"/>
      <c r="PPG21"/>
      <c r="PPH21"/>
      <c r="PPI21"/>
      <c r="PPJ21"/>
      <c r="PPK21"/>
      <c r="PPL21"/>
      <c r="PPM21"/>
      <c r="PPN21"/>
      <c r="PPO21"/>
      <c r="PPP21"/>
      <c r="PPQ21"/>
      <c r="PPR21"/>
      <c r="PPS21"/>
      <c r="PPT21"/>
      <c r="PPU21"/>
      <c r="PPV21"/>
      <c r="PPW21"/>
      <c r="PPX21"/>
      <c r="PPY21"/>
      <c r="PPZ21"/>
      <c r="PQA21"/>
      <c r="PQB21"/>
      <c r="PQC21"/>
      <c r="PQD21"/>
      <c r="PQE21"/>
      <c r="PQF21"/>
      <c r="PQG21"/>
      <c r="PQH21"/>
      <c r="PQI21"/>
      <c r="PQJ21"/>
      <c r="PQK21"/>
      <c r="PQL21"/>
      <c r="PQM21"/>
      <c r="PQN21"/>
      <c r="PQO21"/>
      <c r="PQP21"/>
      <c r="PQQ21"/>
      <c r="PQR21"/>
      <c r="PQS21"/>
      <c r="PQT21"/>
      <c r="PQU21"/>
      <c r="PQV21"/>
      <c r="PQW21"/>
      <c r="PQX21"/>
      <c r="PQY21"/>
      <c r="PQZ21"/>
      <c r="PRA21"/>
      <c r="PRB21"/>
      <c r="PRC21"/>
      <c r="PRD21"/>
      <c r="PRE21"/>
      <c r="PRF21"/>
      <c r="PRG21"/>
      <c r="PRH21"/>
      <c r="PRI21"/>
      <c r="PRJ21"/>
      <c r="PRK21"/>
      <c r="PRL21"/>
      <c r="PRM21"/>
      <c r="PRN21"/>
      <c r="PRO21"/>
      <c r="PRP21"/>
      <c r="PRQ21"/>
      <c r="PRR21"/>
      <c r="PRS21"/>
      <c r="PRT21"/>
      <c r="PRU21"/>
      <c r="PRV21"/>
      <c r="PRW21"/>
      <c r="PRX21"/>
      <c r="PRY21"/>
      <c r="PRZ21"/>
      <c r="PSA21"/>
      <c r="PSB21"/>
      <c r="PSC21"/>
      <c r="PSD21"/>
      <c r="PSE21"/>
      <c r="PSF21"/>
      <c r="PSG21"/>
      <c r="PSH21"/>
      <c r="PSI21"/>
      <c r="PSJ21"/>
      <c r="PSK21"/>
      <c r="PSL21"/>
      <c r="PSM21"/>
      <c r="PSN21"/>
      <c r="PSO21"/>
      <c r="PSP21"/>
      <c r="PSQ21"/>
      <c r="PSR21"/>
      <c r="PSS21"/>
      <c r="PST21"/>
      <c r="PSU21"/>
      <c r="PSV21"/>
      <c r="PSW21"/>
      <c r="PSX21"/>
      <c r="PSY21"/>
      <c r="PSZ21"/>
      <c r="PTA21"/>
      <c r="PTB21"/>
      <c r="PTC21"/>
      <c r="PTD21"/>
      <c r="PTE21"/>
      <c r="PTF21"/>
      <c r="PTG21"/>
      <c r="PTH21"/>
      <c r="PTI21"/>
      <c r="PTJ21"/>
      <c r="PTK21"/>
      <c r="PTL21"/>
      <c r="PTM21"/>
      <c r="PTN21"/>
      <c r="PTO21"/>
      <c r="PTP21"/>
      <c r="PTQ21"/>
      <c r="PTR21"/>
      <c r="PTS21"/>
      <c r="PTT21"/>
      <c r="PTU21"/>
      <c r="PTV21"/>
      <c r="PTW21"/>
      <c r="PTX21"/>
      <c r="PTY21"/>
      <c r="PTZ21"/>
      <c r="PUA21"/>
      <c r="PUB21"/>
      <c r="PUC21"/>
      <c r="PUD21"/>
      <c r="PUE21"/>
      <c r="PUF21"/>
      <c r="PUG21"/>
      <c r="PUH21"/>
      <c r="PUI21"/>
      <c r="PUJ21"/>
      <c r="PUK21"/>
      <c r="PUL21"/>
      <c r="PUM21"/>
      <c r="PUN21"/>
      <c r="PUO21"/>
      <c r="PUP21"/>
      <c r="PUQ21"/>
      <c r="PUR21"/>
      <c r="PUS21"/>
      <c r="PUT21"/>
      <c r="PUU21"/>
      <c r="PUV21"/>
      <c r="PUW21"/>
      <c r="PUX21"/>
      <c r="PUY21"/>
      <c r="PUZ21"/>
      <c r="PVA21"/>
      <c r="PVB21"/>
      <c r="PVC21"/>
      <c r="PVD21"/>
      <c r="PVE21"/>
      <c r="PVF21"/>
      <c r="PVG21"/>
      <c r="PVH21"/>
      <c r="PVI21"/>
      <c r="PVJ21"/>
      <c r="PVK21"/>
      <c r="PVL21"/>
      <c r="PVM21"/>
      <c r="PVN21"/>
      <c r="PVO21"/>
      <c r="PVP21"/>
      <c r="PVQ21"/>
      <c r="PVR21"/>
      <c r="PVS21"/>
      <c r="PVT21"/>
      <c r="PVU21"/>
      <c r="PVV21"/>
      <c r="PVW21"/>
      <c r="PVX21"/>
      <c r="PVY21"/>
      <c r="PVZ21"/>
      <c r="PWA21"/>
      <c r="PWB21"/>
      <c r="PWC21"/>
      <c r="PWD21"/>
      <c r="PWE21"/>
      <c r="PWF21"/>
      <c r="PWG21"/>
      <c r="PWH21"/>
      <c r="PWI21"/>
      <c r="PWJ21"/>
      <c r="PWK21"/>
      <c r="PWL21"/>
      <c r="PWM21"/>
      <c r="PWN21"/>
      <c r="PWO21"/>
      <c r="PWP21"/>
      <c r="PWQ21"/>
      <c r="PWR21"/>
      <c r="PWS21"/>
      <c r="PWT21"/>
      <c r="PWU21"/>
      <c r="PWV21"/>
      <c r="PWW21"/>
      <c r="PWX21"/>
      <c r="PWY21"/>
      <c r="PWZ21"/>
      <c r="PXA21"/>
      <c r="PXB21"/>
      <c r="PXC21"/>
      <c r="PXD21"/>
      <c r="PXE21"/>
      <c r="PXF21"/>
      <c r="PXG21"/>
      <c r="PXH21"/>
      <c r="PXI21"/>
      <c r="PXJ21"/>
      <c r="PXK21"/>
      <c r="PXL21"/>
      <c r="PXM21"/>
      <c r="PXN21"/>
      <c r="PXO21"/>
      <c r="PXP21"/>
      <c r="PXQ21"/>
      <c r="PXR21"/>
      <c r="PXS21"/>
      <c r="PXT21"/>
      <c r="PXU21"/>
      <c r="PXV21"/>
      <c r="PXW21"/>
      <c r="PXX21"/>
      <c r="PXY21"/>
      <c r="PXZ21"/>
      <c r="PYA21"/>
      <c r="PYB21"/>
      <c r="PYC21"/>
      <c r="PYD21"/>
      <c r="PYE21"/>
      <c r="PYF21"/>
      <c r="PYG21"/>
      <c r="PYH21"/>
      <c r="PYI21"/>
      <c r="PYJ21"/>
      <c r="PYK21"/>
      <c r="PYL21"/>
      <c r="PYM21"/>
      <c r="PYN21"/>
      <c r="PYO21"/>
      <c r="PYP21"/>
      <c r="PYQ21"/>
      <c r="PYR21"/>
      <c r="PYS21"/>
      <c r="PYT21"/>
      <c r="PYU21"/>
      <c r="PYV21"/>
      <c r="PYW21"/>
      <c r="PYX21"/>
      <c r="PYY21"/>
      <c r="PYZ21"/>
      <c r="PZA21"/>
      <c r="PZB21"/>
      <c r="PZC21"/>
      <c r="PZD21"/>
      <c r="PZE21"/>
      <c r="PZF21"/>
      <c r="PZG21"/>
      <c r="PZH21"/>
      <c r="PZI21"/>
      <c r="PZJ21"/>
      <c r="PZK21"/>
      <c r="PZL21"/>
      <c r="PZM21"/>
      <c r="PZN21"/>
      <c r="PZO21"/>
      <c r="PZP21"/>
      <c r="PZQ21"/>
      <c r="PZR21"/>
      <c r="PZS21"/>
      <c r="PZT21"/>
      <c r="PZU21"/>
      <c r="PZV21"/>
      <c r="PZW21"/>
      <c r="PZX21"/>
      <c r="PZY21"/>
      <c r="PZZ21"/>
      <c r="QAA21"/>
      <c r="QAB21"/>
      <c r="QAC21"/>
      <c r="QAD21"/>
      <c r="QAE21"/>
      <c r="QAF21"/>
      <c r="QAG21"/>
      <c r="QAH21"/>
      <c r="QAI21"/>
      <c r="QAJ21"/>
      <c r="QAK21"/>
      <c r="QAL21"/>
      <c r="QAM21"/>
      <c r="QAN21"/>
      <c r="QAO21"/>
      <c r="QAP21"/>
      <c r="QAQ21"/>
      <c r="QAR21"/>
      <c r="QAS21"/>
      <c r="QAT21"/>
      <c r="QAU21"/>
      <c r="QAV21"/>
      <c r="QAW21"/>
      <c r="QAX21"/>
      <c r="QAY21"/>
      <c r="QAZ21"/>
      <c r="QBA21"/>
      <c r="QBB21"/>
      <c r="QBC21"/>
      <c r="QBD21"/>
      <c r="QBE21"/>
      <c r="QBF21"/>
      <c r="QBG21"/>
      <c r="QBH21"/>
      <c r="QBI21"/>
      <c r="QBJ21"/>
      <c r="QBK21"/>
      <c r="QBL21"/>
      <c r="QBM21"/>
      <c r="QBN21"/>
      <c r="QBO21"/>
      <c r="QBP21"/>
      <c r="QBQ21"/>
      <c r="QBR21"/>
      <c r="QBS21"/>
      <c r="QBT21"/>
      <c r="QBU21"/>
      <c r="QBV21"/>
      <c r="QBW21"/>
      <c r="QBX21"/>
      <c r="QBY21"/>
      <c r="QBZ21"/>
      <c r="QCA21"/>
      <c r="QCB21"/>
      <c r="QCC21"/>
      <c r="QCD21"/>
      <c r="QCE21"/>
      <c r="QCF21"/>
      <c r="QCG21"/>
      <c r="QCH21"/>
      <c r="QCI21"/>
      <c r="QCJ21"/>
      <c r="QCK21"/>
      <c r="QCL21"/>
      <c r="QCM21"/>
      <c r="QCN21"/>
      <c r="QCO21"/>
      <c r="QCP21"/>
      <c r="QCQ21"/>
      <c r="QCR21"/>
      <c r="QCS21"/>
      <c r="QCT21"/>
      <c r="QCU21"/>
      <c r="QCV21"/>
      <c r="QCW21"/>
      <c r="QCX21"/>
      <c r="QCY21"/>
      <c r="QCZ21"/>
      <c r="QDA21"/>
      <c r="QDB21"/>
      <c r="QDC21"/>
      <c r="QDD21"/>
      <c r="QDE21"/>
      <c r="QDF21"/>
      <c r="QDG21"/>
      <c r="QDH21"/>
      <c r="QDI21"/>
      <c r="QDJ21"/>
      <c r="QDK21"/>
      <c r="QDL21"/>
      <c r="QDM21"/>
      <c r="QDN21"/>
      <c r="QDO21"/>
      <c r="QDP21"/>
      <c r="QDQ21"/>
      <c r="QDR21"/>
      <c r="QDS21"/>
      <c r="QDT21"/>
      <c r="QDU21"/>
      <c r="QDV21"/>
      <c r="QDW21"/>
      <c r="QDX21"/>
      <c r="QDY21"/>
      <c r="QDZ21"/>
      <c r="QEA21"/>
      <c r="QEB21"/>
      <c r="QEC21"/>
      <c r="QED21"/>
      <c r="QEE21"/>
      <c r="QEF21"/>
      <c r="QEG21"/>
      <c r="QEH21"/>
      <c r="QEI21"/>
      <c r="QEJ21"/>
      <c r="QEK21"/>
      <c r="QEL21"/>
      <c r="QEM21"/>
      <c r="QEN21"/>
      <c r="QEO21"/>
      <c r="QEP21"/>
      <c r="QEQ21"/>
      <c r="QER21"/>
      <c r="QES21"/>
      <c r="QET21"/>
      <c r="QEU21"/>
      <c r="QEV21"/>
      <c r="QEW21"/>
      <c r="QEX21"/>
      <c r="QEY21"/>
      <c r="QEZ21"/>
      <c r="QFA21"/>
      <c r="QFB21"/>
      <c r="QFC21"/>
      <c r="QFD21"/>
      <c r="QFE21"/>
      <c r="QFF21"/>
      <c r="QFG21"/>
      <c r="QFH21"/>
      <c r="QFI21"/>
      <c r="QFJ21"/>
      <c r="QFK21"/>
      <c r="QFL21"/>
      <c r="QFM21"/>
      <c r="QFN21"/>
      <c r="QFO21"/>
      <c r="QFP21"/>
      <c r="QFQ21"/>
      <c r="QFR21"/>
      <c r="QFS21"/>
      <c r="QFT21"/>
      <c r="QFU21"/>
      <c r="QFV21"/>
      <c r="QFW21"/>
      <c r="QFX21"/>
      <c r="QFY21"/>
      <c r="QFZ21"/>
      <c r="QGA21"/>
      <c r="QGB21"/>
      <c r="QGC21"/>
      <c r="QGD21"/>
      <c r="QGE21"/>
      <c r="QGF21"/>
      <c r="QGG21"/>
      <c r="QGH21"/>
      <c r="QGI21"/>
      <c r="QGJ21"/>
      <c r="QGK21"/>
      <c r="QGL21"/>
      <c r="QGM21"/>
      <c r="QGN21"/>
      <c r="QGO21"/>
      <c r="QGP21"/>
      <c r="QGQ21"/>
      <c r="QGR21"/>
      <c r="QGS21"/>
      <c r="QGT21"/>
      <c r="QGU21"/>
      <c r="QGV21"/>
      <c r="QGW21"/>
      <c r="QGX21"/>
      <c r="QGY21"/>
      <c r="QGZ21"/>
      <c r="QHA21"/>
      <c r="QHB21"/>
      <c r="QHC21"/>
      <c r="QHD21"/>
      <c r="QHE21"/>
      <c r="QHF21"/>
      <c r="QHG21"/>
      <c r="QHH21"/>
      <c r="QHI21"/>
      <c r="QHJ21"/>
      <c r="QHK21"/>
      <c r="QHL21"/>
      <c r="QHM21"/>
      <c r="QHN21"/>
      <c r="QHO21"/>
      <c r="QHP21"/>
      <c r="QHQ21"/>
      <c r="QHR21"/>
      <c r="QHS21"/>
      <c r="QHT21"/>
      <c r="QHU21"/>
      <c r="QHV21"/>
      <c r="QHW21"/>
      <c r="QHX21"/>
      <c r="QHY21"/>
      <c r="QHZ21"/>
      <c r="QIA21"/>
      <c r="QIB21"/>
      <c r="QIC21"/>
      <c r="QID21"/>
      <c r="QIE21"/>
      <c r="QIF21"/>
      <c r="QIG21"/>
      <c r="QIH21"/>
      <c r="QII21"/>
      <c r="QIJ21"/>
      <c r="QIK21"/>
      <c r="QIL21"/>
      <c r="QIM21"/>
      <c r="QIN21"/>
      <c r="QIO21"/>
      <c r="QIP21"/>
      <c r="QIQ21"/>
      <c r="QIR21"/>
      <c r="QIS21"/>
      <c r="QIT21"/>
      <c r="QIU21"/>
      <c r="QIV21"/>
      <c r="QIW21"/>
      <c r="QIX21"/>
      <c r="QIY21"/>
      <c r="QIZ21"/>
      <c r="QJA21"/>
      <c r="QJB21"/>
      <c r="QJC21"/>
      <c r="QJD21"/>
      <c r="QJE21"/>
      <c r="QJF21"/>
      <c r="QJG21"/>
      <c r="QJH21"/>
      <c r="QJI21"/>
      <c r="QJJ21"/>
      <c r="QJK21"/>
      <c r="QJL21"/>
      <c r="QJM21"/>
      <c r="QJN21"/>
      <c r="QJO21"/>
      <c r="QJP21"/>
      <c r="QJQ21"/>
      <c r="QJR21"/>
      <c r="QJS21"/>
      <c r="QJT21"/>
      <c r="QJU21"/>
      <c r="QJV21"/>
      <c r="QJW21"/>
      <c r="QJX21"/>
      <c r="QJY21"/>
      <c r="QJZ21"/>
      <c r="QKA21"/>
      <c r="QKB21"/>
      <c r="QKC21"/>
      <c r="QKD21"/>
      <c r="QKE21"/>
      <c r="QKF21"/>
      <c r="QKG21"/>
      <c r="QKH21"/>
      <c r="QKI21"/>
      <c r="QKJ21"/>
      <c r="QKK21"/>
      <c r="QKL21"/>
      <c r="QKM21"/>
      <c r="QKN21"/>
      <c r="QKO21"/>
      <c r="QKP21"/>
      <c r="QKQ21"/>
      <c r="QKR21"/>
      <c r="QKS21"/>
      <c r="QKT21"/>
      <c r="QKU21"/>
      <c r="QKV21"/>
      <c r="QKW21"/>
      <c r="QKX21"/>
      <c r="QKY21"/>
      <c r="QKZ21"/>
      <c r="QLA21"/>
      <c r="QLB21"/>
      <c r="QLC21"/>
      <c r="QLD21"/>
      <c r="QLE21"/>
      <c r="QLF21"/>
      <c r="QLG21"/>
      <c r="QLH21"/>
      <c r="QLI21"/>
      <c r="QLJ21"/>
      <c r="QLK21"/>
      <c r="QLL21"/>
      <c r="QLM21"/>
      <c r="QLN21"/>
      <c r="QLO21"/>
      <c r="QLP21"/>
      <c r="QLQ21"/>
      <c r="QLR21"/>
      <c r="QLS21"/>
      <c r="QLT21"/>
      <c r="QLU21"/>
      <c r="QLV21"/>
      <c r="QLW21"/>
      <c r="QLX21"/>
      <c r="QLY21"/>
      <c r="QLZ21"/>
      <c r="QMA21"/>
      <c r="QMB21"/>
      <c r="QMC21"/>
      <c r="QMD21"/>
      <c r="QME21"/>
      <c r="QMF21"/>
      <c r="QMG21"/>
      <c r="QMH21"/>
      <c r="QMI21"/>
      <c r="QMJ21"/>
      <c r="QMK21"/>
      <c r="QML21"/>
      <c r="QMM21"/>
      <c r="QMN21"/>
      <c r="QMO21"/>
      <c r="QMP21"/>
      <c r="QMQ21"/>
      <c r="QMR21"/>
      <c r="QMS21"/>
      <c r="QMT21"/>
      <c r="QMU21"/>
      <c r="QMV21"/>
      <c r="QMW21"/>
      <c r="QMX21"/>
      <c r="QMY21"/>
      <c r="QMZ21"/>
      <c r="QNA21"/>
      <c r="QNB21"/>
      <c r="QNC21"/>
      <c r="QND21"/>
      <c r="QNE21"/>
      <c r="QNF21"/>
      <c r="QNG21"/>
      <c r="QNH21"/>
      <c r="QNI21"/>
      <c r="QNJ21"/>
      <c r="QNK21"/>
      <c r="QNL21"/>
      <c r="QNM21"/>
      <c r="QNN21"/>
      <c r="QNO21"/>
      <c r="QNP21"/>
      <c r="QNQ21"/>
      <c r="QNR21"/>
      <c r="QNS21"/>
      <c r="QNT21"/>
      <c r="QNU21"/>
      <c r="QNV21"/>
      <c r="QNW21"/>
      <c r="QNX21"/>
      <c r="QNY21"/>
      <c r="QNZ21"/>
      <c r="QOA21"/>
      <c r="QOB21"/>
      <c r="QOC21"/>
      <c r="QOD21"/>
      <c r="QOE21"/>
      <c r="QOF21"/>
      <c r="QOG21"/>
      <c r="QOH21"/>
      <c r="QOI21"/>
      <c r="QOJ21"/>
      <c r="QOK21"/>
      <c r="QOL21"/>
      <c r="QOM21"/>
      <c r="QON21"/>
      <c r="QOO21"/>
      <c r="QOP21"/>
      <c r="QOQ21"/>
      <c r="QOR21"/>
      <c r="QOS21"/>
      <c r="QOT21"/>
      <c r="QOU21"/>
      <c r="QOV21"/>
      <c r="QOW21"/>
      <c r="QOX21"/>
      <c r="QOY21"/>
      <c r="QOZ21"/>
      <c r="QPA21"/>
      <c r="QPB21"/>
      <c r="QPC21"/>
      <c r="QPD21"/>
      <c r="QPE21"/>
      <c r="QPF21"/>
      <c r="QPG21"/>
      <c r="QPH21"/>
      <c r="QPI21"/>
      <c r="QPJ21"/>
      <c r="QPK21"/>
      <c r="QPL21"/>
      <c r="QPM21"/>
      <c r="QPN21"/>
      <c r="QPO21"/>
      <c r="QPP21"/>
      <c r="QPQ21"/>
      <c r="QPR21"/>
      <c r="QPS21"/>
      <c r="QPT21"/>
      <c r="QPU21"/>
      <c r="QPV21"/>
      <c r="QPW21"/>
      <c r="QPX21"/>
      <c r="QPY21"/>
      <c r="QPZ21"/>
      <c r="QQA21"/>
      <c r="QQB21"/>
      <c r="QQC21"/>
      <c r="QQD21"/>
      <c r="QQE21"/>
      <c r="QQF21"/>
      <c r="QQG21"/>
      <c r="QQH21"/>
      <c r="QQI21"/>
      <c r="QQJ21"/>
      <c r="QQK21"/>
      <c r="QQL21"/>
      <c r="QQM21"/>
      <c r="QQN21"/>
      <c r="QQO21"/>
      <c r="QQP21"/>
      <c r="QQQ21"/>
      <c r="QQR21"/>
      <c r="QQS21"/>
      <c r="QQT21"/>
      <c r="QQU21"/>
      <c r="QQV21"/>
      <c r="QQW21"/>
      <c r="QQX21"/>
      <c r="QQY21"/>
      <c r="QQZ21"/>
      <c r="QRA21"/>
      <c r="QRB21"/>
      <c r="QRC21"/>
      <c r="QRD21"/>
      <c r="QRE21"/>
      <c r="QRF21"/>
      <c r="QRG21"/>
      <c r="QRH21"/>
      <c r="QRI21"/>
      <c r="QRJ21"/>
      <c r="QRK21"/>
      <c r="QRL21"/>
      <c r="QRM21"/>
      <c r="QRN21"/>
      <c r="QRO21"/>
      <c r="QRP21"/>
      <c r="QRQ21"/>
      <c r="QRR21"/>
      <c r="QRS21"/>
      <c r="QRT21"/>
      <c r="QRU21"/>
      <c r="QRV21"/>
      <c r="QRW21"/>
      <c r="QRX21"/>
      <c r="QRY21"/>
      <c r="QRZ21"/>
      <c r="QSA21"/>
      <c r="QSB21"/>
      <c r="QSC21"/>
      <c r="QSD21"/>
      <c r="QSE21"/>
      <c r="QSF21"/>
      <c r="QSG21"/>
      <c r="QSH21"/>
      <c r="QSI21"/>
      <c r="QSJ21"/>
      <c r="QSK21"/>
      <c r="QSL21"/>
      <c r="QSM21"/>
      <c r="QSN21"/>
      <c r="QSO21"/>
      <c r="QSP21"/>
      <c r="QSQ21"/>
      <c r="QSR21"/>
      <c r="QSS21"/>
      <c r="QST21"/>
      <c r="QSU21"/>
      <c r="QSV21"/>
      <c r="QSW21"/>
      <c r="QSX21"/>
      <c r="QSY21"/>
      <c r="QSZ21"/>
      <c r="QTA21"/>
      <c r="QTB21"/>
      <c r="QTC21"/>
      <c r="QTD21"/>
      <c r="QTE21"/>
      <c r="QTF21"/>
      <c r="QTG21"/>
      <c r="QTH21"/>
      <c r="QTI21"/>
      <c r="QTJ21"/>
      <c r="QTK21"/>
      <c r="QTL21"/>
      <c r="QTM21"/>
      <c r="QTN21"/>
      <c r="QTO21"/>
      <c r="QTP21"/>
      <c r="QTQ21"/>
      <c r="QTR21"/>
      <c r="QTS21"/>
      <c r="QTT21"/>
      <c r="QTU21"/>
      <c r="QTV21"/>
      <c r="QTW21"/>
      <c r="QTX21"/>
      <c r="QTY21"/>
      <c r="QTZ21"/>
      <c r="QUA21"/>
      <c r="QUB21"/>
      <c r="QUC21"/>
      <c r="QUD21"/>
      <c r="QUE21"/>
      <c r="QUF21"/>
      <c r="QUG21"/>
      <c r="QUH21"/>
      <c r="QUI21"/>
      <c r="QUJ21"/>
      <c r="QUK21"/>
      <c r="QUL21"/>
      <c r="QUM21"/>
      <c r="QUN21"/>
      <c r="QUO21"/>
      <c r="QUP21"/>
      <c r="QUQ21"/>
      <c r="QUR21"/>
      <c r="QUS21"/>
      <c r="QUT21"/>
      <c r="QUU21"/>
      <c r="QUV21"/>
      <c r="QUW21"/>
      <c r="QUX21"/>
      <c r="QUY21"/>
      <c r="QUZ21"/>
      <c r="QVA21"/>
      <c r="QVB21"/>
      <c r="QVC21"/>
      <c r="QVD21"/>
      <c r="QVE21"/>
      <c r="QVF21"/>
      <c r="QVG21"/>
      <c r="QVH21"/>
      <c r="QVI21"/>
      <c r="QVJ21"/>
      <c r="QVK21"/>
      <c r="QVL21"/>
      <c r="QVM21"/>
      <c r="QVN21"/>
      <c r="QVO21"/>
      <c r="QVP21"/>
      <c r="QVQ21"/>
      <c r="QVR21"/>
      <c r="QVS21"/>
      <c r="QVT21"/>
      <c r="QVU21"/>
      <c r="QVV21"/>
      <c r="QVW21"/>
      <c r="QVX21"/>
      <c r="QVY21"/>
      <c r="QVZ21"/>
      <c r="QWA21"/>
      <c r="QWB21"/>
      <c r="QWC21"/>
      <c r="QWD21"/>
      <c r="QWE21"/>
      <c r="QWF21"/>
      <c r="QWG21"/>
      <c r="QWH21"/>
      <c r="QWI21"/>
      <c r="QWJ21"/>
      <c r="QWK21"/>
      <c r="QWL21"/>
      <c r="QWM21"/>
      <c r="QWN21"/>
      <c r="QWO21"/>
      <c r="QWP21"/>
      <c r="QWQ21"/>
      <c r="QWR21"/>
      <c r="QWS21"/>
      <c r="QWT21"/>
      <c r="QWU21"/>
      <c r="QWV21"/>
      <c r="QWW21"/>
      <c r="QWX21"/>
      <c r="QWY21"/>
      <c r="QWZ21"/>
      <c r="QXA21"/>
      <c r="QXB21"/>
      <c r="QXC21"/>
      <c r="QXD21"/>
      <c r="QXE21"/>
      <c r="QXF21"/>
      <c r="QXG21"/>
      <c r="QXH21"/>
      <c r="QXI21"/>
      <c r="QXJ21"/>
      <c r="QXK21"/>
      <c r="QXL21"/>
      <c r="QXM21"/>
      <c r="QXN21"/>
      <c r="QXO21"/>
      <c r="QXP21"/>
      <c r="QXQ21"/>
      <c r="QXR21"/>
      <c r="QXS21"/>
      <c r="QXT21"/>
      <c r="QXU21"/>
      <c r="QXV21"/>
      <c r="QXW21"/>
      <c r="QXX21"/>
      <c r="QXY21"/>
      <c r="QXZ21"/>
      <c r="QYA21"/>
      <c r="QYB21"/>
      <c r="QYC21"/>
      <c r="QYD21"/>
      <c r="QYE21"/>
      <c r="QYF21"/>
      <c r="QYG21"/>
      <c r="QYH21"/>
      <c r="QYI21"/>
      <c r="QYJ21"/>
      <c r="QYK21"/>
      <c r="QYL21"/>
      <c r="QYM21"/>
      <c r="QYN21"/>
      <c r="QYO21"/>
      <c r="QYP21"/>
      <c r="QYQ21"/>
      <c r="QYR21"/>
      <c r="QYS21"/>
      <c r="QYT21"/>
      <c r="QYU21"/>
      <c r="QYV21"/>
      <c r="QYW21"/>
      <c r="QYX21"/>
      <c r="QYY21"/>
      <c r="QYZ21"/>
      <c r="QZA21"/>
      <c r="QZB21"/>
      <c r="QZC21"/>
      <c r="QZD21"/>
      <c r="QZE21"/>
      <c r="QZF21"/>
      <c r="QZG21"/>
      <c r="QZH21"/>
      <c r="QZI21"/>
      <c r="QZJ21"/>
      <c r="QZK21"/>
      <c r="QZL21"/>
      <c r="QZM21"/>
      <c r="QZN21"/>
      <c r="QZO21"/>
      <c r="QZP21"/>
      <c r="QZQ21"/>
      <c r="QZR21"/>
      <c r="QZS21"/>
      <c r="QZT21"/>
      <c r="QZU21"/>
      <c r="QZV21"/>
      <c r="QZW21"/>
      <c r="QZX21"/>
      <c r="QZY21"/>
      <c r="QZZ21"/>
      <c r="RAA21"/>
      <c r="RAB21"/>
      <c r="RAC21"/>
      <c r="RAD21"/>
      <c r="RAE21"/>
      <c r="RAF21"/>
      <c r="RAG21"/>
      <c r="RAH21"/>
      <c r="RAI21"/>
      <c r="RAJ21"/>
      <c r="RAK21"/>
      <c r="RAL21"/>
      <c r="RAM21"/>
      <c r="RAN21"/>
      <c r="RAO21"/>
      <c r="RAP21"/>
      <c r="RAQ21"/>
      <c r="RAR21"/>
      <c r="RAS21"/>
      <c r="RAT21"/>
      <c r="RAU21"/>
      <c r="RAV21"/>
      <c r="RAW21"/>
      <c r="RAX21"/>
      <c r="RAY21"/>
      <c r="RAZ21"/>
      <c r="RBA21"/>
      <c r="RBB21"/>
      <c r="RBC21"/>
      <c r="RBD21"/>
      <c r="RBE21"/>
      <c r="RBF21"/>
      <c r="RBG21"/>
      <c r="RBH21"/>
      <c r="RBI21"/>
      <c r="RBJ21"/>
      <c r="RBK21"/>
      <c r="RBL21"/>
      <c r="RBM21"/>
      <c r="RBN21"/>
      <c r="RBO21"/>
      <c r="RBP21"/>
      <c r="RBQ21"/>
      <c r="RBR21"/>
      <c r="RBS21"/>
      <c r="RBT21"/>
      <c r="RBU21"/>
      <c r="RBV21"/>
      <c r="RBW21"/>
      <c r="RBX21"/>
      <c r="RBY21"/>
      <c r="RBZ21"/>
      <c r="RCA21"/>
      <c r="RCB21"/>
      <c r="RCC21"/>
      <c r="RCD21"/>
      <c r="RCE21"/>
      <c r="RCF21"/>
      <c r="RCG21"/>
      <c r="RCH21"/>
      <c r="RCI21"/>
      <c r="RCJ21"/>
      <c r="RCK21"/>
      <c r="RCL21"/>
      <c r="RCM21"/>
      <c r="RCN21"/>
      <c r="RCO21"/>
      <c r="RCP21"/>
      <c r="RCQ21"/>
      <c r="RCR21"/>
      <c r="RCS21"/>
      <c r="RCT21"/>
      <c r="RCU21"/>
      <c r="RCV21"/>
      <c r="RCW21"/>
      <c r="RCX21"/>
      <c r="RCY21"/>
      <c r="RCZ21"/>
      <c r="RDA21"/>
      <c r="RDB21"/>
      <c r="RDC21"/>
      <c r="RDD21"/>
      <c r="RDE21"/>
      <c r="RDF21"/>
      <c r="RDG21"/>
      <c r="RDH21"/>
      <c r="RDI21"/>
      <c r="RDJ21"/>
      <c r="RDK21"/>
      <c r="RDL21"/>
      <c r="RDM21"/>
      <c r="RDN21"/>
      <c r="RDO21"/>
      <c r="RDP21"/>
      <c r="RDQ21"/>
      <c r="RDR21"/>
      <c r="RDS21"/>
      <c r="RDT21"/>
      <c r="RDU21"/>
      <c r="RDV21"/>
      <c r="RDW21"/>
      <c r="RDX21"/>
      <c r="RDY21"/>
      <c r="RDZ21"/>
      <c r="REA21"/>
      <c r="REB21"/>
      <c r="REC21"/>
      <c r="RED21"/>
      <c r="REE21"/>
      <c r="REF21"/>
      <c r="REG21"/>
      <c r="REH21"/>
      <c r="REI21"/>
      <c r="REJ21"/>
      <c r="REK21"/>
      <c r="REL21"/>
      <c r="REM21"/>
      <c r="REN21"/>
      <c r="REO21"/>
      <c r="REP21"/>
      <c r="REQ21"/>
      <c r="RER21"/>
      <c r="RES21"/>
      <c r="RET21"/>
      <c r="REU21"/>
      <c r="REV21"/>
      <c r="REW21"/>
      <c r="REX21"/>
      <c r="REY21"/>
      <c r="REZ21"/>
      <c r="RFA21"/>
      <c r="RFB21"/>
      <c r="RFC21"/>
      <c r="RFD21"/>
      <c r="RFE21"/>
      <c r="RFF21"/>
      <c r="RFG21"/>
      <c r="RFH21"/>
      <c r="RFI21"/>
      <c r="RFJ21"/>
      <c r="RFK21"/>
      <c r="RFL21"/>
      <c r="RFM21"/>
      <c r="RFN21"/>
      <c r="RFO21"/>
      <c r="RFP21"/>
      <c r="RFQ21"/>
      <c r="RFR21"/>
      <c r="RFS21"/>
      <c r="RFT21"/>
      <c r="RFU21"/>
      <c r="RFV21"/>
      <c r="RFW21"/>
      <c r="RFX21"/>
      <c r="RFY21"/>
      <c r="RFZ21"/>
      <c r="RGA21"/>
      <c r="RGB21"/>
      <c r="RGC21"/>
      <c r="RGD21"/>
      <c r="RGE21"/>
      <c r="RGF21"/>
      <c r="RGG21"/>
      <c r="RGH21"/>
      <c r="RGI21"/>
      <c r="RGJ21"/>
      <c r="RGK21"/>
      <c r="RGL21"/>
      <c r="RGM21"/>
      <c r="RGN21"/>
      <c r="RGO21"/>
      <c r="RGP21"/>
      <c r="RGQ21"/>
      <c r="RGR21"/>
      <c r="RGS21"/>
      <c r="RGT21"/>
      <c r="RGU21"/>
      <c r="RGV21"/>
      <c r="RGW21"/>
      <c r="RGX21"/>
      <c r="RGY21"/>
      <c r="RGZ21"/>
      <c r="RHA21"/>
      <c r="RHB21"/>
      <c r="RHC21"/>
      <c r="RHD21"/>
      <c r="RHE21"/>
      <c r="RHF21"/>
      <c r="RHG21"/>
      <c r="RHH21"/>
      <c r="RHI21"/>
      <c r="RHJ21"/>
      <c r="RHK21"/>
      <c r="RHL21"/>
      <c r="RHM21"/>
      <c r="RHN21"/>
      <c r="RHO21"/>
      <c r="RHP21"/>
      <c r="RHQ21"/>
      <c r="RHR21"/>
      <c r="RHS21"/>
      <c r="RHT21"/>
      <c r="RHU21"/>
      <c r="RHV21"/>
      <c r="RHW21"/>
      <c r="RHX21"/>
      <c r="RHY21"/>
      <c r="RHZ21"/>
      <c r="RIA21"/>
      <c r="RIB21"/>
      <c r="RIC21"/>
      <c r="RID21"/>
      <c r="RIE21"/>
      <c r="RIF21"/>
      <c r="RIG21"/>
      <c r="RIH21"/>
      <c r="RII21"/>
      <c r="RIJ21"/>
      <c r="RIK21"/>
      <c r="RIL21"/>
      <c r="RIM21"/>
      <c r="RIN21"/>
      <c r="RIO21"/>
      <c r="RIP21"/>
      <c r="RIQ21"/>
      <c r="RIR21"/>
      <c r="RIS21"/>
      <c r="RIT21"/>
      <c r="RIU21"/>
      <c r="RIV21"/>
      <c r="RIW21"/>
      <c r="RIX21"/>
      <c r="RIY21"/>
      <c r="RIZ21"/>
      <c r="RJA21"/>
      <c r="RJB21"/>
      <c r="RJC21"/>
      <c r="RJD21"/>
      <c r="RJE21"/>
      <c r="RJF21"/>
      <c r="RJG21"/>
      <c r="RJH21"/>
      <c r="RJI21"/>
      <c r="RJJ21"/>
      <c r="RJK21"/>
      <c r="RJL21"/>
      <c r="RJM21"/>
      <c r="RJN21"/>
      <c r="RJO21"/>
      <c r="RJP21"/>
      <c r="RJQ21"/>
      <c r="RJR21"/>
      <c r="RJS21"/>
      <c r="RJT21"/>
      <c r="RJU21"/>
      <c r="RJV21"/>
      <c r="RJW21"/>
      <c r="RJX21"/>
      <c r="RJY21"/>
      <c r="RJZ21"/>
      <c r="RKA21"/>
      <c r="RKB21"/>
      <c r="RKC21"/>
      <c r="RKD21"/>
      <c r="RKE21"/>
      <c r="RKF21"/>
      <c r="RKG21"/>
      <c r="RKH21"/>
      <c r="RKI21"/>
      <c r="RKJ21"/>
      <c r="RKK21"/>
      <c r="RKL21"/>
      <c r="RKM21"/>
      <c r="RKN21"/>
      <c r="RKO21"/>
      <c r="RKP21"/>
      <c r="RKQ21"/>
      <c r="RKR21"/>
      <c r="RKS21"/>
      <c r="RKT21"/>
      <c r="RKU21"/>
      <c r="RKV21"/>
      <c r="RKW21"/>
      <c r="RKX21"/>
      <c r="RKY21"/>
      <c r="RKZ21"/>
      <c r="RLA21"/>
      <c r="RLB21"/>
      <c r="RLC21"/>
      <c r="RLD21"/>
      <c r="RLE21"/>
      <c r="RLF21"/>
      <c r="RLG21"/>
      <c r="RLH21"/>
      <c r="RLI21"/>
      <c r="RLJ21"/>
      <c r="RLK21"/>
      <c r="RLL21"/>
      <c r="RLM21"/>
      <c r="RLN21"/>
      <c r="RLO21"/>
      <c r="RLP21"/>
      <c r="RLQ21"/>
      <c r="RLR21"/>
      <c r="RLS21"/>
      <c r="RLT21"/>
      <c r="RLU21"/>
      <c r="RLV21"/>
      <c r="RLW21"/>
      <c r="RLX21"/>
      <c r="RLY21"/>
      <c r="RLZ21"/>
      <c r="RMA21"/>
      <c r="RMB21"/>
      <c r="RMC21"/>
      <c r="RMD21"/>
      <c r="RME21"/>
      <c r="RMF21"/>
      <c r="RMG21"/>
      <c r="RMH21"/>
      <c r="RMI21"/>
      <c r="RMJ21"/>
      <c r="RMK21"/>
      <c r="RML21"/>
      <c r="RMM21"/>
      <c r="RMN21"/>
      <c r="RMO21"/>
      <c r="RMP21"/>
      <c r="RMQ21"/>
      <c r="RMR21"/>
      <c r="RMS21"/>
      <c r="RMT21"/>
      <c r="RMU21"/>
      <c r="RMV21"/>
      <c r="RMW21"/>
      <c r="RMX21"/>
      <c r="RMY21"/>
      <c r="RMZ21"/>
      <c r="RNA21"/>
      <c r="RNB21"/>
      <c r="RNC21"/>
      <c r="RND21"/>
      <c r="RNE21"/>
      <c r="RNF21"/>
      <c r="RNG21"/>
      <c r="RNH21"/>
      <c r="RNI21"/>
      <c r="RNJ21"/>
      <c r="RNK21"/>
      <c r="RNL21"/>
      <c r="RNM21"/>
      <c r="RNN21"/>
      <c r="RNO21"/>
      <c r="RNP21"/>
      <c r="RNQ21"/>
      <c r="RNR21"/>
      <c r="RNS21"/>
      <c r="RNT21"/>
      <c r="RNU21"/>
      <c r="RNV21"/>
      <c r="RNW21"/>
      <c r="RNX21"/>
      <c r="RNY21"/>
      <c r="RNZ21"/>
      <c r="ROA21"/>
      <c r="ROB21"/>
      <c r="ROC21"/>
      <c r="ROD21"/>
      <c r="ROE21"/>
      <c r="ROF21"/>
      <c r="ROG21"/>
      <c r="ROH21"/>
      <c r="ROI21"/>
      <c r="ROJ21"/>
      <c r="ROK21"/>
      <c r="ROL21"/>
      <c r="ROM21"/>
      <c r="RON21"/>
      <c r="ROO21"/>
      <c r="ROP21"/>
      <c r="ROQ21"/>
      <c r="ROR21"/>
      <c r="ROS21"/>
      <c r="ROT21"/>
      <c r="ROU21"/>
      <c r="ROV21"/>
      <c r="ROW21"/>
      <c r="ROX21"/>
      <c r="ROY21"/>
      <c r="ROZ21"/>
      <c r="RPA21"/>
      <c r="RPB21"/>
      <c r="RPC21"/>
      <c r="RPD21"/>
      <c r="RPE21"/>
      <c r="RPF21"/>
      <c r="RPG21"/>
      <c r="RPH21"/>
      <c r="RPI21"/>
      <c r="RPJ21"/>
      <c r="RPK21"/>
      <c r="RPL21"/>
      <c r="RPM21"/>
      <c r="RPN21"/>
      <c r="RPO21"/>
      <c r="RPP21"/>
      <c r="RPQ21"/>
      <c r="RPR21"/>
      <c r="RPS21"/>
      <c r="RPT21"/>
      <c r="RPU21"/>
      <c r="RPV21"/>
      <c r="RPW21"/>
      <c r="RPX21"/>
      <c r="RPY21"/>
      <c r="RPZ21"/>
      <c r="RQA21"/>
      <c r="RQB21"/>
      <c r="RQC21"/>
      <c r="RQD21"/>
      <c r="RQE21"/>
      <c r="RQF21"/>
      <c r="RQG21"/>
      <c r="RQH21"/>
      <c r="RQI21"/>
      <c r="RQJ21"/>
      <c r="RQK21"/>
      <c r="RQL21"/>
      <c r="RQM21"/>
      <c r="RQN21"/>
      <c r="RQO21"/>
      <c r="RQP21"/>
      <c r="RQQ21"/>
      <c r="RQR21"/>
      <c r="RQS21"/>
      <c r="RQT21"/>
      <c r="RQU21"/>
      <c r="RQV21"/>
      <c r="RQW21"/>
      <c r="RQX21"/>
      <c r="RQY21"/>
      <c r="RQZ21"/>
      <c r="RRA21"/>
      <c r="RRB21"/>
      <c r="RRC21"/>
      <c r="RRD21"/>
      <c r="RRE21"/>
      <c r="RRF21"/>
      <c r="RRG21"/>
      <c r="RRH21"/>
      <c r="RRI21"/>
      <c r="RRJ21"/>
      <c r="RRK21"/>
      <c r="RRL21"/>
      <c r="RRM21"/>
      <c r="RRN21"/>
      <c r="RRO21"/>
      <c r="RRP21"/>
      <c r="RRQ21"/>
      <c r="RRR21"/>
      <c r="RRS21"/>
      <c r="RRT21"/>
      <c r="RRU21"/>
      <c r="RRV21"/>
      <c r="RRW21"/>
      <c r="RRX21"/>
      <c r="RRY21"/>
      <c r="RRZ21"/>
      <c r="RSA21"/>
      <c r="RSB21"/>
      <c r="RSC21"/>
      <c r="RSD21"/>
      <c r="RSE21"/>
      <c r="RSF21"/>
      <c r="RSG21"/>
      <c r="RSH21"/>
      <c r="RSI21"/>
      <c r="RSJ21"/>
      <c r="RSK21"/>
      <c r="RSL21"/>
      <c r="RSM21"/>
      <c r="RSN21"/>
      <c r="RSO21"/>
      <c r="RSP21"/>
      <c r="RSQ21"/>
      <c r="RSR21"/>
      <c r="RSS21"/>
      <c r="RST21"/>
      <c r="RSU21"/>
      <c r="RSV21"/>
      <c r="RSW21"/>
      <c r="RSX21"/>
      <c r="RSY21"/>
      <c r="RSZ21"/>
      <c r="RTA21"/>
      <c r="RTB21"/>
      <c r="RTC21"/>
      <c r="RTD21"/>
      <c r="RTE21"/>
      <c r="RTF21"/>
      <c r="RTG21"/>
      <c r="RTH21"/>
      <c r="RTI21"/>
      <c r="RTJ21"/>
      <c r="RTK21"/>
      <c r="RTL21"/>
      <c r="RTM21"/>
      <c r="RTN21"/>
      <c r="RTO21"/>
      <c r="RTP21"/>
      <c r="RTQ21"/>
      <c r="RTR21"/>
      <c r="RTS21"/>
      <c r="RTT21"/>
      <c r="RTU21"/>
      <c r="RTV21"/>
      <c r="RTW21"/>
      <c r="RTX21"/>
      <c r="RTY21"/>
      <c r="RTZ21"/>
      <c r="RUA21"/>
      <c r="RUB21"/>
      <c r="RUC21"/>
      <c r="RUD21"/>
      <c r="RUE21"/>
      <c r="RUF21"/>
      <c r="RUG21"/>
      <c r="RUH21"/>
      <c r="RUI21"/>
      <c r="RUJ21"/>
      <c r="RUK21"/>
      <c r="RUL21"/>
      <c r="RUM21"/>
      <c r="RUN21"/>
      <c r="RUO21"/>
      <c r="RUP21"/>
      <c r="RUQ21"/>
      <c r="RUR21"/>
      <c r="RUS21"/>
      <c r="RUT21"/>
      <c r="RUU21"/>
      <c r="RUV21"/>
      <c r="RUW21"/>
      <c r="RUX21"/>
      <c r="RUY21"/>
      <c r="RUZ21"/>
      <c r="RVA21"/>
      <c r="RVB21"/>
      <c r="RVC21"/>
      <c r="RVD21"/>
      <c r="RVE21"/>
      <c r="RVF21"/>
      <c r="RVG21"/>
      <c r="RVH21"/>
      <c r="RVI21"/>
      <c r="RVJ21"/>
      <c r="RVK21"/>
      <c r="RVL21"/>
      <c r="RVM21"/>
      <c r="RVN21"/>
      <c r="RVO21"/>
      <c r="RVP21"/>
      <c r="RVQ21"/>
      <c r="RVR21"/>
      <c r="RVS21"/>
      <c r="RVT21"/>
      <c r="RVU21"/>
      <c r="RVV21"/>
      <c r="RVW21"/>
      <c r="RVX21"/>
      <c r="RVY21"/>
      <c r="RVZ21"/>
      <c r="RWA21"/>
      <c r="RWB21"/>
      <c r="RWC21"/>
      <c r="RWD21"/>
      <c r="RWE21"/>
      <c r="RWF21"/>
      <c r="RWG21"/>
      <c r="RWH21"/>
      <c r="RWI21"/>
      <c r="RWJ21"/>
      <c r="RWK21"/>
      <c r="RWL21"/>
      <c r="RWM21"/>
      <c r="RWN21"/>
      <c r="RWO21"/>
      <c r="RWP21"/>
      <c r="RWQ21"/>
      <c r="RWR21"/>
      <c r="RWS21"/>
      <c r="RWT21"/>
      <c r="RWU21"/>
      <c r="RWV21"/>
      <c r="RWW21"/>
      <c r="RWX21"/>
      <c r="RWY21"/>
      <c r="RWZ21"/>
      <c r="RXA21"/>
      <c r="RXB21"/>
      <c r="RXC21"/>
      <c r="RXD21"/>
      <c r="RXE21"/>
      <c r="RXF21"/>
      <c r="RXG21"/>
      <c r="RXH21"/>
      <c r="RXI21"/>
      <c r="RXJ21"/>
      <c r="RXK21"/>
      <c r="RXL21"/>
      <c r="RXM21"/>
      <c r="RXN21"/>
      <c r="RXO21"/>
      <c r="RXP21"/>
      <c r="RXQ21"/>
      <c r="RXR21"/>
      <c r="RXS21"/>
      <c r="RXT21"/>
      <c r="RXU21"/>
      <c r="RXV21"/>
      <c r="RXW21"/>
      <c r="RXX21"/>
      <c r="RXY21"/>
      <c r="RXZ21"/>
      <c r="RYA21"/>
      <c r="RYB21"/>
      <c r="RYC21"/>
      <c r="RYD21"/>
      <c r="RYE21"/>
      <c r="RYF21"/>
      <c r="RYG21"/>
      <c r="RYH21"/>
      <c r="RYI21"/>
      <c r="RYJ21"/>
      <c r="RYK21"/>
      <c r="RYL21"/>
      <c r="RYM21"/>
      <c r="RYN21"/>
      <c r="RYO21"/>
      <c r="RYP21"/>
      <c r="RYQ21"/>
      <c r="RYR21"/>
      <c r="RYS21"/>
      <c r="RYT21"/>
      <c r="RYU21"/>
      <c r="RYV21"/>
      <c r="RYW21"/>
      <c r="RYX21"/>
      <c r="RYY21"/>
      <c r="RYZ21"/>
      <c r="RZA21"/>
      <c r="RZB21"/>
      <c r="RZC21"/>
      <c r="RZD21"/>
      <c r="RZE21"/>
      <c r="RZF21"/>
      <c r="RZG21"/>
      <c r="RZH21"/>
      <c r="RZI21"/>
      <c r="RZJ21"/>
      <c r="RZK21"/>
      <c r="RZL21"/>
      <c r="RZM21"/>
      <c r="RZN21"/>
      <c r="RZO21"/>
      <c r="RZP21"/>
      <c r="RZQ21"/>
      <c r="RZR21"/>
      <c r="RZS21"/>
      <c r="RZT21"/>
      <c r="RZU21"/>
      <c r="RZV21"/>
      <c r="RZW21"/>
      <c r="RZX21"/>
      <c r="RZY21"/>
      <c r="RZZ21"/>
      <c r="SAA21"/>
      <c r="SAB21"/>
      <c r="SAC21"/>
      <c r="SAD21"/>
      <c r="SAE21"/>
      <c r="SAF21"/>
      <c r="SAG21"/>
      <c r="SAH21"/>
      <c r="SAI21"/>
      <c r="SAJ21"/>
      <c r="SAK21"/>
      <c r="SAL21"/>
      <c r="SAM21"/>
      <c r="SAN21"/>
      <c r="SAO21"/>
      <c r="SAP21"/>
      <c r="SAQ21"/>
      <c r="SAR21"/>
      <c r="SAS21"/>
      <c r="SAT21"/>
      <c r="SAU21"/>
      <c r="SAV21"/>
      <c r="SAW21"/>
      <c r="SAX21"/>
      <c r="SAY21"/>
      <c r="SAZ21"/>
      <c r="SBA21"/>
      <c r="SBB21"/>
      <c r="SBC21"/>
      <c r="SBD21"/>
      <c r="SBE21"/>
      <c r="SBF21"/>
      <c r="SBG21"/>
      <c r="SBH21"/>
      <c r="SBI21"/>
      <c r="SBJ21"/>
      <c r="SBK21"/>
      <c r="SBL21"/>
      <c r="SBM21"/>
      <c r="SBN21"/>
      <c r="SBO21"/>
      <c r="SBP21"/>
      <c r="SBQ21"/>
      <c r="SBR21"/>
      <c r="SBS21"/>
      <c r="SBT21"/>
      <c r="SBU21"/>
      <c r="SBV21"/>
      <c r="SBW21"/>
      <c r="SBX21"/>
      <c r="SBY21"/>
      <c r="SBZ21"/>
      <c r="SCA21"/>
      <c r="SCB21"/>
      <c r="SCC21"/>
      <c r="SCD21"/>
      <c r="SCE21"/>
      <c r="SCF21"/>
      <c r="SCG21"/>
      <c r="SCH21"/>
      <c r="SCI21"/>
      <c r="SCJ21"/>
      <c r="SCK21"/>
      <c r="SCL21"/>
      <c r="SCM21"/>
      <c r="SCN21"/>
      <c r="SCO21"/>
      <c r="SCP21"/>
      <c r="SCQ21"/>
      <c r="SCR21"/>
      <c r="SCS21"/>
      <c r="SCT21"/>
      <c r="SCU21"/>
      <c r="SCV21"/>
      <c r="SCW21"/>
      <c r="SCX21"/>
      <c r="SCY21"/>
      <c r="SCZ21"/>
      <c r="SDA21"/>
      <c r="SDB21"/>
      <c r="SDC21"/>
      <c r="SDD21"/>
      <c r="SDE21"/>
      <c r="SDF21"/>
      <c r="SDG21"/>
      <c r="SDH21"/>
      <c r="SDI21"/>
      <c r="SDJ21"/>
      <c r="SDK21"/>
      <c r="SDL21"/>
      <c r="SDM21"/>
      <c r="SDN21"/>
      <c r="SDO21"/>
      <c r="SDP21"/>
      <c r="SDQ21"/>
      <c r="SDR21"/>
      <c r="SDS21"/>
      <c r="SDT21"/>
      <c r="SDU21"/>
      <c r="SDV21"/>
      <c r="SDW21"/>
      <c r="SDX21"/>
      <c r="SDY21"/>
      <c r="SDZ21"/>
      <c r="SEA21"/>
      <c r="SEB21"/>
      <c r="SEC21"/>
      <c r="SED21"/>
      <c r="SEE21"/>
      <c r="SEF21"/>
      <c r="SEG21"/>
      <c r="SEH21"/>
      <c r="SEI21"/>
      <c r="SEJ21"/>
      <c r="SEK21"/>
      <c r="SEL21"/>
      <c r="SEM21"/>
      <c r="SEN21"/>
      <c r="SEO21"/>
      <c r="SEP21"/>
      <c r="SEQ21"/>
      <c r="SER21"/>
      <c r="SES21"/>
      <c r="SET21"/>
      <c r="SEU21"/>
      <c r="SEV21"/>
      <c r="SEW21"/>
      <c r="SEX21"/>
      <c r="SEY21"/>
      <c r="SEZ21"/>
      <c r="SFA21"/>
      <c r="SFB21"/>
      <c r="SFC21"/>
      <c r="SFD21"/>
      <c r="SFE21"/>
      <c r="SFF21"/>
      <c r="SFG21"/>
      <c r="SFH21"/>
      <c r="SFI21"/>
      <c r="SFJ21"/>
      <c r="SFK21"/>
      <c r="SFL21"/>
      <c r="SFM21"/>
      <c r="SFN21"/>
      <c r="SFO21"/>
      <c r="SFP21"/>
      <c r="SFQ21"/>
      <c r="SFR21"/>
      <c r="SFS21"/>
      <c r="SFT21"/>
      <c r="SFU21"/>
      <c r="SFV21"/>
      <c r="SFW21"/>
      <c r="SFX21"/>
      <c r="SFY21"/>
      <c r="SFZ21"/>
      <c r="SGA21"/>
      <c r="SGB21"/>
      <c r="SGC21"/>
      <c r="SGD21"/>
      <c r="SGE21"/>
      <c r="SGF21"/>
      <c r="SGG21"/>
      <c r="SGH21"/>
      <c r="SGI21"/>
      <c r="SGJ21"/>
      <c r="SGK21"/>
      <c r="SGL21"/>
      <c r="SGM21"/>
      <c r="SGN21"/>
      <c r="SGO21"/>
      <c r="SGP21"/>
      <c r="SGQ21"/>
      <c r="SGR21"/>
      <c r="SGS21"/>
      <c r="SGT21"/>
      <c r="SGU21"/>
      <c r="SGV21"/>
      <c r="SGW21"/>
      <c r="SGX21"/>
      <c r="SGY21"/>
      <c r="SGZ21"/>
      <c r="SHA21"/>
      <c r="SHB21"/>
      <c r="SHC21"/>
      <c r="SHD21"/>
      <c r="SHE21"/>
      <c r="SHF21"/>
      <c r="SHG21"/>
      <c r="SHH21"/>
      <c r="SHI21"/>
      <c r="SHJ21"/>
      <c r="SHK21"/>
      <c r="SHL21"/>
      <c r="SHM21"/>
      <c r="SHN21"/>
      <c r="SHO21"/>
      <c r="SHP21"/>
      <c r="SHQ21"/>
      <c r="SHR21"/>
      <c r="SHS21"/>
      <c r="SHT21"/>
      <c r="SHU21"/>
      <c r="SHV21"/>
      <c r="SHW21"/>
      <c r="SHX21"/>
      <c r="SHY21"/>
      <c r="SHZ21"/>
      <c r="SIA21"/>
      <c r="SIB21"/>
      <c r="SIC21"/>
      <c r="SID21"/>
      <c r="SIE21"/>
      <c r="SIF21"/>
      <c r="SIG21"/>
      <c r="SIH21"/>
      <c r="SII21"/>
      <c r="SIJ21"/>
      <c r="SIK21"/>
      <c r="SIL21"/>
      <c r="SIM21"/>
      <c r="SIN21"/>
      <c r="SIO21"/>
      <c r="SIP21"/>
      <c r="SIQ21"/>
      <c r="SIR21"/>
      <c r="SIS21"/>
      <c r="SIT21"/>
      <c r="SIU21"/>
      <c r="SIV21"/>
      <c r="SIW21"/>
      <c r="SIX21"/>
      <c r="SIY21"/>
      <c r="SIZ21"/>
      <c r="SJA21"/>
      <c r="SJB21"/>
      <c r="SJC21"/>
      <c r="SJD21"/>
      <c r="SJE21"/>
      <c r="SJF21"/>
      <c r="SJG21"/>
      <c r="SJH21"/>
      <c r="SJI21"/>
      <c r="SJJ21"/>
      <c r="SJK21"/>
      <c r="SJL21"/>
      <c r="SJM21"/>
      <c r="SJN21"/>
      <c r="SJO21"/>
      <c r="SJP21"/>
      <c r="SJQ21"/>
      <c r="SJR21"/>
      <c r="SJS21"/>
      <c r="SJT21"/>
      <c r="SJU21"/>
      <c r="SJV21"/>
      <c r="SJW21"/>
      <c r="SJX21"/>
      <c r="SJY21"/>
      <c r="SJZ21"/>
      <c r="SKA21"/>
      <c r="SKB21"/>
      <c r="SKC21"/>
      <c r="SKD21"/>
      <c r="SKE21"/>
      <c r="SKF21"/>
      <c r="SKG21"/>
      <c r="SKH21"/>
      <c r="SKI21"/>
      <c r="SKJ21"/>
      <c r="SKK21"/>
      <c r="SKL21"/>
      <c r="SKM21"/>
      <c r="SKN21"/>
      <c r="SKO21"/>
      <c r="SKP21"/>
      <c r="SKQ21"/>
      <c r="SKR21"/>
      <c r="SKS21"/>
      <c r="SKT21"/>
      <c r="SKU21"/>
      <c r="SKV21"/>
      <c r="SKW21"/>
      <c r="SKX21"/>
      <c r="SKY21"/>
      <c r="SKZ21"/>
      <c r="SLA21"/>
      <c r="SLB21"/>
      <c r="SLC21"/>
      <c r="SLD21"/>
      <c r="SLE21"/>
      <c r="SLF21"/>
      <c r="SLG21"/>
      <c r="SLH21"/>
      <c r="SLI21"/>
      <c r="SLJ21"/>
      <c r="SLK21"/>
      <c r="SLL21"/>
      <c r="SLM21"/>
      <c r="SLN21"/>
      <c r="SLO21"/>
      <c r="SLP21"/>
      <c r="SLQ21"/>
      <c r="SLR21"/>
      <c r="SLS21"/>
      <c r="SLT21"/>
      <c r="SLU21"/>
      <c r="SLV21"/>
      <c r="SLW21"/>
      <c r="SLX21"/>
      <c r="SLY21"/>
      <c r="SLZ21"/>
      <c r="SMA21"/>
      <c r="SMB21"/>
      <c r="SMC21"/>
      <c r="SMD21"/>
      <c r="SME21"/>
      <c r="SMF21"/>
      <c r="SMG21"/>
      <c r="SMH21"/>
      <c r="SMI21"/>
      <c r="SMJ21"/>
      <c r="SMK21"/>
      <c r="SML21"/>
      <c r="SMM21"/>
      <c r="SMN21"/>
      <c r="SMO21"/>
      <c r="SMP21"/>
      <c r="SMQ21"/>
      <c r="SMR21"/>
      <c r="SMS21"/>
      <c r="SMT21"/>
      <c r="SMU21"/>
      <c r="SMV21"/>
      <c r="SMW21"/>
      <c r="SMX21"/>
      <c r="SMY21"/>
      <c r="SMZ21"/>
      <c r="SNA21"/>
      <c r="SNB21"/>
      <c r="SNC21"/>
      <c r="SND21"/>
      <c r="SNE21"/>
      <c r="SNF21"/>
      <c r="SNG21"/>
      <c r="SNH21"/>
      <c r="SNI21"/>
      <c r="SNJ21"/>
      <c r="SNK21"/>
      <c r="SNL21"/>
      <c r="SNM21"/>
      <c r="SNN21"/>
      <c r="SNO21"/>
      <c r="SNP21"/>
      <c r="SNQ21"/>
      <c r="SNR21"/>
      <c r="SNS21"/>
      <c r="SNT21"/>
      <c r="SNU21"/>
      <c r="SNV21"/>
      <c r="SNW21"/>
      <c r="SNX21"/>
      <c r="SNY21"/>
      <c r="SNZ21"/>
      <c r="SOA21"/>
      <c r="SOB21"/>
      <c r="SOC21"/>
      <c r="SOD21"/>
      <c r="SOE21"/>
      <c r="SOF21"/>
      <c r="SOG21"/>
      <c r="SOH21"/>
      <c r="SOI21"/>
      <c r="SOJ21"/>
      <c r="SOK21"/>
      <c r="SOL21"/>
      <c r="SOM21"/>
      <c r="SON21"/>
      <c r="SOO21"/>
      <c r="SOP21"/>
      <c r="SOQ21"/>
      <c r="SOR21"/>
      <c r="SOS21"/>
      <c r="SOT21"/>
      <c r="SOU21"/>
      <c r="SOV21"/>
      <c r="SOW21"/>
      <c r="SOX21"/>
      <c r="SOY21"/>
      <c r="SOZ21"/>
      <c r="SPA21"/>
      <c r="SPB21"/>
      <c r="SPC21"/>
      <c r="SPD21"/>
      <c r="SPE21"/>
      <c r="SPF21"/>
      <c r="SPG21"/>
      <c r="SPH21"/>
      <c r="SPI21"/>
      <c r="SPJ21"/>
      <c r="SPK21"/>
      <c r="SPL21"/>
      <c r="SPM21"/>
      <c r="SPN21"/>
      <c r="SPO21"/>
      <c r="SPP21"/>
      <c r="SPQ21"/>
      <c r="SPR21"/>
      <c r="SPS21"/>
      <c r="SPT21"/>
      <c r="SPU21"/>
      <c r="SPV21"/>
      <c r="SPW21"/>
      <c r="SPX21"/>
      <c r="SPY21"/>
      <c r="SPZ21"/>
      <c r="SQA21"/>
      <c r="SQB21"/>
      <c r="SQC21"/>
      <c r="SQD21"/>
      <c r="SQE21"/>
      <c r="SQF21"/>
      <c r="SQG21"/>
      <c r="SQH21"/>
      <c r="SQI21"/>
      <c r="SQJ21"/>
      <c r="SQK21"/>
      <c r="SQL21"/>
      <c r="SQM21"/>
      <c r="SQN21"/>
      <c r="SQO21"/>
      <c r="SQP21"/>
      <c r="SQQ21"/>
      <c r="SQR21"/>
      <c r="SQS21"/>
      <c r="SQT21"/>
      <c r="SQU21"/>
      <c r="SQV21"/>
      <c r="SQW21"/>
      <c r="SQX21"/>
      <c r="SQY21"/>
      <c r="SQZ21"/>
      <c r="SRA21"/>
      <c r="SRB21"/>
      <c r="SRC21"/>
      <c r="SRD21"/>
      <c r="SRE21"/>
      <c r="SRF21"/>
      <c r="SRG21"/>
      <c r="SRH21"/>
      <c r="SRI21"/>
      <c r="SRJ21"/>
      <c r="SRK21"/>
      <c r="SRL21"/>
      <c r="SRM21"/>
      <c r="SRN21"/>
      <c r="SRO21"/>
      <c r="SRP21"/>
      <c r="SRQ21"/>
      <c r="SRR21"/>
      <c r="SRS21"/>
      <c r="SRT21"/>
      <c r="SRU21"/>
      <c r="SRV21"/>
      <c r="SRW21"/>
      <c r="SRX21"/>
      <c r="SRY21"/>
      <c r="SRZ21"/>
      <c r="SSA21"/>
      <c r="SSB21"/>
      <c r="SSC21"/>
      <c r="SSD21"/>
      <c r="SSE21"/>
      <c r="SSF21"/>
      <c r="SSG21"/>
      <c r="SSH21"/>
      <c r="SSI21"/>
      <c r="SSJ21"/>
      <c r="SSK21"/>
      <c r="SSL21"/>
      <c r="SSM21"/>
      <c r="SSN21"/>
      <c r="SSO21"/>
      <c r="SSP21"/>
      <c r="SSQ21"/>
      <c r="SSR21"/>
      <c r="SSS21"/>
      <c r="SST21"/>
      <c r="SSU21"/>
      <c r="SSV21"/>
      <c r="SSW21"/>
      <c r="SSX21"/>
      <c r="SSY21"/>
      <c r="SSZ21"/>
      <c r="STA21"/>
      <c r="STB21"/>
      <c r="STC21"/>
      <c r="STD21"/>
      <c r="STE21"/>
      <c r="STF21"/>
      <c r="STG21"/>
      <c r="STH21"/>
      <c r="STI21"/>
      <c r="STJ21"/>
      <c r="STK21"/>
      <c r="STL21"/>
      <c r="STM21"/>
      <c r="STN21"/>
      <c r="STO21"/>
      <c r="STP21"/>
      <c r="STQ21"/>
      <c r="STR21"/>
      <c r="STS21"/>
      <c r="STT21"/>
      <c r="STU21"/>
      <c r="STV21"/>
      <c r="STW21"/>
      <c r="STX21"/>
      <c r="STY21"/>
      <c r="STZ21"/>
      <c r="SUA21"/>
      <c r="SUB21"/>
      <c r="SUC21"/>
      <c r="SUD21"/>
      <c r="SUE21"/>
      <c r="SUF21"/>
      <c r="SUG21"/>
      <c r="SUH21"/>
      <c r="SUI21"/>
      <c r="SUJ21"/>
      <c r="SUK21"/>
      <c r="SUL21"/>
      <c r="SUM21"/>
      <c r="SUN21"/>
      <c r="SUO21"/>
      <c r="SUP21"/>
      <c r="SUQ21"/>
      <c r="SUR21"/>
      <c r="SUS21"/>
      <c r="SUT21"/>
      <c r="SUU21"/>
      <c r="SUV21"/>
      <c r="SUW21"/>
      <c r="SUX21"/>
      <c r="SUY21"/>
      <c r="SUZ21"/>
      <c r="SVA21"/>
      <c r="SVB21"/>
      <c r="SVC21"/>
      <c r="SVD21"/>
      <c r="SVE21"/>
      <c r="SVF21"/>
      <c r="SVG21"/>
      <c r="SVH21"/>
      <c r="SVI21"/>
      <c r="SVJ21"/>
      <c r="SVK21"/>
      <c r="SVL21"/>
      <c r="SVM21"/>
      <c r="SVN21"/>
      <c r="SVO21"/>
      <c r="SVP21"/>
      <c r="SVQ21"/>
      <c r="SVR21"/>
      <c r="SVS21"/>
      <c r="SVT21"/>
      <c r="SVU21"/>
      <c r="SVV21"/>
      <c r="SVW21"/>
      <c r="SVX21"/>
      <c r="SVY21"/>
      <c r="SVZ21"/>
      <c r="SWA21"/>
      <c r="SWB21"/>
      <c r="SWC21"/>
      <c r="SWD21"/>
      <c r="SWE21"/>
      <c r="SWF21"/>
      <c r="SWG21"/>
      <c r="SWH21"/>
      <c r="SWI21"/>
      <c r="SWJ21"/>
      <c r="SWK21"/>
      <c r="SWL21"/>
      <c r="SWM21"/>
      <c r="SWN21"/>
      <c r="SWO21"/>
      <c r="SWP21"/>
      <c r="SWQ21"/>
      <c r="SWR21"/>
      <c r="SWS21"/>
      <c r="SWT21"/>
      <c r="SWU21"/>
      <c r="SWV21"/>
      <c r="SWW21"/>
      <c r="SWX21"/>
      <c r="SWY21"/>
      <c r="SWZ21"/>
      <c r="SXA21"/>
      <c r="SXB21"/>
      <c r="SXC21"/>
      <c r="SXD21"/>
      <c r="SXE21"/>
      <c r="SXF21"/>
      <c r="SXG21"/>
      <c r="SXH21"/>
      <c r="SXI21"/>
      <c r="SXJ21"/>
      <c r="SXK21"/>
      <c r="SXL21"/>
      <c r="SXM21"/>
      <c r="SXN21"/>
      <c r="SXO21"/>
      <c r="SXP21"/>
      <c r="SXQ21"/>
      <c r="SXR21"/>
      <c r="SXS21"/>
      <c r="SXT21"/>
      <c r="SXU21"/>
      <c r="SXV21"/>
      <c r="SXW21"/>
      <c r="SXX21"/>
      <c r="SXY21"/>
      <c r="SXZ21"/>
      <c r="SYA21"/>
      <c r="SYB21"/>
      <c r="SYC21"/>
      <c r="SYD21"/>
      <c r="SYE21"/>
      <c r="SYF21"/>
      <c r="SYG21"/>
      <c r="SYH21"/>
      <c r="SYI21"/>
      <c r="SYJ21"/>
      <c r="SYK21"/>
      <c r="SYL21"/>
      <c r="SYM21"/>
      <c r="SYN21"/>
      <c r="SYO21"/>
      <c r="SYP21"/>
      <c r="SYQ21"/>
      <c r="SYR21"/>
      <c r="SYS21"/>
      <c r="SYT21"/>
      <c r="SYU21"/>
      <c r="SYV21"/>
      <c r="SYW21"/>
      <c r="SYX21"/>
      <c r="SYY21"/>
      <c r="SYZ21"/>
      <c r="SZA21"/>
      <c r="SZB21"/>
      <c r="SZC21"/>
      <c r="SZD21"/>
      <c r="SZE21"/>
      <c r="SZF21"/>
      <c r="SZG21"/>
      <c r="SZH21"/>
      <c r="SZI21"/>
      <c r="SZJ21"/>
      <c r="SZK21"/>
      <c r="SZL21"/>
      <c r="SZM21"/>
      <c r="SZN21"/>
      <c r="SZO21"/>
      <c r="SZP21"/>
      <c r="SZQ21"/>
      <c r="SZR21"/>
      <c r="SZS21"/>
      <c r="SZT21"/>
      <c r="SZU21"/>
      <c r="SZV21"/>
      <c r="SZW21"/>
      <c r="SZX21"/>
      <c r="SZY21"/>
      <c r="SZZ21"/>
      <c r="TAA21"/>
      <c r="TAB21"/>
      <c r="TAC21"/>
      <c r="TAD21"/>
      <c r="TAE21"/>
      <c r="TAF21"/>
      <c r="TAG21"/>
      <c r="TAH21"/>
      <c r="TAI21"/>
      <c r="TAJ21"/>
      <c r="TAK21"/>
      <c r="TAL21"/>
      <c r="TAM21"/>
      <c r="TAN21"/>
      <c r="TAO21"/>
      <c r="TAP21"/>
      <c r="TAQ21"/>
      <c r="TAR21"/>
      <c r="TAS21"/>
      <c r="TAT21"/>
      <c r="TAU21"/>
      <c r="TAV21"/>
      <c r="TAW21"/>
      <c r="TAX21"/>
      <c r="TAY21"/>
      <c r="TAZ21"/>
      <c r="TBA21"/>
      <c r="TBB21"/>
      <c r="TBC21"/>
      <c r="TBD21"/>
      <c r="TBE21"/>
      <c r="TBF21"/>
      <c r="TBG21"/>
      <c r="TBH21"/>
      <c r="TBI21"/>
      <c r="TBJ21"/>
      <c r="TBK21"/>
      <c r="TBL21"/>
      <c r="TBM21"/>
      <c r="TBN21"/>
      <c r="TBO21"/>
      <c r="TBP21"/>
      <c r="TBQ21"/>
      <c r="TBR21"/>
      <c r="TBS21"/>
      <c r="TBT21"/>
      <c r="TBU21"/>
      <c r="TBV21"/>
      <c r="TBW21"/>
      <c r="TBX21"/>
      <c r="TBY21"/>
      <c r="TBZ21"/>
      <c r="TCA21"/>
      <c r="TCB21"/>
      <c r="TCC21"/>
      <c r="TCD21"/>
      <c r="TCE21"/>
      <c r="TCF21"/>
      <c r="TCG21"/>
      <c r="TCH21"/>
      <c r="TCI21"/>
      <c r="TCJ21"/>
      <c r="TCK21"/>
      <c r="TCL21"/>
      <c r="TCM21"/>
      <c r="TCN21"/>
      <c r="TCO21"/>
      <c r="TCP21"/>
      <c r="TCQ21"/>
      <c r="TCR21"/>
      <c r="TCS21"/>
      <c r="TCT21"/>
      <c r="TCU21"/>
      <c r="TCV21"/>
      <c r="TCW21"/>
      <c r="TCX21"/>
      <c r="TCY21"/>
      <c r="TCZ21"/>
      <c r="TDA21"/>
      <c r="TDB21"/>
      <c r="TDC21"/>
      <c r="TDD21"/>
      <c r="TDE21"/>
      <c r="TDF21"/>
      <c r="TDG21"/>
      <c r="TDH21"/>
      <c r="TDI21"/>
      <c r="TDJ21"/>
      <c r="TDK21"/>
      <c r="TDL21"/>
      <c r="TDM21"/>
      <c r="TDN21"/>
      <c r="TDO21"/>
      <c r="TDP21"/>
      <c r="TDQ21"/>
      <c r="TDR21"/>
      <c r="TDS21"/>
      <c r="TDT21"/>
      <c r="TDU21"/>
      <c r="TDV21"/>
      <c r="TDW21"/>
      <c r="TDX21"/>
      <c r="TDY21"/>
      <c r="TDZ21"/>
      <c r="TEA21"/>
      <c r="TEB21"/>
      <c r="TEC21"/>
      <c r="TED21"/>
      <c r="TEE21"/>
      <c r="TEF21"/>
      <c r="TEG21"/>
      <c r="TEH21"/>
      <c r="TEI21"/>
      <c r="TEJ21"/>
      <c r="TEK21"/>
      <c r="TEL21"/>
      <c r="TEM21"/>
      <c r="TEN21"/>
      <c r="TEO21"/>
      <c r="TEP21"/>
      <c r="TEQ21"/>
      <c r="TER21"/>
      <c r="TES21"/>
      <c r="TET21"/>
      <c r="TEU21"/>
      <c r="TEV21"/>
      <c r="TEW21"/>
      <c r="TEX21"/>
      <c r="TEY21"/>
      <c r="TEZ21"/>
      <c r="TFA21"/>
      <c r="TFB21"/>
      <c r="TFC21"/>
      <c r="TFD21"/>
      <c r="TFE21"/>
      <c r="TFF21"/>
      <c r="TFG21"/>
      <c r="TFH21"/>
      <c r="TFI21"/>
      <c r="TFJ21"/>
      <c r="TFK21"/>
      <c r="TFL21"/>
      <c r="TFM21"/>
      <c r="TFN21"/>
      <c r="TFO21"/>
      <c r="TFP21"/>
      <c r="TFQ21"/>
      <c r="TFR21"/>
      <c r="TFS21"/>
      <c r="TFT21"/>
      <c r="TFU21"/>
      <c r="TFV21"/>
      <c r="TFW21"/>
      <c r="TFX21"/>
      <c r="TFY21"/>
      <c r="TFZ21"/>
      <c r="TGA21"/>
      <c r="TGB21"/>
      <c r="TGC21"/>
      <c r="TGD21"/>
      <c r="TGE21"/>
      <c r="TGF21"/>
      <c r="TGG21"/>
      <c r="TGH21"/>
      <c r="TGI21"/>
      <c r="TGJ21"/>
      <c r="TGK21"/>
      <c r="TGL21"/>
      <c r="TGM21"/>
      <c r="TGN21"/>
      <c r="TGO21"/>
      <c r="TGP21"/>
      <c r="TGQ21"/>
      <c r="TGR21"/>
      <c r="TGS21"/>
      <c r="TGT21"/>
      <c r="TGU21"/>
      <c r="TGV21"/>
      <c r="TGW21"/>
      <c r="TGX21"/>
      <c r="TGY21"/>
      <c r="TGZ21"/>
      <c r="THA21"/>
      <c r="THB21"/>
      <c r="THC21"/>
      <c r="THD21"/>
      <c r="THE21"/>
      <c r="THF21"/>
      <c r="THG21"/>
      <c r="THH21"/>
      <c r="THI21"/>
      <c r="THJ21"/>
      <c r="THK21"/>
      <c r="THL21"/>
      <c r="THM21"/>
      <c r="THN21"/>
      <c r="THO21"/>
      <c r="THP21"/>
      <c r="THQ21"/>
      <c r="THR21"/>
      <c r="THS21"/>
      <c r="THT21"/>
      <c r="THU21"/>
      <c r="THV21"/>
      <c r="THW21"/>
      <c r="THX21"/>
      <c r="THY21"/>
      <c r="THZ21"/>
      <c r="TIA21"/>
      <c r="TIB21"/>
      <c r="TIC21"/>
      <c r="TID21"/>
      <c r="TIE21"/>
      <c r="TIF21"/>
      <c r="TIG21"/>
      <c r="TIH21"/>
      <c r="TII21"/>
      <c r="TIJ21"/>
      <c r="TIK21"/>
      <c r="TIL21"/>
      <c r="TIM21"/>
      <c r="TIN21"/>
      <c r="TIO21"/>
      <c r="TIP21"/>
      <c r="TIQ21"/>
      <c r="TIR21"/>
      <c r="TIS21"/>
      <c r="TIT21"/>
      <c r="TIU21"/>
      <c r="TIV21"/>
      <c r="TIW21"/>
      <c r="TIX21"/>
      <c r="TIY21"/>
      <c r="TIZ21"/>
      <c r="TJA21"/>
      <c r="TJB21"/>
      <c r="TJC21"/>
      <c r="TJD21"/>
      <c r="TJE21"/>
      <c r="TJF21"/>
      <c r="TJG21"/>
      <c r="TJH21"/>
      <c r="TJI21"/>
      <c r="TJJ21"/>
      <c r="TJK21"/>
      <c r="TJL21"/>
      <c r="TJM21"/>
      <c r="TJN21"/>
      <c r="TJO21"/>
      <c r="TJP21"/>
      <c r="TJQ21"/>
      <c r="TJR21"/>
      <c r="TJS21"/>
      <c r="TJT21"/>
      <c r="TJU21"/>
      <c r="TJV21"/>
      <c r="TJW21"/>
      <c r="TJX21"/>
      <c r="TJY21"/>
      <c r="TJZ21"/>
      <c r="TKA21"/>
      <c r="TKB21"/>
      <c r="TKC21"/>
      <c r="TKD21"/>
      <c r="TKE21"/>
      <c r="TKF21"/>
      <c r="TKG21"/>
      <c r="TKH21"/>
      <c r="TKI21"/>
      <c r="TKJ21"/>
      <c r="TKK21"/>
      <c r="TKL21"/>
      <c r="TKM21"/>
      <c r="TKN21"/>
      <c r="TKO21"/>
      <c r="TKP21"/>
      <c r="TKQ21"/>
      <c r="TKR21"/>
      <c r="TKS21"/>
      <c r="TKT21"/>
      <c r="TKU21"/>
      <c r="TKV21"/>
      <c r="TKW21"/>
      <c r="TKX21"/>
      <c r="TKY21"/>
      <c r="TKZ21"/>
      <c r="TLA21"/>
      <c r="TLB21"/>
      <c r="TLC21"/>
      <c r="TLD21"/>
      <c r="TLE21"/>
      <c r="TLF21"/>
      <c r="TLG21"/>
      <c r="TLH21"/>
      <c r="TLI21"/>
      <c r="TLJ21"/>
      <c r="TLK21"/>
      <c r="TLL21"/>
      <c r="TLM21"/>
      <c r="TLN21"/>
      <c r="TLO21"/>
      <c r="TLP21"/>
      <c r="TLQ21"/>
      <c r="TLR21"/>
      <c r="TLS21"/>
      <c r="TLT21"/>
      <c r="TLU21"/>
      <c r="TLV21"/>
      <c r="TLW21"/>
      <c r="TLX21"/>
      <c r="TLY21"/>
      <c r="TLZ21"/>
      <c r="TMA21"/>
      <c r="TMB21"/>
      <c r="TMC21"/>
      <c r="TMD21"/>
      <c r="TME21"/>
      <c r="TMF21"/>
      <c r="TMG21"/>
      <c r="TMH21"/>
      <c r="TMI21"/>
      <c r="TMJ21"/>
      <c r="TMK21"/>
      <c r="TML21"/>
      <c r="TMM21"/>
      <c r="TMN21"/>
      <c r="TMO21"/>
      <c r="TMP21"/>
      <c r="TMQ21"/>
      <c r="TMR21"/>
      <c r="TMS21"/>
      <c r="TMT21"/>
      <c r="TMU21"/>
      <c r="TMV21"/>
      <c r="TMW21"/>
      <c r="TMX21"/>
      <c r="TMY21"/>
      <c r="TMZ21"/>
      <c r="TNA21"/>
      <c r="TNB21"/>
      <c r="TNC21"/>
      <c r="TND21"/>
      <c r="TNE21"/>
      <c r="TNF21"/>
      <c r="TNG21"/>
      <c r="TNH21"/>
      <c r="TNI21"/>
      <c r="TNJ21"/>
      <c r="TNK21"/>
      <c r="TNL21"/>
      <c r="TNM21"/>
      <c r="TNN21"/>
      <c r="TNO21"/>
      <c r="TNP21"/>
      <c r="TNQ21"/>
      <c r="TNR21"/>
      <c r="TNS21"/>
      <c r="TNT21"/>
      <c r="TNU21"/>
      <c r="TNV21"/>
      <c r="TNW21"/>
      <c r="TNX21"/>
      <c r="TNY21"/>
      <c r="TNZ21"/>
      <c r="TOA21"/>
      <c r="TOB21"/>
      <c r="TOC21"/>
      <c r="TOD21"/>
      <c r="TOE21"/>
      <c r="TOF21"/>
      <c r="TOG21"/>
      <c r="TOH21"/>
      <c r="TOI21"/>
      <c r="TOJ21"/>
      <c r="TOK21"/>
      <c r="TOL21"/>
      <c r="TOM21"/>
      <c r="TON21"/>
      <c r="TOO21"/>
      <c r="TOP21"/>
      <c r="TOQ21"/>
      <c r="TOR21"/>
      <c r="TOS21"/>
      <c r="TOT21"/>
      <c r="TOU21"/>
      <c r="TOV21"/>
      <c r="TOW21"/>
      <c r="TOX21"/>
      <c r="TOY21"/>
      <c r="TOZ21"/>
      <c r="TPA21"/>
      <c r="TPB21"/>
      <c r="TPC21"/>
      <c r="TPD21"/>
      <c r="TPE21"/>
      <c r="TPF21"/>
      <c r="TPG21"/>
      <c r="TPH21"/>
      <c r="TPI21"/>
      <c r="TPJ21"/>
      <c r="TPK21"/>
      <c r="TPL21"/>
      <c r="TPM21"/>
      <c r="TPN21"/>
      <c r="TPO21"/>
      <c r="TPP21"/>
      <c r="TPQ21"/>
      <c r="TPR21"/>
      <c r="TPS21"/>
      <c r="TPT21"/>
      <c r="TPU21"/>
      <c r="TPV21"/>
      <c r="TPW21"/>
      <c r="TPX21"/>
      <c r="TPY21"/>
      <c r="TPZ21"/>
      <c r="TQA21"/>
      <c r="TQB21"/>
      <c r="TQC21"/>
      <c r="TQD21"/>
      <c r="TQE21"/>
      <c r="TQF21"/>
      <c r="TQG21"/>
      <c r="TQH21"/>
      <c r="TQI21"/>
      <c r="TQJ21"/>
      <c r="TQK21"/>
      <c r="TQL21"/>
      <c r="TQM21"/>
      <c r="TQN21"/>
      <c r="TQO21"/>
      <c r="TQP21"/>
      <c r="TQQ21"/>
      <c r="TQR21"/>
      <c r="TQS21"/>
      <c r="TQT21"/>
      <c r="TQU21"/>
      <c r="TQV21"/>
      <c r="TQW21"/>
      <c r="TQX21"/>
      <c r="TQY21"/>
      <c r="TQZ21"/>
      <c r="TRA21"/>
      <c r="TRB21"/>
      <c r="TRC21"/>
      <c r="TRD21"/>
      <c r="TRE21"/>
      <c r="TRF21"/>
      <c r="TRG21"/>
      <c r="TRH21"/>
      <c r="TRI21"/>
      <c r="TRJ21"/>
      <c r="TRK21"/>
      <c r="TRL21"/>
      <c r="TRM21"/>
      <c r="TRN21"/>
      <c r="TRO21"/>
      <c r="TRP21"/>
      <c r="TRQ21"/>
      <c r="TRR21"/>
      <c r="TRS21"/>
      <c r="TRT21"/>
      <c r="TRU21"/>
      <c r="TRV21"/>
      <c r="TRW21"/>
      <c r="TRX21"/>
      <c r="TRY21"/>
      <c r="TRZ21"/>
      <c r="TSA21"/>
      <c r="TSB21"/>
      <c r="TSC21"/>
      <c r="TSD21"/>
      <c r="TSE21"/>
      <c r="TSF21"/>
      <c r="TSG21"/>
      <c r="TSH21"/>
      <c r="TSI21"/>
      <c r="TSJ21"/>
      <c r="TSK21"/>
      <c r="TSL21"/>
      <c r="TSM21"/>
      <c r="TSN21"/>
      <c r="TSO21"/>
      <c r="TSP21"/>
      <c r="TSQ21"/>
      <c r="TSR21"/>
      <c r="TSS21"/>
      <c r="TST21"/>
      <c r="TSU21"/>
      <c r="TSV21"/>
      <c r="TSW21"/>
      <c r="TSX21"/>
      <c r="TSY21"/>
      <c r="TSZ21"/>
      <c r="TTA21"/>
      <c r="TTB21"/>
      <c r="TTC21"/>
      <c r="TTD21"/>
      <c r="TTE21"/>
      <c r="TTF21"/>
      <c r="TTG21"/>
      <c r="TTH21"/>
      <c r="TTI21"/>
      <c r="TTJ21"/>
      <c r="TTK21"/>
      <c r="TTL21"/>
      <c r="TTM21"/>
      <c r="TTN21"/>
      <c r="TTO21"/>
      <c r="TTP21"/>
      <c r="TTQ21"/>
      <c r="TTR21"/>
      <c r="TTS21"/>
      <c r="TTT21"/>
      <c r="TTU21"/>
      <c r="TTV21"/>
      <c r="TTW21"/>
      <c r="TTX21"/>
      <c r="TTY21"/>
      <c r="TTZ21"/>
      <c r="TUA21"/>
      <c r="TUB21"/>
      <c r="TUC21"/>
      <c r="TUD21"/>
      <c r="TUE21"/>
      <c r="TUF21"/>
      <c r="TUG21"/>
      <c r="TUH21"/>
      <c r="TUI21"/>
      <c r="TUJ21"/>
      <c r="TUK21"/>
      <c r="TUL21"/>
      <c r="TUM21"/>
      <c r="TUN21"/>
      <c r="TUO21"/>
      <c r="TUP21"/>
      <c r="TUQ21"/>
      <c r="TUR21"/>
      <c r="TUS21"/>
      <c r="TUT21"/>
      <c r="TUU21"/>
      <c r="TUV21"/>
      <c r="TUW21"/>
      <c r="TUX21"/>
      <c r="TUY21"/>
      <c r="TUZ21"/>
      <c r="TVA21"/>
      <c r="TVB21"/>
      <c r="TVC21"/>
      <c r="TVD21"/>
      <c r="TVE21"/>
      <c r="TVF21"/>
      <c r="TVG21"/>
      <c r="TVH21"/>
      <c r="TVI21"/>
      <c r="TVJ21"/>
      <c r="TVK21"/>
      <c r="TVL21"/>
      <c r="TVM21"/>
      <c r="TVN21"/>
      <c r="TVO21"/>
      <c r="TVP21"/>
      <c r="TVQ21"/>
      <c r="TVR21"/>
      <c r="TVS21"/>
      <c r="TVT21"/>
      <c r="TVU21"/>
      <c r="TVV21"/>
      <c r="TVW21"/>
      <c r="TVX21"/>
      <c r="TVY21"/>
      <c r="TVZ21"/>
      <c r="TWA21"/>
      <c r="TWB21"/>
      <c r="TWC21"/>
      <c r="TWD21"/>
      <c r="TWE21"/>
      <c r="TWF21"/>
      <c r="TWG21"/>
      <c r="TWH21"/>
      <c r="TWI21"/>
      <c r="TWJ21"/>
      <c r="TWK21"/>
      <c r="TWL21"/>
      <c r="TWM21"/>
      <c r="TWN21"/>
      <c r="TWO21"/>
      <c r="TWP21"/>
      <c r="TWQ21"/>
      <c r="TWR21"/>
      <c r="TWS21"/>
      <c r="TWT21"/>
      <c r="TWU21"/>
      <c r="TWV21"/>
      <c r="TWW21"/>
      <c r="TWX21"/>
      <c r="TWY21"/>
      <c r="TWZ21"/>
      <c r="TXA21"/>
      <c r="TXB21"/>
      <c r="TXC21"/>
      <c r="TXD21"/>
      <c r="TXE21"/>
      <c r="TXF21"/>
      <c r="TXG21"/>
      <c r="TXH21"/>
      <c r="TXI21"/>
      <c r="TXJ21"/>
      <c r="TXK21"/>
      <c r="TXL21"/>
      <c r="TXM21"/>
      <c r="TXN21"/>
      <c r="TXO21"/>
      <c r="TXP21"/>
      <c r="TXQ21"/>
      <c r="TXR21"/>
      <c r="TXS21"/>
      <c r="TXT21"/>
      <c r="TXU21"/>
      <c r="TXV21"/>
      <c r="TXW21"/>
      <c r="TXX21"/>
      <c r="TXY21"/>
      <c r="TXZ21"/>
      <c r="TYA21"/>
      <c r="TYB21"/>
      <c r="TYC21"/>
      <c r="TYD21"/>
      <c r="TYE21"/>
      <c r="TYF21"/>
      <c r="TYG21"/>
      <c r="TYH21"/>
      <c r="TYI21"/>
      <c r="TYJ21"/>
      <c r="TYK21"/>
      <c r="TYL21"/>
      <c r="TYM21"/>
      <c r="TYN21"/>
      <c r="TYO21"/>
      <c r="TYP21"/>
      <c r="TYQ21"/>
      <c r="TYR21"/>
      <c r="TYS21"/>
      <c r="TYT21"/>
      <c r="TYU21"/>
      <c r="TYV21"/>
      <c r="TYW21"/>
      <c r="TYX21"/>
      <c r="TYY21"/>
      <c r="TYZ21"/>
      <c r="TZA21"/>
      <c r="TZB21"/>
      <c r="TZC21"/>
      <c r="TZD21"/>
      <c r="TZE21"/>
      <c r="TZF21"/>
      <c r="TZG21"/>
      <c r="TZH21"/>
      <c r="TZI21"/>
      <c r="TZJ21"/>
      <c r="TZK21"/>
      <c r="TZL21"/>
      <c r="TZM21"/>
      <c r="TZN21"/>
      <c r="TZO21"/>
      <c r="TZP21"/>
      <c r="TZQ21"/>
      <c r="TZR21"/>
      <c r="TZS21"/>
      <c r="TZT21"/>
      <c r="TZU21"/>
      <c r="TZV21"/>
      <c r="TZW21"/>
      <c r="TZX21"/>
      <c r="TZY21"/>
      <c r="TZZ21"/>
      <c r="UAA21"/>
      <c r="UAB21"/>
      <c r="UAC21"/>
      <c r="UAD21"/>
      <c r="UAE21"/>
      <c r="UAF21"/>
      <c r="UAG21"/>
      <c r="UAH21"/>
      <c r="UAI21"/>
      <c r="UAJ21"/>
      <c r="UAK21"/>
      <c r="UAL21"/>
      <c r="UAM21"/>
      <c r="UAN21"/>
      <c r="UAO21"/>
      <c r="UAP21"/>
      <c r="UAQ21"/>
      <c r="UAR21"/>
      <c r="UAS21"/>
      <c r="UAT21"/>
      <c r="UAU21"/>
      <c r="UAV21"/>
      <c r="UAW21"/>
      <c r="UAX21"/>
      <c r="UAY21"/>
      <c r="UAZ21"/>
      <c r="UBA21"/>
      <c r="UBB21"/>
      <c r="UBC21"/>
      <c r="UBD21"/>
      <c r="UBE21"/>
      <c r="UBF21"/>
      <c r="UBG21"/>
      <c r="UBH21"/>
      <c r="UBI21"/>
      <c r="UBJ21"/>
      <c r="UBK21"/>
      <c r="UBL21"/>
      <c r="UBM21"/>
      <c r="UBN21"/>
      <c r="UBO21"/>
      <c r="UBP21"/>
      <c r="UBQ21"/>
      <c r="UBR21"/>
      <c r="UBS21"/>
      <c r="UBT21"/>
      <c r="UBU21"/>
      <c r="UBV21"/>
      <c r="UBW21"/>
      <c r="UBX21"/>
      <c r="UBY21"/>
      <c r="UBZ21"/>
      <c r="UCA21"/>
      <c r="UCB21"/>
      <c r="UCC21"/>
      <c r="UCD21"/>
      <c r="UCE21"/>
      <c r="UCF21"/>
      <c r="UCG21"/>
      <c r="UCH21"/>
      <c r="UCI21"/>
      <c r="UCJ21"/>
      <c r="UCK21"/>
      <c r="UCL21"/>
      <c r="UCM21"/>
      <c r="UCN21"/>
      <c r="UCO21"/>
      <c r="UCP21"/>
      <c r="UCQ21"/>
      <c r="UCR21"/>
      <c r="UCS21"/>
      <c r="UCT21"/>
      <c r="UCU21"/>
      <c r="UCV21"/>
      <c r="UCW21"/>
      <c r="UCX21"/>
      <c r="UCY21"/>
      <c r="UCZ21"/>
      <c r="UDA21"/>
      <c r="UDB21"/>
      <c r="UDC21"/>
      <c r="UDD21"/>
      <c r="UDE21"/>
      <c r="UDF21"/>
      <c r="UDG21"/>
      <c r="UDH21"/>
      <c r="UDI21"/>
      <c r="UDJ21"/>
      <c r="UDK21"/>
      <c r="UDL21"/>
      <c r="UDM21"/>
      <c r="UDN21"/>
      <c r="UDO21"/>
      <c r="UDP21"/>
      <c r="UDQ21"/>
      <c r="UDR21"/>
      <c r="UDS21"/>
      <c r="UDT21"/>
      <c r="UDU21"/>
      <c r="UDV21"/>
      <c r="UDW21"/>
      <c r="UDX21"/>
      <c r="UDY21"/>
      <c r="UDZ21"/>
      <c r="UEA21"/>
      <c r="UEB21"/>
      <c r="UEC21"/>
      <c r="UED21"/>
      <c r="UEE21"/>
      <c r="UEF21"/>
      <c r="UEG21"/>
      <c r="UEH21"/>
      <c r="UEI21"/>
      <c r="UEJ21"/>
      <c r="UEK21"/>
      <c r="UEL21"/>
      <c r="UEM21"/>
      <c r="UEN21"/>
      <c r="UEO21"/>
      <c r="UEP21"/>
      <c r="UEQ21"/>
      <c r="UER21"/>
      <c r="UES21"/>
      <c r="UET21"/>
      <c r="UEU21"/>
      <c r="UEV21"/>
      <c r="UEW21"/>
      <c r="UEX21"/>
      <c r="UEY21"/>
      <c r="UEZ21"/>
      <c r="UFA21"/>
      <c r="UFB21"/>
      <c r="UFC21"/>
      <c r="UFD21"/>
      <c r="UFE21"/>
      <c r="UFF21"/>
      <c r="UFG21"/>
      <c r="UFH21"/>
      <c r="UFI21"/>
      <c r="UFJ21"/>
      <c r="UFK21"/>
      <c r="UFL21"/>
      <c r="UFM21"/>
      <c r="UFN21"/>
      <c r="UFO21"/>
      <c r="UFP21"/>
      <c r="UFQ21"/>
      <c r="UFR21"/>
      <c r="UFS21"/>
      <c r="UFT21"/>
      <c r="UFU21"/>
      <c r="UFV21"/>
      <c r="UFW21"/>
      <c r="UFX21"/>
      <c r="UFY21"/>
      <c r="UFZ21"/>
      <c r="UGA21"/>
      <c r="UGB21"/>
      <c r="UGC21"/>
      <c r="UGD21"/>
      <c r="UGE21"/>
      <c r="UGF21"/>
      <c r="UGG21"/>
      <c r="UGH21"/>
      <c r="UGI21"/>
      <c r="UGJ21"/>
      <c r="UGK21"/>
      <c r="UGL21"/>
      <c r="UGM21"/>
      <c r="UGN21"/>
      <c r="UGO21"/>
      <c r="UGP21"/>
      <c r="UGQ21"/>
      <c r="UGR21"/>
      <c r="UGS21"/>
      <c r="UGT21"/>
      <c r="UGU21"/>
      <c r="UGV21"/>
      <c r="UGW21"/>
      <c r="UGX21"/>
      <c r="UGY21"/>
      <c r="UGZ21"/>
      <c r="UHA21"/>
      <c r="UHB21"/>
      <c r="UHC21"/>
      <c r="UHD21"/>
      <c r="UHE21"/>
      <c r="UHF21"/>
      <c r="UHG21"/>
      <c r="UHH21"/>
      <c r="UHI21"/>
      <c r="UHJ21"/>
      <c r="UHK21"/>
      <c r="UHL21"/>
      <c r="UHM21"/>
      <c r="UHN21"/>
      <c r="UHO21"/>
      <c r="UHP21"/>
      <c r="UHQ21"/>
      <c r="UHR21"/>
      <c r="UHS21"/>
      <c r="UHT21"/>
      <c r="UHU21"/>
      <c r="UHV21"/>
      <c r="UHW21"/>
      <c r="UHX21"/>
      <c r="UHY21"/>
      <c r="UHZ21"/>
      <c r="UIA21"/>
      <c r="UIB21"/>
      <c r="UIC21"/>
      <c r="UID21"/>
      <c r="UIE21"/>
      <c r="UIF21"/>
      <c r="UIG21"/>
      <c r="UIH21"/>
      <c r="UII21"/>
      <c r="UIJ21"/>
      <c r="UIK21"/>
      <c r="UIL21"/>
      <c r="UIM21"/>
      <c r="UIN21"/>
      <c r="UIO21"/>
      <c r="UIP21"/>
      <c r="UIQ21"/>
      <c r="UIR21"/>
      <c r="UIS21"/>
      <c r="UIT21"/>
      <c r="UIU21"/>
      <c r="UIV21"/>
      <c r="UIW21"/>
      <c r="UIX21"/>
      <c r="UIY21"/>
      <c r="UIZ21"/>
      <c r="UJA21"/>
      <c r="UJB21"/>
      <c r="UJC21"/>
      <c r="UJD21"/>
      <c r="UJE21"/>
      <c r="UJF21"/>
      <c r="UJG21"/>
      <c r="UJH21"/>
      <c r="UJI21"/>
      <c r="UJJ21"/>
      <c r="UJK21"/>
      <c r="UJL21"/>
      <c r="UJM21"/>
      <c r="UJN21"/>
      <c r="UJO21"/>
      <c r="UJP21"/>
      <c r="UJQ21"/>
      <c r="UJR21"/>
      <c r="UJS21"/>
      <c r="UJT21"/>
      <c r="UJU21"/>
      <c r="UJV21"/>
      <c r="UJW21"/>
      <c r="UJX21"/>
      <c r="UJY21"/>
      <c r="UJZ21"/>
      <c r="UKA21"/>
      <c r="UKB21"/>
      <c r="UKC21"/>
      <c r="UKD21"/>
      <c r="UKE21"/>
      <c r="UKF21"/>
      <c r="UKG21"/>
      <c r="UKH21"/>
      <c r="UKI21"/>
      <c r="UKJ21"/>
      <c r="UKK21"/>
      <c r="UKL21"/>
      <c r="UKM21"/>
      <c r="UKN21"/>
      <c r="UKO21"/>
      <c r="UKP21"/>
      <c r="UKQ21"/>
      <c r="UKR21"/>
      <c r="UKS21"/>
      <c r="UKT21"/>
      <c r="UKU21"/>
      <c r="UKV21"/>
      <c r="UKW21"/>
      <c r="UKX21"/>
      <c r="UKY21"/>
      <c r="UKZ21"/>
      <c r="ULA21"/>
      <c r="ULB21"/>
      <c r="ULC21"/>
      <c r="ULD21"/>
      <c r="ULE21"/>
      <c r="ULF21"/>
      <c r="ULG21"/>
      <c r="ULH21"/>
      <c r="ULI21"/>
      <c r="ULJ21"/>
      <c r="ULK21"/>
      <c r="ULL21"/>
      <c r="ULM21"/>
      <c r="ULN21"/>
      <c r="ULO21"/>
      <c r="ULP21"/>
      <c r="ULQ21"/>
      <c r="ULR21"/>
      <c r="ULS21"/>
      <c r="ULT21"/>
      <c r="ULU21"/>
      <c r="ULV21"/>
      <c r="ULW21"/>
      <c r="ULX21"/>
      <c r="ULY21"/>
      <c r="ULZ21"/>
      <c r="UMA21"/>
      <c r="UMB21"/>
      <c r="UMC21"/>
      <c r="UMD21"/>
      <c r="UME21"/>
      <c r="UMF21"/>
      <c r="UMG21"/>
      <c r="UMH21"/>
      <c r="UMI21"/>
      <c r="UMJ21"/>
      <c r="UMK21"/>
      <c r="UML21"/>
      <c r="UMM21"/>
      <c r="UMN21"/>
      <c r="UMO21"/>
      <c r="UMP21"/>
      <c r="UMQ21"/>
      <c r="UMR21"/>
      <c r="UMS21"/>
      <c r="UMT21"/>
      <c r="UMU21"/>
      <c r="UMV21"/>
      <c r="UMW21"/>
      <c r="UMX21"/>
      <c r="UMY21"/>
      <c r="UMZ21"/>
      <c r="UNA21"/>
      <c r="UNB21"/>
      <c r="UNC21"/>
      <c r="UND21"/>
      <c r="UNE21"/>
      <c r="UNF21"/>
      <c r="UNG21"/>
      <c r="UNH21"/>
      <c r="UNI21"/>
      <c r="UNJ21"/>
      <c r="UNK21"/>
      <c r="UNL21"/>
      <c r="UNM21"/>
      <c r="UNN21"/>
      <c r="UNO21"/>
      <c r="UNP21"/>
      <c r="UNQ21"/>
      <c r="UNR21"/>
      <c r="UNS21"/>
      <c r="UNT21"/>
      <c r="UNU21"/>
      <c r="UNV21"/>
      <c r="UNW21"/>
      <c r="UNX21"/>
      <c r="UNY21"/>
      <c r="UNZ21"/>
      <c r="UOA21"/>
      <c r="UOB21"/>
      <c r="UOC21"/>
      <c r="UOD21"/>
      <c r="UOE21"/>
      <c r="UOF21"/>
      <c r="UOG21"/>
      <c r="UOH21"/>
      <c r="UOI21"/>
      <c r="UOJ21"/>
      <c r="UOK21"/>
      <c r="UOL21"/>
      <c r="UOM21"/>
      <c r="UON21"/>
      <c r="UOO21"/>
      <c r="UOP21"/>
      <c r="UOQ21"/>
      <c r="UOR21"/>
      <c r="UOS21"/>
      <c r="UOT21"/>
      <c r="UOU21"/>
      <c r="UOV21"/>
      <c r="UOW21"/>
      <c r="UOX21"/>
      <c r="UOY21"/>
      <c r="UOZ21"/>
      <c r="UPA21"/>
      <c r="UPB21"/>
      <c r="UPC21"/>
      <c r="UPD21"/>
      <c r="UPE21"/>
      <c r="UPF21"/>
      <c r="UPG21"/>
      <c r="UPH21"/>
      <c r="UPI21"/>
      <c r="UPJ21"/>
      <c r="UPK21"/>
      <c r="UPL21"/>
      <c r="UPM21"/>
      <c r="UPN21"/>
      <c r="UPO21"/>
      <c r="UPP21"/>
      <c r="UPQ21"/>
      <c r="UPR21"/>
      <c r="UPS21"/>
      <c r="UPT21"/>
      <c r="UPU21"/>
      <c r="UPV21"/>
      <c r="UPW21"/>
      <c r="UPX21"/>
      <c r="UPY21"/>
      <c r="UPZ21"/>
      <c r="UQA21"/>
      <c r="UQB21"/>
      <c r="UQC21"/>
      <c r="UQD21"/>
      <c r="UQE21"/>
      <c r="UQF21"/>
      <c r="UQG21"/>
      <c r="UQH21"/>
      <c r="UQI21"/>
      <c r="UQJ21"/>
      <c r="UQK21"/>
      <c r="UQL21"/>
      <c r="UQM21"/>
      <c r="UQN21"/>
      <c r="UQO21"/>
      <c r="UQP21"/>
      <c r="UQQ21"/>
      <c r="UQR21"/>
      <c r="UQS21"/>
      <c r="UQT21"/>
      <c r="UQU21"/>
      <c r="UQV21"/>
      <c r="UQW21"/>
      <c r="UQX21"/>
      <c r="UQY21"/>
      <c r="UQZ21"/>
      <c r="URA21"/>
      <c r="URB21"/>
      <c r="URC21"/>
      <c r="URD21"/>
      <c r="URE21"/>
      <c r="URF21"/>
      <c r="URG21"/>
      <c r="URH21"/>
      <c r="URI21"/>
      <c r="URJ21"/>
      <c r="URK21"/>
      <c r="URL21"/>
      <c r="URM21"/>
      <c r="URN21"/>
      <c r="URO21"/>
      <c r="URP21"/>
      <c r="URQ21"/>
      <c r="URR21"/>
      <c r="URS21"/>
      <c r="URT21"/>
      <c r="URU21"/>
      <c r="URV21"/>
      <c r="URW21"/>
      <c r="URX21"/>
      <c r="URY21"/>
      <c r="URZ21"/>
      <c r="USA21"/>
      <c r="USB21"/>
      <c r="USC21"/>
      <c r="USD21"/>
      <c r="USE21"/>
      <c r="USF21"/>
      <c r="USG21"/>
      <c r="USH21"/>
      <c r="USI21"/>
      <c r="USJ21"/>
      <c r="USK21"/>
      <c r="USL21"/>
      <c r="USM21"/>
      <c r="USN21"/>
      <c r="USO21"/>
      <c r="USP21"/>
      <c r="USQ21"/>
      <c r="USR21"/>
      <c r="USS21"/>
      <c r="UST21"/>
      <c r="USU21"/>
      <c r="USV21"/>
      <c r="USW21"/>
      <c r="USX21"/>
      <c r="USY21"/>
      <c r="USZ21"/>
      <c r="UTA21"/>
      <c r="UTB21"/>
      <c r="UTC21"/>
      <c r="UTD21"/>
      <c r="UTE21"/>
      <c r="UTF21"/>
      <c r="UTG21"/>
      <c r="UTH21"/>
      <c r="UTI21"/>
      <c r="UTJ21"/>
      <c r="UTK21"/>
      <c r="UTL21"/>
      <c r="UTM21"/>
      <c r="UTN21"/>
      <c r="UTO21"/>
      <c r="UTP21"/>
      <c r="UTQ21"/>
      <c r="UTR21"/>
      <c r="UTS21"/>
      <c r="UTT21"/>
      <c r="UTU21"/>
      <c r="UTV21"/>
      <c r="UTW21"/>
      <c r="UTX21"/>
      <c r="UTY21"/>
      <c r="UTZ21"/>
      <c r="UUA21"/>
      <c r="UUB21"/>
      <c r="UUC21"/>
      <c r="UUD21"/>
      <c r="UUE21"/>
      <c r="UUF21"/>
      <c r="UUG21"/>
      <c r="UUH21"/>
      <c r="UUI21"/>
      <c r="UUJ21"/>
      <c r="UUK21"/>
      <c r="UUL21"/>
      <c r="UUM21"/>
      <c r="UUN21"/>
      <c r="UUO21"/>
      <c r="UUP21"/>
      <c r="UUQ21"/>
      <c r="UUR21"/>
      <c r="UUS21"/>
      <c r="UUT21"/>
      <c r="UUU21"/>
      <c r="UUV21"/>
      <c r="UUW21"/>
      <c r="UUX21"/>
      <c r="UUY21"/>
      <c r="UUZ21"/>
      <c r="UVA21"/>
      <c r="UVB21"/>
      <c r="UVC21"/>
      <c r="UVD21"/>
      <c r="UVE21"/>
      <c r="UVF21"/>
      <c r="UVG21"/>
      <c r="UVH21"/>
      <c r="UVI21"/>
      <c r="UVJ21"/>
      <c r="UVK21"/>
      <c r="UVL21"/>
      <c r="UVM21"/>
      <c r="UVN21"/>
      <c r="UVO21"/>
      <c r="UVP21"/>
      <c r="UVQ21"/>
      <c r="UVR21"/>
      <c r="UVS21"/>
      <c r="UVT21"/>
      <c r="UVU21"/>
      <c r="UVV21"/>
      <c r="UVW21"/>
      <c r="UVX21"/>
      <c r="UVY21"/>
      <c r="UVZ21"/>
      <c r="UWA21"/>
      <c r="UWB21"/>
      <c r="UWC21"/>
      <c r="UWD21"/>
      <c r="UWE21"/>
      <c r="UWF21"/>
      <c r="UWG21"/>
      <c r="UWH21"/>
      <c r="UWI21"/>
      <c r="UWJ21"/>
      <c r="UWK21"/>
      <c r="UWL21"/>
      <c r="UWM21"/>
      <c r="UWN21"/>
      <c r="UWO21"/>
      <c r="UWP21"/>
      <c r="UWQ21"/>
      <c r="UWR21"/>
      <c r="UWS21"/>
      <c r="UWT21"/>
      <c r="UWU21"/>
      <c r="UWV21"/>
      <c r="UWW21"/>
      <c r="UWX21"/>
      <c r="UWY21"/>
      <c r="UWZ21"/>
      <c r="UXA21"/>
      <c r="UXB21"/>
      <c r="UXC21"/>
      <c r="UXD21"/>
      <c r="UXE21"/>
      <c r="UXF21"/>
      <c r="UXG21"/>
      <c r="UXH21"/>
      <c r="UXI21"/>
      <c r="UXJ21"/>
      <c r="UXK21"/>
      <c r="UXL21"/>
      <c r="UXM21"/>
      <c r="UXN21"/>
      <c r="UXO21"/>
      <c r="UXP21"/>
      <c r="UXQ21"/>
      <c r="UXR21"/>
      <c r="UXS21"/>
      <c r="UXT21"/>
      <c r="UXU21"/>
      <c r="UXV21"/>
      <c r="UXW21"/>
      <c r="UXX21"/>
      <c r="UXY21"/>
      <c r="UXZ21"/>
      <c r="UYA21"/>
      <c r="UYB21"/>
      <c r="UYC21"/>
      <c r="UYD21"/>
      <c r="UYE21"/>
      <c r="UYF21"/>
      <c r="UYG21"/>
      <c r="UYH21"/>
      <c r="UYI21"/>
      <c r="UYJ21"/>
      <c r="UYK21"/>
      <c r="UYL21"/>
      <c r="UYM21"/>
      <c r="UYN21"/>
      <c r="UYO21"/>
      <c r="UYP21"/>
      <c r="UYQ21"/>
      <c r="UYR21"/>
      <c r="UYS21"/>
      <c r="UYT21"/>
      <c r="UYU21"/>
      <c r="UYV21"/>
      <c r="UYW21"/>
      <c r="UYX21"/>
      <c r="UYY21"/>
      <c r="UYZ21"/>
      <c r="UZA21"/>
      <c r="UZB21"/>
      <c r="UZC21"/>
      <c r="UZD21"/>
      <c r="UZE21"/>
      <c r="UZF21"/>
      <c r="UZG21"/>
      <c r="UZH21"/>
      <c r="UZI21"/>
      <c r="UZJ21"/>
      <c r="UZK21"/>
      <c r="UZL21"/>
      <c r="UZM21"/>
      <c r="UZN21"/>
      <c r="UZO21"/>
      <c r="UZP21"/>
      <c r="UZQ21"/>
      <c r="UZR21"/>
      <c r="UZS21"/>
      <c r="UZT21"/>
      <c r="UZU21"/>
      <c r="UZV21"/>
      <c r="UZW21"/>
      <c r="UZX21"/>
      <c r="UZY21"/>
      <c r="UZZ21"/>
      <c r="VAA21"/>
      <c r="VAB21"/>
      <c r="VAC21"/>
      <c r="VAD21"/>
      <c r="VAE21"/>
      <c r="VAF21"/>
      <c r="VAG21"/>
      <c r="VAH21"/>
      <c r="VAI21"/>
      <c r="VAJ21"/>
      <c r="VAK21"/>
      <c r="VAL21"/>
      <c r="VAM21"/>
      <c r="VAN21"/>
      <c r="VAO21"/>
      <c r="VAP21"/>
      <c r="VAQ21"/>
      <c r="VAR21"/>
      <c r="VAS21"/>
      <c r="VAT21"/>
      <c r="VAU21"/>
      <c r="VAV21"/>
      <c r="VAW21"/>
      <c r="VAX21"/>
      <c r="VAY21"/>
      <c r="VAZ21"/>
      <c r="VBA21"/>
      <c r="VBB21"/>
      <c r="VBC21"/>
      <c r="VBD21"/>
      <c r="VBE21"/>
      <c r="VBF21"/>
      <c r="VBG21"/>
      <c r="VBH21"/>
      <c r="VBI21"/>
      <c r="VBJ21"/>
      <c r="VBK21"/>
      <c r="VBL21"/>
      <c r="VBM21"/>
      <c r="VBN21"/>
      <c r="VBO21"/>
      <c r="VBP21"/>
      <c r="VBQ21"/>
      <c r="VBR21"/>
      <c r="VBS21"/>
      <c r="VBT21"/>
      <c r="VBU21"/>
      <c r="VBV21"/>
      <c r="VBW21"/>
      <c r="VBX21"/>
      <c r="VBY21"/>
      <c r="VBZ21"/>
      <c r="VCA21"/>
      <c r="VCB21"/>
      <c r="VCC21"/>
      <c r="VCD21"/>
      <c r="VCE21"/>
      <c r="VCF21"/>
      <c r="VCG21"/>
      <c r="VCH21"/>
      <c r="VCI21"/>
      <c r="VCJ21"/>
      <c r="VCK21"/>
      <c r="VCL21"/>
      <c r="VCM21"/>
      <c r="VCN21"/>
      <c r="VCO21"/>
      <c r="VCP21"/>
      <c r="VCQ21"/>
      <c r="VCR21"/>
      <c r="VCS21"/>
      <c r="VCT21"/>
      <c r="VCU21"/>
      <c r="VCV21"/>
      <c r="VCW21"/>
      <c r="VCX21"/>
      <c r="VCY21"/>
      <c r="VCZ21"/>
      <c r="VDA21"/>
      <c r="VDB21"/>
      <c r="VDC21"/>
      <c r="VDD21"/>
      <c r="VDE21"/>
      <c r="VDF21"/>
      <c r="VDG21"/>
      <c r="VDH21"/>
      <c r="VDI21"/>
      <c r="VDJ21"/>
      <c r="VDK21"/>
      <c r="VDL21"/>
      <c r="VDM21"/>
      <c r="VDN21"/>
      <c r="VDO21"/>
      <c r="VDP21"/>
      <c r="VDQ21"/>
      <c r="VDR21"/>
      <c r="VDS21"/>
      <c r="VDT21"/>
      <c r="VDU21"/>
      <c r="VDV21"/>
      <c r="VDW21"/>
      <c r="VDX21"/>
      <c r="VDY21"/>
      <c r="VDZ21"/>
      <c r="VEA21"/>
      <c r="VEB21"/>
      <c r="VEC21"/>
      <c r="VED21"/>
      <c r="VEE21"/>
      <c r="VEF21"/>
      <c r="VEG21"/>
      <c r="VEH21"/>
      <c r="VEI21"/>
      <c r="VEJ21"/>
      <c r="VEK21"/>
      <c r="VEL21"/>
      <c r="VEM21"/>
      <c r="VEN21"/>
      <c r="VEO21"/>
      <c r="VEP21"/>
      <c r="VEQ21"/>
      <c r="VER21"/>
      <c r="VES21"/>
      <c r="VET21"/>
      <c r="VEU21"/>
      <c r="VEV21"/>
      <c r="VEW21"/>
      <c r="VEX21"/>
      <c r="VEY21"/>
      <c r="VEZ21"/>
      <c r="VFA21"/>
      <c r="VFB21"/>
      <c r="VFC21"/>
      <c r="VFD21"/>
      <c r="VFE21"/>
      <c r="VFF21"/>
      <c r="VFG21"/>
      <c r="VFH21"/>
      <c r="VFI21"/>
      <c r="VFJ21"/>
      <c r="VFK21"/>
      <c r="VFL21"/>
      <c r="VFM21"/>
      <c r="VFN21"/>
      <c r="VFO21"/>
      <c r="VFP21"/>
      <c r="VFQ21"/>
      <c r="VFR21"/>
      <c r="VFS21"/>
      <c r="VFT21"/>
      <c r="VFU21"/>
      <c r="VFV21"/>
      <c r="VFW21"/>
      <c r="VFX21"/>
      <c r="VFY21"/>
      <c r="VFZ21"/>
      <c r="VGA21"/>
      <c r="VGB21"/>
      <c r="VGC21"/>
      <c r="VGD21"/>
      <c r="VGE21"/>
      <c r="VGF21"/>
      <c r="VGG21"/>
      <c r="VGH21"/>
      <c r="VGI21"/>
      <c r="VGJ21"/>
      <c r="VGK21"/>
      <c r="VGL21"/>
      <c r="VGM21"/>
      <c r="VGN21"/>
      <c r="VGO21"/>
      <c r="VGP21"/>
      <c r="VGQ21"/>
      <c r="VGR21"/>
      <c r="VGS21"/>
      <c r="VGT21"/>
      <c r="VGU21"/>
      <c r="VGV21"/>
      <c r="VGW21"/>
      <c r="VGX21"/>
      <c r="VGY21"/>
      <c r="VGZ21"/>
      <c r="VHA21"/>
      <c r="VHB21"/>
      <c r="VHC21"/>
      <c r="VHD21"/>
      <c r="VHE21"/>
      <c r="VHF21"/>
      <c r="VHG21"/>
      <c r="VHH21"/>
      <c r="VHI21"/>
      <c r="VHJ21"/>
      <c r="VHK21"/>
      <c r="VHL21"/>
      <c r="VHM21"/>
      <c r="VHN21"/>
      <c r="VHO21"/>
      <c r="VHP21"/>
      <c r="VHQ21"/>
      <c r="VHR21"/>
      <c r="VHS21"/>
      <c r="VHT21"/>
      <c r="VHU21"/>
      <c r="VHV21"/>
      <c r="VHW21"/>
      <c r="VHX21"/>
      <c r="VHY21"/>
      <c r="VHZ21"/>
      <c r="VIA21"/>
      <c r="VIB21"/>
      <c r="VIC21"/>
      <c r="VID21"/>
      <c r="VIE21"/>
      <c r="VIF21"/>
      <c r="VIG21"/>
      <c r="VIH21"/>
      <c r="VII21"/>
      <c r="VIJ21"/>
      <c r="VIK21"/>
      <c r="VIL21"/>
      <c r="VIM21"/>
      <c r="VIN21"/>
      <c r="VIO21"/>
      <c r="VIP21"/>
      <c r="VIQ21"/>
      <c r="VIR21"/>
      <c r="VIS21"/>
      <c r="VIT21"/>
      <c r="VIU21"/>
      <c r="VIV21"/>
      <c r="VIW21"/>
      <c r="VIX21"/>
      <c r="VIY21"/>
      <c r="VIZ21"/>
      <c r="VJA21"/>
      <c r="VJB21"/>
      <c r="VJC21"/>
      <c r="VJD21"/>
      <c r="VJE21"/>
      <c r="VJF21"/>
      <c r="VJG21"/>
      <c r="VJH21"/>
      <c r="VJI21"/>
      <c r="VJJ21"/>
      <c r="VJK21"/>
      <c r="VJL21"/>
      <c r="VJM21"/>
      <c r="VJN21"/>
      <c r="VJO21"/>
      <c r="VJP21"/>
      <c r="VJQ21"/>
      <c r="VJR21"/>
      <c r="VJS21"/>
      <c r="VJT21"/>
      <c r="VJU21"/>
      <c r="VJV21"/>
      <c r="VJW21"/>
      <c r="VJX21"/>
      <c r="VJY21"/>
      <c r="VJZ21"/>
      <c r="VKA21"/>
      <c r="VKB21"/>
      <c r="VKC21"/>
      <c r="VKD21"/>
      <c r="VKE21"/>
      <c r="VKF21"/>
      <c r="VKG21"/>
      <c r="VKH21"/>
      <c r="VKI21"/>
      <c r="VKJ21"/>
      <c r="VKK21"/>
      <c r="VKL21"/>
      <c r="VKM21"/>
      <c r="VKN21"/>
      <c r="VKO21"/>
      <c r="VKP21"/>
      <c r="VKQ21"/>
      <c r="VKR21"/>
      <c r="VKS21"/>
      <c r="VKT21"/>
      <c r="VKU21"/>
      <c r="VKV21"/>
      <c r="VKW21"/>
      <c r="VKX21"/>
      <c r="VKY21"/>
      <c r="VKZ21"/>
      <c r="VLA21"/>
      <c r="VLB21"/>
      <c r="VLC21"/>
      <c r="VLD21"/>
      <c r="VLE21"/>
      <c r="VLF21"/>
      <c r="VLG21"/>
      <c r="VLH21"/>
      <c r="VLI21"/>
      <c r="VLJ21"/>
      <c r="VLK21"/>
      <c r="VLL21"/>
      <c r="VLM21"/>
      <c r="VLN21"/>
      <c r="VLO21"/>
      <c r="VLP21"/>
      <c r="VLQ21"/>
      <c r="VLR21"/>
      <c r="VLS21"/>
      <c r="VLT21"/>
      <c r="VLU21"/>
      <c r="VLV21"/>
      <c r="VLW21"/>
      <c r="VLX21"/>
      <c r="VLY21"/>
      <c r="VLZ21"/>
      <c r="VMA21"/>
      <c r="VMB21"/>
      <c r="VMC21"/>
      <c r="VMD21"/>
      <c r="VME21"/>
      <c r="VMF21"/>
      <c r="VMG21"/>
      <c r="VMH21"/>
      <c r="VMI21"/>
      <c r="VMJ21"/>
      <c r="VMK21"/>
      <c r="VML21"/>
      <c r="VMM21"/>
      <c r="VMN21"/>
      <c r="VMO21"/>
      <c r="VMP21"/>
      <c r="VMQ21"/>
      <c r="VMR21"/>
      <c r="VMS21"/>
      <c r="VMT21"/>
      <c r="VMU21"/>
      <c r="VMV21"/>
      <c r="VMW21"/>
      <c r="VMX21"/>
      <c r="VMY21"/>
      <c r="VMZ21"/>
      <c r="VNA21"/>
      <c r="VNB21"/>
      <c r="VNC21"/>
      <c r="VND21"/>
      <c r="VNE21"/>
      <c r="VNF21"/>
      <c r="VNG21"/>
      <c r="VNH21"/>
      <c r="VNI21"/>
      <c r="VNJ21"/>
      <c r="VNK21"/>
      <c r="VNL21"/>
      <c r="VNM21"/>
      <c r="VNN21"/>
      <c r="VNO21"/>
      <c r="VNP21"/>
      <c r="VNQ21"/>
      <c r="VNR21"/>
      <c r="VNS21"/>
      <c r="VNT21"/>
      <c r="VNU21"/>
      <c r="VNV21"/>
      <c r="VNW21"/>
      <c r="VNX21"/>
      <c r="VNY21"/>
      <c r="VNZ21"/>
      <c r="VOA21"/>
      <c r="VOB21"/>
      <c r="VOC21"/>
      <c r="VOD21"/>
      <c r="VOE21"/>
      <c r="VOF21"/>
      <c r="VOG21"/>
      <c r="VOH21"/>
      <c r="VOI21"/>
      <c r="VOJ21"/>
      <c r="VOK21"/>
      <c r="VOL21"/>
      <c r="VOM21"/>
      <c r="VON21"/>
      <c r="VOO21"/>
      <c r="VOP21"/>
      <c r="VOQ21"/>
      <c r="VOR21"/>
      <c r="VOS21"/>
      <c r="VOT21"/>
      <c r="VOU21"/>
      <c r="VOV21"/>
      <c r="VOW21"/>
      <c r="VOX21"/>
      <c r="VOY21"/>
      <c r="VOZ21"/>
      <c r="VPA21"/>
      <c r="VPB21"/>
      <c r="VPC21"/>
      <c r="VPD21"/>
      <c r="VPE21"/>
      <c r="VPF21"/>
      <c r="VPG21"/>
      <c r="VPH21"/>
      <c r="VPI21"/>
      <c r="VPJ21"/>
      <c r="VPK21"/>
      <c r="VPL21"/>
      <c r="VPM21"/>
      <c r="VPN21"/>
      <c r="VPO21"/>
      <c r="VPP21"/>
      <c r="VPQ21"/>
      <c r="VPR21"/>
      <c r="VPS21"/>
      <c r="VPT21"/>
      <c r="VPU21"/>
      <c r="VPV21"/>
      <c r="VPW21"/>
      <c r="VPX21"/>
      <c r="VPY21"/>
      <c r="VPZ21"/>
      <c r="VQA21"/>
      <c r="VQB21"/>
      <c r="VQC21"/>
      <c r="VQD21"/>
      <c r="VQE21"/>
      <c r="VQF21"/>
      <c r="VQG21"/>
      <c r="VQH21"/>
      <c r="VQI21"/>
      <c r="VQJ21"/>
      <c r="VQK21"/>
      <c r="VQL21"/>
      <c r="VQM21"/>
      <c r="VQN21"/>
      <c r="VQO21"/>
      <c r="VQP21"/>
      <c r="VQQ21"/>
      <c r="VQR21"/>
      <c r="VQS21"/>
      <c r="VQT21"/>
      <c r="VQU21"/>
      <c r="VQV21"/>
      <c r="VQW21"/>
      <c r="VQX21"/>
      <c r="VQY21"/>
      <c r="VQZ21"/>
      <c r="VRA21"/>
      <c r="VRB21"/>
      <c r="VRC21"/>
      <c r="VRD21"/>
      <c r="VRE21"/>
      <c r="VRF21"/>
      <c r="VRG21"/>
      <c r="VRH21"/>
      <c r="VRI21"/>
      <c r="VRJ21"/>
      <c r="VRK21"/>
      <c r="VRL21"/>
      <c r="VRM21"/>
      <c r="VRN21"/>
      <c r="VRO21"/>
      <c r="VRP21"/>
      <c r="VRQ21"/>
      <c r="VRR21"/>
      <c r="VRS21"/>
      <c r="VRT21"/>
      <c r="VRU21"/>
      <c r="VRV21"/>
      <c r="VRW21"/>
      <c r="VRX21"/>
      <c r="VRY21"/>
      <c r="VRZ21"/>
      <c r="VSA21"/>
      <c r="VSB21"/>
      <c r="VSC21"/>
      <c r="VSD21"/>
      <c r="VSE21"/>
      <c r="VSF21"/>
      <c r="VSG21"/>
      <c r="VSH21"/>
      <c r="VSI21"/>
      <c r="VSJ21"/>
      <c r="VSK21"/>
      <c r="VSL21"/>
      <c r="VSM21"/>
      <c r="VSN21"/>
      <c r="VSO21"/>
      <c r="VSP21"/>
      <c r="VSQ21"/>
      <c r="VSR21"/>
      <c r="VSS21"/>
      <c r="VST21"/>
      <c r="VSU21"/>
      <c r="VSV21"/>
      <c r="VSW21"/>
      <c r="VSX21"/>
      <c r="VSY21"/>
      <c r="VSZ21"/>
      <c r="VTA21"/>
      <c r="VTB21"/>
      <c r="VTC21"/>
      <c r="VTD21"/>
      <c r="VTE21"/>
      <c r="VTF21"/>
      <c r="VTG21"/>
      <c r="VTH21"/>
      <c r="VTI21"/>
      <c r="VTJ21"/>
      <c r="VTK21"/>
      <c r="VTL21"/>
      <c r="VTM21"/>
      <c r="VTN21"/>
      <c r="VTO21"/>
      <c r="VTP21"/>
      <c r="VTQ21"/>
      <c r="VTR21"/>
      <c r="VTS21"/>
      <c r="VTT21"/>
      <c r="VTU21"/>
      <c r="VTV21"/>
      <c r="VTW21"/>
      <c r="VTX21"/>
      <c r="VTY21"/>
      <c r="VTZ21"/>
      <c r="VUA21"/>
      <c r="VUB21"/>
      <c r="VUC21"/>
      <c r="VUD21"/>
      <c r="VUE21"/>
      <c r="VUF21"/>
      <c r="VUG21"/>
      <c r="VUH21"/>
      <c r="VUI21"/>
      <c r="VUJ21"/>
      <c r="VUK21"/>
      <c r="VUL21"/>
      <c r="VUM21"/>
      <c r="VUN21"/>
      <c r="VUO21"/>
      <c r="VUP21"/>
      <c r="VUQ21"/>
      <c r="VUR21"/>
      <c r="VUS21"/>
      <c r="VUT21"/>
      <c r="VUU21"/>
      <c r="VUV21"/>
      <c r="VUW21"/>
      <c r="VUX21"/>
      <c r="VUY21"/>
      <c r="VUZ21"/>
      <c r="VVA21"/>
      <c r="VVB21"/>
      <c r="VVC21"/>
      <c r="VVD21"/>
      <c r="VVE21"/>
      <c r="VVF21"/>
      <c r="VVG21"/>
      <c r="VVH21"/>
      <c r="VVI21"/>
      <c r="VVJ21"/>
      <c r="VVK21"/>
      <c r="VVL21"/>
      <c r="VVM21"/>
      <c r="VVN21"/>
      <c r="VVO21"/>
      <c r="VVP21"/>
      <c r="VVQ21"/>
      <c r="VVR21"/>
      <c r="VVS21"/>
      <c r="VVT21"/>
      <c r="VVU21"/>
      <c r="VVV21"/>
      <c r="VVW21"/>
      <c r="VVX21"/>
      <c r="VVY21"/>
      <c r="VVZ21"/>
      <c r="VWA21"/>
      <c r="VWB21"/>
      <c r="VWC21"/>
      <c r="VWD21"/>
      <c r="VWE21"/>
      <c r="VWF21"/>
      <c r="VWG21"/>
      <c r="VWH21"/>
      <c r="VWI21"/>
      <c r="VWJ21"/>
      <c r="VWK21"/>
      <c r="VWL21"/>
      <c r="VWM21"/>
      <c r="VWN21"/>
      <c r="VWO21"/>
      <c r="VWP21"/>
      <c r="VWQ21"/>
      <c r="VWR21"/>
      <c r="VWS21"/>
      <c r="VWT21"/>
      <c r="VWU21"/>
      <c r="VWV21"/>
      <c r="VWW21"/>
      <c r="VWX21"/>
      <c r="VWY21"/>
      <c r="VWZ21"/>
      <c r="VXA21"/>
      <c r="VXB21"/>
      <c r="VXC21"/>
      <c r="VXD21"/>
      <c r="VXE21"/>
      <c r="VXF21"/>
      <c r="VXG21"/>
      <c r="VXH21"/>
      <c r="VXI21"/>
      <c r="VXJ21"/>
      <c r="VXK21"/>
      <c r="VXL21"/>
      <c r="VXM21"/>
      <c r="VXN21"/>
      <c r="VXO21"/>
      <c r="VXP21"/>
      <c r="VXQ21"/>
      <c r="VXR21"/>
      <c r="VXS21"/>
      <c r="VXT21"/>
      <c r="VXU21"/>
      <c r="VXV21"/>
      <c r="VXW21"/>
      <c r="VXX21"/>
      <c r="VXY21"/>
      <c r="VXZ21"/>
      <c r="VYA21"/>
      <c r="VYB21"/>
      <c r="VYC21"/>
      <c r="VYD21"/>
      <c r="VYE21"/>
      <c r="VYF21"/>
      <c r="VYG21"/>
      <c r="VYH21"/>
      <c r="VYI21"/>
      <c r="VYJ21"/>
      <c r="VYK21"/>
      <c r="VYL21"/>
      <c r="VYM21"/>
      <c r="VYN21"/>
      <c r="VYO21"/>
      <c r="VYP21"/>
      <c r="VYQ21"/>
      <c r="VYR21"/>
      <c r="VYS21"/>
      <c r="VYT21"/>
      <c r="VYU21"/>
      <c r="VYV21"/>
      <c r="VYW21"/>
      <c r="VYX21"/>
      <c r="VYY21"/>
      <c r="VYZ21"/>
      <c r="VZA21"/>
      <c r="VZB21"/>
      <c r="VZC21"/>
      <c r="VZD21"/>
      <c r="VZE21"/>
      <c r="VZF21"/>
      <c r="VZG21"/>
      <c r="VZH21"/>
      <c r="VZI21"/>
      <c r="VZJ21"/>
      <c r="VZK21"/>
      <c r="VZL21"/>
      <c r="VZM21"/>
      <c r="VZN21"/>
      <c r="VZO21"/>
      <c r="VZP21"/>
      <c r="VZQ21"/>
      <c r="VZR21"/>
      <c r="VZS21"/>
      <c r="VZT21"/>
      <c r="VZU21"/>
      <c r="VZV21"/>
      <c r="VZW21"/>
      <c r="VZX21"/>
      <c r="VZY21"/>
      <c r="VZZ21"/>
      <c r="WAA21"/>
      <c r="WAB21"/>
      <c r="WAC21"/>
      <c r="WAD21"/>
      <c r="WAE21"/>
      <c r="WAF21"/>
      <c r="WAG21"/>
      <c r="WAH21"/>
      <c r="WAI21"/>
      <c r="WAJ21"/>
      <c r="WAK21"/>
      <c r="WAL21"/>
      <c r="WAM21"/>
      <c r="WAN21"/>
      <c r="WAO21"/>
      <c r="WAP21"/>
      <c r="WAQ21"/>
      <c r="WAR21"/>
      <c r="WAS21"/>
      <c r="WAT21"/>
      <c r="WAU21"/>
      <c r="WAV21"/>
      <c r="WAW21"/>
      <c r="WAX21"/>
      <c r="WAY21"/>
      <c r="WAZ21"/>
      <c r="WBA21"/>
      <c r="WBB21"/>
      <c r="WBC21"/>
      <c r="WBD21"/>
      <c r="WBE21"/>
      <c r="WBF21"/>
      <c r="WBG21"/>
      <c r="WBH21"/>
      <c r="WBI21"/>
      <c r="WBJ21"/>
      <c r="WBK21"/>
      <c r="WBL21"/>
      <c r="WBM21"/>
      <c r="WBN21"/>
      <c r="WBO21"/>
      <c r="WBP21"/>
      <c r="WBQ21"/>
      <c r="WBR21"/>
      <c r="WBS21"/>
      <c r="WBT21"/>
      <c r="WBU21"/>
      <c r="WBV21"/>
      <c r="WBW21"/>
      <c r="WBX21"/>
      <c r="WBY21"/>
      <c r="WBZ21"/>
      <c r="WCA21"/>
      <c r="WCB21"/>
      <c r="WCC21"/>
      <c r="WCD21"/>
      <c r="WCE21"/>
      <c r="WCF21"/>
      <c r="WCG21"/>
      <c r="WCH21"/>
      <c r="WCI21"/>
      <c r="WCJ21"/>
      <c r="WCK21"/>
      <c r="WCL21"/>
      <c r="WCM21"/>
      <c r="WCN21"/>
      <c r="WCO21"/>
      <c r="WCP21"/>
      <c r="WCQ21"/>
      <c r="WCR21"/>
      <c r="WCS21"/>
      <c r="WCT21"/>
      <c r="WCU21"/>
      <c r="WCV21"/>
      <c r="WCW21"/>
      <c r="WCX21"/>
      <c r="WCY21"/>
      <c r="WCZ21"/>
      <c r="WDA21"/>
      <c r="WDB21"/>
      <c r="WDC21"/>
      <c r="WDD21"/>
      <c r="WDE21"/>
      <c r="WDF21"/>
      <c r="WDG21"/>
      <c r="WDH21"/>
      <c r="WDI21"/>
      <c r="WDJ21"/>
      <c r="WDK21"/>
      <c r="WDL21"/>
      <c r="WDM21"/>
      <c r="WDN21"/>
      <c r="WDO21"/>
      <c r="WDP21"/>
      <c r="WDQ21"/>
      <c r="WDR21"/>
      <c r="WDS21"/>
      <c r="WDT21"/>
      <c r="WDU21"/>
      <c r="WDV21"/>
      <c r="WDW21"/>
      <c r="WDX21"/>
      <c r="WDY21"/>
      <c r="WDZ21"/>
      <c r="WEA21"/>
      <c r="WEB21"/>
      <c r="WEC21"/>
      <c r="WED21"/>
      <c r="WEE21"/>
      <c r="WEF21"/>
      <c r="WEG21"/>
      <c r="WEH21"/>
      <c r="WEI21"/>
      <c r="WEJ21"/>
      <c r="WEK21"/>
      <c r="WEL21"/>
      <c r="WEM21"/>
      <c r="WEN21"/>
      <c r="WEO21"/>
      <c r="WEP21"/>
      <c r="WEQ21"/>
      <c r="WER21"/>
      <c r="WES21"/>
      <c r="WET21"/>
      <c r="WEU21"/>
      <c r="WEV21"/>
      <c r="WEW21"/>
      <c r="WEX21"/>
      <c r="WEY21"/>
      <c r="WEZ21"/>
      <c r="WFA21"/>
      <c r="WFB21"/>
      <c r="WFC21"/>
      <c r="WFD21"/>
      <c r="WFE21"/>
      <c r="WFF21"/>
      <c r="WFG21"/>
      <c r="WFH21"/>
      <c r="WFI21"/>
      <c r="WFJ21"/>
      <c r="WFK21"/>
      <c r="WFL21"/>
      <c r="WFM21"/>
      <c r="WFN21"/>
      <c r="WFO21"/>
      <c r="WFP21"/>
      <c r="WFQ21"/>
      <c r="WFR21"/>
      <c r="WFS21"/>
      <c r="WFT21"/>
      <c r="WFU21"/>
      <c r="WFV21"/>
      <c r="WFW21"/>
      <c r="WFX21"/>
      <c r="WFY21"/>
      <c r="WFZ21"/>
      <c r="WGA21"/>
      <c r="WGB21"/>
      <c r="WGC21"/>
      <c r="WGD21"/>
      <c r="WGE21"/>
      <c r="WGF21"/>
      <c r="WGG21"/>
      <c r="WGH21"/>
      <c r="WGI21"/>
      <c r="WGJ21"/>
      <c r="WGK21"/>
      <c r="WGL21"/>
      <c r="WGM21"/>
      <c r="WGN21"/>
      <c r="WGO21"/>
      <c r="WGP21"/>
      <c r="WGQ21"/>
      <c r="WGR21"/>
      <c r="WGS21"/>
      <c r="WGT21"/>
      <c r="WGU21"/>
      <c r="WGV21"/>
      <c r="WGW21"/>
      <c r="WGX21"/>
      <c r="WGY21"/>
      <c r="WGZ21"/>
      <c r="WHA21"/>
      <c r="WHB21"/>
      <c r="WHC21"/>
      <c r="WHD21"/>
      <c r="WHE21"/>
      <c r="WHF21"/>
      <c r="WHG21"/>
      <c r="WHH21"/>
      <c r="WHI21"/>
      <c r="WHJ21"/>
      <c r="WHK21"/>
      <c r="WHL21"/>
      <c r="WHM21"/>
      <c r="WHN21"/>
      <c r="WHO21"/>
      <c r="WHP21"/>
      <c r="WHQ21"/>
      <c r="WHR21"/>
      <c r="WHS21"/>
      <c r="WHT21"/>
      <c r="WHU21"/>
      <c r="WHV21"/>
      <c r="WHW21"/>
      <c r="WHX21"/>
      <c r="WHY21"/>
      <c r="WHZ21"/>
      <c r="WIA21"/>
      <c r="WIB21"/>
      <c r="WIC21"/>
      <c r="WID21"/>
      <c r="WIE21"/>
      <c r="WIF21"/>
      <c r="WIG21"/>
      <c r="WIH21"/>
      <c r="WII21"/>
      <c r="WIJ21"/>
      <c r="WIK21"/>
      <c r="WIL21"/>
      <c r="WIM21"/>
      <c r="WIN21"/>
      <c r="WIO21"/>
      <c r="WIP21"/>
      <c r="WIQ21"/>
      <c r="WIR21"/>
      <c r="WIS21"/>
      <c r="WIT21"/>
      <c r="WIU21"/>
      <c r="WIV21"/>
      <c r="WIW21"/>
      <c r="WIX21"/>
      <c r="WIY21"/>
      <c r="WIZ21"/>
      <c r="WJA21"/>
      <c r="WJB21"/>
      <c r="WJC21"/>
      <c r="WJD21"/>
      <c r="WJE21"/>
      <c r="WJF21"/>
      <c r="WJG21"/>
      <c r="WJH21"/>
      <c r="WJI21"/>
      <c r="WJJ21"/>
      <c r="WJK21"/>
      <c r="WJL21"/>
      <c r="WJM21"/>
      <c r="WJN21"/>
      <c r="WJO21"/>
      <c r="WJP21"/>
      <c r="WJQ21"/>
      <c r="WJR21"/>
      <c r="WJS21"/>
      <c r="WJT21"/>
      <c r="WJU21"/>
      <c r="WJV21"/>
      <c r="WJW21"/>
      <c r="WJX21"/>
      <c r="WJY21"/>
      <c r="WJZ21"/>
      <c r="WKA21"/>
      <c r="WKB21"/>
      <c r="WKC21"/>
      <c r="WKD21"/>
      <c r="WKE21"/>
      <c r="WKF21"/>
      <c r="WKG21"/>
      <c r="WKH21"/>
      <c r="WKI21"/>
      <c r="WKJ21"/>
      <c r="WKK21"/>
      <c r="WKL21"/>
      <c r="WKM21"/>
      <c r="WKN21"/>
      <c r="WKO21"/>
      <c r="WKP21"/>
      <c r="WKQ21"/>
      <c r="WKR21"/>
      <c r="WKS21"/>
      <c r="WKT21"/>
      <c r="WKU21"/>
      <c r="WKV21"/>
      <c r="WKW21"/>
      <c r="WKX21"/>
      <c r="WKY21"/>
      <c r="WKZ21"/>
      <c r="WLA21"/>
      <c r="WLB21"/>
      <c r="WLC21"/>
      <c r="WLD21"/>
      <c r="WLE21"/>
      <c r="WLF21"/>
      <c r="WLG21"/>
      <c r="WLH21"/>
      <c r="WLI21"/>
      <c r="WLJ21"/>
      <c r="WLK21"/>
      <c r="WLL21"/>
      <c r="WLM21"/>
      <c r="WLN21"/>
      <c r="WLO21"/>
      <c r="WLP21"/>
      <c r="WLQ21"/>
      <c r="WLR21"/>
      <c r="WLS21"/>
      <c r="WLT21"/>
      <c r="WLU21"/>
      <c r="WLV21"/>
      <c r="WLW21"/>
      <c r="WLX21"/>
      <c r="WLY21"/>
      <c r="WLZ21"/>
      <c r="WMA21"/>
      <c r="WMB21"/>
      <c r="WMC21"/>
      <c r="WMD21"/>
      <c r="WME21"/>
      <c r="WMF21"/>
      <c r="WMG21"/>
      <c r="WMH21"/>
      <c r="WMI21"/>
      <c r="WMJ21"/>
      <c r="WMK21"/>
      <c r="WML21"/>
      <c r="WMM21"/>
      <c r="WMN21"/>
      <c r="WMO21"/>
      <c r="WMP21"/>
      <c r="WMQ21"/>
      <c r="WMR21"/>
      <c r="WMS21"/>
      <c r="WMT21"/>
      <c r="WMU21"/>
      <c r="WMV21"/>
      <c r="WMW21"/>
      <c r="WMX21"/>
      <c r="WMY21"/>
      <c r="WMZ21"/>
      <c r="WNA21"/>
      <c r="WNB21"/>
      <c r="WNC21"/>
      <c r="WND21"/>
      <c r="WNE21"/>
      <c r="WNF21"/>
      <c r="WNG21"/>
      <c r="WNH21"/>
      <c r="WNI21"/>
      <c r="WNJ21"/>
      <c r="WNK21"/>
      <c r="WNL21"/>
      <c r="WNM21"/>
      <c r="WNN21"/>
      <c r="WNO21"/>
      <c r="WNP21"/>
      <c r="WNQ21"/>
      <c r="WNR21"/>
      <c r="WNS21"/>
      <c r="WNT21"/>
      <c r="WNU21"/>
      <c r="WNV21"/>
      <c r="WNW21"/>
      <c r="WNX21"/>
      <c r="WNY21"/>
      <c r="WNZ21"/>
      <c r="WOA21"/>
      <c r="WOB21"/>
      <c r="WOC21"/>
      <c r="WOD21"/>
      <c r="WOE21"/>
      <c r="WOF21"/>
      <c r="WOG21"/>
      <c r="WOH21"/>
      <c r="WOI21"/>
      <c r="WOJ21"/>
      <c r="WOK21"/>
      <c r="WOL21"/>
      <c r="WOM21"/>
      <c r="WON21"/>
      <c r="WOO21"/>
      <c r="WOP21"/>
      <c r="WOQ21"/>
      <c r="WOR21"/>
      <c r="WOS21"/>
      <c r="WOT21"/>
      <c r="WOU21"/>
      <c r="WOV21"/>
      <c r="WOW21"/>
      <c r="WOX21"/>
      <c r="WOY21"/>
      <c r="WOZ21"/>
      <c r="WPA21"/>
      <c r="WPB21"/>
      <c r="WPC21"/>
      <c r="WPD21"/>
      <c r="WPE21"/>
      <c r="WPF21"/>
      <c r="WPG21"/>
      <c r="WPH21"/>
      <c r="WPI21"/>
      <c r="WPJ21"/>
      <c r="WPK21"/>
      <c r="WPL21"/>
      <c r="WPM21"/>
      <c r="WPN21"/>
      <c r="WPO21"/>
      <c r="WPP21"/>
      <c r="WPQ21"/>
      <c r="WPR21"/>
      <c r="WPS21"/>
      <c r="WPT21"/>
      <c r="WPU21"/>
      <c r="WPV21"/>
      <c r="WPW21"/>
      <c r="WPX21"/>
      <c r="WPY21"/>
      <c r="WPZ21"/>
      <c r="WQA21"/>
      <c r="WQB21"/>
      <c r="WQC21"/>
      <c r="WQD21"/>
      <c r="WQE21"/>
      <c r="WQF21"/>
      <c r="WQG21"/>
      <c r="WQH21"/>
      <c r="WQI21"/>
      <c r="WQJ21"/>
      <c r="WQK21"/>
      <c r="WQL21"/>
      <c r="WQM21"/>
      <c r="WQN21"/>
      <c r="WQO21"/>
      <c r="WQP21"/>
      <c r="WQQ21"/>
      <c r="WQR21"/>
      <c r="WQS21"/>
      <c r="WQT21"/>
      <c r="WQU21"/>
      <c r="WQV21"/>
      <c r="WQW21"/>
      <c r="WQX21"/>
      <c r="WQY21"/>
      <c r="WQZ21"/>
      <c r="WRA21"/>
      <c r="WRB21"/>
      <c r="WRC21"/>
      <c r="WRD21"/>
      <c r="WRE21"/>
      <c r="WRF21"/>
      <c r="WRG21"/>
      <c r="WRH21"/>
      <c r="WRI21"/>
      <c r="WRJ21"/>
      <c r="WRK21"/>
      <c r="WRL21"/>
      <c r="WRM21"/>
      <c r="WRN21"/>
      <c r="WRO21"/>
      <c r="WRP21"/>
      <c r="WRQ21"/>
      <c r="WRR21"/>
      <c r="WRS21"/>
      <c r="WRT21"/>
      <c r="WRU21"/>
      <c r="WRV21"/>
      <c r="WRW21"/>
      <c r="WRX21"/>
      <c r="WRY21"/>
      <c r="WRZ21"/>
      <c r="WSA21"/>
      <c r="WSB21"/>
      <c r="WSC21"/>
      <c r="WSD21"/>
      <c r="WSE21"/>
      <c r="WSF21"/>
      <c r="WSG21"/>
      <c r="WSH21"/>
      <c r="WSI21"/>
      <c r="WSJ21"/>
      <c r="WSK21"/>
      <c r="WSL21"/>
      <c r="WSM21"/>
      <c r="WSN21"/>
      <c r="WSO21"/>
      <c r="WSP21"/>
      <c r="WSQ21"/>
      <c r="WSR21"/>
      <c r="WSS21"/>
      <c r="WST21"/>
      <c r="WSU21"/>
      <c r="WSV21"/>
      <c r="WSW21"/>
      <c r="WSX21"/>
      <c r="WSY21"/>
      <c r="WSZ21"/>
      <c r="WTA21"/>
      <c r="WTB21"/>
      <c r="WTC21"/>
      <c r="WTD21"/>
      <c r="WTE21"/>
      <c r="WTF21"/>
      <c r="WTG21"/>
      <c r="WTH21"/>
      <c r="WTI21"/>
      <c r="WTJ21"/>
      <c r="WTK21"/>
      <c r="WTL21"/>
      <c r="WTM21"/>
      <c r="WTN21"/>
      <c r="WTO21"/>
      <c r="WTP21"/>
      <c r="WTQ21"/>
      <c r="WTR21"/>
      <c r="WTS21"/>
      <c r="WTT21"/>
      <c r="WTU21"/>
      <c r="WTV21"/>
      <c r="WTW21"/>
      <c r="WTX21"/>
      <c r="WTY21"/>
      <c r="WTZ21"/>
      <c r="WUA21"/>
      <c r="WUB21"/>
      <c r="WUC21"/>
      <c r="WUD21"/>
      <c r="WUE21"/>
      <c r="WUF21"/>
      <c r="WUG21"/>
      <c r="WUH21"/>
      <c r="WUI21"/>
      <c r="WUJ21"/>
      <c r="WUK21"/>
      <c r="WUL21"/>
      <c r="WUM21"/>
      <c r="WUN21"/>
      <c r="WUO21"/>
      <c r="WUP21"/>
      <c r="WUQ21"/>
      <c r="WUR21"/>
      <c r="WUS21"/>
      <c r="WUT21"/>
      <c r="WUU21"/>
      <c r="WUV21"/>
      <c r="WUW21"/>
      <c r="WUX21"/>
      <c r="WUY21"/>
      <c r="WUZ21"/>
      <c r="WVA21"/>
      <c r="WVB21"/>
      <c r="WVC21"/>
      <c r="WVD21"/>
      <c r="WVE21"/>
      <c r="WVF21"/>
      <c r="WVG21"/>
      <c r="WVH21"/>
      <c r="WVI21"/>
      <c r="WVJ21"/>
      <c r="WVK21"/>
      <c r="WVL21"/>
      <c r="WVM21"/>
      <c r="WVN21"/>
      <c r="WVO21"/>
      <c r="WVP21"/>
      <c r="WVQ21"/>
      <c r="WVR21"/>
      <c r="WVS21"/>
      <c r="WVT21"/>
      <c r="WVU21"/>
      <c r="WVV21"/>
      <c r="WVW21"/>
      <c r="WVX21"/>
      <c r="WVY21"/>
      <c r="WVZ21"/>
      <c r="WWA21"/>
      <c r="WWB21"/>
      <c r="WWC21"/>
      <c r="WWD21"/>
      <c r="WWE21"/>
      <c r="WWF21"/>
      <c r="WWG21"/>
      <c r="WWH21"/>
      <c r="WWI21"/>
      <c r="WWJ21"/>
      <c r="WWK21"/>
      <c r="WWL21"/>
      <c r="WWM21"/>
      <c r="WWN21"/>
      <c r="WWO21"/>
      <c r="WWP21"/>
      <c r="WWQ21"/>
      <c r="WWR21"/>
      <c r="WWS21"/>
      <c r="WWT21"/>
      <c r="WWU21"/>
      <c r="WWV21"/>
      <c r="WWW21"/>
      <c r="WWX21"/>
      <c r="WWY21"/>
      <c r="WWZ21"/>
      <c r="WXA21"/>
      <c r="WXB21"/>
      <c r="WXC21"/>
      <c r="WXD21"/>
      <c r="WXE21"/>
      <c r="WXF21"/>
      <c r="WXG21"/>
      <c r="WXH21"/>
      <c r="WXI21"/>
      <c r="WXJ21"/>
      <c r="WXK21"/>
      <c r="WXL21"/>
      <c r="WXM21"/>
      <c r="WXN21"/>
      <c r="WXO21"/>
      <c r="WXP21"/>
      <c r="WXQ21"/>
      <c r="WXR21"/>
      <c r="WXS21"/>
      <c r="WXT21"/>
      <c r="WXU21"/>
      <c r="WXV21"/>
      <c r="WXW21"/>
      <c r="WXX21"/>
      <c r="WXY21"/>
      <c r="WXZ21"/>
      <c r="WYA21"/>
      <c r="WYB21"/>
      <c r="WYC21"/>
      <c r="WYD21"/>
      <c r="WYE21"/>
      <c r="WYF21"/>
      <c r="WYG21"/>
      <c r="WYH21"/>
      <c r="WYI21"/>
      <c r="WYJ21"/>
      <c r="WYK21"/>
      <c r="WYL21"/>
      <c r="WYM21"/>
      <c r="WYN21"/>
      <c r="WYO21"/>
      <c r="WYP21"/>
      <c r="WYQ21"/>
      <c r="WYR21"/>
      <c r="WYS21"/>
      <c r="WYT21"/>
      <c r="WYU21"/>
      <c r="WYV21"/>
      <c r="WYW21"/>
      <c r="WYX21"/>
      <c r="WYY21"/>
      <c r="WYZ21"/>
      <c r="WZA21"/>
      <c r="WZB21"/>
      <c r="WZC21"/>
      <c r="WZD21"/>
      <c r="WZE21"/>
      <c r="WZF21"/>
      <c r="WZG21"/>
      <c r="WZH21"/>
      <c r="WZI21"/>
      <c r="WZJ21"/>
      <c r="WZK21"/>
      <c r="WZL21"/>
      <c r="WZM21"/>
      <c r="WZN21"/>
      <c r="WZO21"/>
      <c r="WZP21"/>
      <c r="WZQ21"/>
      <c r="WZR21"/>
      <c r="WZS21"/>
      <c r="WZT21"/>
      <c r="WZU21"/>
      <c r="WZV21"/>
      <c r="WZW21"/>
      <c r="WZX21"/>
      <c r="WZY21"/>
      <c r="WZZ21"/>
      <c r="XAA21"/>
      <c r="XAB21"/>
      <c r="XAC21"/>
      <c r="XAD21"/>
      <c r="XAE21"/>
      <c r="XAF21"/>
      <c r="XAG21"/>
      <c r="XAH21"/>
      <c r="XAI21"/>
      <c r="XAJ21"/>
      <c r="XAK21"/>
      <c r="XAL21"/>
      <c r="XAM21"/>
      <c r="XAN21"/>
      <c r="XAO21"/>
      <c r="XAP21"/>
      <c r="XAQ21"/>
      <c r="XAR21"/>
      <c r="XAS21"/>
      <c r="XAT21"/>
      <c r="XAU21"/>
      <c r="XAV21"/>
      <c r="XAW21"/>
      <c r="XAX21"/>
      <c r="XAY21"/>
      <c r="XAZ21"/>
      <c r="XBA21"/>
      <c r="XBB21"/>
      <c r="XBC21"/>
      <c r="XBD21"/>
      <c r="XBE21"/>
      <c r="XBF21"/>
      <c r="XBG21"/>
      <c r="XBH21"/>
      <c r="XBI21"/>
      <c r="XBJ21"/>
      <c r="XBK21"/>
      <c r="XBL21"/>
      <c r="XBM21"/>
      <c r="XBN21"/>
      <c r="XBO21"/>
      <c r="XBP21"/>
      <c r="XBQ21"/>
      <c r="XBR21"/>
      <c r="XBS21"/>
      <c r="XBT21"/>
      <c r="XBU21"/>
      <c r="XBV21"/>
      <c r="XBW21"/>
      <c r="XBX21"/>
      <c r="XBY21"/>
      <c r="XBZ21"/>
      <c r="XCA21"/>
      <c r="XCB21"/>
      <c r="XCC21"/>
      <c r="XCD21"/>
      <c r="XCE21"/>
      <c r="XCF21"/>
      <c r="XCG21"/>
      <c r="XCH21"/>
      <c r="XCI21"/>
      <c r="XCJ21"/>
      <c r="XCK21"/>
      <c r="XCL21"/>
      <c r="XCM21"/>
      <c r="XCN21"/>
      <c r="XCO21"/>
      <c r="XCP21"/>
      <c r="XCQ21"/>
      <c r="XCR21"/>
      <c r="XCS21"/>
      <c r="XCT21"/>
      <c r="XCU21"/>
      <c r="XCV21"/>
      <c r="XCW21"/>
      <c r="XCX21"/>
      <c r="XCY21"/>
      <c r="XCZ21"/>
      <c r="XDA21"/>
      <c r="XDB21"/>
      <c r="XDC21"/>
      <c r="XDD21"/>
      <c r="XDE21"/>
      <c r="XDF21"/>
      <c r="XDG21"/>
      <c r="XDH21"/>
      <c r="XDI21"/>
      <c r="XDJ21"/>
      <c r="XDK21"/>
      <c r="XDL21"/>
      <c r="XDM21"/>
      <c r="XDN21"/>
      <c r="XDO21"/>
      <c r="XDP21"/>
      <c r="XDQ21"/>
      <c r="XDR21"/>
      <c r="XDS21"/>
      <c r="XDT21"/>
      <c r="XDU21"/>
      <c r="XDV21"/>
      <c r="XDW21"/>
      <c r="XDX21"/>
      <c r="XDY21"/>
      <c r="XDZ21"/>
      <c r="XEA21"/>
      <c r="XEB21"/>
      <c r="XEC21"/>
      <c r="XED21"/>
      <c r="XEE21"/>
      <c r="XEF21"/>
      <c r="XEG21"/>
      <c r="XEH21"/>
      <c r="XEI21"/>
      <c r="XEJ21"/>
      <c r="XEK21"/>
      <c r="XEL21"/>
      <c r="XEM21"/>
      <c r="XEN21"/>
      <c r="XEO21"/>
      <c r="XEP21"/>
      <c r="XEQ21"/>
      <c r="XER21"/>
      <c r="XES21"/>
      <c r="XET21"/>
      <c r="XEU21"/>
      <c r="XEV21"/>
      <c r="XEW21"/>
      <c r="XEX21"/>
      <c r="XEY21"/>
      <c r="XEZ21"/>
      <c r="XFA21"/>
      <c r="XFB21"/>
    </row>
    <row r="22" spans="1:16382" s="44" customFormat="1" x14ac:dyDescent="0.35">
      <c r="A22"/>
      <c r="B22" t="s">
        <v>914</v>
      </c>
      <c r="C22" s="25" t="s">
        <v>367</v>
      </c>
      <c r="D22" s="26" t="s">
        <v>368</v>
      </c>
      <c r="E22" s="26" t="s">
        <v>369</v>
      </c>
      <c r="F22" s="26"/>
      <c r="G22" s="26"/>
      <c r="H22" s="26"/>
      <c r="I22" s="26" t="s">
        <v>204</v>
      </c>
      <c r="J22" s="27"/>
      <c r="K22" s="26" t="s">
        <v>82</v>
      </c>
      <c r="L22" s="37">
        <v>500</v>
      </c>
      <c r="M22" s="37">
        <v>500</v>
      </c>
      <c r="N22" s="16">
        <f t="shared" si="0"/>
        <v>-980.9367088607595</v>
      </c>
      <c r="O22" s="37">
        <v>500</v>
      </c>
      <c r="P22" s="37">
        <v>500</v>
      </c>
      <c r="Q22" s="16">
        <f t="shared" si="1"/>
        <v>-105.88571428571429</v>
      </c>
      <c r="R22" s="37">
        <v>500</v>
      </c>
      <c r="S22" s="37">
        <v>500</v>
      </c>
      <c r="T22" s="16">
        <f t="shared" si="2"/>
        <v>-76.344262295081975</v>
      </c>
      <c r="U22" s="37">
        <v>0</v>
      </c>
      <c r="V22" s="37">
        <v>0</v>
      </c>
      <c r="W22" s="16">
        <f t="shared" si="3"/>
        <v>0</v>
      </c>
      <c r="X22" s="37">
        <v>0</v>
      </c>
      <c r="Y22" s="37">
        <v>0</v>
      </c>
      <c r="Z22" s="16">
        <f t="shared" si="4"/>
        <v>0</v>
      </c>
      <c r="AA22" s="37">
        <v>0</v>
      </c>
      <c r="AB22" s="37">
        <v>0</v>
      </c>
      <c r="AC22" s="16">
        <f t="shared" si="5"/>
        <v>0</v>
      </c>
      <c r="AD22" s="31" t="s">
        <v>82</v>
      </c>
      <c r="AE22" s="5">
        <v>1</v>
      </c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  <c r="AJY22"/>
      <c r="AJZ22"/>
      <c r="AKA22"/>
      <c r="AKB22"/>
      <c r="AKC22"/>
      <c r="AKD22"/>
      <c r="AKE22"/>
      <c r="AKF22"/>
      <c r="AKG22"/>
      <c r="AKH22"/>
      <c r="AKI22"/>
      <c r="AKJ22"/>
      <c r="AKK22"/>
      <c r="AKL22"/>
      <c r="AKM22"/>
      <c r="AKN22"/>
      <c r="AKO22"/>
      <c r="AKP22"/>
      <c r="AKQ22"/>
      <c r="AKR22"/>
      <c r="AKS22"/>
      <c r="AKT22"/>
      <c r="AKU22"/>
      <c r="AKV22"/>
      <c r="AKW22"/>
      <c r="AKX22"/>
      <c r="AKY22"/>
      <c r="AKZ22"/>
      <c r="ALA22"/>
      <c r="ALB22"/>
      <c r="ALC22"/>
      <c r="ALD22"/>
      <c r="ALE22"/>
      <c r="ALF22"/>
      <c r="ALG22"/>
      <c r="ALH22"/>
      <c r="ALI22"/>
      <c r="ALJ22"/>
      <c r="ALK22"/>
      <c r="ALL22"/>
      <c r="ALM22"/>
      <c r="ALN22"/>
      <c r="ALO22"/>
      <c r="ALP22"/>
      <c r="ALQ22"/>
      <c r="ALR22"/>
      <c r="ALS22"/>
      <c r="ALT22"/>
      <c r="ALU22"/>
      <c r="ALV22"/>
      <c r="ALW22"/>
      <c r="ALX22"/>
      <c r="ALY22"/>
      <c r="ALZ22"/>
      <c r="AMA22"/>
      <c r="AMB22"/>
      <c r="AMC22"/>
      <c r="AMD22"/>
      <c r="AME22"/>
      <c r="AMF22"/>
      <c r="AMG22"/>
      <c r="AMH22"/>
      <c r="AMI22"/>
      <c r="AMJ22"/>
      <c r="AMK22"/>
      <c r="AML22"/>
      <c r="AMM22"/>
      <c r="AMN22"/>
      <c r="AMO22"/>
      <c r="AMP22"/>
      <c r="AMQ22"/>
      <c r="AMR22"/>
      <c r="AMS22"/>
      <c r="AMT22"/>
      <c r="AMU22"/>
      <c r="AMV22"/>
      <c r="AMW22"/>
      <c r="AMX22"/>
      <c r="AMY22"/>
      <c r="AMZ22"/>
      <c r="ANA22"/>
      <c r="ANB22"/>
      <c r="ANC22"/>
      <c r="AND22"/>
      <c r="ANE22"/>
      <c r="ANF22"/>
      <c r="ANG22"/>
      <c r="ANH22"/>
      <c r="ANI22"/>
      <c r="ANJ22"/>
      <c r="ANK22"/>
      <c r="ANL22"/>
      <c r="ANM22"/>
      <c r="ANN22"/>
      <c r="ANO22"/>
      <c r="ANP22"/>
      <c r="ANQ22"/>
      <c r="ANR22"/>
      <c r="ANS22"/>
      <c r="ANT22"/>
      <c r="ANU22"/>
      <c r="ANV22"/>
      <c r="ANW22"/>
      <c r="ANX22"/>
      <c r="ANY22"/>
      <c r="ANZ22"/>
      <c r="AOA22"/>
      <c r="AOB22"/>
      <c r="AOC22"/>
      <c r="AOD22"/>
      <c r="AOE22"/>
      <c r="AOF22"/>
      <c r="AOG22"/>
      <c r="AOH22"/>
      <c r="AOI22"/>
      <c r="AOJ22"/>
      <c r="AOK22"/>
      <c r="AOL22"/>
      <c r="AOM22"/>
      <c r="AON22"/>
      <c r="AOO22"/>
      <c r="AOP22"/>
      <c r="AOQ22"/>
      <c r="AOR22"/>
      <c r="AOS22"/>
      <c r="AOT22"/>
      <c r="AOU22"/>
      <c r="AOV22"/>
      <c r="AOW22"/>
      <c r="AOX22"/>
      <c r="AOY22"/>
      <c r="AOZ22"/>
      <c r="APA22"/>
      <c r="APB22"/>
      <c r="APC22"/>
      <c r="APD22"/>
      <c r="APE22"/>
      <c r="APF22"/>
      <c r="APG22"/>
      <c r="APH22"/>
      <c r="API22"/>
      <c r="APJ22"/>
      <c r="APK22"/>
      <c r="APL22"/>
      <c r="APM22"/>
      <c r="APN22"/>
      <c r="APO22"/>
      <c r="APP22"/>
      <c r="APQ22"/>
      <c r="APR22"/>
      <c r="APS22"/>
      <c r="APT22"/>
      <c r="APU22"/>
      <c r="APV22"/>
      <c r="APW22"/>
      <c r="APX22"/>
      <c r="APY22"/>
      <c r="APZ22"/>
      <c r="AQA22"/>
      <c r="AQB22"/>
      <c r="AQC22"/>
      <c r="AQD22"/>
      <c r="AQE22"/>
      <c r="AQF22"/>
      <c r="AQG22"/>
      <c r="AQH22"/>
      <c r="AQI22"/>
      <c r="AQJ22"/>
      <c r="AQK22"/>
      <c r="AQL22"/>
      <c r="AQM22"/>
      <c r="AQN22"/>
      <c r="AQO22"/>
      <c r="AQP22"/>
      <c r="AQQ22"/>
      <c r="AQR22"/>
      <c r="AQS22"/>
      <c r="AQT22"/>
      <c r="AQU22"/>
      <c r="AQV22"/>
      <c r="AQW22"/>
      <c r="AQX22"/>
      <c r="AQY22"/>
      <c r="AQZ22"/>
      <c r="ARA22"/>
      <c r="ARB22"/>
      <c r="ARC22"/>
      <c r="ARD22"/>
      <c r="ARE22"/>
      <c r="ARF22"/>
      <c r="ARG22"/>
      <c r="ARH22"/>
      <c r="ARI22"/>
      <c r="ARJ22"/>
      <c r="ARK22"/>
      <c r="ARL22"/>
      <c r="ARM22"/>
      <c r="ARN22"/>
      <c r="ARO22"/>
      <c r="ARP22"/>
      <c r="ARQ22"/>
      <c r="ARR22"/>
      <c r="ARS22"/>
      <c r="ART22"/>
      <c r="ARU22"/>
      <c r="ARV22"/>
      <c r="ARW22"/>
      <c r="ARX22"/>
      <c r="ARY22"/>
      <c r="ARZ22"/>
      <c r="ASA22"/>
      <c r="ASB22"/>
      <c r="ASC22"/>
      <c r="ASD22"/>
      <c r="ASE22"/>
      <c r="ASF22"/>
      <c r="ASG22"/>
      <c r="ASH22"/>
      <c r="ASI22"/>
      <c r="ASJ22"/>
      <c r="ASK22"/>
      <c r="ASL22"/>
      <c r="ASM22"/>
      <c r="ASN22"/>
      <c r="ASO22"/>
      <c r="ASP22"/>
      <c r="ASQ22"/>
      <c r="ASR22"/>
      <c r="ASS22"/>
      <c r="AST22"/>
      <c r="ASU22"/>
      <c r="ASV22"/>
      <c r="ASW22"/>
      <c r="ASX22"/>
      <c r="ASY22"/>
      <c r="ASZ22"/>
      <c r="ATA22"/>
      <c r="ATB22"/>
      <c r="ATC22"/>
      <c r="ATD22"/>
      <c r="ATE22"/>
      <c r="ATF22"/>
      <c r="ATG22"/>
      <c r="ATH22"/>
      <c r="ATI22"/>
      <c r="ATJ22"/>
      <c r="ATK22"/>
      <c r="ATL22"/>
      <c r="ATM22"/>
      <c r="ATN22"/>
      <c r="ATO22"/>
      <c r="ATP22"/>
      <c r="ATQ22"/>
      <c r="ATR22"/>
      <c r="ATS22"/>
      <c r="ATT22"/>
      <c r="ATU22"/>
      <c r="ATV22"/>
      <c r="ATW22"/>
      <c r="ATX22"/>
      <c r="ATY22"/>
      <c r="ATZ22"/>
      <c r="AUA22"/>
      <c r="AUB22"/>
      <c r="AUC22"/>
      <c r="AUD22"/>
      <c r="AUE22"/>
      <c r="AUF22"/>
      <c r="AUG22"/>
      <c r="AUH22"/>
      <c r="AUI22"/>
      <c r="AUJ22"/>
      <c r="AUK22"/>
      <c r="AUL22"/>
      <c r="AUM22"/>
      <c r="AUN22"/>
      <c r="AUO22"/>
      <c r="AUP22"/>
      <c r="AUQ22"/>
      <c r="AUR22"/>
      <c r="AUS22"/>
      <c r="AUT22"/>
      <c r="AUU22"/>
      <c r="AUV22"/>
      <c r="AUW22"/>
      <c r="AUX22"/>
      <c r="AUY22"/>
      <c r="AUZ22"/>
      <c r="AVA22"/>
      <c r="AVB22"/>
      <c r="AVC22"/>
      <c r="AVD22"/>
      <c r="AVE22"/>
      <c r="AVF22"/>
      <c r="AVG22"/>
      <c r="AVH22"/>
      <c r="AVI22"/>
      <c r="AVJ22"/>
      <c r="AVK22"/>
      <c r="AVL22"/>
      <c r="AVM22"/>
      <c r="AVN22"/>
      <c r="AVO22"/>
      <c r="AVP22"/>
      <c r="AVQ22"/>
      <c r="AVR22"/>
      <c r="AVS22"/>
      <c r="AVT22"/>
      <c r="AVU22"/>
      <c r="AVV22"/>
      <c r="AVW22"/>
      <c r="AVX22"/>
      <c r="AVY22"/>
      <c r="AVZ22"/>
      <c r="AWA22"/>
      <c r="AWB22"/>
      <c r="AWC22"/>
      <c r="AWD22"/>
      <c r="AWE22"/>
      <c r="AWF22"/>
      <c r="AWG22"/>
      <c r="AWH22"/>
      <c r="AWI22"/>
      <c r="AWJ22"/>
      <c r="AWK22"/>
      <c r="AWL22"/>
      <c r="AWM22"/>
      <c r="AWN22"/>
      <c r="AWO22"/>
      <c r="AWP22"/>
      <c r="AWQ22"/>
      <c r="AWR22"/>
      <c r="AWS22"/>
      <c r="AWT22"/>
      <c r="AWU22"/>
      <c r="AWV22"/>
      <c r="AWW22"/>
      <c r="AWX22"/>
      <c r="AWY22"/>
      <c r="AWZ22"/>
      <c r="AXA22"/>
      <c r="AXB22"/>
      <c r="AXC22"/>
      <c r="AXD22"/>
      <c r="AXE22"/>
      <c r="AXF22"/>
      <c r="AXG22"/>
      <c r="AXH22"/>
      <c r="AXI22"/>
      <c r="AXJ22"/>
      <c r="AXK22"/>
      <c r="AXL22"/>
      <c r="AXM22"/>
      <c r="AXN22"/>
      <c r="AXO22"/>
      <c r="AXP22"/>
      <c r="AXQ22"/>
      <c r="AXR22"/>
      <c r="AXS22"/>
      <c r="AXT22"/>
      <c r="AXU22"/>
      <c r="AXV22"/>
      <c r="AXW22"/>
      <c r="AXX22"/>
      <c r="AXY22"/>
      <c r="AXZ22"/>
      <c r="AYA22"/>
      <c r="AYB22"/>
      <c r="AYC22"/>
      <c r="AYD22"/>
      <c r="AYE22"/>
      <c r="AYF22"/>
      <c r="AYG22"/>
      <c r="AYH22"/>
      <c r="AYI22"/>
      <c r="AYJ22"/>
      <c r="AYK22"/>
      <c r="AYL22"/>
      <c r="AYM22"/>
      <c r="AYN22"/>
      <c r="AYO22"/>
      <c r="AYP22"/>
      <c r="AYQ22"/>
      <c r="AYR22"/>
      <c r="AYS22"/>
      <c r="AYT22"/>
      <c r="AYU22"/>
      <c r="AYV22"/>
      <c r="AYW22"/>
      <c r="AYX22"/>
      <c r="AYY22"/>
      <c r="AYZ22"/>
      <c r="AZA22"/>
      <c r="AZB22"/>
      <c r="AZC22"/>
      <c r="AZD22"/>
      <c r="AZE22"/>
      <c r="AZF22"/>
      <c r="AZG22"/>
      <c r="AZH22"/>
      <c r="AZI22"/>
      <c r="AZJ22"/>
      <c r="AZK22"/>
      <c r="AZL22"/>
      <c r="AZM22"/>
      <c r="AZN22"/>
      <c r="AZO22"/>
      <c r="AZP22"/>
      <c r="AZQ22"/>
      <c r="AZR22"/>
      <c r="AZS22"/>
      <c r="AZT22"/>
      <c r="AZU22"/>
      <c r="AZV22"/>
      <c r="AZW22"/>
      <c r="AZX22"/>
      <c r="AZY22"/>
      <c r="AZZ22"/>
      <c r="BAA22"/>
      <c r="BAB22"/>
      <c r="BAC22"/>
      <c r="BAD22"/>
      <c r="BAE22"/>
      <c r="BAF22"/>
      <c r="BAG22"/>
      <c r="BAH22"/>
      <c r="BAI22"/>
      <c r="BAJ22"/>
      <c r="BAK22"/>
      <c r="BAL22"/>
      <c r="BAM22"/>
      <c r="BAN22"/>
      <c r="BAO22"/>
      <c r="BAP22"/>
      <c r="BAQ22"/>
      <c r="BAR22"/>
      <c r="BAS22"/>
      <c r="BAT22"/>
      <c r="BAU22"/>
      <c r="BAV22"/>
      <c r="BAW22"/>
      <c r="BAX22"/>
      <c r="BAY22"/>
      <c r="BAZ22"/>
      <c r="BBA22"/>
      <c r="BBB22"/>
      <c r="BBC22"/>
      <c r="BBD22"/>
      <c r="BBE22"/>
      <c r="BBF22"/>
      <c r="BBG22"/>
      <c r="BBH22"/>
      <c r="BBI22"/>
      <c r="BBJ22"/>
      <c r="BBK22"/>
      <c r="BBL22"/>
      <c r="BBM22"/>
      <c r="BBN22"/>
      <c r="BBO22"/>
      <c r="BBP22"/>
      <c r="BBQ22"/>
      <c r="BBR22"/>
      <c r="BBS22"/>
      <c r="BBT22"/>
      <c r="BBU22"/>
      <c r="BBV22"/>
      <c r="BBW22"/>
      <c r="BBX22"/>
      <c r="BBY22"/>
      <c r="BBZ22"/>
      <c r="BCA22"/>
      <c r="BCB22"/>
      <c r="BCC22"/>
      <c r="BCD22"/>
      <c r="BCE22"/>
      <c r="BCF22"/>
      <c r="BCG22"/>
      <c r="BCH22"/>
      <c r="BCI22"/>
      <c r="BCJ22"/>
      <c r="BCK22"/>
      <c r="BCL22"/>
      <c r="BCM22"/>
      <c r="BCN22"/>
      <c r="BCO22"/>
      <c r="BCP22"/>
      <c r="BCQ22"/>
      <c r="BCR22"/>
      <c r="BCS22"/>
      <c r="BCT22"/>
      <c r="BCU22"/>
      <c r="BCV22"/>
      <c r="BCW22"/>
      <c r="BCX22"/>
      <c r="BCY22"/>
      <c r="BCZ22"/>
      <c r="BDA22"/>
      <c r="BDB22"/>
      <c r="BDC22"/>
      <c r="BDD22"/>
      <c r="BDE22"/>
      <c r="BDF22"/>
      <c r="BDG22"/>
      <c r="BDH22"/>
      <c r="BDI22"/>
      <c r="BDJ22"/>
      <c r="BDK22"/>
      <c r="BDL22"/>
      <c r="BDM22"/>
      <c r="BDN22"/>
      <c r="BDO22"/>
      <c r="BDP22"/>
      <c r="BDQ22"/>
      <c r="BDR22"/>
      <c r="BDS22"/>
      <c r="BDT22"/>
      <c r="BDU22"/>
      <c r="BDV22"/>
      <c r="BDW22"/>
      <c r="BDX22"/>
      <c r="BDY22"/>
      <c r="BDZ22"/>
      <c r="BEA22"/>
      <c r="BEB22"/>
      <c r="BEC22"/>
      <c r="BED22"/>
      <c r="BEE22"/>
      <c r="BEF22"/>
      <c r="BEG22"/>
      <c r="BEH22"/>
      <c r="BEI22"/>
      <c r="BEJ22"/>
      <c r="BEK22"/>
      <c r="BEL22"/>
      <c r="BEM22"/>
      <c r="BEN22"/>
      <c r="BEO22"/>
      <c r="BEP22"/>
      <c r="BEQ22"/>
      <c r="BER22"/>
      <c r="BES22"/>
      <c r="BET22"/>
      <c r="BEU22"/>
      <c r="BEV22"/>
      <c r="BEW22"/>
      <c r="BEX22"/>
      <c r="BEY22"/>
      <c r="BEZ22"/>
      <c r="BFA22"/>
      <c r="BFB22"/>
      <c r="BFC22"/>
      <c r="BFD22"/>
      <c r="BFE22"/>
      <c r="BFF22"/>
      <c r="BFG22"/>
      <c r="BFH22"/>
      <c r="BFI22"/>
      <c r="BFJ22"/>
      <c r="BFK22"/>
      <c r="BFL22"/>
      <c r="BFM22"/>
      <c r="BFN22"/>
      <c r="BFO22"/>
      <c r="BFP22"/>
      <c r="BFQ22"/>
      <c r="BFR22"/>
      <c r="BFS22"/>
      <c r="BFT22"/>
      <c r="BFU22"/>
      <c r="BFV22"/>
      <c r="BFW22"/>
      <c r="BFX22"/>
      <c r="BFY22"/>
      <c r="BFZ22"/>
      <c r="BGA22"/>
      <c r="BGB22"/>
      <c r="BGC22"/>
      <c r="BGD22"/>
      <c r="BGE22"/>
      <c r="BGF22"/>
      <c r="BGG22"/>
      <c r="BGH22"/>
      <c r="BGI22"/>
      <c r="BGJ22"/>
      <c r="BGK22"/>
      <c r="BGL22"/>
      <c r="BGM22"/>
      <c r="BGN22"/>
      <c r="BGO22"/>
      <c r="BGP22"/>
      <c r="BGQ22"/>
      <c r="BGR22"/>
      <c r="BGS22"/>
      <c r="BGT22"/>
      <c r="BGU22"/>
      <c r="BGV22"/>
      <c r="BGW22"/>
      <c r="BGX22"/>
      <c r="BGY22"/>
      <c r="BGZ22"/>
      <c r="BHA22"/>
      <c r="BHB22"/>
      <c r="BHC22"/>
      <c r="BHD22"/>
      <c r="BHE22"/>
      <c r="BHF22"/>
      <c r="BHG22"/>
      <c r="BHH22"/>
      <c r="BHI22"/>
      <c r="BHJ22"/>
      <c r="BHK22"/>
      <c r="BHL22"/>
      <c r="BHM22"/>
      <c r="BHN22"/>
      <c r="BHO22"/>
      <c r="BHP22"/>
      <c r="BHQ22"/>
      <c r="BHR22"/>
      <c r="BHS22"/>
      <c r="BHT22"/>
      <c r="BHU22"/>
      <c r="BHV22"/>
      <c r="BHW22"/>
      <c r="BHX22"/>
      <c r="BHY22"/>
      <c r="BHZ22"/>
      <c r="BIA22"/>
      <c r="BIB22"/>
      <c r="BIC22"/>
      <c r="BID22"/>
      <c r="BIE22"/>
      <c r="BIF22"/>
      <c r="BIG22"/>
      <c r="BIH22"/>
      <c r="BII22"/>
      <c r="BIJ22"/>
      <c r="BIK22"/>
      <c r="BIL22"/>
      <c r="BIM22"/>
      <c r="BIN22"/>
      <c r="BIO22"/>
      <c r="BIP22"/>
      <c r="BIQ22"/>
      <c r="BIR22"/>
      <c r="BIS22"/>
      <c r="BIT22"/>
      <c r="BIU22"/>
      <c r="BIV22"/>
      <c r="BIW22"/>
      <c r="BIX22"/>
      <c r="BIY22"/>
      <c r="BIZ22"/>
      <c r="BJA22"/>
      <c r="BJB22"/>
      <c r="BJC22"/>
      <c r="BJD22"/>
      <c r="BJE22"/>
      <c r="BJF22"/>
      <c r="BJG22"/>
      <c r="BJH22"/>
      <c r="BJI22"/>
      <c r="BJJ22"/>
      <c r="BJK22"/>
      <c r="BJL22"/>
      <c r="BJM22"/>
      <c r="BJN22"/>
      <c r="BJO22"/>
      <c r="BJP22"/>
      <c r="BJQ22"/>
      <c r="BJR22"/>
      <c r="BJS22"/>
      <c r="BJT22"/>
      <c r="BJU22"/>
      <c r="BJV22"/>
      <c r="BJW22"/>
      <c r="BJX22"/>
      <c r="BJY22"/>
      <c r="BJZ22"/>
      <c r="BKA22"/>
      <c r="BKB22"/>
      <c r="BKC22"/>
      <c r="BKD22"/>
      <c r="BKE22"/>
      <c r="BKF22"/>
      <c r="BKG22"/>
      <c r="BKH22"/>
      <c r="BKI22"/>
      <c r="BKJ22"/>
      <c r="BKK22"/>
      <c r="BKL22"/>
      <c r="BKM22"/>
      <c r="BKN22"/>
      <c r="BKO22"/>
      <c r="BKP22"/>
      <c r="BKQ22"/>
      <c r="BKR22"/>
      <c r="BKS22"/>
      <c r="BKT22"/>
      <c r="BKU22"/>
      <c r="BKV22"/>
      <c r="BKW22"/>
      <c r="BKX22"/>
      <c r="BKY22"/>
      <c r="BKZ22"/>
      <c r="BLA22"/>
      <c r="BLB22"/>
      <c r="BLC22"/>
      <c r="BLD22"/>
      <c r="BLE22"/>
      <c r="BLF22"/>
      <c r="BLG22"/>
      <c r="BLH22"/>
      <c r="BLI22"/>
      <c r="BLJ22"/>
      <c r="BLK22"/>
      <c r="BLL22"/>
      <c r="BLM22"/>
      <c r="BLN22"/>
      <c r="BLO22"/>
      <c r="BLP22"/>
      <c r="BLQ22"/>
      <c r="BLR22"/>
      <c r="BLS22"/>
      <c r="BLT22"/>
      <c r="BLU22"/>
      <c r="BLV22"/>
      <c r="BLW22"/>
      <c r="BLX22"/>
      <c r="BLY22"/>
      <c r="BLZ22"/>
      <c r="BMA22"/>
      <c r="BMB22"/>
      <c r="BMC22"/>
      <c r="BMD22"/>
      <c r="BME22"/>
      <c r="BMF22"/>
      <c r="BMG22"/>
      <c r="BMH22"/>
      <c r="BMI22"/>
      <c r="BMJ22"/>
      <c r="BMK22"/>
      <c r="BML22"/>
      <c r="BMM22"/>
      <c r="BMN22"/>
      <c r="BMO22"/>
      <c r="BMP22"/>
      <c r="BMQ22"/>
      <c r="BMR22"/>
      <c r="BMS22"/>
      <c r="BMT22"/>
      <c r="BMU22"/>
      <c r="BMV22"/>
      <c r="BMW22"/>
      <c r="BMX22"/>
      <c r="BMY22"/>
      <c r="BMZ22"/>
      <c r="BNA22"/>
      <c r="BNB22"/>
      <c r="BNC22"/>
      <c r="BND22"/>
      <c r="BNE22"/>
      <c r="BNF22"/>
      <c r="BNG22"/>
      <c r="BNH22"/>
      <c r="BNI22"/>
      <c r="BNJ22"/>
      <c r="BNK22"/>
      <c r="BNL22"/>
      <c r="BNM22"/>
      <c r="BNN22"/>
      <c r="BNO22"/>
      <c r="BNP22"/>
      <c r="BNQ22"/>
      <c r="BNR22"/>
      <c r="BNS22"/>
      <c r="BNT22"/>
      <c r="BNU22"/>
      <c r="BNV22"/>
      <c r="BNW22"/>
      <c r="BNX22"/>
      <c r="BNY22"/>
      <c r="BNZ22"/>
      <c r="BOA22"/>
      <c r="BOB22"/>
      <c r="BOC22"/>
      <c r="BOD22"/>
      <c r="BOE22"/>
      <c r="BOF22"/>
      <c r="BOG22"/>
      <c r="BOH22"/>
      <c r="BOI22"/>
      <c r="BOJ22"/>
      <c r="BOK22"/>
      <c r="BOL22"/>
      <c r="BOM22"/>
      <c r="BON22"/>
      <c r="BOO22"/>
      <c r="BOP22"/>
      <c r="BOQ22"/>
      <c r="BOR22"/>
      <c r="BOS22"/>
      <c r="BOT22"/>
      <c r="BOU22"/>
      <c r="BOV22"/>
      <c r="BOW22"/>
      <c r="BOX22"/>
      <c r="BOY22"/>
      <c r="BOZ22"/>
      <c r="BPA22"/>
      <c r="BPB22"/>
      <c r="BPC22"/>
      <c r="BPD22"/>
      <c r="BPE22"/>
      <c r="BPF22"/>
      <c r="BPG22"/>
      <c r="BPH22"/>
      <c r="BPI22"/>
      <c r="BPJ22"/>
      <c r="BPK22"/>
      <c r="BPL22"/>
      <c r="BPM22"/>
      <c r="BPN22"/>
      <c r="BPO22"/>
      <c r="BPP22"/>
      <c r="BPQ22"/>
      <c r="BPR22"/>
      <c r="BPS22"/>
      <c r="BPT22"/>
      <c r="BPU22"/>
      <c r="BPV22"/>
      <c r="BPW22"/>
      <c r="BPX22"/>
      <c r="BPY22"/>
      <c r="BPZ22"/>
      <c r="BQA22"/>
      <c r="BQB22"/>
      <c r="BQC22"/>
      <c r="BQD22"/>
      <c r="BQE22"/>
      <c r="BQF22"/>
      <c r="BQG22"/>
      <c r="BQH22"/>
      <c r="BQI22"/>
      <c r="BQJ22"/>
      <c r="BQK22"/>
      <c r="BQL22"/>
      <c r="BQM22"/>
      <c r="BQN22"/>
      <c r="BQO22"/>
      <c r="BQP22"/>
      <c r="BQQ22"/>
      <c r="BQR22"/>
      <c r="BQS22"/>
      <c r="BQT22"/>
      <c r="BQU22"/>
      <c r="BQV22"/>
      <c r="BQW22"/>
      <c r="BQX22"/>
      <c r="BQY22"/>
      <c r="BQZ22"/>
      <c r="BRA22"/>
      <c r="BRB22"/>
      <c r="BRC22"/>
      <c r="BRD22"/>
      <c r="BRE22"/>
      <c r="BRF22"/>
      <c r="BRG22"/>
      <c r="BRH22"/>
      <c r="BRI22"/>
      <c r="BRJ22"/>
      <c r="BRK22"/>
      <c r="BRL22"/>
      <c r="BRM22"/>
      <c r="BRN22"/>
      <c r="BRO22"/>
      <c r="BRP22"/>
      <c r="BRQ22"/>
      <c r="BRR22"/>
      <c r="BRS22"/>
      <c r="BRT22"/>
      <c r="BRU22"/>
      <c r="BRV22"/>
      <c r="BRW22"/>
      <c r="BRX22"/>
      <c r="BRY22"/>
      <c r="BRZ22"/>
      <c r="BSA22"/>
      <c r="BSB22"/>
      <c r="BSC22"/>
      <c r="BSD22"/>
      <c r="BSE22"/>
      <c r="BSF22"/>
      <c r="BSG22"/>
      <c r="BSH22"/>
      <c r="BSI22"/>
      <c r="BSJ22"/>
      <c r="BSK22"/>
      <c r="BSL22"/>
      <c r="BSM22"/>
      <c r="BSN22"/>
      <c r="BSO22"/>
      <c r="BSP22"/>
      <c r="BSQ22"/>
      <c r="BSR22"/>
      <c r="BSS22"/>
      <c r="BST22"/>
      <c r="BSU22"/>
      <c r="BSV22"/>
      <c r="BSW22"/>
      <c r="BSX22"/>
      <c r="BSY22"/>
      <c r="BSZ22"/>
      <c r="BTA22"/>
      <c r="BTB22"/>
      <c r="BTC22"/>
      <c r="BTD22"/>
      <c r="BTE22"/>
      <c r="BTF22"/>
      <c r="BTG22"/>
      <c r="BTH22"/>
      <c r="BTI22"/>
      <c r="BTJ22"/>
      <c r="BTK22"/>
      <c r="BTL22"/>
      <c r="BTM22"/>
      <c r="BTN22"/>
      <c r="BTO22"/>
      <c r="BTP22"/>
      <c r="BTQ22"/>
      <c r="BTR22"/>
      <c r="BTS22"/>
      <c r="BTT22"/>
      <c r="BTU22"/>
      <c r="BTV22"/>
      <c r="BTW22"/>
      <c r="BTX22"/>
      <c r="BTY22"/>
      <c r="BTZ22"/>
      <c r="BUA22"/>
      <c r="BUB22"/>
      <c r="BUC22"/>
      <c r="BUD22"/>
      <c r="BUE22"/>
      <c r="BUF22"/>
      <c r="BUG22"/>
      <c r="BUH22"/>
      <c r="BUI22"/>
      <c r="BUJ22"/>
      <c r="BUK22"/>
      <c r="BUL22"/>
      <c r="BUM22"/>
      <c r="BUN22"/>
      <c r="BUO22"/>
      <c r="BUP22"/>
      <c r="BUQ22"/>
      <c r="BUR22"/>
      <c r="BUS22"/>
      <c r="BUT22"/>
      <c r="BUU22"/>
      <c r="BUV22"/>
      <c r="BUW22"/>
      <c r="BUX22"/>
      <c r="BUY22"/>
      <c r="BUZ22"/>
      <c r="BVA22"/>
      <c r="BVB22"/>
      <c r="BVC22"/>
      <c r="BVD22"/>
      <c r="BVE22"/>
      <c r="BVF22"/>
      <c r="BVG22"/>
      <c r="BVH22"/>
      <c r="BVI22"/>
      <c r="BVJ22"/>
      <c r="BVK22"/>
      <c r="BVL22"/>
      <c r="BVM22"/>
      <c r="BVN22"/>
      <c r="BVO22"/>
      <c r="BVP22"/>
      <c r="BVQ22"/>
      <c r="BVR22"/>
      <c r="BVS22"/>
      <c r="BVT22"/>
      <c r="BVU22"/>
      <c r="BVV22"/>
      <c r="BVW22"/>
      <c r="BVX22"/>
      <c r="BVY22"/>
      <c r="BVZ22"/>
      <c r="BWA22"/>
      <c r="BWB22"/>
      <c r="BWC22"/>
      <c r="BWD22"/>
      <c r="BWE22"/>
      <c r="BWF22"/>
      <c r="BWG22"/>
      <c r="BWH22"/>
      <c r="BWI22"/>
      <c r="BWJ22"/>
      <c r="BWK22"/>
      <c r="BWL22"/>
      <c r="BWM22"/>
      <c r="BWN22"/>
      <c r="BWO22"/>
      <c r="BWP22"/>
      <c r="BWQ22"/>
      <c r="BWR22"/>
      <c r="BWS22"/>
      <c r="BWT22"/>
      <c r="BWU22"/>
      <c r="BWV22"/>
      <c r="BWW22"/>
      <c r="BWX22"/>
      <c r="BWY22"/>
      <c r="BWZ22"/>
      <c r="BXA22"/>
      <c r="BXB22"/>
      <c r="BXC22"/>
      <c r="BXD22"/>
      <c r="BXE22"/>
      <c r="BXF22"/>
      <c r="BXG22"/>
      <c r="BXH22"/>
      <c r="BXI22"/>
      <c r="BXJ22"/>
      <c r="BXK22"/>
      <c r="BXL22"/>
      <c r="BXM22"/>
      <c r="BXN22"/>
      <c r="BXO22"/>
      <c r="BXP22"/>
      <c r="BXQ22"/>
      <c r="BXR22"/>
      <c r="BXS22"/>
      <c r="BXT22"/>
      <c r="BXU22"/>
      <c r="BXV22"/>
      <c r="BXW22"/>
      <c r="BXX22"/>
      <c r="BXY22"/>
      <c r="BXZ22"/>
      <c r="BYA22"/>
      <c r="BYB22"/>
      <c r="BYC22"/>
      <c r="BYD22"/>
      <c r="BYE22"/>
      <c r="BYF22"/>
      <c r="BYG22"/>
      <c r="BYH22"/>
      <c r="BYI22"/>
      <c r="BYJ22"/>
      <c r="BYK22"/>
      <c r="BYL22"/>
      <c r="BYM22"/>
      <c r="BYN22"/>
      <c r="BYO22"/>
      <c r="BYP22"/>
      <c r="BYQ22"/>
      <c r="BYR22"/>
      <c r="BYS22"/>
      <c r="BYT22"/>
      <c r="BYU22"/>
      <c r="BYV22"/>
      <c r="BYW22"/>
      <c r="BYX22"/>
      <c r="BYY22"/>
      <c r="BYZ22"/>
      <c r="BZA22"/>
      <c r="BZB22"/>
      <c r="BZC22"/>
      <c r="BZD22"/>
      <c r="BZE22"/>
      <c r="BZF22"/>
      <c r="BZG22"/>
      <c r="BZH22"/>
      <c r="BZI22"/>
      <c r="BZJ22"/>
      <c r="BZK22"/>
      <c r="BZL22"/>
      <c r="BZM22"/>
      <c r="BZN22"/>
      <c r="BZO22"/>
      <c r="BZP22"/>
      <c r="BZQ22"/>
      <c r="BZR22"/>
      <c r="BZS22"/>
      <c r="BZT22"/>
      <c r="BZU22"/>
      <c r="BZV22"/>
      <c r="BZW22"/>
      <c r="BZX22"/>
      <c r="BZY22"/>
      <c r="BZZ22"/>
      <c r="CAA22"/>
      <c r="CAB22"/>
      <c r="CAC22"/>
      <c r="CAD22"/>
      <c r="CAE22"/>
      <c r="CAF22"/>
      <c r="CAG22"/>
      <c r="CAH22"/>
      <c r="CAI22"/>
      <c r="CAJ22"/>
      <c r="CAK22"/>
      <c r="CAL22"/>
      <c r="CAM22"/>
      <c r="CAN22"/>
      <c r="CAO22"/>
      <c r="CAP22"/>
      <c r="CAQ22"/>
      <c r="CAR22"/>
      <c r="CAS22"/>
      <c r="CAT22"/>
      <c r="CAU22"/>
      <c r="CAV22"/>
      <c r="CAW22"/>
      <c r="CAX22"/>
      <c r="CAY22"/>
      <c r="CAZ22"/>
      <c r="CBA22"/>
      <c r="CBB22"/>
      <c r="CBC22"/>
      <c r="CBD22"/>
      <c r="CBE22"/>
      <c r="CBF22"/>
      <c r="CBG22"/>
      <c r="CBH22"/>
      <c r="CBI22"/>
      <c r="CBJ22"/>
      <c r="CBK22"/>
      <c r="CBL22"/>
      <c r="CBM22"/>
      <c r="CBN22"/>
      <c r="CBO22"/>
      <c r="CBP22"/>
      <c r="CBQ22"/>
      <c r="CBR22"/>
      <c r="CBS22"/>
      <c r="CBT22"/>
      <c r="CBU22"/>
      <c r="CBV22"/>
      <c r="CBW22"/>
      <c r="CBX22"/>
      <c r="CBY22"/>
      <c r="CBZ22"/>
      <c r="CCA22"/>
      <c r="CCB22"/>
      <c r="CCC22"/>
      <c r="CCD22"/>
      <c r="CCE22"/>
      <c r="CCF22"/>
      <c r="CCG22"/>
      <c r="CCH22"/>
      <c r="CCI22"/>
      <c r="CCJ22"/>
      <c r="CCK22"/>
      <c r="CCL22"/>
      <c r="CCM22"/>
      <c r="CCN22"/>
      <c r="CCO22"/>
      <c r="CCP22"/>
      <c r="CCQ22"/>
      <c r="CCR22"/>
      <c r="CCS22"/>
      <c r="CCT22"/>
      <c r="CCU22"/>
      <c r="CCV22"/>
      <c r="CCW22"/>
      <c r="CCX22"/>
      <c r="CCY22"/>
      <c r="CCZ22"/>
      <c r="CDA22"/>
      <c r="CDB22"/>
      <c r="CDC22"/>
      <c r="CDD22"/>
      <c r="CDE22"/>
      <c r="CDF22"/>
      <c r="CDG22"/>
      <c r="CDH22"/>
      <c r="CDI22"/>
      <c r="CDJ22"/>
      <c r="CDK22"/>
      <c r="CDL22"/>
      <c r="CDM22"/>
      <c r="CDN22"/>
      <c r="CDO22"/>
      <c r="CDP22"/>
      <c r="CDQ22"/>
      <c r="CDR22"/>
      <c r="CDS22"/>
      <c r="CDT22"/>
      <c r="CDU22"/>
      <c r="CDV22"/>
      <c r="CDW22"/>
      <c r="CDX22"/>
      <c r="CDY22"/>
      <c r="CDZ22"/>
      <c r="CEA22"/>
      <c r="CEB22"/>
      <c r="CEC22"/>
      <c r="CED22"/>
      <c r="CEE22"/>
      <c r="CEF22"/>
      <c r="CEG22"/>
      <c r="CEH22"/>
      <c r="CEI22"/>
      <c r="CEJ22"/>
      <c r="CEK22"/>
      <c r="CEL22"/>
      <c r="CEM22"/>
      <c r="CEN22"/>
      <c r="CEO22"/>
      <c r="CEP22"/>
      <c r="CEQ22"/>
      <c r="CER22"/>
      <c r="CES22"/>
      <c r="CET22"/>
      <c r="CEU22"/>
      <c r="CEV22"/>
      <c r="CEW22"/>
      <c r="CEX22"/>
      <c r="CEY22"/>
      <c r="CEZ22"/>
      <c r="CFA22"/>
      <c r="CFB22"/>
      <c r="CFC22"/>
      <c r="CFD22"/>
      <c r="CFE22"/>
      <c r="CFF22"/>
      <c r="CFG22"/>
      <c r="CFH22"/>
      <c r="CFI22"/>
      <c r="CFJ22"/>
      <c r="CFK22"/>
      <c r="CFL22"/>
      <c r="CFM22"/>
      <c r="CFN22"/>
      <c r="CFO22"/>
      <c r="CFP22"/>
      <c r="CFQ22"/>
      <c r="CFR22"/>
      <c r="CFS22"/>
      <c r="CFT22"/>
      <c r="CFU22"/>
      <c r="CFV22"/>
      <c r="CFW22"/>
      <c r="CFX22"/>
      <c r="CFY22"/>
      <c r="CFZ22"/>
      <c r="CGA22"/>
      <c r="CGB22"/>
      <c r="CGC22"/>
      <c r="CGD22"/>
      <c r="CGE22"/>
      <c r="CGF22"/>
      <c r="CGG22"/>
      <c r="CGH22"/>
      <c r="CGI22"/>
      <c r="CGJ22"/>
      <c r="CGK22"/>
      <c r="CGL22"/>
      <c r="CGM22"/>
      <c r="CGN22"/>
      <c r="CGO22"/>
      <c r="CGP22"/>
      <c r="CGQ22"/>
      <c r="CGR22"/>
      <c r="CGS22"/>
      <c r="CGT22"/>
      <c r="CGU22"/>
      <c r="CGV22"/>
      <c r="CGW22"/>
      <c r="CGX22"/>
      <c r="CGY22"/>
      <c r="CGZ22"/>
      <c r="CHA22"/>
      <c r="CHB22"/>
      <c r="CHC22"/>
      <c r="CHD22"/>
      <c r="CHE22"/>
      <c r="CHF22"/>
      <c r="CHG22"/>
      <c r="CHH22"/>
      <c r="CHI22"/>
      <c r="CHJ22"/>
      <c r="CHK22"/>
      <c r="CHL22"/>
      <c r="CHM22"/>
      <c r="CHN22"/>
      <c r="CHO22"/>
      <c r="CHP22"/>
      <c r="CHQ22"/>
      <c r="CHR22"/>
      <c r="CHS22"/>
      <c r="CHT22"/>
      <c r="CHU22"/>
      <c r="CHV22"/>
      <c r="CHW22"/>
      <c r="CHX22"/>
      <c r="CHY22"/>
      <c r="CHZ22"/>
      <c r="CIA22"/>
      <c r="CIB22"/>
      <c r="CIC22"/>
      <c r="CID22"/>
      <c r="CIE22"/>
      <c r="CIF22"/>
      <c r="CIG22"/>
      <c r="CIH22"/>
      <c r="CII22"/>
      <c r="CIJ22"/>
      <c r="CIK22"/>
      <c r="CIL22"/>
      <c r="CIM22"/>
      <c r="CIN22"/>
      <c r="CIO22"/>
      <c r="CIP22"/>
      <c r="CIQ22"/>
      <c r="CIR22"/>
      <c r="CIS22"/>
      <c r="CIT22"/>
      <c r="CIU22"/>
      <c r="CIV22"/>
      <c r="CIW22"/>
      <c r="CIX22"/>
      <c r="CIY22"/>
      <c r="CIZ22"/>
      <c r="CJA22"/>
      <c r="CJB22"/>
      <c r="CJC22"/>
      <c r="CJD22"/>
      <c r="CJE22"/>
      <c r="CJF22"/>
      <c r="CJG22"/>
      <c r="CJH22"/>
      <c r="CJI22"/>
      <c r="CJJ22"/>
      <c r="CJK22"/>
      <c r="CJL22"/>
      <c r="CJM22"/>
      <c r="CJN22"/>
      <c r="CJO22"/>
      <c r="CJP22"/>
      <c r="CJQ22"/>
      <c r="CJR22"/>
      <c r="CJS22"/>
      <c r="CJT22"/>
      <c r="CJU22"/>
      <c r="CJV22"/>
      <c r="CJW22"/>
      <c r="CJX22"/>
      <c r="CJY22"/>
      <c r="CJZ22"/>
      <c r="CKA22"/>
      <c r="CKB22"/>
      <c r="CKC22"/>
      <c r="CKD22"/>
      <c r="CKE22"/>
      <c r="CKF22"/>
      <c r="CKG22"/>
      <c r="CKH22"/>
      <c r="CKI22"/>
      <c r="CKJ22"/>
      <c r="CKK22"/>
      <c r="CKL22"/>
      <c r="CKM22"/>
      <c r="CKN22"/>
      <c r="CKO22"/>
      <c r="CKP22"/>
      <c r="CKQ22"/>
      <c r="CKR22"/>
      <c r="CKS22"/>
      <c r="CKT22"/>
      <c r="CKU22"/>
      <c r="CKV22"/>
      <c r="CKW22"/>
      <c r="CKX22"/>
      <c r="CKY22"/>
      <c r="CKZ22"/>
      <c r="CLA22"/>
      <c r="CLB22"/>
      <c r="CLC22"/>
      <c r="CLD22"/>
      <c r="CLE22"/>
      <c r="CLF22"/>
      <c r="CLG22"/>
      <c r="CLH22"/>
      <c r="CLI22"/>
      <c r="CLJ22"/>
      <c r="CLK22"/>
      <c r="CLL22"/>
      <c r="CLM22"/>
      <c r="CLN22"/>
      <c r="CLO22"/>
      <c r="CLP22"/>
      <c r="CLQ22"/>
      <c r="CLR22"/>
      <c r="CLS22"/>
      <c r="CLT22"/>
      <c r="CLU22"/>
      <c r="CLV22"/>
      <c r="CLW22"/>
      <c r="CLX22"/>
      <c r="CLY22"/>
      <c r="CLZ22"/>
      <c r="CMA22"/>
      <c r="CMB22"/>
      <c r="CMC22"/>
      <c r="CMD22"/>
      <c r="CME22"/>
      <c r="CMF22"/>
      <c r="CMG22"/>
      <c r="CMH22"/>
      <c r="CMI22"/>
      <c r="CMJ22"/>
      <c r="CMK22"/>
      <c r="CML22"/>
      <c r="CMM22"/>
      <c r="CMN22"/>
      <c r="CMO22"/>
      <c r="CMP22"/>
      <c r="CMQ22"/>
      <c r="CMR22"/>
      <c r="CMS22"/>
      <c r="CMT22"/>
      <c r="CMU22"/>
      <c r="CMV22"/>
      <c r="CMW22"/>
      <c r="CMX22"/>
      <c r="CMY22"/>
      <c r="CMZ22"/>
      <c r="CNA22"/>
      <c r="CNB22"/>
      <c r="CNC22"/>
      <c r="CND22"/>
      <c r="CNE22"/>
      <c r="CNF22"/>
      <c r="CNG22"/>
      <c r="CNH22"/>
      <c r="CNI22"/>
      <c r="CNJ22"/>
      <c r="CNK22"/>
      <c r="CNL22"/>
      <c r="CNM22"/>
      <c r="CNN22"/>
      <c r="CNO22"/>
      <c r="CNP22"/>
      <c r="CNQ22"/>
      <c r="CNR22"/>
      <c r="CNS22"/>
      <c r="CNT22"/>
      <c r="CNU22"/>
      <c r="CNV22"/>
      <c r="CNW22"/>
      <c r="CNX22"/>
      <c r="CNY22"/>
      <c r="CNZ22"/>
      <c r="COA22"/>
      <c r="COB22"/>
      <c r="COC22"/>
      <c r="COD22"/>
      <c r="COE22"/>
      <c r="COF22"/>
      <c r="COG22"/>
      <c r="COH22"/>
      <c r="COI22"/>
      <c r="COJ22"/>
      <c r="COK22"/>
      <c r="COL22"/>
      <c r="COM22"/>
      <c r="CON22"/>
      <c r="COO22"/>
      <c r="COP22"/>
      <c r="COQ22"/>
      <c r="COR22"/>
      <c r="COS22"/>
      <c r="COT22"/>
      <c r="COU22"/>
      <c r="COV22"/>
      <c r="COW22"/>
      <c r="COX22"/>
      <c r="COY22"/>
      <c r="COZ22"/>
      <c r="CPA22"/>
      <c r="CPB22"/>
      <c r="CPC22"/>
      <c r="CPD22"/>
      <c r="CPE22"/>
      <c r="CPF22"/>
      <c r="CPG22"/>
      <c r="CPH22"/>
      <c r="CPI22"/>
      <c r="CPJ22"/>
      <c r="CPK22"/>
      <c r="CPL22"/>
      <c r="CPM22"/>
      <c r="CPN22"/>
      <c r="CPO22"/>
      <c r="CPP22"/>
      <c r="CPQ22"/>
      <c r="CPR22"/>
      <c r="CPS22"/>
      <c r="CPT22"/>
      <c r="CPU22"/>
      <c r="CPV22"/>
      <c r="CPW22"/>
      <c r="CPX22"/>
      <c r="CPY22"/>
      <c r="CPZ22"/>
      <c r="CQA22"/>
      <c r="CQB22"/>
      <c r="CQC22"/>
      <c r="CQD22"/>
      <c r="CQE22"/>
      <c r="CQF22"/>
      <c r="CQG22"/>
      <c r="CQH22"/>
      <c r="CQI22"/>
      <c r="CQJ22"/>
      <c r="CQK22"/>
      <c r="CQL22"/>
      <c r="CQM22"/>
      <c r="CQN22"/>
      <c r="CQO22"/>
      <c r="CQP22"/>
      <c r="CQQ22"/>
      <c r="CQR22"/>
      <c r="CQS22"/>
      <c r="CQT22"/>
      <c r="CQU22"/>
      <c r="CQV22"/>
      <c r="CQW22"/>
      <c r="CQX22"/>
      <c r="CQY22"/>
      <c r="CQZ22"/>
      <c r="CRA22"/>
      <c r="CRB22"/>
      <c r="CRC22"/>
      <c r="CRD22"/>
      <c r="CRE22"/>
      <c r="CRF22"/>
      <c r="CRG22"/>
      <c r="CRH22"/>
      <c r="CRI22"/>
      <c r="CRJ22"/>
      <c r="CRK22"/>
      <c r="CRL22"/>
      <c r="CRM22"/>
      <c r="CRN22"/>
      <c r="CRO22"/>
      <c r="CRP22"/>
      <c r="CRQ22"/>
      <c r="CRR22"/>
      <c r="CRS22"/>
      <c r="CRT22"/>
      <c r="CRU22"/>
      <c r="CRV22"/>
      <c r="CRW22"/>
      <c r="CRX22"/>
      <c r="CRY22"/>
      <c r="CRZ22"/>
      <c r="CSA22"/>
      <c r="CSB22"/>
      <c r="CSC22"/>
      <c r="CSD22"/>
      <c r="CSE22"/>
      <c r="CSF22"/>
      <c r="CSG22"/>
      <c r="CSH22"/>
      <c r="CSI22"/>
      <c r="CSJ22"/>
      <c r="CSK22"/>
      <c r="CSL22"/>
      <c r="CSM22"/>
      <c r="CSN22"/>
      <c r="CSO22"/>
      <c r="CSP22"/>
      <c r="CSQ22"/>
      <c r="CSR22"/>
      <c r="CSS22"/>
      <c r="CST22"/>
      <c r="CSU22"/>
      <c r="CSV22"/>
      <c r="CSW22"/>
      <c r="CSX22"/>
      <c r="CSY22"/>
      <c r="CSZ22"/>
      <c r="CTA22"/>
      <c r="CTB22"/>
      <c r="CTC22"/>
      <c r="CTD22"/>
      <c r="CTE22"/>
      <c r="CTF22"/>
      <c r="CTG22"/>
      <c r="CTH22"/>
      <c r="CTI22"/>
      <c r="CTJ22"/>
      <c r="CTK22"/>
      <c r="CTL22"/>
      <c r="CTM22"/>
      <c r="CTN22"/>
      <c r="CTO22"/>
      <c r="CTP22"/>
      <c r="CTQ22"/>
      <c r="CTR22"/>
      <c r="CTS22"/>
      <c r="CTT22"/>
      <c r="CTU22"/>
      <c r="CTV22"/>
      <c r="CTW22"/>
      <c r="CTX22"/>
      <c r="CTY22"/>
      <c r="CTZ22"/>
      <c r="CUA22"/>
      <c r="CUB22"/>
      <c r="CUC22"/>
      <c r="CUD22"/>
      <c r="CUE22"/>
      <c r="CUF22"/>
      <c r="CUG22"/>
      <c r="CUH22"/>
      <c r="CUI22"/>
      <c r="CUJ22"/>
      <c r="CUK22"/>
      <c r="CUL22"/>
      <c r="CUM22"/>
      <c r="CUN22"/>
      <c r="CUO22"/>
      <c r="CUP22"/>
      <c r="CUQ22"/>
      <c r="CUR22"/>
      <c r="CUS22"/>
      <c r="CUT22"/>
      <c r="CUU22"/>
      <c r="CUV22"/>
      <c r="CUW22"/>
      <c r="CUX22"/>
      <c r="CUY22"/>
      <c r="CUZ22"/>
      <c r="CVA22"/>
      <c r="CVB22"/>
      <c r="CVC22"/>
      <c r="CVD22"/>
      <c r="CVE22"/>
      <c r="CVF22"/>
      <c r="CVG22"/>
      <c r="CVH22"/>
      <c r="CVI22"/>
      <c r="CVJ22"/>
      <c r="CVK22"/>
      <c r="CVL22"/>
      <c r="CVM22"/>
      <c r="CVN22"/>
      <c r="CVO22"/>
      <c r="CVP22"/>
      <c r="CVQ22"/>
      <c r="CVR22"/>
      <c r="CVS22"/>
      <c r="CVT22"/>
      <c r="CVU22"/>
      <c r="CVV22"/>
      <c r="CVW22"/>
      <c r="CVX22"/>
      <c r="CVY22"/>
      <c r="CVZ22"/>
      <c r="CWA22"/>
      <c r="CWB22"/>
      <c r="CWC22"/>
      <c r="CWD22"/>
      <c r="CWE22"/>
      <c r="CWF22"/>
      <c r="CWG22"/>
      <c r="CWH22"/>
      <c r="CWI22"/>
      <c r="CWJ22"/>
      <c r="CWK22"/>
      <c r="CWL22"/>
      <c r="CWM22"/>
      <c r="CWN22"/>
      <c r="CWO22"/>
      <c r="CWP22"/>
      <c r="CWQ22"/>
      <c r="CWR22"/>
      <c r="CWS22"/>
      <c r="CWT22"/>
      <c r="CWU22"/>
      <c r="CWV22"/>
      <c r="CWW22"/>
      <c r="CWX22"/>
      <c r="CWY22"/>
      <c r="CWZ22"/>
      <c r="CXA22"/>
      <c r="CXB22"/>
      <c r="CXC22"/>
      <c r="CXD22"/>
      <c r="CXE22"/>
      <c r="CXF22"/>
      <c r="CXG22"/>
      <c r="CXH22"/>
      <c r="CXI22"/>
      <c r="CXJ22"/>
      <c r="CXK22"/>
      <c r="CXL22"/>
      <c r="CXM22"/>
      <c r="CXN22"/>
      <c r="CXO22"/>
      <c r="CXP22"/>
      <c r="CXQ22"/>
      <c r="CXR22"/>
      <c r="CXS22"/>
      <c r="CXT22"/>
      <c r="CXU22"/>
      <c r="CXV22"/>
      <c r="CXW22"/>
      <c r="CXX22"/>
      <c r="CXY22"/>
      <c r="CXZ22"/>
      <c r="CYA22"/>
      <c r="CYB22"/>
      <c r="CYC22"/>
      <c r="CYD22"/>
      <c r="CYE22"/>
      <c r="CYF22"/>
      <c r="CYG22"/>
      <c r="CYH22"/>
      <c r="CYI22"/>
      <c r="CYJ22"/>
      <c r="CYK22"/>
      <c r="CYL22"/>
      <c r="CYM22"/>
      <c r="CYN22"/>
      <c r="CYO22"/>
      <c r="CYP22"/>
      <c r="CYQ22"/>
      <c r="CYR22"/>
      <c r="CYS22"/>
      <c r="CYT22"/>
      <c r="CYU22"/>
      <c r="CYV22"/>
      <c r="CYW22"/>
      <c r="CYX22"/>
      <c r="CYY22"/>
      <c r="CYZ22"/>
      <c r="CZA22"/>
      <c r="CZB22"/>
      <c r="CZC22"/>
      <c r="CZD22"/>
      <c r="CZE22"/>
      <c r="CZF22"/>
      <c r="CZG22"/>
      <c r="CZH22"/>
      <c r="CZI22"/>
      <c r="CZJ22"/>
      <c r="CZK22"/>
      <c r="CZL22"/>
      <c r="CZM22"/>
      <c r="CZN22"/>
      <c r="CZO22"/>
      <c r="CZP22"/>
      <c r="CZQ22"/>
      <c r="CZR22"/>
      <c r="CZS22"/>
      <c r="CZT22"/>
      <c r="CZU22"/>
      <c r="CZV22"/>
      <c r="CZW22"/>
      <c r="CZX22"/>
      <c r="CZY22"/>
      <c r="CZZ22"/>
      <c r="DAA22"/>
      <c r="DAB22"/>
      <c r="DAC22"/>
      <c r="DAD22"/>
      <c r="DAE22"/>
      <c r="DAF22"/>
      <c r="DAG22"/>
      <c r="DAH22"/>
      <c r="DAI22"/>
      <c r="DAJ22"/>
      <c r="DAK22"/>
      <c r="DAL22"/>
      <c r="DAM22"/>
      <c r="DAN22"/>
      <c r="DAO22"/>
      <c r="DAP22"/>
      <c r="DAQ22"/>
      <c r="DAR22"/>
      <c r="DAS22"/>
      <c r="DAT22"/>
      <c r="DAU22"/>
      <c r="DAV22"/>
      <c r="DAW22"/>
      <c r="DAX22"/>
      <c r="DAY22"/>
      <c r="DAZ22"/>
      <c r="DBA22"/>
      <c r="DBB22"/>
      <c r="DBC22"/>
      <c r="DBD22"/>
      <c r="DBE22"/>
      <c r="DBF22"/>
      <c r="DBG22"/>
      <c r="DBH22"/>
      <c r="DBI22"/>
      <c r="DBJ22"/>
      <c r="DBK22"/>
      <c r="DBL22"/>
      <c r="DBM22"/>
      <c r="DBN22"/>
      <c r="DBO22"/>
      <c r="DBP22"/>
      <c r="DBQ22"/>
      <c r="DBR22"/>
      <c r="DBS22"/>
      <c r="DBT22"/>
      <c r="DBU22"/>
      <c r="DBV22"/>
      <c r="DBW22"/>
      <c r="DBX22"/>
      <c r="DBY22"/>
      <c r="DBZ22"/>
      <c r="DCA22"/>
      <c r="DCB22"/>
      <c r="DCC22"/>
      <c r="DCD22"/>
      <c r="DCE22"/>
      <c r="DCF22"/>
      <c r="DCG22"/>
      <c r="DCH22"/>
      <c r="DCI22"/>
      <c r="DCJ22"/>
      <c r="DCK22"/>
      <c r="DCL22"/>
      <c r="DCM22"/>
      <c r="DCN22"/>
      <c r="DCO22"/>
      <c r="DCP22"/>
      <c r="DCQ22"/>
      <c r="DCR22"/>
      <c r="DCS22"/>
      <c r="DCT22"/>
      <c r="DCU22"/>
      <c r="DCV22"/>
      <c r="DCW22"/>
      <c r="DCX22"/>
      <c r="DCY22"/>
      <c r="DCZ22"/>
      <c r="DDA22"/>
      <c r="DDB22"/>
      <c r="DDC22"/>
      <c r="DDD22"/>
      <c r="DDE22"/>
      <c r="DDF22"/>
      <c r="DDG22"/>
      <c r="DDH22"/>
      <c r="DDI22"/>
      <c r="DDJ22"/>
      <c r="DDK22"/>
      <c r="DDL22"/>
      <c r="DDM22"/>
      <c r="DDN22"/>
      <c r="DDO22"/>
      <c r="DDP22"/>
      <c r="DDQ22"/>
      <c r="DDR22"/>
      <c r="DDS22"/>
      <c r="DDT22"/>
      <c r="DDU22"/>
      <c r="DDV22"/>
      <c r="DDW22"/>
      <c r="DDX22"/>
      <c r="DDY22"/>
      <c r="DDZ22"/>
      <c r="DEA22"/>
      <c r="DEB22"/>
      <c r="DEC22"/>
      <c r="DED22"/>
      <c r="DEE22"/>
      <c r="DEF22"/>
      <c r="DEG22"/>
      <c r="DEH22"/>
      <c r="DEI22"/>
      <c r="DEJ22"/>
      <c r="DEK22"/>
      <c r="DEL22"/>
      <c r="DEM22"/>
      <c r="DEN22"/>
      <c r="DEO22"/>
      <c r="DEP22"/>
      <c r="DEQ22"/>
      <c r="DER22"/>
      <c r="DES22"/>
      <c r="DET22"/>
      <c r="DEU22"/>
      <c r="DEV22"/>
      <c r="DEW22"/>
      <c r="DEX22"/>
      <c r="DEY22"/>
      <c r="DEZ22"/>
      <c r="DFA22"/>
      <c r="DFB22"/>
      <c r="DFC22"/>
      <c r="DFD22"/>
      <c r="DFE22"/>
      <c r="DFF22"/>
      <c r="DFG22"/>
      <c r="DFH22"/>
      <c r="DFI22"/>
      <c r="DFJ22"/>
      <c r="DFK22"/>
      <c r="DFL22"/>
      <c r="DFM22"/>
      <c r="DFN22"/>
      <c r="DFO22"/>
      <c r="DFP22"/>
      <c r="DFQ22"/>
      <c r="DFR22"/>
      <c r="DFS22"/>
      <c r="DFT22"/>
      <c r="DFU22"/>
      <c r="DFV22"/>
      <c r="DFW22"/>
      <c r="DFX22"/>
      <c r="DFY22"/>
      <c r="DFZ22"/>
      <c r="DGA22"/>
      <c r="DGB22"/>
      <c r="DGC22"/>
      <c r="DGD22"/>
      <c r="DGE22"/>
      <c r="DGF22"/>
      <c r="DGG22"/>
      <c r="DGH22"/>
      <c r="DGI22"/>
      <c r="DGJ22"/>
      <c r="DGK22"/>
      <c r="DGL22"/>
      <c r="DGM22"/>
      <c r="DGN22"/>
      <c r="DGO22"/>
      <c r="DGP22"/>
      <c r="DGQ22"/>
      <c r="DGR22"/>
      <c r="DGS22"/>
      <c r="DGT22"/>
      <c r="DGU22"/>
      <c r="DGV22"/>
      <c r="DGW22"/>
      <c r="DGX22"/>
      <c r="DGY22"/>
      <c r="DGZ22"/>
      <c r="DHA22"/>
      <c r="DHB22"/>
      <c r="DHC22"/>
      <c r="DHD22"/>
      <c r="DHE22"/>
      <c r="DHF22"/>
      <c r="DHG22"/>
      <c r="DHH22"/>
      <c r="DHI22"/>
      <c r="DHJ22"/>
      <c r="DHK22"/>
      <c r="DHL22"/>
      <c r="DHM22"/>
      <c r="DHN22"/>
      <c r="DHO22"/>
      <c r="DHP22"/>
      <c r="DHQ22"/>
      <c r="DHR22"/>
      <c r="DHS22"/>
      <c r="DHT22"/>
      <c r="DHU22"/>
      <c r="DHV22"/>
      <c r="DHW22"/>
      <c r="DHX22"/>
      <c r="DHY22"/>
      <c r="DHZ22"/>
      <c r="DIA22"/>
      <c r="DIB22"/>
      <c r="DIC22"/>
      <c r="DID22"/>
      <c r="DIE22"/>
      <c r="DIF22"/>
      <c r="DIG22"/>
      <c r="DIH22"/>
      <c r="DII22"/>
      <c r="DIJ22"/>
      <c r="DIK22"/>
      <c r="DIL22"/>
      <c r="DIM22"/>
      <c r="DIN22"/>
      <c r="DIO22"/>
      <c r="DIP22"/>
      <c r="DIQ22"/>
      <c r="DIR22"/>
      <c r="DIS22"/>
      <c r="DIT22"/>
      <c r="DIU22"/>
      <c r="DIV22"/>
      <c r="DIW22"/>
      <c r="DIX22"/>
      <c r="DIY22"/>
      <c r="DIZ22"/>
      <c r="DJA22"/>
      <c r="DJB22"/>
      <c r="DJC22"/>
      <c r="DJD22"/>
      <c r="DJE22"/>
      <c r="DJF22"/>
      <c r="DJG22"/>
      <c r="DJH22"/>
      <c r="DJI22"/>
      <c r="DJJ22"/>
      <c r="DJK22"/>
      <c r="DJL22"/>
      <c r="DJM22"/>
      <c r="DJN22"/>
      <c r="DJO22"/>
      <c r="DJP22"/>
      <c r="DJQ22"/>
      <c r="DJR22"/>
      <c r="DJS22"/>
      <c r="DJT22"/>
      <c r="DJU22"/>
      <c r="DJV22"/>
      <c r="DJW22"/>
      <c r="DJX22"/>
      <c r="DJY22"/>
      <c r="DJZ22"/>
      <c r="DKA22"/>
      <c r="DKB22"/>
      <c r="DKC22"/>
      <c r="DKD22"/>
      <c r="DKE22"/>
      <c r="DKF22"/>
      <c r="DKG22"/>
      <c r="DKH22"/>
      <c r="DKI22"/>
      <c r="DKJ22"/>
      <c r="DKK22"/>
      <c r="DKL22"/>
      <c r="DKM22"/>
      <c r="DKN22"/>
      <c r="DKO22"/>
      <c r="DKP22"/>
      <c r="DKQ22"/>
      <c r="DKR22"/>
      <c r="DKS22"/>
      <c r="DKT22"/>
      <c r="DKU22"/>
      <c r="DKV22"/>
      <c r="DKW22"/>
      <c r="DKX22"/>
      <c r="DKY22"/>
      <c r="DKZ22"/>
      <c r="DLA22"/>
      <c r="DLB22"/>
      <c r="DLC22"/>
      <c r="DLD22"/>
      <c r="DLE22"/>
      <c r="DLF22"/>
      <c r="DLG22"/>
      <c r="DLH22"/>
      <c r="DLI22"/>
      <c r="DLJ22"/>
      <c r="DLK22"/>
      <c r="DLL22"/>
      <c r="DLM22"/>
      <c r="DLN22"/>
      <c r="DLO22"/>
      <c r="DLP22"/>
      <c r="DLQ22"/>
      <c r="DLR22"/>
      <c r="DLS22"/>
      <c r="DLT22"/>
      <c r="DLU22"/>
      <c r="DLV22"/>
      <c r="DLW22"/>
      <c r="DLX22"/>
      <c r="DLY22"/>
      <c r="DLZ22"/>
      <c r="DMA22"/>
      <c r="DMB22"/>
      <c r="DMC22"/>
      <c r="DMD22"/>
      <c r="DME22"/>
      <c r="DMF22"/>
      <c r="DMG22"/>
      <c r="DMH22"/>
      <c r="DMI22"/>
      <c r="DMJ22"/>
      <c r="DMK22"/>
      <c r="DML22"/>
      <c r="DMM22"/>
      <c r="DMN22"/>
      <c r="DMO22"/>
      <c r="DMP22"/>
      <c r="DMQ22"/>
      <c r="DMR22"/>
      <c r="DMS22"/>
      <c r="DMT22"/>
      <c r="DMU22"/>
      <c r="DMV22"/>
      <c r="DMW22"/>
      <c r="DMX22"/>
      <c r="DMY22"/>
      <c r="DMZ22"/>
      <c r="DNA22"/>
      <c r="DNB22"/>
      <c r="DNC22"/>
      <c r="DND22"/>
      <c r="DNE22"/>
      <c r="DNF22"/>
      <c r="DNG22"/>
      <c r="DNH22"/>
      <c r="DNI22"/>
      <c r="DNJ22"/>
      <c r="DNK22"/>
      <c r="DNL22"/>
      <c r="DNM22"/>
      <c r="DNN22"/>
      <c r="DNO22"/>
      <c r="DNP22"/>
      <c r="DNQ22"/>
      <c r="DNR22"/>
      <c r="DNS22"/>
      <c r="DNT22"/>
      <c r="DNU22"/>
      <c r="DNV22"/>
      <c r="DNW22"/>
      <c r="DNX22"/>
      <c r="DNY22"/>
      <c r="DNZ22"/>
      <c r="DOA22"/>
      <c r="DOB22"/>
      <c r="DOC22"/>
      <c r="DOD22"/>
      <c r="DOE22"/>
      <c r="DOF22"/>
      <c r="DOG22"/>
      <c r="DOH22"/>
      <c r="DOI22"/>
      <c r="DOJ22"/>
      <c r="DOK22"/>
      <c r="DOL22"/>
      <c r="DOM22"/>
      <c r="DON22"/>
      <c r="DOO22"/>
      <c r="DOP22"/>
      <c r="DOQ22"/>
      <c r="DOR22"/>
      <c r="DOS22"/>
      <c r="DOT22"/>
      <c r="DOU22"/>
      <c r="DOV22"/>
      <c r="DOW22"/>
      <c r="DOX22"/>
      <c r="DOY22"/>
      <c r="DOZ22"/>
      <c r="DPA22"/>
      <c r="DPB22"/>
      <c r="DPC22"/>
      <c r="DPD22"/>
      <c r="DPE22"/>
      <c r="DPF22"/>
      <c r="DPG22"/>
      <c r="DPH22"/>
      <c r="DPI22"/>
      <c r="DPJ22"/>
      <c r="DPK22"/>
      <c r="DPL22"/>
      <c r="DPM22"/>
      <c r="DPN22"/>
      <c r="DPO22"/>
      <c r="DPP22"/>
      <c r="DPQ22"/>
      <c r="DPR22"/>
      <c r="DPS22"/>
      <c r="DPT22"/>
      <c r="DPU22"/>
      <c r="DPV22"/>
      <c r="DPW22"/>
      <c r="DPX22"/>
      <c r="DPY22"/>
      <c r="DPZ22"/>
      <c r="DQA22"/>
      <c r="DQB22"/>
      <c r="DQC22"/>
      <c r="DQD22"/>
      <c r="DQE22"/>
      <c r="DQF22"/>
      <c r="DQG22"/>
      <c r="DQH22"/>
      <c r="DQI22"/>
      <c r="DQJ22"/>
      <c r="DQK22"/>
      <c r="DQL22"/>
      <c r="DQM22"/>
      <c r="DQN22"/>
      <c r="DQO22"/>
      <c r="DQP22"/>
      <c r="DQQ22"/>
      <c r="DQR22"/>
      <c r="DQS22"/>
      <c r="DQT22"/>
      <c r="DQU22"/>
      <c r="DQV22"/>
      <c r="DQW22"/>
      <c r="DQX22"/>
      <c r="DQY22"/>
      <c r="DQZ22"/>
      <c r="DRA22"/>
      <c r="DRB22"/>
      <c r="DRC22"/>
      <c r="DRD22"/>
      <c r="DRE22"/>
      <c r="DRF22"/>
      <c r="DRG22"/>
      <c r="DRH22"/>
      <c r="DRI22"/>
      <c r="DRJ22"/>
      <c r="DRK22"/>
      <c r="DRL22"/>
      <c r="DRM22"/>
      <c r="DRN22"/>
      <c r="DRO22"/>
      <c r="DRP22"/>
      <c r="DRQ22"/>
      <c r="DRR22"/>
      <c r="DRS22"/>
      <c r="DRT22"/>
      <c r="DRU22"/>
      <c r="DRV22"/>
      <c r="DRW22"/>
      <c r="DRX22"/>
      <c r="DRY22"/>
      <c r="DRZ22"/>
      <c r="DSA22"/>
      <c r="DSB22"/>
      <c r="DSC22"/>
      <c r="DSD22"/>
      <c r="DSE22"/>
      <c r="DSF22"/>
      <c r="DSG22"/>
      <c r="DSH22"/>
      <c r="DSI22"/>
      <c r="DSJ22"/>
      <c r="DSK22"/>
      <c r="DSL22"/>
      <c r="DSM22"/>
      <c r="DSN22"/>
      <c r="DSO22"/>
      <c r="DSP22"/>
      <c r="DSQ22"/>
      <c r="DSR22"/>
      <c r="DSS22"/>
      <c r="DST22"/>
      <c r="DSU22"/>
      <c r="DSV22"/>
      <c r="DSW22"/>
      <c r="DSX22"/>
      <c r="DSY22"/>
      <c r="DSZ22"/>
      <c r="DTA22"/>
      <c r="DTB22"/>
      <c r="DTC22"/>
      <c r="DTD22"/>
      <c r="DTE22"/>
      <c r="DTF22"/>
      <c r="DTG22"/>
      <c r="DTH22"/>
      <c r="DTI22"/>
      <c r="DTJ22"/>
      <c r="DTK22"/>
      <c r="DTL22"/>
      <c r="DTM22"/>
      <c r="DTN22"/>
      <c r="DTO22"/>
      <c r="DTP22"/>
      <c r="DTQ22"/>
      <c r="DTR22"/>
      <c r="DTS22"/>
      <c r="DTT22"/>
      <c r="DTU22"/>
      <c r="DTV22"/>
      <c r="DTW22"/>
      <c r="DTX22"/>
      <c r="DTY22"/>
      <c r="DTZ22"/>
      <c r="DUA22"/>
      <c r="DUB22"/>
      <c r="DUC22"/>
      <c r="DUD22"/>
      <c r="DUE22"/>
      <c r="DUF22"/>
      <c r="DUG22"/>
      <c r="DUH22"/>
      <c r="DUI22"/>
      <c r="DUJ22"/>
      <c r="DUK22"/>
      <c r="DUL22"/>
      <c r="DUM22"/>
      <c r="DUN22"/>
      <c r="DUO22"/>
      <c r="DUP22"/>
      <c r="DUQ22"/>
      <c r="DUR22"/>
      <c r="DUS22"/>
      <c r="DUT22"/>
      <c r="DUU22"/>
      <c r="DUV22"/>
      <c r="DUW22"/>
      <c r="DUX22"/>
      <c r="DUY22"/>
      <c r="DUZ22"/>
      <c r="DVA22"/>
      <c r="DVB22"/>
      <c r="DVC22"/>
      <c r="DVD22"/>
      <c r="DVE22"/>
      <c r="DVF22"/>
      <c r="DVG22"/>
      <c r="DVH22"/>
      <c r="DVI22"/>
      <c r="DVJ22"/>
      <c r="DVK22"/>
      <c r="DVL22"/>
      <c r="DVM22"/>
      <c r="DVN22"/>
      <c r="DVO22"/>
      <c r="DVP22"/>
      <c r="DVQ22"/>
      <c r="DVR22"/>
      <c r="DVS22"/>
      <c r="DVT22"/>
      <c r="DVU22"/>
      <c r="DVV22"/>
      <c r="DVW22"/>
      <c r="DVX22"/>
      <c r="DVY22"/>
      <c r="DVZ22"/>
      <c r="DWA22"/>
      <c r="DWB22"/>
      <c r="DWC22"/>
      <c r="DWD22"/>
      <c r="DWE22"/>
      <c r="DWF22"/>
      <c r="DWG22"/>
      <c r="DWH22"/>
      <c r="DWI22"/>
      <c r="DWJ22"/>
      <c r="DWK22"/>
      <c r="DWL22"/>
      <c r="DWM22"/>
      <c r="DWN22"/>
      <c r="DWO22"/>
      <c r="DWP22"/>
      <c r="DWQ22"/>
      <c r="DWR22"/>
      <c r="DWS22"/>
      <c r="DWT22"/>
      <c r="DWU22"/>
      <c r="DWV22"/>
      <c r="DWW22"/>
      <c r="DWX22"/>
      <c r="DWY22"/>
      <c r="DWZ22"/>
      <c r="DXA22"/>
      <c r="DXB22"/>
      <c r="DXC22"/>
      <c r="DXD22"/>
      <c r="DXE22"/>
      <c r="DXF22"/>
      <c r="DXG22"/>
      <c r="DXH22"/>
      <c r="DXI22"/>
      <c r="DXJ22"/>
      <c r="DXK22"/>
      <c r="DXL22"/>
      <c r="DXM22"/>
      <c r="DXN22"/>
      <c r="DXO22"/>
      <c r="DXP22"/>
      <c r="DXQ22"/>
      <c r="DXR22"/>
      <c r="DXS22"/>
      <c r="DXT22"/>
      <c r="DXU22"/>
      <c r="DXV22"/>
      <c r="DXW22"/>
      <c r="DXX22"/>
      <c r="DXY22"/>
      <c r="DXZ22"/>
      <c r="DYA22"/>
      <c r="DYB22"/>
      <c r="DYC22"/>
      <c r="DYD22"/>
      <c r="DYE22"/>
      <c r="DYF22"/>
      <c r="DYG22"/>
      <c r="DYH22"/>
      <c r="DYI22"/>
      <c r="DYJ22"/>
      <c r="DYK22"/>
      <c r="DYL22"/>
      <c r="DYM22"/>
      <c r="DYN22"/>
      <c r="DYO22"/>
      <c r="DYP22"/>
      <c r="DYQ22"/>
      <c r="DYR22"/>
      <c r="DYS22"/>
      <c r="DYT22"/>
      <c r="DYU22"/>
      <c r="DYV22"/>
      <c r="DYW22"/>
      <c r="DYX22"/>
      <c r="DYY22"/>
      <c r="DYZ22"/>
      <c r="DZA22"/>
      <c r="DZB22"/>
      <c r="DZC22"/>
      <c r="DZD22"/>
      <c r="DZE22"/>
      <c r="DZF22"/>
      <c r="DZG22"/>
      <c r="DZH22"/>
      <c r="DZI22"/>
      <c r="DZJ22"/>
      <c r="DZK22"/>
      <c r="DZL22"/>
      <c r="DZM22"/>
      <c r="DZN22"/>
      <c r="DZO22"/>
      <c r="DZP22"/>
      <c r="DZQ22"/>
      <c r="DZR22"/>
      <c r="DZS22"/>
      <c r="DZT22"/>
      <c r="DZU22"/>
      <c r="DZV22"/>
      <c r="DZW22"/>
      <c r="DZX22"/>
      <c r="DZY22"/>
      <c r="DZZ22"/>
      <c r="EAA22"/>
      <c r="EAB22"/>
      <c r="EAC22"/>
      <c r="EAD22"/>
      <c r="EAE22"/>
      <c r="EAF22"/>
      <c r="EAG22"/>
      <c r="EAH22"/>
      <c r="EAI22"/>
      <c r="EAJ22"/>
      <c r="EAK22"/>
      <c r="EAL22"/>
      <c r="EAM22"/>
      <c r="EAN22"/>
      <c r="EAO22"/>
      <c r="EAP22"/>
      <c r="EAQ22"/>
      <c r="EAR22"/>
      <c r="EAS22"/>
      <c r="EAT22"/>
      <c r="EAU22"/>
      <c r="EAV22"/>
      <c r="EAW22"/>
      <c r="EAX22"/>
      <c r="EAY22"/>
      <c r="EAZ22"/>
      <c r="EBA22"/>
      <c r="EBB22"/>
      <c r="EBC22"/>
      <c r="EBD22"/>
      <c r="EBE22"/>
      <c r="EBF22"/>
      <c r="EBG22"/>
      <c r="EBH22"/>
      <c r="EBI22"/>
      <c r="EBJ22"/>
      <c r="EBK22"/>
      <c r="EBL22"/>
      <c r="EBM22"/>
      <c r="EBN22"/>
      <c r="EBO22"/>
      <c r="EBP22"/>
      <c r="EBQ22"/>
      <c r="EBR22"/>
      <c r="EBS22"/>
      <c r="EBT22"/>
      <c r="EBU22"/>
      <c r="EBV22"/>
      <c r="EBW22"/>
      <c r="EBX22"/>
      <c r="EBY22"/>
      <c r="EBZ22"/>
      <c r="ECA22"/>
      <c r="ECB22"/>
      <c r="ECC22"/>
      <c r="ECD22"/>
      <c r="ECE22"/>
      <c r="ECF22"/>
      <c r="ECG22"/>
      <c r="ECH22"/>
      <c r="ECI22"/>
      <c r="ECJ22"/>
      <c r="ECK22"/>
      <c r="ECL22"/>
      <c r="ECM22"/>
      <c r="ECN22"/>
      <c r="ECO22"/>
      <c r="ECP22"/>
      <c r="ECQ22"/>
      <c r="ECR22"/>
      <c r="ECS22"/>
      <c r="ECT22"/>
      <c r="ECU22"/>
      <c r="ECV22"/>
      <c r="ECW22"/>
      <c r="ECX22"/>
      <c r="ECY22"/>
      <c r="ECZ22"/>
      <c r="EDA22"/>
      <c r="EDB22"/>
      <c r="EDC22"/>
      <c r="EDD22"/>
      <c r="EDE22"/>
      <c r="EDF22"/>
      <c r="EDG22"/>
      <c r="EDH22"/>
      <c r="EDI22"/>
      <c r="EDJ22"/>
      <c r="EDK22"/>
      <c r="EDL22"/>
      <c r="EDM22"/>
      <c r="EDN22"/>
      <c r="EDO22"/>
      <c r="EDP22"/>
      <c r="EDQ22"/>
      <c r="EDR22"/>
      <c r="EDS22"/>
      <c r="EDT22"/>
      <c r="EDU22"/>
      <c r="EDV22"/>
      <c r="EDW22"/>
      <c r="EDX22"/>
      <c r="EDY22"/>
      <c r="EDZ22"/>
      <c r="EEA22"/>
      <c r="EEB22"/>
      <c r="EEC22"/>
      <c r="EED22"/>
      <c r="EEE22"/>
      <c r="EEF22"/>
      <c r="EEG22"/>
      <c r="EEH22"/>
      <c r="EEI22"/>
      <c r="EEJ22"/>
      <c r="EEK22"/>
      <c r="EEL22"/>
      <c r="EEM22"/>
      <c r="EEN22"/>
      <c r="EEO22"/>
      <c r="EEP22"/>
      <c r="EEQ22"/>
      <c r="EER22"/>
      <c r="EES22"/>
      <c r="EET22"/>
      <c r="EEU22"/>
      <c r="EEV22"/>
      <c r="EEW22"/>
      <c r="EEX22"/>
      <c r="EEY22"/>
      <c r="EEZ22"/>
      <c r="EFA22"/>
      <c r="EFB22"/>
      <c r="EFC22"/>
      <c r="EFD22"/>
      <c r="EFE22"/>
      <c r="EFF22"/>
      <c r="EFG22"/>
      <c r="EFH22"/>
      <c r="EFI22"/>
      <c r="EFJ22"/>
      <c r="EFK22"/>
      <c r="EFL22"/>
      <c r="EFM22"/>
      <c r="EFN22"/>
      <c r="EFO22"/>
      <c r="EFP22"/>
      <c r="EFQ22"/>
      <c r="EFR22"/>
      <c r="EFS22"/>
      <c r="EFT22"/>
      <c r="EFU22"/>
      <c r="EFV22"/>
      <c r="EFW22"/>
      <c r="EFX22"/>
      <c r="EFY22"/>
      <c r="EFZ22"/>
      <c r="EGA22"/>
      <c r="EGB22"/>
      <c r="EGC22"/>
      <c r="EGD22"/>
      <c r="EGE22"/>
      <c r="EGF22"/>
      <c r="EGG22"/>
      <c r="EGH22"/>
      <c r="EGI22"/>
      <c r="EGJ22"/>
      <c r="EGK22"/>
      <c r="EGL22"/>
      <c r="EGM22"/>
      <c r="EGN22"/>
      <c r="EGO22"/>
      <c r="EGP22"/>
      <c r="EGQ22"/>
      <c r="EGR22"/>
      <c r="EGS22"/>
      <c r="EGT22"/>
      <c r="EGU22"/>
      <c r="EGV22"/>
      <c r="EGW22"/>
      <c r="EGX22"/>
      <c r="EGY22"/>
      <c r="EGZ22"/>
      <c r="EHA22"/>
      <c r="EHB22"/>
      <c r="EHC22"/>
      <c r="EHD22"/>
      <c r="EHE22"/>
      <c r="EHF22"/>
      <c r="EHG22"/>
      <c r="EHH22"/>
      <c r="EHI22"/>
      <c r="EHJ22"/>
      <c r="EHK22"/>
      <c r="EHL22"/>
      <c r="EHM22"/>
      <c r="EHN22"/>
      <c r="EHO22"/>
      <c r="EHP22"/>
      <c r="EHQ22"/>
      <c r="EHR22"/>
      <c r="EHS22"/>
      <c r="EHT22"/>
      <c r="EHU22"/>
      <c r="EHV22"/>
      <c r="EHW22"/>
      <c r="EHX22"/>
      <c r="EHY22"/>
      <c r="EHZ22"/>
      <c r="EIA22"/>
      <c r="EIB22"/>
      <c r="EIC22"/>
      <c r="EID22"/>
      <c r="EIE22"/>
      <c r="EIF22"/>
      <c r="EIG22"/>
      <c r="EIH22"/>
      <c r="EII22"/>
      <c r="EIJ22"/>
      <c r="EIK22"/>
      <c r="EIL22"/>
      <c r="EIM22"/>
      <c r="EIN22"/>
      <c r="EIO22"/>
      <c r="EIP22"/>
      <c r="EIQ22"/>
      <c r="EIR22"/>
      <c r="EIS22"/>
      <c r="EIT22"/>
      <c r="EIU22"/>
      <c r="EIV22"/>
      <c r="EIW22"/>
      <c r="EIX22"/>
      <c r="EIY22"/>
      <c r="EIZ22"/>
      <c r="EJA22"/>
      <c r="EJB22"/>
      <c r="EJC22"/>
      <c r="EJD22"/>
      <c r="EJE22"/>
      <c r="EJF22"/>
      <c r="EJG22"/>
      <c r="EJH22"/>
      <c r="EJI22"/>
      <c r="EJJ22"/>
      <c r="EJK22"/>
      <c r="EJL22"/>
      <c r="EJM22"/>
      <c r="EJN22"/>
      <c r="EJO22"/>
      <c r="EJP22"/>
      <c r="EJQ22"/>
      <c r="EJR22"/>
      <c r="EJS22"/>
      <c r="EJT22"/>
      <c r="EJU22"/>
      <c r="EJV22"/>
      <c r="EJW22"/>
      <c r="EJX22"/>
      <c r="EJY22"/>
      <c r="EJZ22"/>
      <c r="EKA22"/>
      <c r="EKB22"/>
      <c r="EKC22"/>
      <c r="EKD22"/>
      <c r="EKE22"/>
      <c r="EKF22"/>
      <c r="EKG22"/>
      <c r="EKH22"/>
      <c r="EKI22"/>
      <c r="EKJ22"/>
      <c r="EKK22"/>
      <c r="EKL22"/>
      <c r="EKM22"/>
      <c r="EKN22"/>
      <c r="EKO22"/>
      <c r="EKP22"/>
      <c r="EKQ22"/>
      <c r="EKR22"/>
      <c r="EKS22"/>
      <c r="EKT22"/>
      <c r="EKU22"/>
      <c r="EKV22"/>
      <c r="EKW22"/>
      <c r="EKX22"/>
      <c r="EKY22"/>
      <c r="EKZ22"/>
      <c r="ELA22"/>
      <c r="ELB22"/>
      <c r="ELC22"/>
      <c r="ELD22"/>
      <c r="ELE22"/>
      <c r="ELF22"/>
      <c r="ELG22"/>
      <c r="ELH22"/>
      <c r="ELI22"/>
      <c r="ELJ22"/>
      <c r="ELK22"/>
      <c r="ELL22"/>
      <c r="ELM22"/>
      <c r="ELN22"/>
      <c r="ELO22"/>
      <c r="ELP22"/>
      <c r="ELQ22"/>
      <c r="ELR22"/>
      <c r="ELS22"/>
      <c r="ELT22"/>
      <c r="ELU22"/>
      <c r="ELV22"/>
      <c r="ELW22"/>
      <c r="ELX22"/>
      <c r="ELY22"/>
      <c r="ELZ22"/>
      <c r="EMA22"/>
      <c r="EMB22"/>
      <c r="EMC22"/>
      <c r="EMD22"/>
      <c r="EME22"/>
      <c r="EMF22"/>
      <c r="EMG22"/>
      <c r="EMH22"/>
      <c r="EMI22"/>
      <c r="EMJ22"/>
      <c r="EMK22"/>
      <c r="EML22"/>
      <c r="EMM22"/>
      <c r="EMN22"/>
      <c r="EMO22"/>
      <c r="EMP22"/>
      <c r="EMQ22"/>
      <c r="EMR22"/>
      <c r="EMS22"/>
      <c r="EMT22"/>
      <c r="EMU22"/>
      <c r="EMV22"/>
      <c r="EMW22"/>
      <c r="EMX22"/>
      <c r="EMY22"/>
      <c r="EMZ22"/>
      <c r="ENA22"/>
      <c r="ENB22"/>
      <c r="ENC22"/>
      <c r="END22"/>
      <c r="ENE22"/>
      <c r="ENF22"/>
      <c r="ENG22"/>
      <c r="ENH22"/>
      <c r="ENI22"/>
      <c r="ENJ22"/>
      <c r="ENK22"/>
      <c r="ENL22"/>
      <c r="ENM22"/>
      <c r="ENN22"/>
      <c r="ENO22"/>
      <c r="ENP22"/>
      <c r="ENQ22"/>
      <c r="ENR22"/>
      <c r="ENS22"/>
      <c r="ENT22"/>
      <c r="ENU22"/>
      <c r="ENV22"/>
      <c r="ENW22"/>
      <c r="ENX22"/>
      <c r="ENY22"/>
      <c r="ENZ22"/>
      <c r="EOA22"/>
      <c r="EOB22"/>
      <c r="EOC22"/>
      <c r="EOD22"/>
      <c r="EOE22"/>
      <c r="EOF22"/>
      <c r="EOG22"/>
      <c r="EOH22"/>
      <c r="EOI22"/>
      <c r="EOJ22"/>
      <c r="EOK22"/>
      <c r="EOL22"/>
      <c r="EOM22"/>
      <c r="EON22"/>
      <c r="EOO22"/>
      <c r="EOP22"/>
      <c r="EOQ22"/>
      <c r="EOR22"/>
      <c r="EOS22"/>
      <c r="EOT22"/>
      <c r="EOU22"/>
      <c r="EOV22"/>
      <c r="EOW22"/>
      <c r="EOX22"/>
      <c r="EOY22"/>
      <c r="EOZ22"/>
      <c r="EPA22"/>
      <c r="EPB22"/>
      <c r="EPC22"/>
      <c r="EPD22"/>
      <c r="EPE22"/>
      <c r="EPF22"/>
      <c r="EPG22"/>
      <c r="EPH22"/>
      <c r="EPI22"/>
      <c r="EPJ22"/>
      <c r="EPK22"/>
      <c r="EPL22"/>
      <c r="EPM22"/>
      <c r="EPN22"/>
      <c r="EPO22"/>
      <c r="EPP22"/>
      <c r="EPQ22"/>
      <c r="EPR22"/>
      <c r="EPS22"/>
      <c r="EPT22"/>
      <c r="EPU22"/>
      <c r="EPV22"/>
      <c r="EPW22"/>
      <c r="EPX22"/>
      <c r="EPY22"/>
      <c r="EPZ22"/>
      <c r="EQA22"/>
      <c r="EQB22"/>
      <c r="EQC22"/>
      <c r="EQD22"/>
      <c r="EQE22"/>
      <c r="EQF22"/>
      <c r="EQG22"/>
      <c r="EQH22"/>
      <c r="EQI22"/>
      <c r="EQJ22"/>
      <c r="EQK22"/>
      <c r="EQL22"/>
      <c r="EQM22"/>
      <c r="EQN22"/>
      <c r="EQO22"/>
      <c r="EQP22"/>
      <c r="EQQ22"/>
      <c r="EQR22"/>
      <c r="EQS22"/>
      <c r="EQT22"/>
      <c r="EQU22"/>
      <c r="EQV22"/>
      <c r="EQW22"/>
      <c r="EQX22"/>
      <c r="EQY22"/>
      <c r="EQZ22"/>
      <c r="ERA22"/>
      <c r="ERB22"/>
      <c r="ERC22"/>
      <c r="ERD22"/>
      <c r="ERE22"/>
      <c r="ERF22"/>
      <c r="ERG22"/>
      <c r="ERH22"/>
      <c r="ERI22"/>
      <c r="ERJ22"/>
      <c r="ERK22"/>
      <c r="ERL22"/>
      <c r="ERM22"/>
      <c r="ERN22"/>
      <c r="ERO22"/>
      <c r="ERP22"/>
      <c r="ERQ22"/>
      <c r="ERR22"/>
      <c r="ERS22"/>
      <c r="ERT22"/>
      <c r="ERU22"/>
      <c r="ERV22"/>
      <c r="ERW22"/>
      <c r="ERX22"/>
      <c r="ERY22"/>
      <c r="ERZ22"/>
      <c r="ESA22"/>
      <c r="ESB22"/>
      <c r="ESC22"/>
      <c r="ESD22"/>
      <c r="ESE22"/>
      <c r="ESF22"/>
      <c r="ESG22"/>
      <c r="ESH22"/>
      <c r="ESI22"/>
      <c r="ESJ22"/>
      <c r="ESK22"/>
      <c r="ESL22"/>
      <c r="ESM22"/>
      <c r="ESN22"/>
      <c r="ESO22"/>
      <c r="ESP22"/>
      <c r="ESQ22"/>
      <c r="ESR22"/>
      <c r="ESS22"/>
      <c r="EST22"/>
      <c r="ESU22"/>
      <c r="ESV22"/>
      <c r="ESW22"/>
      <c r="ESX22"/>
      <c r="ESY22"/>
      <c r="ESZ22"/>
      <c r="ETA22"/>
      <c r="ETB22"/>
      <c r="ETC22"/>
      <c r="ETD22"/>
      <c r="ETE22"/>
      <c r="ETF22"/>
      <c r="ETG22"/>
      <c r="ETH22"/>
      <c r="ETI22"/>
      <c r="ETJ22"/>
      <c r="ETK22"/>
      <c r="ETL22"/>
      <c r="ETM22"/>
      <c r="ETN22"/>
      <c r="ETO22"/>
      <c r="ETP22"/>
      <c r="ETQ22"/>
      <c r="ETR22"/>
      <c r="ETS22"/>
      <c r="ETT22"/>
      <c r="ETU22"/>
      <c r="ETV22"/>
      <c r="ETW22"/>
      <c r="ETX22"/>
      <c r="ETY22"/>
      <c r="ETZ22"/>
      <c r="EUA22"/>
      <c r="EUB22"/>
      <c r="EUC22"/>
      <c r="EUD22"/>
      <c r="EUE22"/>
      <c r="EUF22"/>
      <c r="EUG22"/>
      <c r="EUH22"/>
      <c r="EUI22"/>
      <c r="EUJ22"/>
      <c r="EUK22"/>
      <c r="EUL22"/>
      <c r="EUM22"/>
      <c r="EUN22"/>
      <c r="EUO22"/>
      <c r="EUP22"/>
      <c r="EUQ22"/>
      <c r="EUR22"/>
      <c r="EUS22"/>
      <c r="EUT22"/>
      <c r="EUU22"/>
      <c r="EUV22"/>
      <c r="EUW22"/>
      <c r="EUX22"/>
      <c r="EUY22"/>
      <c r="EUZ22"/>
      <c r="EVA22"/>
      <c r="EVB22"/>
      <c r="EVC22"/>
      <c r="EVD22"/>
      <c r="EVE22"/>
      <c r="EVF22"/>
      <c r="EVG22"/>
      <c r="EVH22"/>
      <c r="EVI22"/>
      <c r="EVJ22"/>
      <c r="EVK22"/>
      <c r="EVL22"/>
      <c r="EVM22"/>
      <c r="EVN22"/>
      <c r="EVO22"/>
      <c r="EVP22"/>
      <c r="EVQ22"/>
      <c r="EVR22"/>
      <c r="EVS22"/>
      <c r="EVT22"/>
      <c r="EVU22"/>
      <c r="EVV22"/>
      <c r="EVW22"/>
      <c r="EVX22"/>
      <c r="EVY22"/>
      <c r="EVZ22"/>
      <c r="EWA22"/>
      <c r="EWB22"/>
      <c r="EWC22"/>
      <c r="EWD22"/>
      <c r="EWE22"/>
      <c r="EWF22"/>
      <c r="EWG22"/>
      <c r="EWH22"/>
      <c r="EWI22"/>
      <c r="EWJ22"/>
      <c r="EWK22"/>
      <c r="EWL22"/>
      <c r="EWM22"/>
      <c r="EWN22"/>
      <c r="EWO22"/>
      <c r="EWP22"/>
      <c r="EWQ22"/>
      <c r="EWR22"/>
      <c r="EWS22"/>
      <c r="EWT22"/>
      <c r="EWU22"/>
      <c r="EWV22"/>
      <c r="EWW22"/>
      <c r="EWX22"/>
      <c r="EWY22"/>
      <c r="EWZ22"/>
      <c r="EXA22"/>
      <c r="EXB22"/>
      <c r="EXC22"/>
      <c r="EXD22"/>
      <c r="EXE22"/>
      <c r="EXF22"/>
      <c r="EXG22"/>
      <c r="EXH22"/>
      <c r="EXI22"/>
      <c r="EXJ22"/>
      <c r="EXK22"/>
      <c r="EXL22"/>
      <c r="EXM22"/>
      <c r="EXN22"/>
      <c r="EXO22"/>
      <c r="EXP22"/>
      <c r="EXQ22"/>
      <c r="EXR22"/>
      <c r="EXS22"/>
      <c r="EXT22"/>
      <c r="EXU22"/>
      <c r="EXV22"/>
      <c r="EXW22"/>
      <c r="EXX22"/>
      <c r="EXY22"/>
      <c r="EXZ22"/>
      <c r="EYA22"/>
      <c r="EYB22"/>
      <c r="EYC22"/>
      <c r="EYD22"/>
      <c r="EYE22"/>
      <c r="EYF22"/>
      <c r="EYG22"/>
      <c r="EYH22"/>
      <c r="EYI22"/>
      <c r="EYJ22"/>
      <c r="EYK22"/>
      <c r="EYL22"/>
      <c r="EYM22"/>
      <c r="EYN22"/>
      <c r="EYO22"/>
      <c r="EYP22"/>
      <c r="EYQ22"/>
      <c r="EYR22"/>
      <c r="EYS22"/>
      <c r="EYT22"/>
      <c r="EYU22"/>
      <c r="EYV22"/>
      <c r="EYW22"/>
      <c r="EYX22"/>
      <c r="EYY22"/>
      <c r="EYZ22"/>
      <c r="EZA22"/>
      <c r="EZB22"/>
      <c r="EZC22"/>
      <c r="EZD22"/>
      <c r="EZE22"/>
      <c r="EZF22"/>
      <c r="EZG22"/>
      <c r="EZH22"/>
      <c r="EZI22"/>
      <c r="EZJ22"/>
      <c r="EZK22"/>
      <c r="EZL22"/>
      <c r="EZM22"/>
      <c r="EZN22"/>
      <c r="EZO22"/>
      <c r="EZP22"/>
      <c r="EZQ22"/>
      <c r="EZR22"/>
      <c r="EZS22"/>
      <c r="EZT22"/>
      <c r="EZU22"/>
      <c r="EZV22"/>
      <c r="EZW22"/>
      <c r="EZX22"/>
      <c r="EZY22"/>
      <c r="EZZ22"/>
      <c r="FAA22"/>
      <c r="FAB22"/>
      <c r="FAC22"/>
      <c r="FAD22"/>
      <c r="FAE22"/>
      <c r="FAF22"/>
      <c r="FAG22"/>
      <c r="FAH22"/>
      <c r="FAI22"/>
      <c r="FAJ22"/>
      <c r="FAK22"/>
      <c r="FAL22"/>
      <c r="FAM22"/>
      <c r="FAN22"/>
      <c r="FAO22"/>
      <c r="FAP22"/>
      <c r="FAQ22"/>
      <c r="FAR22"/>
      <c r="FAS22"/>
      <c r="FAT22"/>
      <c r="FAU22"/>
      <c r="FAV22"/>
      <c r="FAW22"/>
      <c r="FAX22"/>
      <c r="FAY22"/>
      <c r="FAZ22"/>
      <c r="FBA22"/>
      <c r="FBB22"/>
      <c r="FBC22"/>
      <c r="FBD22"/>
      <c r="FBE22"/>
      <c r="FBF22"/>
      <c r="FBG22"/>
      <c r="FBH22"/>
      <c r="FBI22"/>
      <c r="FBJ22"/>
      <c r="FBK22"/>
      <c r="FBL22"/>
      <c r="FBM22"/>
      <c r="FBN22"/>
      <c r="FBO22"/>
      <c r="FBP22"/>
      <c r="FBQ22"/>
      <c r="FBR22"/>
      <c r="FBS22"/>
      <c r="FBT22"/>
      <c r="FBU22"/>
      <c r="FBV22"/>
      <c r="FBW22"/>
      <c r="FBX22"/>
      <c r="FBY22"/>
      <c r="FBZ22"/>
      <c r="FCA22"/>
      <c r="FCB22"/>
      <c r="FCC22"/>
      <c r="FCD22"/>
      <c r="FCE22"/>
      <c r="FCF22"/>
      <c r="FCG22"/>
      <c r="FCH22"/>
      <c r="FCI22"/>
      <c r="FCJ22"/>
      <c r="FCK22"/>
      <c r="FCL22"/>
      <c r="FCM22"/>
      <c r="FCN22"/>
      <c r="FCO22"/>
      <c r="FCP22"/>
      <c r="FCQ22"/>
      <c r="FCR22"/>
      <c r="FCS22"/>
      <c r="FCT22"/>
      <c r="FCU22"/>
      <c r="FCV22"/>
      <c r="FCW22"/>
      <c r="FCX22"/>
      <c r="FCY22"/>
      <c r="FCZ22"/>
      <c r="FDA22"/>
      <c r="FDB22"/>
      <c r="FDC22"/>
      <c r="FDD22"/>
      <c r="FDE22"/>
      <c r="FDF22"/>
      <c r="FDG22"/>
      <c r="FDH22"/>
      <c r="FDI22"/>
      <c r="FDJ22"/>
      <c r="FDK22"/>
      <c r="FDL22"/>
      <c r="FDM22"/>
      <c r="FDN22"/>
      <c r="FDO22"/>
      <c r="FDP22"/>
      <c r="FDQ22"/>
      <c r="FDR22"/>
      <c r="FDS22"/>
      <c r="FDT22"/>
      <c r="FDU22"/>
      <c r="FDV22"/>
      <c r="FDW22"/>
      <c r="FDX22"/>
      <c r="FDY22"/>
      <c r="FDZ22"/>
      <c r="FEA22"/>
      <c r="FEB22"/>
      <c r="FEC22"/>
      <c r="FED22"/>
      <c r="FEE22"/>
      <c r="FEF22"/>
      <c r="FEG22"/>
      <c r="FEH22"/>
      <c r="FEI22"/>
      <c r="FEJ22"/>
      <c r="FEK22"/>
      <c r="FEL22"/>
      <c r="FEM22"/>
      <c r="FEN22"/>
      <c r="FEO22"/>
      <c r="FEP22"/>
      <c r="FEQ22"/>
      <c r="FER22"/>
      <c r="FES22"/>
      <c r="FET22"/>
      <c r="FEU22"/>
      <c r="FEV22"/>
      <c r="FEW22"/>
      <c r="FEX22"/>
      <c r="FEY22"/>
      <c r="FEZ22"/>
      <c r="FFA22"/>
      <c r="FFB22"/>
      <c r="FFC22"/>
      <c r="FFD22"/>
      <c r="FFE22"/>
      <c r="FFF22"/>
      <c r="FFG22"/>
      <c r="FFH22"/>
      <c r="FFI22"/>
      <c r="FFJ22"/>
      <c r="FFK22"/>
      <c r="FFL22"/>
      <c r="FFM22"/>
      <c r="FFN22"/>
      <c r="FFO22"/>
      <c r="FFP22"/>
      <c r="FFQ22"/>
      <c r="FFR22"/>
      <c r="FFS22"/>
      <c r="FFT22"/>
      <c r="FFU22"/>
      <c r="FFV22"/>
      <c r="FFW22"/>
      <c r="FFX22"/>
      <c r="FFY22"/>
      <c r="FFZ22"/>
      <c r="FGA22"/>
      <c r="FGB22"/>
      <c r="FGC22"/>
      <c r="FGD22"/>
      <c r="FGE22"/>
      <c r="FGF22"/>
      <c r="FGG22"/>
      <c r="FGH22"/>
      <c r="FGI22"/>
      <c r="FGJ22"/>
      <c r="FGK22"/>
      <c r="FGL22"/>
      <c r="FGM22"/>
      <c r="FGN22"/>
      <c r="FGO22"/>
      <c r="FGP22"/>
      <c r="FGQ22"/>
      <c r="FGR22"/>
      <c r="FGS22"/>
      <c r="FGT22"/>
      <c r="FGU22"/>
      <c r="FGV22"/>
      <c r="FGW22"/>
      <c r="FGX22"/>
      <c r="FGY22"/>
      <c r="FGZ22"/>
      <c r="FHA22"/>
      <c r="FHB22"/>
      <c r="FHC22"/>
      <c r="FHD22"/>
      <c r="FHE22"/>
      <c r="FHF22"/>
      <c r="FHG22"/>
      <c r="FHH22"/>
      <c r="FHI22"/>
      <c r="FHJ22"/>
      <c r="FHK22"/>
      <c r="FHL22"/>
      <c r="FHM22"/>
      <c r="FHN22"/>
      <c r="FHO22"/>
      <c r="FHP22"/>
      <c r="FHQ22"/>
      <c r="FHR22"/>
      <c r="FHS22"/>
      <c r="FHT22"/>
      <c r="FHU22"/>
      <c r="FHV22"/>
      <c r="FHW22"/>
      <c r="FHX22"/>
      <c r="FHY22"/>
      <c r="FHZ22"/>
      <c r="FIA22"/>
      <c r="FIB22"/>
      <c r="FIC22"/>
      <c r="FID22"/>
      <c r="FIE22"/>
      <c r="FIF22"/>
      <c r="FIG22"/>
      <c r="FIH22"/>
      <c r="FII22"/>
      <c r="FIJ22"/>
      <c r="FIK22"/>
      <c r="FIL22"/>
      <c r="FIM22"/>
      <c r="FIN22"/>
      <c r="FIO22"/>
      <c r="FIP22"/>
      <c r="FIQ22"/>
      <c r="FIR22"/>
      <c r="FIS22"/>
      <c r="FIT22"/>
      <c r="FIU22"/>
      <c r="FIV22"/>
      <c r="FIW22"/>
      <c r="FIX22"/>
      <c r="FIY22"/>
      <c r="FIZ22"/>
      <c r="FJA22"/>
      <c r="FJB22"/>
      <c r="FJC22"/>
      <c r="FJD22"/>
      <c r="FJE22"/>
      <c r="FJF22"/>
      <c r="FJG22"/>
      <c r="FJH22"/>
      <c r="FJI22"/>
      <c r="FJJ22"/>
      <c r="FJK22"/>
      <c r="FJL22"/>
      <c r="FJM22"/>
      <c r="FJN22"/>
      <c r="FJO22"/>
      <c r="FJP22"/>
      <c r="FJQ22"/>
      <c r="FJR22"/>
      <c r="FJS22"/>
      <c r="FJT22"/>
      <c r="FJU22"/>
      <c r="FJV22"/>
      <c r="FJW22"/>
      <c r="FJX22"/>
      <c r="FJY22"/>
      <c r="FJZ22"/>
      <c r="FKA22"/>
      <c r="FKB22"/>
      <c r="FKC22"/>
      <c r="FKD22"/>
      <c r="FKE22"/>
      <c r="FKF22"/>
      <c r="FKG22"/>
      <c r="FKH22"/>
      <c r="FKI22"/>
      <c r="FKJ22"/>
      <c r="FKK22"/>
      <c r="FKL22"/>
      <c r="FKM22"/>
      <c r="FKN22"/>
      <c r="FKO22"/>
      <c r="FKP22"/>
      <c r="FKQ22"/>
      <c r="FKR22"/>
      <c r="FKS22"/>
      <c r="FKT22"/>
      <c r="FKU22"/>
      <c r="FKV22"/>
      <c r="FKW22"/>
      <c r="FKX22"/>
      <c r="FKY22"/>
      <c r="FKZ22"/>
      <c r="FLA22"/>
      <c r="FLB22"/>
      <c r="FLC22"/>
      <c r="FLD22"/>
      <c r="FLE22"/>
      <c r="FLF22"/>
      <c r="FLG22"/>
      <c r="FLH22"/>
      <c r="FLI22"/>
      <c r="FLJ22"/>
      <c r="FLK22"/>
      <c r="FLL22"/>
      <c r="FLM22"/>
      <c r="FLN22"/>
      <c r="FLO22"/>
      <c r="FLP22"/>
      <c r="FLQ22"/>
      <c r="FLR22"/>
      <c r="FLS22"/>
      <c r="FLT22"/>
      <c r="FLU22"/>
      <c r="FLV22"/>
      <c r="FLW22"/>
      <c r="FLX22"/>
      <c r="FLY22"/>
      <c r="FLZ22"/>
      <c r="FMA22"/>
      <c r="FMB22"/>
      <c r="FMC22"/>
      <c r="FMD22"/>
      <c r="FME22"/>
      <c r="FMF22"/>
      <c r="FMG22"/>
      <c r="FMH22"/>
      <c r="FMI22"/>
      <c r="FMJ22"/>
      <c r="FMK22"/>
      <c r="FML22"/>
      <c r="FMM22"/>
      <c r="FMN22"/>
      <c r="FMO22"/>
      <c r="FMP22"/>
      <c r="FMQ22"/>
      <c r="FMR22"/>
      <c r="FMS22"/>
      <c r="FMT22"/>
      <c r="FMU22"/>
      <c r="FMV22"/>
      <c r="FMW22"/>
      <c r="FMX22"/>
      <c r="FMY22"/>
      <c r="FMZ22"/>
      <c r="FNA22"/>
      <c r="FNB22"/>
      <c r="FNC22"/>
      <c r="FND22"/>
      <c r="FNE22"/>
      <c r="FNF22"/>
      <c r="FNG22"/>
      <c r="FNH22"/>
      <c r="FNI22"/>
      <c r="FNJ22"/>
      <c r="FNK22"/>
      <c r="FNL22"/>
      <c r="FNM22"/>
      <c r="FNN22"/>
      <c r="FNO22"/>
      <c r="FNP22"/>
      <c r="FNQ22"/>
      <c r="FNR22"/>
      <c r="FNS22"/>
      <c r="FNT22"/>
      <c r="FNU22"/>
      <c r="FNV22"/>
      <c r="FNW22"/>
      <c r="FNX22"/>
      <c r="FNY22"/>
      <c r="FNZ22"/>
      <c r="FOA22"/>
      <c r="FOB22"/>
      <c r="FOC22"/>
      <c r="FOD22"/>
      <c r="FOE22"/>
      <c r="FOF22"/>
      <c r="FOG22"/>
      <c r="FOH22"/>
      <c r="FOI22"/>
      <c r="FOJ22"/>
      <c r="FOK22"/>
      <c r="FOL22"/>
      <c r="FOM22"/>
      <c r="FON22"/>
      <c r="FOO22"/>
      <c r="FOP22"/>
      <c r="FOQ22"/>
      <c r="FOR22"/>
      <c r="FOS22"/>
      <c r="FOT22"/>
      <c r="FOU22"/>
      <c r="FOV22"/>
      <c r="FOW22"/>
      <c r="FOX22"/>
      <c r="FOY22"/>
      <c r="FOZ22"/>
      <c r="FPA22"/>
      <c r="FPB22"/>
      <c r="FPC22"/>
      <c r="FPD22"/>
      <c r="FPE22"/>
      <c r="FPF22"/>
      <c r="FPG22"/>
      <c r="FPH22"/>
      <c r="FPI22"/>
      <c r="FPJ22"/>
      <c r="FPK22"/>
      <c r="FPL22"/>
      <c r="FPM22"/>
      <c r="FPN22"/>
      <c r="FPO22"/>
      <c r="FPP22"/>
      <c r="FPQ22"/>
      <c r="FPR22"/>
      <c r="FPS22"/>
      <c r="FPT22"/>
      <c r="FPU22"/>
      <c r="FPV22"/>
      <c r="FPW22"/>
      <c r="FPX22"/>
      <c r="FPY22"/>
      <c r="FPZ22"/>
      <c r="FQA22"/>
      <c r="FQB22"/>
      <c r="FQC22"/>
      <c r="FQD22"/>
      <c r="FQE22"/>
      <c r="FQF22"/>
      <c r="FQG22"/>
      <c r="FQH22"/>
      <c r="FQI22"/>
      <c r="FQJ22"/>
      <c r="FQK22"/>
      <c r="FQL22"/>
      <c r="FQM22"/>
      <c r="FQN22"/>
      <c r="FQO22"/>
      <c r="FQP22"/>
      <c r="FQQ22"/>
      <c r="FQR22"/>
      <c r="FQS22"/>
      <c r="FQT22"/>
      <c r="FQU22"/>
      <c r="FQV22"/>
      <c r="FQW22"/>
      <c r="FQX22"/>
      <c r="FQY22"/>
      <c r="FQZ22"/>
      <c r="FRA22"/>
      <c r="FRB22"/>
      <c r="FRC22"/>
      <c r="FRD22"/>
      <c r="FRE22"/>
      <c r="FRF22"/>
      <c r="FRG22"/>
      <c r="FRH22"/>
      <c r="FRI22"/>
      <c r="FRJ22"/>
      <c r="FRK22"/>
      <c r="FRL22"/>
      <c r="FRM22"/>
      <c r="FRN22"/>
      <c r="FRO22"/>
      <c r="FRP22"/>
      <c r="FRQ22"/>
      <c r="FRR22"/>
      <c r="FRS22"/>
      <c r="FRT22"/>
      <c r="FRU22"/>
      <c r="FRV22"/>
      <c r="FRW22"/>
      <c r="FRX22"/>
      <c r="FRY22"/>
      <c r="FRZ22"/>
      <c r="FSA22"/>
      <c r="FSB22"/>
      <c r="FSC22"/>
      <c r="FSD22"/>
      <c r="FSE22"/>
      <c r="FSF22"/>
      <c r="FSG22"/>
      <c r="FSH22"/>
      <c r="FSI22"/>
      <c r="FSJ22"/>
      <c r="FSK22"/>
      <c r="FSL22"/>
      <c r="FSM22"/>
      <c r="FSN22"/>
      <c r="FSO22"/>
      <c r="FSP22"/>
      <c r="FSQ22"/>
      <c r="FSR22"/>
      <c r="FSS22"/>
      <c r="FST22"/>
      <c r="FSU22"/>
      <c r="FSV22"/>
      <c r="FSW22"/>
      <c r="FSX22"/>
      <c r="FSY22"/>
      <c r="FSZ22"/>
      <c r="FTA22"/>
      <c r="FTB22"/>
      <c r="FTC22"/>
      <c r="FTD22"/>
      <c r="FTE22"/>
      <c r="FTF22"/>
      <c r="FTG22"/>
      <c r="FTH22"/>
      <c r="FTI22"/>
      <c r="FTJ22"/>
      <c r="FTK22"/>
      <c r="FTL22"/>
      <c r="FTM22"/>
      <c r="FTN22"/>
      <c r="FTO22"/>
      <c r="FTP22"/>
      <c r="FTQ22"/>
      <c r="FTR22"/>
      <c r="FTS22"/>
      <c r="FTT22"/>
      <c r="FTU22"/>
      <c r="FTV22"/>
      <c r="FTW22"/>
      <c r="FTX22"/>
      <c r="FTY22"/>
      <c r="FTZ22"/>
      <c r="FUA22"/>
      <c r="FUB22"/>
      <c r="FUC22"/>
      <c r="FUD22"/>
      <c r="FUE22"/>
      <c r="FUF22"/>
      <c r="FUG22"/>
      <c r="FUH22"/>
      <c r="FUI22"/>
      <c r="FUJ22"/>
      <c r="FUK22"/>
      <c r="FUL22"/>
      <c r="FUM22"/>
      <c r="FUN22"/>
      <c r="FUO22"/>
      <c r="FUP22"/>
      <c r="FUQ22"/>
      <c r="FUR22"/>
      <c r="FUS22"/>
      <c r="FUT22"/>
      <c r="FUU22"/>
      <c r="FUV22"/>
      <c r="FUW22"/>
      <c r="FUX22"/>
      <c r="FUY22"/>
      <c r="FUZ22"/>
      <c r="FVA22"/>
      <c r="FVB22"/>
      <c r="FVC22"/>
      <c r="FVD22"/>
      <c r="FVE22"/>
      <c r="FVF22"/>
      <c r="FVG22"/>
      <c r="FVH22"/>
      <c r="FVI22"/>
      <c r="FVJ22"/>
      <c r="FVK22"/>
      <c r="FVL22"/>
      <c r="FVM22"/>
      <c r="FVN22"/>
      <c r="FVO22"/>
      <c r="FVP22"/>
      <c r="FVQ22"/>
      <c r="FVR22"/>
      <c r="FVS22"/>
      <c r="FVT22"/>
      <c r="FVU22"/>
      <c r="FVV22"/>
      <c r="FVW22"/>
      <c r="FVX22"/>
      <c r="FVY22"/>
      <c r="FVZ22"/>
      <c r="FWA22"/>
      <c r="FWB22"/>
      <c r="FWC22"/>
      <c r="FWD22"/>
      <c r="FWE22"/>
      <c r="FWF22"/>
      <c r="FWG22"/>
      <c r="FWH22"/>
      <c r="FWI22"/>
      <c r="FWJ22"/>
      <c r="FWK22"/>
      <c r="FWL22"/>
      <c r="FWM22"/>
      <c r="FWN22"/>
      <c r="FWO22"/>
      <c r="FWP22"/>
      <c r="FWQ22"/>
      <c r="FWR22"/>
      <c r="FWS22"/>
      <c r="FWT22"/>
      <c r="FWU22"/>
      <c r="FWV22"/>
      <c r="FWW22"/>
      <c r="FWX22"/>
      <c r="FWY22"/>
      <c r="FWZ22"/>
      <c r="FXA22"/>
      <c r="FXB22"/>
      <c r="FXC22"/>
      <c r="FXD22"/>
      <c r="FXE22"/>
      <c r="FXF22"/>
      <c r="FXG22"/>
      <c r="FXH22"/>
      <c r="FXI22"/>
      <c r="FXJ22"/>
      <c r="FXK22"/>
      <c r="FXL22"/>
      <c r="FXM22"/>
      <c r="FXN22"/>
      <c r="FXO22"/>
      <c r="FXP22"/>
      <c r="FXQ22"/>
      <c r="FXR22"/>
      <c r="FXS22"/>
      <c r="FXT22"/>
      <c r="FXU22"/>
      <c r="FXV22"/>
      <c r="FXW22"/>
      <c r="FXX22"/>
      <c r="FXY22"/>
      <c r="FXZ22"/>
      <c r="FYA22"/>
      <c r="FYB22"/>
      <c r="FYC22"/>
      <c r="FYD22"/>
      <c r="FYE22"/>
      <c r="FYF22"/>
      <c r="FYG22"/>
      <c r="FYH22"/>
      <c r="FYI22"/>
      <c r="FYJ22"/>
      <c r="FYK22"/>
      <c r="FYL22"/>
      <c r="FYM22"/>
      <c r="FYN22"/>
      <c r="FYO22"/>
      <c r="FYP22"/>
      <c r="FYQ22"/>
      <c r="FYR22"/>
      <c r="FYS22"/>
      <c r="FYT22"/>
      <c r="FYU22"/>
      <c r="FYV22"/>
      <c r="FYW22"/>
      <c r="FYX22"/>
      <c r="FYY22"/>
      <c r="FYZ22"/>
      <c r="FZA22"/>
      <c r="FZB22"/>
      <c r="FZC22"/>
      <c r="FZD22"/>
      <c r="FZE22"/>
      <c r="FZF22"/>
      <c r="FZG22"/>
      <c r="FZH22"/>
      <c r="FZI22"/>
      <c r="FZJ22"/>
      <c r="FZK22"/>
      <c r="FZL22"/>
      <c r="FZM22"/>
      <c r="FZN22"/>
      <c r="FZO22"/>
      <c r="FZP22"/>
      <c r="FZQ22"/>
      <c r="FZR22"/>
      <c r="FZS22"/>
      <c r="FZT22"/>
      <c r="FZU22"/>
      <c r="FZV22"/>
      <c r="FZW22"/>
      <c r="FZX22"/>
      <c r="FZY22"/>
      <c r="FZZ22"/>
      <c r="GAA22"/>
      <c r="GAB22"/>
      <c r="GAC22"/>
      <c r="GAD22"/>
      <c r="GAE22"/>
      <c r="GAF22"/>
      <c r="GAG22"/>
      <c r="GAH22"/>
      <c r="GAI22"/>
      <c r="GAJ22"/>
      <c r="GAK22"/>
      <c r="GAL22"/>
      <c r="GAM22"/>
      <c r="GAN22"/>
      <c r="GAO22"/>
      <c r="GAP22"/>
      <c r="GAQ22"/>
      <c r="GAR22"/>
      <c r="GAS22"/>
      <c r="GAT22"/>
      <c r="GAU22"/>
      <c r="GAV22"/>
      <c r="GAW22"/>
      <c r="GAX22"/>
      <c r="GAY22"/>
      <c r="GAZ22"/>
      <c r="GBA22"/>
      <c r="GBB22"/>
      <c r="GBC22"/>
      <c r="GBD22"/>
      <c r="GBE22"/>
      <c r="GBF22"/>
      <c r="GBG22"/>
      <c r="GBH22"/>
      <c r="GBI22"/>
      <c r="GBJ22"/>
      <c r="GBK22"/>
      <c r="GBL22"/>
      <c r="GBM22"/>
      <c r="GBN22"/>
      <c r="GBO22"/>
      <c r="GBP22"/>
      <c r="GBQ22"/>
      <c r="GBR22"/>
      <c r="GBS22"/>
      <c r="GBT22"/>
      <c r="GBU22"/>
      <c r="GBV22"/>
      <c r="GBW22"/>
      <c r="GBX22"/>
      <c r="GBY22"/>
      <c r="GBZ22"/>
      <c r="GCA22"/>
      <c r="GCB22"/>
      <c r="GCC22"/>
      <c r="GCD22"/>
      <c r="GCE22"/>
      <c r="GCF22"/>
      <c r="GCG22"/>
      <c r="GCH22"/>
      <c r="GCI22"/>
      <c r="GCJ22"/>
      <c r="GCK22"/>
      <c r="GCL22"/>
      <c r="GCM22"/>
      <c r="GCN22"/>
      <c r="GCO22"/>
      <c r="GCP22"/>
      <c r="GCQ22"/>
      <c r="GCR22"/>
      <c r="GCS22"/>
      <c r="GCT22"/>
      <c r="GCU22"/>
      <c r="GCV22"/>
      <c r="GCW22"/>
      <c r="GCX22"/>
      <c r="GCY22"/>
      <c r="GCZ22"/>
      <c r="GDA22"/>
      <c r="GDB22"/>
      <c r="GDC22"/>
      <c r="GDD22"/>
      <c r="GDE22"/>
      <c r="GDF22"/>
      <c r="GDG22"/>
      <c r="GDH22"/>
      <c r="GDI22"/>
      <c r="GDJ22"/>
      <c r="GDK22"/>
      <c r="GDL22"/>
      <c r="GDM22"/>
      <c r="GDN22"/>
      <c r="GDO22"/>
      <c r="GDP22"/>
      <c r="GDQ22"/>
      <c r="GDR22"/>
      <c r="GDS22"/>
      <c r="GDT22"/>
      <c r="GDU22"/>
      <c r="GDV22"/>
      <c r="GDW22"/>
      <c r="GDX22"/>
      <c r="GDY22"/>
      <c r="GDZ22"/>
      <c r="GEA22"/>
      <c r="GEB22"/>
      <c r="GEC22"/>
      <c r="GED22"/>
      <c r="GEE22"/>
      <c r="GEF22"/>
      <c r="GEG22"/>
      <c r="GEH22"/>
      <c r="GEI22"/>
      <c r="GEJ22"/>
      <c r="GEK22"/>
      <c r="GEL22"/>
      <c r="GEM22"/>
      <c r="GEN22"/>
      <c r="GEO22"/>
      <c r="GEP22"/>
      <c r="GEQ22"/>
      <c r="GER22"/>
      <c r="GES22"/>
      <c r="GET22"/>
      <c r="GEU22"/>
      <c r="GEV22"/>
      <c r="GEW22"/>
      <c r="GEX22"/>
      <c r="GEY22"/>
      <c r="GEZ22"/>
      <c r="GFA22"/>
      <c r="GFB22"/>
      <c r="GFC22"/>
      <c r="GFD22"/>
      <c r="GFE22"/>
      <c r="GFF22"/>
      <c r="GFG22"/>
      <c r="GFH22"/>
      <c r="GFI22"/>
      <c r="GFJ22"/>
      <c r="GFK22"/>
      <c r="GFL22"/>
      <c r="GFM22"/>
      <c r="GFN22"/>
      <c r="GFO22"/>
      <c r="GFP22"/>
      <c r="GFQ22"/>
      <c r="GFR22"/>
      <c r="GFS22"/>
      <c r="GFT22"/>
      <c r="GFU22"/>
      <c r="GFV22"/>
      <c r="GFW22"/>
      <c r="GFX22"/>
      <c r="GFY22"/>
      <c r="GFZ22"/>
      <c r="GGA22"/>
      <c r="GGB22"/>
      <c r="GGC22"/>
      <c r="GGD22"/>
      <c r="GGE22"/>
      <c r="GGF22"/>
      <c r="GGG22"/>
      <c r="GGH22"/>
      <c r="GGI22"/>
      <c r="GGJ22"/>
      <c r="GGK22"/>
      <c r="GGL22"/>
      <c r="GGM22"/>
      <c r="GGN22"/>
      <c r="GGO22"/>
      <c r="GGP22"/>
      <c r="GGQ22"/>
      <c r="GGR22"/>
      <c r="GGS22"/>
      <c r="GGT22"/>
      <c r="GGU22"/>
      <c r="GGV22"/>
      <c r="GGW22"/>
      <c r="GGX22"/>
      <c r="GGY22"/>
      <c r="GGZ22"/>
      <c r="GHA22"/>
      <c r="GHB22"/>
      <c r="GHC22"/>
      <c r="GHD22"/>
      <c r="GHE22"/>
      <c r="GHF22"/>
      <c r="GHG22"/>
      <c r="GHH22"/>
      <c r="GHI22"/>
      <c r="GHJ22"/>
      <c r="GHK22"/>
      <c r="GHL22"/>
      <c r="GHM22"/>
      <c r="GHN22"/>
      <c r="GHO22"/>
      <c r="GHP22"/>
      <c r="GHQ22"/>
      <c r="GHR22"/>
      <c r="GHS22"/>
      <c r="GHT22"/>
      <c r="GHU22"/>
      <c r="GHV22"/>
      <c r="GHW22"/>
      <c r="GHX22"/>
      <c r="GHY22"/>
      <c r="GHZ22"/>
      <c r="GIA22"/>
      <c r="GIB22"/>
      <c r="GIC22"/>
      <c r="GID22"/>
      <c r="GIE22"/>
      <c r="GIF22"/>
      <c r="GIG22"/>
      <c r="GIH22"/>
      <c r="GII22"/>
      <c r="GIJ22"/>
      <c r="GIK22"/>
      <c r="GIL22"/>
      <c r="GIM22"/>
      <c r="GIN22"/>
      <c r="GIO22"/>
      <c r="GIP22"/>
      <c r="GIQ22"/>
      <c r="GIR22"/>
      <c r="GIS22"/>
      <c r="GIT22"/>
      <c r="GIU22"/>
      <c r="GIV22"/>
      <c r="GIW22"/>
      <c r="GIX22"/>
      <c r="GIY22"/>
      <c r="GIZ22"/>
      <c r="GJA22"/>
      <c r="GJB22"/>
      <c r="GJC22"/>
      <c r="GJD22"/>
      <c r="GJE22"/>
      <c r="GJF22"/>
      <c r="GJG22"/>
      <c r="GJH22"/>
      <c r="GJI22"/>
      <c r="GJJ22"/>
      <c r="GJK22"/>
      <c r="GJL22"/>
      <c r="GJM22"/>
      <c r="GJN22"/>
      <c r="GJO22"/>
      <c r="GJP22"/>
      <c r="GJQ22"/>
      <c r="GJR22"/>
      <c r="GJS22"/>
      <c r="GJT22"/>
      <c r="GJU22"/>
      <c r="GJV22"/>
      <c r="GJW22"/>
      <c r="GJX22"/>
      <c r="GJY22"/>
      <c r="GJZ22"/>
      <c r="GKA22"/>
      <c r="GKB22"/>
      <c r="GKC22"/>
      <c r="GKD22"/>
      <c r="GKE22"/>
      <c r="GKF22"/>
      <c r="GKG22"/>
      <c r="GKH22"/>
      <c r="GKI22"/>
      <c r="GKJ22"/>
      <c r="GKK22"/>
      <c r="GKL22"/>
      <c r="GKM22"/>
      <c r="GKN22"/>
      <c r="GKO22"/>
      <c r="GKP22"/>
      <c r="GKQ22"/>
      <c r="GKR22"/>
      <c r="GKS22"/>
      <c r="GKT22"/>
      <c r="GKU22"/>
      <c r="GKV22"/>
      <c r="GKW22"/>
      <c r="GKX22"/>
      <c r="GKY22"/>
      <c r="GKZ22"/>
      <c r="GLA22"/>
      <c r="GLB22"/>
      <c r="GLC22"/>
      <c r="GLD22"/>
      <c r="GLE22"/>
      <c r="GLF22"/>
      <c r="GLG22"/>
      <c r="GLH22"/>
      <c r="GLI22"/>
      <c r="GLJ22"/>
      <c r="GLK22"/>
      <c r="GLL22"/>
      <c r="GLM22"/>
      <c r="GLN22"/>
      <c r="GLO22"/>
      <c r="GLP22"/>
      <c r="GLQ22"/>
      <c r="GLR22"/>
      <c r="GLS22"/>
      <c r="GLT22"/>
      <c r="GLU22"/>
      <c r="GLV22"/>
      <c r="GLW22"/>
      <c r="GLX22"/>
      <c r="GLY22"/>
      <c r="GLZ22"/>
      <c r="GMA22"/>
      <c r="GMB22"/>
      <c r="GMC22"/>
      <c r="GMD22"/>
      <c r="GME22"/>
      <c r="GMF22"/>
      <c r="GMG22"/>
      <c r="GMH22"/>
      <c r="GMI22"/>
      <c r="GMJ22"/>
      <c r="GMK22"/>
      <c r="GML22"/>
      <c r="GMM22"/>
      <c r="GMN22"/>
      <c r="GMO22"/>
      <c r="GMP22"/>
      <c r="GMQ22"/>
      <c r="GMR22"/>
      <c r="GMS22"/>
      <c r="GMT22"/>
      <c r="GMU22"/>
      <c r="GMV22"/>
      <c r="GMW22"/>
      <c r="GMX22"/>
      <c r="GMY22"/>
      <c r="GMZ22"/>
      <c r="GNA22"/>
      <c r="GNB22"/>
      <c r="GNC22"/>
      <c r="GND22"/>
      <c r="GNE22"/>
      <c r="GNF22"/>
      <c r="GNG22"/>
      <c r="GNH22"/>
      <c r="GNI22"/>
      <c r="GNJ22"/>
      <c r="GNK22"/>
      <c r="GNL22"/>
      <c r="GNM22"/>
      <c r="GNN22"/>
      <c r="GNO22"/>
      <c r="GNP22"/>
      <c r="GNQ22"/>
      <c r="GNR22"/>
      <c r="GNS22"/>
      <c r="GNT22"/>
      <c r="GNU22"/>
      <c r="GNV22"/>
      <c r="GNW22"/>
      <c r="GNX22"/>
      <c r="GNY22"/>
      <c r="GNZ22"/>
      <c r="GOA22"/>
      <c r="GOB22"/>
      <c r="GOC22"/>
      <c r="GOD22"/>
      <c r="GOE22"/>
      <c r="GOF22"/>
      <c r="GOG22"/>
      <c r="GOH22"/>
      <c r="GOI22"/>
      <c r="GOJ22"/>
      <c r="GOK22"/>
      <c r="GOL22"/>
      <c r="GOM22"/>
      <c r="GON22"/>
      <c r="GOO22"/>
      <c r="GOP22"/>
      <c r="GOQ22"/>
      <c r="GOR22"/>
      <c r="GOS22"/>
      <c r="GOT22"/>
      <c r="GOU22"/>
      <c r="GOV22"/>
      <c r="GOW22"/>
      <c r="GOX22"/>
      <c r="GOY22"/>
      <c r="GOZ22"/>
      <c r="GPA22"/>
      <c r="GPB22"/>
      <c r="GPC22"/>
      <c r="GPD22"/>
      <c r="GPE22"/>
      <c r="GPF22"/>
      <c r="GPG22"/>
      <c r="GPH22"/>
      <c r="GPI22"/>
      <c r="GPJ22"/>
      <c r="GPK22"/>
      <c r="GPL22"/>
      <c r="GPM22"/>
      <c r="GPN22"/>
      <c r="GPO22"/>
      <c r="GPP22"/>
      <c r="GPQ22"/>
      <c r="GPR22"/>
      <c r="GPS22"/>
      <c r="GPT22"/>
      <c r="GPU22"/>
      <c r="GPV22"/>
      <c r="GPW22"/>
      <c r="GPX22"/>
      <c r="GPY22"/>
      <c r="GPZ22"/>
      <c r="GQA22"/>
      <c r="GQB22"/>
      <c r="GQC22"/>
      <c r="GQD22"/>
      <c r="GQE22"/>
      <c r="GQF22"/>
      <c r="GQG22"/>
      <c r="GQH22"/>
      <c r="GQI22"/>
      <c r="GQJ22"/>
      <c r="GQK22"/>
      <c r="GQL22"/>
      <c r="GQM22"/>
      <c r="GQN22"/>
      <c r="GQO22"/>
      <c r="GQP22"/>
      <c r="GQQ22"/>
      <c r="GQR22"/>
      <c r="GQS22"/>
      <c r="GQT22"/>
      <c r="GQU22"/>
      <c r="GQV22"/>
      <c r="GQW22"/>
      <c r="GQX22"/>
      <c r="GQY22"/>
      <c r="GQZ22"/>
      <c r="GRA22"/>
      <c r="GRB22"/>
      <c r="GRC22"/>
      <c r="GRD22"/>
      <c r="GRE22"/>
      <c r="GRF22"/>
      <c r="GRG22"/>
      <c r="GRH22"/>
      <c r="GRI22"/>
      <c r="GRJ22"/>
      <c r="GRK22"/>
      <c r="GRL22"/>
      <c r="GRM22"/>
      <c r="GRN22"/>
      <c r="GRO22"/>
      <c r="GRP22"/>
      <c r="GRQ22"/>
      <c r="GRR22"/>
      <c r="GRS22"/>
      <c r="GRT22"/>
      <c r="GRU22"/>
      <c r="GRV22"/>
      <c r="GRW22"/>
      <c r="GRX22"/>
      <c r="GRY22"/>
      <c r="GRZ22"/>
      <c r="GSA22"/>
      <c r="GSB22"/>
      <c r="GSC22"/>
      <c r="GSD22"/>
      <c r="GSE22"/>
      <c r="GSF22"/>
      <c r="GSG22"/>
      <c r="GSH22"/>
      <c r="GSI22"/>
      <c r="GSJ22"/>
      <c r="GSK22"/>
      <c r="GSL22"/>
      <c r="GSM22"/>
      <c r="GSN22"/>
      <c r="GSO22"/>
      <c r="GSP22"/>
      <c r="GSQ22"/>
      <c r="GSR22"/>
      <c r="GSS22"/>
      <c r="GST22"/>
      <c r="GSU22"/>
      <c r="GSV22"/>
      <c r="GSW22"/>
      <c r="GSX22"/>
      <c r="GSY22"/>
      <c r="GSZ22"/>
      <c r="GTA22"/>
      <c r="GTB22"/>
      <c r="GTC22"/>
      <c r="GTD22"/>
      <c r="GTE22"/>
      <c r="GTF22"/>
      <c r="GTG22"/>
      <c r="GTH22"/>
      <c r="GTI22"/>
      <c r="GTJ22"/>
      <c r="GTK22"/>
      <c r="GTL22"/>
      <c r="GTM22"/>
      <c r="GTN22"/>
      <c r="GTO22"/>
      <c r="GTP22"/>
      <c r="GTQ22"/>
      <c r="GTR22"/>
      <c r="GTS22"/>
      <c r="GTT22"/>
      <c r="GTU22"/>
      <c r="GTV22"/>
      <c r="GTW22"/>
      <c r="GTX22"/>
      <c r="GTY22"/>
      <c r="GTZ22"/>
      <c r="GUA22"/>
      <c r="GUB22"/>
      <c r="GUC22"/>
      <c r="GUD22"/>
      <c r="GUE22"/>
      <c r="GUF22"/>
      <c r="GUG22"/>
      <c r="GUH22"/>
      <c r="GUI22"/>
      <c r="GUJ22"/>
      <c r="GUK22"/>
      <c r="GUL22"/>
      <c r="GUM22"/>
      <c r="GUN22"/>
      <c r="GUO22"/>
      <c r="GUP22"/>
      <c r="GUQ22"/>
      <c r="GUR22"/>
      <c r="GUS22"/>
      <c r="GUT22"/>
      <c r="GUU22"/>
      <c r="GUV22"/>
      <c r="GUW22"/>
      <c r="GUX22"/>
      <c r="GUY22"/>
      <c r="GUZ22"/>
      <c r="GVA22"/>
      <c r="GVB22"/>
      <c r="GVC22"/>
      <c r="GVD22"/>
      <c r="GVE22"/>
      <c r="GVF22"/>
      <c r="GVG22"/>
      <c r="GVH22"/>
      <c r="GVI22"/>
      <c r="GVJ22"/>
      <c r="GVK22"/>
      <c r="GVL22"/>
      <c r="GVM22"/>
      <c r="GVN22"/>
      <c r="GVO22"/>
      <c r="GVP22"/>
      <c r="GVQ22"/>
      <c r="GVR22"/>
      <c r="GVS22"/>
      <c r="GVT22"/>
      <c r="GVU22"/>
      <c r="GVV22"/>
      <c r="GVW22"/>
      <c r="GVX22"/>
      <c r="GVY22"/>
      <c r="GVZ22"/>
      <c r="GWA22"/>
      <c r="GWB22"/>
      <c r="GWC22"/>
      <c r="GWD22"/>
      <c r="GWE22"/>
      <c r="GWF22"/>
      <c r="GWG22"/>
      <c r="GWH22"/>
      <c r="GWI22"/>
      <c r="GWJ22"/>
      <c r="GWK22"/>
      <c r="GWL22"/>
      <c r="GWM22"/>
      <c r="GWN22"/>
      <c r="GWO22"/>
      <c r="GWP22"/>
      <c r="GWQ22"/>
      <c r="GWR22"/>
      <c r="GWS22"/>
      <c r="GWT22"/>
      <c r="GWU22"/>
      <c r="GWV22"/>
      <c r="GWW22"/>
      <c r="GWX22"/>
      <c r="GWY22"/>
      <c r="GWZ22"/>
      <c r="GXA22"/>
      <c r="GXB22"/>
      <c r="GXC22"/>
      <c r="GXD22"/>
      <c r="GXE22"/>
      <c r="GXF22"/>
      <c r="GXG22"/>
      <c r="GXH22"/>
      <c r="GXI22"/>
      <c r="GXJ22"/>
      <c r="GXK22"/>
      <c r="GXL22"/>
      <c r="GXM22"/>
      <c r="GXN22"/>
      <c r="GXO22"/>
      <c r="GXP22"/>
      <c r="GXQ22"/>
      <c r="GXR22"/>
      <c r="GXS22"/>
      <c r="GXT22"/>
      <c r="GXU22"/>
      <c r="GXV22"/>
      <c r="GXW22"/>
      <c r="GXX22"/>
      <c r="GXY22"/>
      <c r="GXZ22"/>
      <c r="GYA22"/>
      <c r="GYB22"/>
      <c r="GYC22"/>
      <c r="GYD22"/>
      <c r="GYE22"/>
      <c r="GYF22"/>
      <c r="GYG22"/>
      <c r="GYH22"/>
      <c r="GYI22"/>
      <c r="GYJ22"/>
      <c r="GYK22"/>
      <c r="GYL22"/>
      <c r="GYM22"/>
      <c r="GYN22"/>
      <c r="GYO22"/>
      <c r="GYP22"/>
      <c r="GYQ22"/>
      <c r="GYR22"/>
      <c r="GYS22"/>
      <c r="GYT22"/>
      <c r="GYU22"/>
      <c r="GYV22"/>
      <c r="GYW22"/>
      <c r="GYX22"/>
      <c r="GYY22"/>
      <c r="GYZ22"/>
      <c r="GZA22"/>
      <c r="GZB22"/>
      <c r="GZC22"/>
      <c r="GZD22"/>
      <c r="GZE22"/>
      <c r="GZF22"/>
      <c r="GZG22"/>
      <c r="GZH22"/>
      <c r="GZI22"/>
      <c r="GZJ22"/>
      <c r="GZK22"/>
      <c r="GZL22"/>
      <c r="GZM22"/>
      <c r="GZN22"/>
      <c r="GZO22"/>
      <c r="GZP22"/>
      <c r="GZQ22"/>
      <c r="GZR22"/>
      <c r="GZS22"/>
      <c r="GZT22"/>
      <c r="GZU22"/>
      <c r="GZV22"/>
      <c r="GZW22"/>
      <c r="GZX22"/>
      <c r="GZY22"/>
      <c r="GZZ22"/>
      <c r="HAA22"/>
      <c r="HAB22"/>
      <c r="HAC22"/>
      <c r="HAD22"/>
      <c r="HAE22"/>
      <c r="HAF22"/>
      <c r="HAG22"/>
      <c r="HAH22"/>
      <c r="HAI22"/>
      <c r="HAJ22"/>
      <c r="HAK22"/>
      <c r="HAL22"/>
      <c r="HAM22"/>
      <c r="HAN22"/>
      <c r="HAO22"/>
      <c r="HAP22"/>
      <c r="HAQ22"/>
      <c r="HAR22"/>
      <c r="HAS22"/>
      <c r="HAT22"/>
      <c r="HAU22"/>
      <c r="HAV22"/>
      <c r="HAW22"/>
      <c r="HAX22"/>
      <c r="HAY22"/>
      <c r="HAZ22"/>
      <c r="HBA22"/>
      <c r="HBB22"/>
      <c r="HBC22"/>
      <c r="HBD22"/>
      <c r="HBE22"/>
      <c r="HBF22"/>
      <c r="HBG22"/>
      <c r="HBH22"/>
      <c r="HBI22"/>
      <c r="HBJ22"/>
      <c r="HBK22"/>
      <c r="HBL22"/>
      <c r="HBM22"/>
      <c r="HBN22"/>
      <c r="HBO22"/>
      <c r="HBP22"/>
      <c r="HBQ22"/>
      <c r="HBR22"/>
      <c r="HBS22"/>
      <c r="HBT22"/>
      <c r="HBU22"/>
      <c r="HBV22"/>
      <c r="HBW22"/>
      <c r="HBX22"/>
      <c r="HBY22"/>
      <c r="HBZ22"/>
      <c r="HCA22"/>
      <c r="HCB22"/>
      <c r="HCC22"/>
      <c r="HCD22"/>
      <c r="HCE22"/>
      <c r="HCF22"/>
      <c r="HCG22"/>
      <c r="HCH22"/>
      <c r="HCI22"/>
      <c r="HCJ22"/>
      <c r="HCK22"/>
      <c r="HCL22"/>
      <c r="HCM22"/>
      <c r="HCN22"/>
      <c r="HCO22"/>
      <c r="HCP22"/>
      <c r="HCQ22"/>
      <c r="HCR22"/>
      <c r="HCS22"/>
      <c r="HCT22"/>
      <c r="HCU22"/>
      <c r="HCV22"/>
      <c r="HCW22"/>
      <c r="HCX22"/>
      <c r="HCY22"/>
      <c r="HCZ22"/>
      <c r="HDA22"/>
      <c r="HDB22"/>
      <c r="HDC22"/>
      <c r="HDD22"/>
      <c r="HDE22"/>
      <c r="HDF22"/>
      <c r="HDG22"/>
      <c r="HDH22"/>
      <c r="HDI22"/>
      <c r="HDJ22"/>
      <c r="HDK22"/>
      <c r="HDL22"/>
      <c r="HDM22"/>
      <c r="HDN22"/>
      <c r="HDO22"/>
      <c r="HDP22"/>
      <c r="HDQ22"/>
      <c r="HDR22"/>
      <c r="HDS22"/>
      <c r="HDT22"/>
      <c r="HDU22"/>
      <c r="HDV22"/>
      <c r="HDW22"/>
      <c r="HDX22"/>
      <c r="HDY22"/>
      <c r="HDZ22"/>
      <c r="HEA22"/>
      <c r="HEB22"/>
      <c r="HEC22"/>
      <c r="HED22"/>
      <c r="HEE22"/>
      <c r="HEF22"/>
      <c r="HEG22"/>
      <c r="HEH22"/>
      <c r="HEI22"/>
      <c r="HEJ22"/>
      <c r="HEK22"/>
      <c r="HEL22"/>
      <c r="HEM22"/>
      <c r="HEN22"/>
      <c r="HEO22"/>
      <c r="HEP22"/>
      <c r="HEQ22"/>
      <c r="HER22"/>
      <c r="HES22"/>
      <c r="HET22"/>
      <c r="HEU22"/>
      <c r="HEV22"/>
      <c r="HEW22"/>
      <c r="HEX22"/>
      <c r="HEY22"/>
      <c r="HEZ22"/>
      <c r="HFA22"/>
      <c r="HFB22"/>
      <c r="HFC22"/>
      <c r="HFD22"/>
      <c r="HFE22"/>
      <c r="HFF22"/>
      <c r="HFG22"/>
      <c r="HFH22"/>
      <c r="HFI22"/>
      <c r="HFJ22"/>
      <c r="HFK22"/>
      <c r="HFL22"/>
      <c r="HFM22"/>
      <c r="HFN22"/>
      <c r="HFO22"/>
      <c r="HFP22"/>
      <c r="HFQ22"/>
      <c r="HFR22"/>
      <c r="HFS22"/>
      <c r="HFT22"/>
      <c r="HFU22"/>
      <c r="HFV22"/>
      <c r="HFW22"/>
      <c r="HFX22"/>
      <c r="HFY22"/>
      <c r="HFZ22"/>
      <c r="HGA22"/>
      <c r="HGB22"/>
      <c r="HGC22"/>
      <c r="HGD22"/>
      <c r="HGE22"/>
      <c r="HGF22"/>
      <c r="HGG22"/>
      <c r="HGH22"/>
      <c r="HGI22"/>
      <c r="HGJ22"/>
      <c r="HGK22"/>
      <c r="HGL22"/>
      <c r="HGM22"/>
      <c r="HGN22"/>
      <c r="HGO22"/>
      <c r="HGP22"/>
      <c r="HGQ22"/>
      <c r="HGR22"/>
      <c r="HGS22"/>
      <c r="HGT22"/>
      <c r="HGU22"/>
      <c r="HGV22"/>
      <c r="HGW22"/>
      <c r="HGX22"/>
      <c r="HGY22"/>
      <c r="HGZ22"/>
      <c r="HHA22"/>
      <c r="HHB22"/>
      <c r="HHC22"/>
      <c r="HHD22"/>
      <c r="HHE22"/>
      <c r="HHF22"/>
      <c r="HHG22"/>
      <c r="HHH22"/>
      <c r="HHI22"/>
      <c r="HHJ22"/>
      <c r="HHK22"/>
      <c r="HHL22"/>
      <c r="HHM22"/>
      <c r="HHN22"/>
      <c r="HHO22"/>
      <c r="HHP22"/>
      <c r="HHQ22"/>
      <c r="HHR22"/>
      <c r="HHS22"/>
      <c r="HHT22"/>
      <c r="HHU22"/>
      <c r="HHV22"/>
      <c r="HHW22"/>
      <c r="HHX22"/>
      <c r="HHY22"/>
      <c r="HHZ22"/>
      <c r="HIA22"/>
      <c r="HIB22"/>
      <c r="HIC22"/>
      <c r="HID22"/>
      <c r="HIE22"/>
      <c r="HIF22"/>
      <c r="HIG22"/>
      <c r="HIH22"/>
      <c r="HII22"/>
      <c r="HIJ22"/>
      <c r="HIK22"/>
      <c r="HIL22"/>
      <c r="HIM22"/>
      <c r="HIN22"/>
      <c r="HIO22"/>
      <c r="HIP22"/>
      <c r="HIQ22"/>
      <c r="HIR22"/>
      <c r="HIS22"/>
      <c r="HIT22"/>
      <c r="HIU22"/>
      <c r="HIV22"/>
      <c r="HIW22"/>
      <c r="HIX22"/>
      <c r="HIY22"/>
      <c r="HIZ22"/>
      <c r="HJA22"/>
      <c r="HJB22"/>
      <c r="HJC22"/>
      <c r="HJD22"/>
      <c r="HJE22"/>
      <c r="HJF22"/>
      <c r="HJG22"/>
      <c r="HJH22"/>
      <c r="HJI22"/>
      <c r="HJJ22"/>
      <c r="HJK22"/>
      <c r="HJL22"/>
      <c r="HJM22"/>
      <c r="HJN22"/>
      <c r="HJO22"/>
      <c r="HJP22"/>
      <c r="HJQ22"/>
      <c r="HJR22"/>
      <c r="HJS22"/>
      <c r="HJT22"/>
      <c r="HJU22"/>
      <c r="HJV22"/>
      <c r="HJW22"/>
      <c r="HJX22"/>
      <c r="HJY22"/>
      <c r="HJZ22"/>
      <c r="HKA22"/>
      <c r="HKB22"/>
      <c r="HKC22"/>
      <c r="HKD22"/>
      <c r="HKE22"/>
      <c r="HKF22"/>
      <c r="HKG22"/>
      <c r="HKH22"/>
      <c r="HKI22"/>
      <c r="HKJ22"/>
      <c r="HKK22"/>
      <c r="HKL22"/>
      <c r="HKM22"/>
      <c r="HKN22"/>
      <c r="HKO22"/>
      <c r="HKP22"/>
      <c r="HKQ22"/>
      <c r="HKR22"/>
      <c r="HKS22"/>
      <c r="HKT22"/>
      <c r="HKU22"/>
      <c r="HKV22"/>
      <c r="HKW22"/>
      <c r="HKX22"/>
      <c r="HKY22"/>
      <c r="HKZ22"/>
      <c r="HLA22"/>
      <c r="HLB22"/>
      <c r="HLC22"/>
      <c r="HLD22"/>
      <c r="HLE22"/>
      <c r="HLF22"/>
      <c r="HLG22"/>
      <c r="HLH22"/>
      <c r="HLI22"/>
      <c r="HLJ22"/>
      <c r="HLK22"/>
      <c r="HLL22"/>
      <c r="HLM22"/>
      <c r="HLN22"/>
      <c r="HLO22"/>
      <c r="HLP22"/>
      <c r="HLQ22"/>
      <c r="HLR22"/>
      <c r="HLS22"/>
      <c r="HLT22"/>
      <c r="HLU22"/>
      <c r="HLV22"/>
      <c r="HLW22"/>
      <c r="HLX22"/>
      <c r="HLY22"/>
      <c r="HLZ22"/>
      <c r="HMA22"/>
      <c r="HMB22"/>
      <c r="HMC22"/>
      <c r="HMD22"/>
      <c r="HME22"/>
      <c r="HMF22"/>
      <c r="HMG22"/>
      <c r="HMH22"/>
      <c r="HMI22"/>
      <c r="HMJ22"/>
      <c r="HMK22"/>
      <c r="HML22"/>
      <c r="HMM22"/>
      <c r="HMN22"/>
      <c r="HMO22"/>
      <c r="HMP22"/>
      <c r="HMQ22"/>
      <c r="HMR22"/>
      <c r="HMS22"/>
      <c r="HMT22"/>
      <c r="HMU22"/>
      <c r="HMV22"/>
      <c r="HMW22"/>
      <c r="HMX22"/>
      <c r="HMY22"/>
      <c r="HMZ22"/>
      <c r="HNA22"/>
      <c r="HNB22"/>
      <c r="HNC22"/>
      <c r="HND22"/>
      <c r="HNE22"/>
      <c r="HNF22"/>
      <c r="HNG22"/>
      <c r="HNH22"/>
      <c r="HNI22"/>
      <c r="HNJ22"/>
      <c r="HNK22"/>
      <c r="HNL22"/>
      <c r="HNM22"/>
      <c r="HNN22"/>
      <c r="HNO22"/>
      <c r="HNP22"/>
      <c r="HNQ22"/>
      <c r="HNR22"/>
      <c r="HNS22"/>
      <c r="HNT22"/>
      <c r="HNU22"/>
      <c r="HNV22"/>
      <c r="HNW22"/>
      <c r="HNX22"/>
      <c r="HNY22"/>
      <c r="HNZ22"/>
      <c r="HOA22"/>
      <c r="HOB22"/>
      <c r="HOC22"/>
      <c r="HOD22"/>
      <c r="HOE22"/>
      <c r="HOF22"/>
      <c r="HOG22"/>
      <c r="HOH22"/>
      <c r="HOI22"/>
      <c r="HOJ22"/>
      <c r="HOK22"/>
      <c r="HOL22"/>
      <c r="HOM22"/>
      <c r="HON22"/>
      <c r="HOO22"/>
      <c r="HOP22"/>
      <c r="HOQ22"/>
      <c r="HOR22"/>
      <c r="HOS22"/>
      <c r="HOT22"/>
      <c r="HOU22"/>
      <c r="HOV22"/>
      <c r="HOW22"/>
      <c r="HOX22"/>
      <c r="HOY22"/>
      <c r="HOZ22"/>
      <c r="HPA22"/>
      <c r="HPB22"/>
      <c r="HPC22"/>
      <c r="HPD22"/>
      <c r="HPE22"/>
      <c r="HPF22"/>
      <c r="HPG22"/>
      <c r="HPH22"/>
      <c r="HPI22"/>
      <c r="HPJ22"/>
      <c r="HPK22"/>
      <c r="HPL22"/>
      <c r="HPM22"/>
      <c r="HPN22"/>
      <c r="HPO22"/>
      <c r="HPP22"/>
      <c r="HPQ22"/>
      <c r="HPR22"/>
      <c r="HPS22"/>
      <c r="HPT22"/>
      <c r="HPU22"/>
      <c r="HPV22"/>
      <c r="HPW22"/>
      <c r="HPX22"/>
      <c r="HPY22"/>
      <c r="HPZ22"/>
      <c r="HQA22"/>
      <c r="HQB22"/>
      <c r="HQC22"/>
      <c r="HQD22"/>
      <c r="HQE22"/>
      <c r="HQF22"/>
      <c r="HQG22"/>
      <c r="HQH22"/>
      <c r="HQI22"/>
      <c r="HQJ22"/>
      <c r="HQK22"/>
      <c r="HQL22"/>
      <c r="HQM22"/>
      <c r="HQN22"/>
      <c r="HQO22"/>
      <c r="HQP22"/>
      <c r="HQQ22"/>
      <c r="HQR22"/>
      <c r="HQS22"/>
      <c r="HQT22"/>
      <c r="HQU22"/>
      <c r="HQV22"/>
      <c r="HQW22"/>
      <c r="HQX22"/>
      <c r="HQY22"/>
      <c r="HQZ22"/>
      <c r="HRA22"/>
      <c r="HRB22"/>
      <c r="HRC22"/>
      <c r="HRD22"/>
      <c r="HRE22"/>
      <c r="HRF22"/>
      <c r="HRG22"/>
      <c r="HRH22"/>
      <c r="HRI22"/>
      <c r="HRJ22"/>
      <c r="HRK22"/>
      <c r="HRL22"/>
      <c r="HRM22"/>
      <c r="HRN22"/>
      <c r="HRO22"/>
      <c r="HRP22"/>
      <c r="HRQ22"/>
      <c r="HRR22"/>
      <c r="HRS22"/>
      <c r="HRT22"/>
      <c r="HRU22"/>
      <c r="HRV22"/>
      <c r="HRW22"/>
      <c r="HRX22"/>
      <c r="HRY22"/>
      <c r="HRZ22"/>
      <c r="HSA22"/>
      <c r="HSB22"/>
      <c r="HSC22"/>
      <c r="HSD22"/>
      <c r="HSE22"/>
      <c r="HSF22"/>
      <c r="HSG22"/>
      <c r="HSH22"/>
      <c r="HSI22"/>
      <c r="HSJ22"/>
      <c r="HSK22"/>
      <c r="HSL22"/>
      <c r="HSM22"/>
      <c r="HSN22"/>
      <c r="HSO22"/>
      <c r="HSP22"/>
      <c r="HSQ22"/>
      <c r="HSR22"/>
      <c r="HSS22"/>
      <c r="HST22"/>
      <c r="HSU22"/>
      <c r="HSV22"/>
      <c r="HSW22"/>
      <c r="HSX22"/>
      <c r="HSY22"/>
      <c r="HSZ22"/>
      <c r="HTA22"/>
      <c r="HTB22"/>
      <c r="HTC22"/>
      <c r="HTD22"/>
      <c r="HTE22"/>
      <c r="HTF22"/>
      <c r="HTG22"/>
      <c r="HTH22"/>
      <c r="HTI22"/>
      <c r="HTJ22"/>
      <c r="HTK22"/>
      <c r="HTL22"/>
      <c r="HTM22"/>
      <c r="HTN22"/>
      <c r="HTO22"/>
      <c r="HTP22"/>
      <c r="HTQ22"/>
      <c r="HTR22"/>
      <c r="HTS22"/>
      <c r="HTT22"/>
      <c r="HTU22"/>
      <c r="HTV22"/>
      <c r="HTW22"/>
      <c r="HTX22"/>
      <c r="HTY22"/>
      <c r="HTZ22"/>
      <c r="HUA22"/>
      <c r="HUB22"/>
      <c r="HUC22"/>
      <c r="HUD22"/>
      <c r="HUE22"/>
      <c r="HUF22"/>
      <c r="HUG22"/>
      <c r="HUH22"/>
      <c r="HUI22"/>
      <c r="HUJ22"/>
      <c r="HUK22"/>
      <c r="HUL22"/>
      <c r="HUM22"/>
      <c r="HUN22"/>
      <c r="HUO22"/>
      <c r="HUP22"/>
      <c r="HUQ22"/>
      <c r="HUR22"/>
      <c r="HUS22"/>
      <c r="HUT22"/>
      <c r="HUU22"/>
      <c r="HUV22"/>
      <c r="HUW22"/>
      <c r="HUX22"/>
      <c r="HUY22"/>
      <c r="HUZ22"/>
      <c r="HVA22"/>
      <c r="HVB22"/>
      <c r="HVC22"/>
      <c r="HVD22"/>
      <c r="HVE22"/>
      <c r="HVF22"/>
      <c r="HVG22"/>
      <c r="HVH22"/>
      <c r="HVI22"/>
      <c r="HVJ22"/>
      <c r="HVK22"/>
      <c r="HVL22"/>
      <c r="HVM22"/>
      <c r="HVN22"/>
      <c r="HVO22"/>
      <c r="HVP22"/>
      <c r="HVQ22"/>
      <c r="HVR22"/>
      <c r="HVS22"/>
      <c r="HVT22"/>
      <c r="HVU22"/>
      <c r="HVV22"/>
      <c r="HVW22"/>
      <c r="HVX22"/>
      <c r="HVY22"/>
      <c r="HVZ22"/>
      <c r="HWA22"/>
      <c r="HWB22"/>
      <c r="HWC22"/>
      <c r="HWD22"/>
      <c r="HWE22"/>
      <c r="HWF22"/>
      <c r="HWG22"/>
      <c r="HWH22"/>
      <c r="HWI22"/>
      <c r="HWJ22"/>
      <c r="HWK22"/>
      <c r="HWL22"/>
      <c r="HWM22"/>
      <c r="HWN22"/>
      <c r="HWO22"/>
      <c r="HWP22"/>
      <c r="HWQ22"/>
      <c r="HWR22"/>
      <c r="HWS22"/>
      <c r="HWT22"/>
      <c r="HWU22"/>
      <c r="HWV22"/>
      <c r="HWW22"/>
      <c r="HWX22"/>
      <c r="HWY22"/>
      <c r="HWZ22"/>
      <c r="HXA22"/>
      <c r="HXB22"/>
      <c r="HXC22"/>
      <c r="HXD22"/>
      <c r="HXE22"/>
      <c r="HXF22"/>
      <c r="HXG22"/>
      <c r="HXH22"/>
      <c r="HXI22"/>
      <c r="HXJ22"/>
      <c r="HXK22"/>
      <c r="HXL22"/>
      <c r="HXM22"/>
      <c r="HXN22"/>
      <c r="HXO22"/>
      <c r="HXP22"/>
      <c r="HXQ22"/>
      <c r="HXR22"/>
      <c r="HXS22"/>
      <c r="HXT22"/>
      <c r="HXU22"/>
      <c r="HXV22"/>
      <c r="HXW22"/>
      <c r="HXX22"/>
      <c r="HXY22"/>
      <c r="HXZ22"/>
      <c r="HYA22"/>
      <c r="HYB22"/>
      <c r="HYC22"/>
      <c r="HYD22"/>
      <c r="HYE22"/>
      <c r="HYF22"/>
      <c r="HYG22"/>
      <c r="HYH22"/>
      <c r="HYI22"/>
      <c r="HYJ22"/>
      <c r="HYK22"/>
      <c r="HYL22"/>
      <c r="HYM22"/>
      <c r="HYN22"/>
      <c r="HYO22"/>
      <c r="HYP22"/>
      <c r="HYQ22"/>
      <c r="HYR22"/>
      <c r="HYS22"/>
      <c r="HYT22"/>
      <c r="HYU22"/>
      <c r="HYV22"/>
      <c r="HYW22"/>
      <c r="HYX22"/>
      <c r="HYY22"/>
      <c r="HYZ22"/>
      <c r="HZA22"/>
      <c r="HZB22"/>
      <c r="HZC22"/>
      <c r="HZD22"/>
      <c r="HZE22"/>
      <c r="HZF22"/>
      <c r="HZG22"/>
      <c r="HZH22"/>
      <c r="HZI22"/>
      <c r="HZJ22"/>
      <c r="HZK22"/>
      <c r="HZL22"/>
      <c r="HZM22"/>
      <c r="HZN22"/>
      <c r="HZO22"/>
      <c r="HZP22"/>
      <c r="HZQ22"/>
      <c r="HZR22"/>
      <c r="HZS22"/>
      <c r="HZT22"/>
      <c r="HZU22"/>
      <c r="HZV22"/>
      <c r="HZW22"/>
      <c r="HZX22"/>
      <c r="HZY22"/>
      <c r="HZZ22"/>
      <c r="IAA22"/>
      <c r="IAB22"/>
      <c r="IAC22"/>
      <c r="IAD22"/>
      <c r="IAE22"/>
      <c r="IAF22"/>
      <c r="IAG22"/>
      <c r="IAH22"/>
      <c r="IAI22"/>
      <c r="IAJ22"/>
      <c r="IAK22"/>
      <c r="IAL22"/>
      <c r="IAM22"/>
      <c r="IAN22"/>
      <c r="IAO22"/>
      <c r="IAP22"/>
      <c r="IAQ22"/>
      <c r="IAR22"/>
      <c r="IAS22"/>
      <c r="IAT22"/>
      <c r="IAU22"/>
      <c r="IAV22"/>
      <c r="IAW22"/>
      <c r="IAX22"/>
      <c r="IAY22"/>
      <c r="IAZ22"/>
      <c r="IBA22"/>
      <c r="IBB22"/>
      <c r="IBC22"/>
      <c r="IBD22"/>
      <c r="IBE22"/>
      <c r="IBF22"/>
      <c r="IBG22"/>
      <c r="IBH22"/>
      <c r="IBI22"/>
      <c r="IBJ22"/>
      <c r="IBK22"/>
      <c r="IBL22"/>
      <c r="IBM22"/>
      <c r="IBN22"/>
      <c r="IBO22"/>
      <c r="IBP22"/>
      <c r="IBQ22"/>
      <c r="IBR22"/>
      <c r="IBS22"/>
      <c r="IBT22"/>
      <c r="IBU22"/>
      <c r="IBV22"/>
      <c r="IBW22"/>
      <c r="IBX22"/>
      <c r="IBY22"/>
      <c r="IBZ22"/>
      <c r="ICA22"/>
      <c r="ICB22"/>
      <c r="ICC22"/>
      <c r="ICD22"/>
      <c r="ICE22"/>
      <c r="ICF22"/>
      <c r="ICG22"/>
      <c r="ICH22"/>
      <c r="ICI22"/>
      <c r="ICJ22"/>
      <c r="ICK22"/>
      <c r="ICL22"/>
      <c r="ICM22"/>
      <c r="ICN22"/>
      <c r="ICO22"/>
      <c r="ICP22"/>
      <c r="ICQ22"/>
      <c r="ICR22"/>
      <c r="ICS22"/>
      <c r="ICT22"/>
      <c r="ICU22"/>
      <c r="ICV22"/>
      <c r="ICW22"/>
      <c r="ICX22"/>
      <c r="ICY22"/>
      <c r="ICZ22"/>
      <c r="IDA22"/>
      <c r="IDB22"/>
      <c r="IDC22"/>
      <c r="IDD22"/>
      <c r="IDE22"/>
      <c r="IDF22"/>
      <c r="IDG22"/>
      <c r="IDH22"/>
      <c r="IDI22"/>
      <c r="IDJ22"/>
      <c r="IDK22"/>
      <c r="IDL22"/>
      <c r="IDM22"/>
      <c r="IDN22"/>
      <c r="IDO22"/>
      <c r="IDP22"/>
      <c r="IDQ22"/>
      <c r="IDR22"/>
      <c r="IDS22"/>
      <c r="IDT22"/>
      <c r="IDU22"/>
      <c r="IDV22"/>
      <c r="IDW22"/>
      <c r="IDX22"/>
      <c r="IDY22"/>
      <c r="IDZ22"/>
      <c r="IEA22"/>
      <c r="IEB22"/>
      <c r="IEC22"/>
      <c r="IED22"/>
      <c r="IEE22"/>
      <c r="IEF22"/>
      <c r="IEG22"/>
      <c r="IEH22"/>
      <c r="IEI22"/>
      <c r="IEJ22"/>
      <c r="IEK22"/>
      <c r="IEL22"/>
      <c r="IEM22"/>
      <c r="IEN22"/>
      <c r="IEO22"/>
      <c r="IEP22"/>
      <c r="IEQ22"/>
      <c r="IER22"/>
      <c r="IES22"/>
      <c r="IET22"/>
      <c r="IEU22"/>
      <c r="IEV22"/>
      <c r="IEW22"/>
      <c r="IEX22"/>
      <c r="IEY22"/>
      <c r="IEZ22"/>
      <c r="IFA22"/>
      <c r="IFB22"/>
      <c r="IFC22"/>
      <c r="IFD22"/>
      <c r="IFE22"/>
      <c r="IFF22"/>
      <c r="IFG22"/>
      <c r="IFH22"/>
      <c r="IFI22"/>
      <c r="IFJ22"/>
      <c r="IFK22"/>
      <c r="IFL22"/>
      <c r="IFM22"/>
      <c r="IFN22"/>
      <c r="IFO22"/>
      <c r="IFP22"/>
      <c r="IFQ22"/>
      <c r="IFR22"/>
      <c r="IFS22"/>
      <c r="IFT22"/>
      <c r="IFU22"/>
      <c r="IFV22"/>
      <c r="IFW22"/>
      <c r="IFX22"/>
      <c r="IFY22"/>
      <c r="IFZ22"/>
      <c r="IGA22"/>
      <c r="IGB22"/>
      <c r="IGC22"/>
      <c r="IGD22"/>
      <c r="IGE22"/>
      <c r="IGF22"/>
      <c r="IGG22"/>
      <c r="IGH22"/>
      <c r="IGI22"/>
      <c r="IGJ22"/>
      <c r="IGK22"/>
      <c r="IGL22"/>
      <c r="IGM22"/>
      <c r="IGN22"/>
      <c r="IGO22"/>
      <c r="IGP22"/>
      <c r="IGQ22"/>
      <c r="IGR22"/>
      <c r="IGS22"/>
      <c r="IGT22"/>
      <c r="IGU22"/>
      <c r="IGV22"/>
      <c r="IGW22"/>
      <c r="IGX22"/>
      <c r="IGY22"/>
      <c r="IGZ22"/>
      <c r="IHA22"/>
      <c r="IHB22"/>
      <c r="IHC22"/>
      <c r="IHD22"/>
      <c r="IHE22"/>
      <c r="IHF22"/>
      <c r="IHG22"/>
      <c r="IHH22"/>
      <c r="IHI22"/>
      <c r="IHJ22"/>
      <c r="IHK22"/>
      <c r="IHL22"/>
      <c r="IHM22"/>
      <c r="IHN22"/>
      <c r="IHO22"/>
      <c r="IHP22"/>
      <c r="IHQ22"/>
      <c r="IHR22"/>
      <c r="IHS22"/>
      <c r="IHT22"/>
      <c r="IHU22"/>
      <c r="IHV22"/>
      <c r="IHW22"/>
      <c r="IHX22"/>
      <c r="IHY22"/>
      <c r="IHZ22"/>
      <c r="IIA22"/>
      <c r="IIB22"/>
      <c r="IIC22"/>
      <c r="IID22"/>
      <c r="IIE22"/>
      <c r="IIF22"/>
      <c r="IIG22"/>
      <c r="IIH22"/>
      <c r="III22"/>
      <c r="IIJ22"/>
      <c r="IIK22"/>
      <c r="IIL22"/>
      <c r="IIM22"/>
      <c r="IIN22"/>
      <c r="IIO22"/>
      <c r="IIP22"/>
      <c r="IIQ22"/>
      <c r="IIR22"/>
      <c r="IIS22"/>
      <c r="IIT22"/>
      <c r="IIU22"/>
      <c r="IIV22"/>
      <c r="IIW22"/>
      <c r="IIX22"/>
      <c r="IIY22"/>
      <c r="IIZ22"/>
      <c r="IJA22"/>
      <c r="IJB22"/>
      <c r="IJC22"/>
      <c r="IJD22"/>
      <c r="IJE22"/>
      <c r="IJF22"/>
      <c r="IJG22"/>
      <c r="IJH22"/>
      <c r="IJI22"/>
      <c r="IJJ22"/>
      <c r="IJK22"/>
      <c r="IJL22"/>
      <c r="IJM22"/>
      <c r="IJN22"/>
      <c r="IJO22"/>
      <c r="IJP22"/>
      <c r="IJQ22"/>
      <c r="IJR22"/>
      <c r="IJS22"/>
      <c r="IJT22"/>
      <c r="IJU22"/>
      <c r="IJV22"/>
      <c r="IJW22"/>
      <c r="IJX22"/>
      <c r="IJY22"/>
      <c r="IJZ22"/>
      <c r="IKA22"/>
      <c r="IKB22"/>
      <c r="IKC22"/>
      <c r="IKD22"/>
      <c r="IKE22"/>
      <c r="IKF22"/>
      <c r="IKG22"/>
      <c r="IKH22"/>
      <c r="IKI22"/>
      <c r="IKJ22"/>
      <c r="IKK22"/>
      <c r="IKL22"/>
      <c r="IKM22"/>
      <c r="IKN22"/>
      <c r="IKO22"/>
      <c r="IKP22"/>
      <c r="IKQ22"/>
      <c r="IKR22"/>
      <c r="IKS22"/>
      <c r="IKT22"/>
      <c r="IKU22"/>
      <c r="IKV22"/>
      <c r="IKW22"/>
      <c r="IKX22"/>
      <c r="IKY22"/>
      <c r="IKZ22"/>
      <c r="ILA22"/>
      <c r="ILB22"/>
      <c r="ILC22"/>
      <c r="ILD22"/>
      <c r="ILE22"/>
      <c r="ILF22"/>
      <c r="ILG22"/>
      <c r="ILH22"/>
      <c r="ILI22"/>
      <c r="ILJ22"/>
      <c r="ILK22"/>
      <c r="ILL22"/>
      <c r="ILM22"/>
      <c r="ILN22"/>
      <c r="ILO22"/>
      <c r="ILP22"/>
      <c r="ILQ22"/>
      <c r="ILR22"/>
      <c r="ILS22"/>
      <c r="ILT22"/>
      <c r="ILU22"/>
      <c r="ILV22"/>
      <c r="ILW22"/>
      <c r="ILX22"/>
      <c r="ILY22"/>
      <c r="ILZ22"/>
      <c r="IMA22"/>
      <c r="IMB22"/>
      <c r="IMC22"/>
      <c r="IMD22"/>
      <c r="IME22"/>
      <c r="IMF22"/>
      <c r="IMG22"/>
      <c r="IMH22"/>
      <c r="IMI22"/>
      <c r="IMJ22"/>
      <c r="IMK22"/>
      <c r="IML22"/>
      <c r="IMM22"/>
      <c r="IMN22"/>
      <c r="IMO22"/>
      <c r="IMP22"/>
      <c r="IMQ22"/>
      <c r="IMR22"/>
      <c r="IMS22"/>
      <c r="IMT22"/>
      <c r="IMU22"/>
      <c r="IMV22"/>
      <c r="IMW22"/>
      <c r="IMX22"/>
      <c r="IMY22"/>
      <c r="IMZ22"/>
      <c r="INA22"/>
      <c r="INB22"/>
      <c r="INC22"/>
      <c r="IND22"/>
      <c r="INE22"/>
      <c r="INF22"/>
      <c r="ING22"/>
      <c r="INH22"/>
      <c r="INI22"/>
      <c r="INJ22"/>
      <c r="INK22"/>
      <c r="INL22"/>
      <c r="INM22"/>
      <c r="INN22"/>
      <c r="INO22"/>
      <c r="INP22"/>
      <c r="INQ22"/>
      <c r="INR22"/>
      <c r="INS22"/>
      <c r="INT22"/>
      <c r="INU22"/>
      <c r="INV22"/>
      <c r="INW22"/>
      <c r="INX22"/>
      <c r="INY22"/>
      <c r="INZ22"/>
      <c r="IOA22"/>
      <c r="IOB22"/>
      <c r="IOC22"/>
      <c r="IOD22"/>
      <c r="IOE22"/>
      <c r="IOF22"/>
      <c r="IOG22"/>
      <c r="IOH22"/>
      <c r="IOI22"/>
      <c r="IOJ22"/>
      <c r="IOK22"/>
      <c r="IOL22"/>
      <c r="IOM22"/>
      <c r="ION22"/>
      <c r="IOO22"/>
      <c r="IOP22"/>
      <c r="IOQ22"/>
      <c r="IOR22"/>
      <c r="IOS22"/>
      <c r="IOT22"/>
      <c r="IOU22"/>
      <c r="IOV22"/>
      <c r="IOW22"/>
      <c r="IOX22"/>
      <c r="IOY22"/>
      <c r="IOZ22"/>
      <c r="IPA22"/>
      <c r="IPB22"/>
      <c r="IPC22"/>
      <c r="IPD22"/>
      <c r="IPE22"/>
      <c r="IPF22"/>
      <c r="IPG22"/>
      <c r="IPH22"/>
      <c r="IPI22"/>
      <c r="IPJ22"/>
      <c r="IPK22"/>
      <c r="IPL22"/>
      <c r="IPM22"/>
      <c r="IPN22"/>
      <c r="IPO22"/>
      <c r="IPP22"/>
      <c r="IPQ22"/>
      <c r="IPR22"/>
      <c r="IPS22"/>
      <c r="IPT22"/>
      <c r="IPU22"/>
      <c r="IPV22"/>
      <c r="IPW22"/>
      <c r="IPX22"/>
      <c r="IPY22"/>
      <c r="IPZ22"/>
      <c r="IQA22"/>
      <c r="IQB22"/>
      <c r="IQC22"/>
      <c r="IQD22"/>
      <c r="IQE22"/>
      <c r="IQF22"/>
      <c r="IQG22"/>
      <c r="IQH22"/>
      <c r="IQI22"/>
      <c r="IQJ22"/>
      <c r="IQK22"/>
      <c r="IQL22"/>
      <c r="IQM22"/>
      <c r="IQN22"/>
      <c r="IQO22"/>
      <c r="IQP22"/>
      <c r="IQQ22"/>
      <c r="IQR22"/>
      <c r="IQS22"/>
      <c r="IQT22"/>
      <c r="IQU22"/>
      <c r="IQV22"/>
      <c r="IQW22"/>
      <c r="IQX22"/>
      <c r="IQY22"/>
      <c r="IQZ22"/>
      <c r="IRA22"/>
      <c r="IRB22"/>
      <c r="IRC22"/>
      <c r="IRD22"/>
      <c r="IRE22"/>
      <c r="IRF22"/>
      <c r="IRG22"/>
      <c r="IRH22"/>
      <c r="IRI22"/>
      <c r="IRJ22"/>
      <c r="IRK22"/>
      <c r="IRL22"/>
      <c r="IRM22"/>
      <c r="IRN22"/>
      <c r="IRO22"/>
      <c r="IRP22"/>
      <c r="IRQ22"/>
      <c r="IRR22"/>
      <c r="IRS22"/>
      <c r="IRT22"/>
      <c r="IRU22"/>
      <c r="IRV22"/>
      <c r="IRW22"/>
      <c r="IRX22"/>
      <c r="IRY22"/>
      <c r="IRZ22"/>
      <c r="ISA22"/>
      <c r="ISB22"/>
      <c r="ISC22"/>
      <c r="ISD22"/>
      <c r="ISE22"/>
      <c r="ISF22"/>
      <c r="ISG22"/>
      <c r="ISH22"/>
      <c r="ISI22"/>
      <c r="ISJ22"/>
      <c r="ISK22"/>
      <c r="ISL22"/>
      <c r="ISM22"/>
      <c r="ISN22"/>
      <c r="ISO22"/>
      <c r="ISP22"/>
      <c r="ISQ22"/>
      <c r="ISR22"/>
      <c r="ISS22"/>
      <c r="IST22"/>
      <c r="ISU22"/>
      <c r="ISV22"/>
      <c r="ISW22"/>
      <c r="ISX22"/>
      <c r="ISY22"/>
      <c r="ISZ22"/>
      <c r="ITA22"/>
      <c r="ITB22"/>
      <c r="ITC22"/>
      <c r="ITD22"/>
      <c r="ITE22"/>
      <c r="ITF22"/>
      <c r="ITG22"/>
      <c r="ITH22"/>
      <c r="ITI22"/>
      <c r="ITJ22"/>
      <c r="ITK22"/>
      <c r="ITL22"/>
      <c r="ITM22"/>
      <c r="ITN22"/>
      <c r="ITO22"/>
      <c r="ITP22"/>
      <c r="ITQ22"/>
      <c r="ITR22"/>
      <c r="ITS22"/>
      <c r="ITT22"/>
      <c r="ITU22"/>
      <c r="ITV22"/>
      <c r="ITW22"/>
      <c r="ITX22"/>
      <c r="ITY22"/>
      <c r="ITZ22"/>
      <c r="IUA22"/>
      <c r="IUB22"/>
      <c r="IUC22"/>
      <c r="IUD22"/>
      <c r="IUE22"/>
      <c r="IUF22"/>
      <c r="IUG22"/>
      <c r="IUH22"/>
      <c r="IUI22"/>
      <c r="IUJ22"/>
      <c r="IUK22"/>
      <c r="IUL22"/>
      <c r="IUM22"/>
      <c r="IUN22"/>
      <c r="IUO22"/>
      <c r="IUP22"/>
      <c r="IUQ22"/>
      <c r="IUR22"/>
      <c r="IUS22"/>
      <c r="IUT22"/>
      <c r="IUU22"/>
      <c r="IUV22"/>
      <c r="IUW22"/>
      <c r="IUX22"/>
      <c r="IUY22"/>
      <c r="IUZ22"/>
      <c r="IVA22"/>
      <c r="IVB22"/>
      <c r="IVC22"/>
      <c r="IVD22"/>
      <c r="IVE22"/>
      <c r="IVF22"/>
      <c r="IVG22"/>
      <c r="IVH22"/>
      <c r="IVI22"/>
      <c r="IVJ22"/>
      <c r="IVK22"/>
      <c r="IVL22"/>
      <c r="IVM22"/>
      <c r="IVN22"/>
      <c r="IVO22"/>
      <c r="IVP22"/>
      <c r="IVQ22"/>
      <c r="IVR22"/>
      <c r="IVS22"/>
      <c r="IVT22"/>
      <c r="IVU22"/>
      <c r="IVV22"/>
      <c r="IVW22"/>
      <c r="IVX22"/>
      <c r="IVY22"/>
      <c r="IVZ22"/>
      <c r="IWA22"/>
      <c r="IWB22"/>
      <c r="IWC22"/>
      <c r="IWD22"/>
      <c r="IWE22"/>
      <c r="IWF22"/>
      <c r="IWG22"/>
      <c r="IWH22"/>
      <c r="IWI22"/>
      <c r="IWJ22"/>
      <c r="IWK22"/>
      <c r="IWL22"/>
      <c r="IWM22"/>
      <c r="IWN22"/>
      <c r="IWO22"/>
      <c r="IWP22"/>
      <c r="IWQ22"/>
      <c r="IWR22"/>
      <c r="IWS22"/>
      <c r="IWT22"/>
      <c r="IWU22"/>
      <c r="IWV22"/>
      <c r="IWW22"/>
      <c r="IWX22"/>
      <c r="IWY22"/>
      <c r="IWZ22"/>
      <c r="IXA22"/>
      <c r="IXB22"/>
      <c r="IXC22"/>
      <c r="IXD22"/>
      <c r="IXE22"/>
      <c r="IXF22"/>
      <c r="IXG22"/>
      <c r="IXH22"/>
      <c r="IXI22"/>
      <c r="IXJ22"/>
      <c r="IXK22"/>
      <c r="IXL22"/>
      <c r="IXM22"/>
      <c r="IXN22"/>
      <c r="IXO22"/>
      <c r="IXP22"/>
      <c r="IXQ22"/>
      <c r="IXR22"/>
      <c r="IXS22"/>
      <c r="IXT22"/>
      <c r="IXU22"/>
      <c r="IXV22"/>
      <c r="IXW22"/>
      <c r="IXX22"/>
      <c r="IXY22"/>
      <c r="IXZ22"/>
      <c r="IYA22"/>
      <c r="IYB22"/>
      <c r="IYC22"/>
      <c r="IYD22"/>
      <c r="IYE22"/>
      <c r="IYF22"/>
      <c r="IYG22"/>
      <c r="IYH22"/>
      <c r="IYI22"/>
      <c r="IYJ22"/>
      <c r="IYK22"/>
      <c r="IYL22"/>
      <c r="IYM22"/>
      <c r="IYN22"/>
      <c r="IYO22"/>
      <c r="IYP22"/>
      <c r="IYQ22"/>
      <c r="IYR22"/>
      <c r="IYS22"/>
      <c r="IYT22"/>
      <c r="IYU22"/>
      <c r="IYV22"/>
      <c r="IYW22"/>
      <c r="IYX22"/>
      <c r="IYY22"/>
      <c r="IYZ22"/>
      <c r="IZA22"/>
      <c r="IZB22"/>
      <c r="IZC22"/>
      <c r="IZD22"/>
      <c r="IZE22"/>
      <c r="IZF22"/>
      <c r="IZG22"/>
      <c r="IZH22"/>
      <c r="IZI22"/>
      <c r="IZJ22"/>
      <c r="IZK22"/>
      <c r="IZL22"/>
      <c r="IZM22"/>
      <c r="IZN22"/>
      <c r="IZO22"/>
      <c r="IZP22"/>
      <c r="IZQ22"/>
      <c r="IZR22"/>
      <c r="IZS22"/>
      <c r="IZT22"/>
      <c r="IZU22"/>
      <c r="IZV22"/>
      <c r="IZW22"/>
      <c r="IZX22"/>
      <c r="IZY22"/>
      <c r="IZZ22"/>
      <c r="JAA22"/>
      <c r="JAB22"/>
      <c r="JAC22"/>
      <c r="JAD22"/>
      <c r="JAE22"/>
      <c r="JAF22"/>
      <c r="JAG22"/>
      <c r="JAH22"/>
      <c r="JAI22"/>
      <c r="JAJ22"/>
      <c r="JAK22"/>
      <c r="JAL22"/>
      <c r="JAM22"/>
      <c r="JAN22"/>
      <c r="JAO22"/>
      <c r="JAP22"/>
      <c r="JAQ22"/>
      <c r="JAR22"/>
      <c r="JAS22"/>
      <c r="JAT22"/>
      <c r="JAU22"/>
      <c r="JAV22"/>
      <c r="JAW22"/>
      <c r="JAX22"/>
      <c r="JAY22"/>
      <c r="JAZ22"/>
      <c r="JBA22"/>
      <c r="JBB22"/>
      <c r="JBC22"/>
      <c r="JBD22"/>
      <c r="JBE22"/>
      <c r="JBF22"/>
      <c r="JBG22"/>
      <c r="JBH22"/>
      <c r="JBI22"/>
      <c r="JBJ22"/>
      <c r="JBK22"/>
      <c r="JBL22"/>
      <c r="JBM22"/>
      <c r="JBN22"/>
      <c r="JBO22"/>
      <c r="JBP22"/>
      <c r="JBQ22"/>
      <c r="JBR22"/>
      <c r="JBS22"/>
      <c r="JBT22"/>
      <c r="JBU22"/>
      <c r="JBV22"/>
      <c r="JBW22"/>
      <c r="JBX22"/>
      <c r="JBY22"/>
      <c r="JBZ22"/>
      <c r="JCA22"/>
      <c r="JCB22"/>
      <c r="JCC22"/>
      <c r="JCD22"/>
      <c r="JCE22"/>
      <c r="JCF22"/>
      <c r="JCG22"/>
      <c r="JCH22"/>
      <c r="JCI22"/>
      <c r="JCJ22"/>
      <c r="JCK22"/>
      <c r="JCL22"/>
      <c r="JCM22"/>
      <c r="JCN22"/>
      <c r="JCO22"/>
      <c r="JCP22"/>
      <c r="JCQ22"/>
      <c r="JCR22"/>
      <c r="JCS22"/>
      <c r="JCT22"/>
      <c r="JCU22"/>
      <c r="JCV22"/>
      <c r="JCW22"/>
      <c r="JCX22"/>
      <c r="JCY22"/>
      <c r="JCZ22"/>
      <c r="JDA22"/>
      <c r="JDB22"/>
      <c r="JDC22"/>
      <c r="JDD22"/>
      <c r="JDE22"/>
      <c r="JDF22"/>
      <c r="JDG22"/>
      <c r="JDH22"/>
      <c r="JDI22"/>
      <c r="JDJ22"/>
      <c r="JDK22"/>
      <c r="JDL22"/>
      <c r="JDM22"/>
      <c r="JDN22"/>
      <c r="JDO22"/>
      <c r="JDP22"/>
      <c r="JDQ22"/>
      <c r="JDR22"/>
      <c r="JDS22"/>
      <c r="JDT22"/>
      <c r="JDU22"/>
      <c r="JDV22"/>
      <c r="JDW22"/>
      <c r="JDX22"/>
      <c r="JDY22"/>
      <c r="JDZ22"/>
      <c r="JEA22"/>
      <c r="JEB22"/>
      <c r="JEC22"/>
      <c r="JED22"/>
      <c r="JEE22"/>
      <c r="JEF22"/>
      <c r="JEG22"/>
      <c r="JEH22"/>
      <c r="JEI22"/>
      <c r="JEJ22"/>
      <c r="JEK22"/>
      <c r="JEL22"/>
      <c r="JEM22"/>
      <c r="JEN22"/>
      <c r="JEO22"/>
      <c r="JEP22"/>
      <c r="JEQ22"/>
      <c r="JER22"/>
      <c r="JES22"/>
      <c r="JET22"/>
      <c r="JEU22"/>
      <c r="JEV22"/>
      <c r="JEW22"/>
      <c r="JEX22"/>
      <c r="JEY22"/>
      <c r="JEZ22"/>
      <c r="JFA22"/>
      <c r="JFB22"/>
      <c r="JFC22"/>
      <c r="JFD22"/>
      <c r="JFE22"/>
      <c r="JFF22"/>
      <c r="JFG22"/>
      <c r="JFH22"/>
      <c r="JFI22"/>
      <c r="JFJ22"/>
      <c r="JFK22"/>
      <c r="JFL22"/>
      <c r="JFM22"/>
      <c r="JFN22"/>
      <c r="JFO22"/>
      <c r="JFP22"/>
      <c r="JFQ22"/>
      <c r="JFR22"/>
      <c r="JFS22"/>
      <c r="JFT22"/>
      <c r="JFU22"/>
      <c r="JFV22"/>
      <c r="JFW22"/>
      <c r="JFX22"/>
      <c r="JFY22"/>
      <c r="JFZ22"/>
      <c r="JGA22"/>
      <c r="JGB22"/>
      <c r="JGC22"/>
      <c r="JGD22"/>
      <c r="JGE22"/>
      <c r="JGF22"/>
      <c r="JGG22"/>
      <c r="JGH22"/>
      <c r="JGI22"/>
      <c r="JGJ22"/>
      <c r="JGK22"/>
      <c r="JGL22"/>
      <c r="JGM22"/>
      <c r="JGN22"/>
      <c r="JGO22"/>
      <c r="JGP22"/>
      <c r="JGQ22"/>
      <c r="JGR22"/>
      <c r="JGS22"/>
      <c r="JGT22"/>
      <c r="JGU22"/>
      <c r="JGV22"/>
      <c r="JGW22"/>
      <c r="JGX22"/>
      <c r="JGY22"/>
      <c r="JGZ22"/>
      <c r="JHA22"/>
      <c r="JHB22"/>
      <c r="JHC22"/>
      <c r="JHD22"/>
      <c r="JHE22"/>
      <c r="JHF22"/>
      <c r="JHG22"/>
      <c r="JHH22"/>
      <c r="JHI22"/>
      <c r="JHJ22"/>
      <c r="JHK22"/>
      <c r="JHL22"/>
      <c r="JHM22"/>
      <c r="JHN22"/>
      <c r="JHO22"/>
      <c r="JHP22"/>
      <c r="JHQ22"/>
      <c r="JHR22"/>
      <c r="JHS22"/>
      <c r="JHT22"/>
      <c r="JHU22"/>
      <c r="JHV22"/>
      <c r="JHW22"/>
      <c r="JHX22"/>
      <c r="JHY22"/>
      <c r="JHZ22"/>
      <c r="JIA22"/>
      <c r="JIB22"/>
      <c r="JIC22"/>
      <c r="JID22"/>
      <c r="JIE22"/>
      <c r="JIF22"/>
      <c r="JIG22"/>
      <c r="JIH22"/>
      <c r="JII22"/>
      <c r="JIJ22"/>
      <c r="JIK22"/>
      <c r="JIL22"/>
      <c r="JIM22"/>
      <c r="JIN22"/>
      <c r="JIO22"/>
      <c r="JIP22"/>
      <c r="JIQ22"/>
      <c r="JIR22"/>
      <c r="JIS22"/>
      <c r="JIT22"/>
      <c r="JIU22"/>
      <c r="JIV22"/>
      <c r="JIW22"/>
      <c r="JIX22"/>
      <c r="JIY22"/>
      <c r="JIZ22"/>
      <c r="JJA22"/>
      <c r="JJB22"/>
      <c r="JJC22"/>
      <c r="JJD22"/>
      <c r="JJE22"/>
      <c r="JJF22"/>
      <c r="JJG22"/>
      <c r="JJH22"/>
      <c r="JJI22"/>
      <c r="JJJ22"/>
      <c r="JJK22"/>
      <c r="JJL22"/>
      <c r="JJM22"/>
      <c r="JJN22"/>
      <c r="JJO22"/>
      <c r="JJP22"/>
      <c r="JJQ22"/>
      <c r="JJR22"/>
      <c r="JJS22"/>
      <c r="JJT22"/>
      <c r="JJU22"/>
      <c r="JJV22"/>
      <c r="JJW22"/>
      <c r="JJX22"/>
      <c r="JJY22"/>
      <c r="JJZ22"/>
      <c r="JKA22"/>
      <c r="JKB22"/>
      <c r="JKC22"/>
      <c r="JKD22"/>
      <c r="JKE22"/>
      <c r="JKF22"/>
      <c r="JKG22"/>
      <c r="JKH22"/>
      <c r="JKI22"/>
      <c r="JKJ22"/>
      <c r="JKK22"/>
      <c r="JKL22"/>
      <c r="JKM22"/>
      <c r="JKN22"/>
      <c r="JKO22"/>
      <c r="JKP22"/>
      <c r="JKQ22"/>
      <c r="JKR22"/>
      <c r="JKS22"/>
      <c r="JKT22"/>
      <c r="JKU22"/>
      <c r="JKV22"/>
      <c r="JKW22"/>
      <c r="JKX22"/>
      <c r="JKY22"/>
      <c r="JKZ22"/>
      <c r="JLA22"/>
      <c r="JLB22"/>
      <c r="JLC22"/>
      <c r="JLD22"/>
      <c r="JLE22"/>
      <c r="JLF22"/>
      <c r="JLG22"/>
      <c r="JLH22"/>
      <c r="JLI22"/>
      <c r="JLJ22"/>
      <c r="JLK22"/>
      <c r="JLL22"/>
      <c r="JLM22"/>
      <c r="JLN22"/>
      <c r="JLO22"/>
      <c r="JLP22"/>
      <c r="JLQ22"/>
      <c r="JLR22"/>
      <c r="JLS22"/>
      <c r="JLT22"/>
      <c r="JLU22"/>
      <c r="JLV22"/>
      <c r="JLW22"/>
      <c r="JLX22"/>
      <c r="JLY22"/>
      <c r="JLZ22"/>
      <c r="JMA22"/>
      <c r="JMB22"/>
      <c r="JMC22"/>
      <c r="JMD22"/>
      <c r="JME22"/>
      <c r="JMF22"/>
      <c r="JMG22"/>
      <c r="JMH22"/>
      <c r="JMI22"/>
      <c r="JMJ22"/>
      <c r="JMK22"/>
      <c r="JML22"/>
      <c r="JMM22"/>
      <c r="JMN22"/>
      <c r="JMO22"/>
      <c r="JMP22"/>
      <c r="JMQ22"/>
      <c r="JMR22"/>
      <c r="JMS22"/>
      <c r="JMT22"/>
      <c r="JMU22"/>
      <c r="JMV22"/>
      <c r="JMW22"/>
      <c r="JMX22"/>
      <c r="JMY22"/>
      <c r="JMZ22"/>
      <c r="JNA22"/>
      <c r="JNB22"/>
      <c r="JNC22"/>
      <c r="JND22"/>
      <c r="JNE22"/>
      <c r="JNF22"/>
      <c r="JNG22"/>
      <c r="JNH22"/>
      <c r="JNI22"/>
      <c r="JNJ22"/>
      <c r="JNK22"/>
      <c r="JNL22"/>
      <c r="JNM22"/>
      <c r="JNN22"/>
      <c r="JNO22"/>
      <c r="JNP22"/>
      <c r="JNQ22"/>
      <c r="JNR22"/>
      <c r="JNS22"/>
      <c r="JNT22"/>
      <c r="JNU22"/>
      <c r="JNV22"/>
      <c r="JNW22"/>
      <c r="JNX22"/>
      <c r="JNY22"/>
      <c r="JNZ22"/>
      <c r="JOA22"/>
      <c r="JOB22"/>
      <c r="JOC22"/>
      <c r="JOD22"/>
      <c r="JOE22"/>
      <c r="JOF22"/>
      <c r="JOG22"/>
      <c r="JOH22"/>
      <c r="JOI22"/>
      <c r="JOJ22"/>
      <c r="JOK22"/>
      <c r="JOL22"/>
      <c r="JOM22"/>
      <c r="JON22"/>
      <c r="JOO22"/>
      <c r="JOP22"/>
      <c r="JOQ22"/>
      <c r="JOR22"/>
      <c r="JOS22"/>
      <c r="JOT22"/>
      <c r="JOU22"/>
      <c r="JOV22"/>
      <c r="JOW22"/>
      <c r="JOX22"/>
      <c r="JOY22"/>
      <c r="JOZ22"/>
      <c r="JPA22"/>
      <c r="JPB22"/>
      <c r="JPC22"/>
      <c r="JPD22"/>
      <c r="JPE22"/>
      <c r="JPF22"/>
      <c r="JPG22"/>
      <c r="JPH22"/>
      <c r="JPI22"/>
      <c r="JPJ22"/>
      <c r="JPK22"/>
      <c r="JPL22"/>
      <c r="JPM22"/>
      <c r="JPN22"/>
      <c r="JPO22"/>
      <c r="JPP22"/>
      <c r="JPQ22"/>
      <c r="JPR22"/>
      <c r="JPS22"/>
      <c r="JPT22"/>
      <c r="JPU22"/>
      <c r="JPV22"/>
      <c r="JPW22"/>
      <c r="JPX22"/>
      <c r="JPY22"/>
      <c r="JPZ22"/>
      <c r="JQA22"/>
      <c r="JQB22"/>
      <c r="JQC22"/>
      <c r="JQD22"/>
      <c r="JQE22"/>
      <c r="JQF22"/>
      <c r="JQG22"/>
      <c r="JQH22"/>
      <c r="JQI22"/>
      <c r="JQJ22"/>
      <c r="JQK22"/>
      <c r="JQL22"/>
      <c r="JQM22"/>
      <c r="JQN22"/>
      <c r="JQO22"/>
      <c r="JQP22"/>
      <c r="JQQ22"/>
      <c r="JQR22"/>
      <c r="JQS22"/>
      <c r="JQT22"/>
      <c r="JQU22"/>
      <c r="JQV22"/>
      <c r="JQW22"/>
      <c r="JQX22"/>
      <c r="JQY22"/>
      <c r="JQZ22"/>
      <c r="JRA22"/>
      <c r="JRB22"/>
      <c r="JRC22"/>
      <c r="JRD22"/>
      <c r="JRE22"/>
      <c r="JRF22"/>
      <c r="JRG22"/>
      <c r="JRH22"/>
      <c r="JRI22"/>
      <c r="JRJ22"/>
      <c r="JRK22"/>
      <c r="JRL22"/>
      <c r="JRM22"/>
      <c r="JRN22"/>
      <c r="JRO22"/>
      <c r="JRP22"/>
      <c r="JRQ22"/>
      <c r="JRR22"/>
      <c r="JRS22"/>
      <c r="JRT22"/>
      <c r="JRU22"/>
      <c r="JRV22"/>
      <c r="JRW22"/>
      <c r="JRX22"/>
      <c r="JRY22"/>
      <c r="JRZ22"/>
      <c r="JSA22"/>
      <c r="JSB22"/>
      <c r="JSC22"/>
      <c r="JSD22"/>
      <c r="JSE22"/>
      <c r="JSF22"/>
      <c r="JSG22"/>
      <c r="JSH22"/>
      <c r="JSI22"/>
      <c r="JSJ22"/>
      <c r="JSK22"/>
      <c r="JSL22"/>
      <c r="JSM22"/>
      <c r="JSN22"/>
      <c r="JSO22"/>
      <c r="JSP22"/>
      <c r="JSQ22"/>
      <c r="JSR22"/>
      <c r="JSS22"/>
      <c r="JST22"/>
      <c r="JSU22"/>
      <c r="JSV22"/>
      <c r="JSW22"/>
      <c r="JSX22"/>
      <c r="JSY22"/>
      <c r="JSZ22"/>
      <c r="JTA22"/>
      <c r="JTB22"/>
      <c r="JTC22"/>
      <c r="JTD22"/>
      <c r="JTE22"/>
      <c r="JTF22"/>
      <c r="JTG22"/>
      <c r="JTH22"/>
      <c r="JTI22"/>
      <c r="JTJ22"/>
      <c r="JTK22"/>
      <c r="JTL22"/>
      <c r="JTM22"/>
      <c r="JTN22"/>
      <c r="JTO22"/>
      <c r="JTP22"/>
      <c r="JTQ22"/>
      <c r="JTR22"/>
      <c r="JTS22"/>
      <c r="JTT22"/>
      <c r="JTU22"/>
      <c r="JTV22"/>
      <c r="JTW22"/>
      <c r="JTX22"/>
      <c r="JTY22"/>
      <c r="JTZ22"/>
      <c r="JUA22"/>
      <c r="JUB22"/>
      <c r="JUC22"/>
      <c r="JUD22"/>
      <c r="JUE22"/>
      <c r="JUF22"/>
      <c r="JUG22"/>
      <c r="JUH22"/>
      <c r="JUI22"/>
      <c r="JUJ22"/>
      <c r="JUK22"/>
      <c r="JUL22"/>
      <c r="JUM22"/>
      <c r="JUN22"/>
      <c r="JUO22"/>
      <c r="JUP22"/>
      <c r="JUQ22"/>
      <c r="JUR22"/>
      <c r="JUS22"/>
      <c r="JUT22"/>
      <c r="JUU22"/>
      <c r="JUV22"/>
      <c r="JUW22"/>
      <c r="JUX22"/>
      <c r="JUY22"/>
      <c r="JUZ22"/>
      <c r="JVA22"/>
      <c r="JVB22"/>
      <c r="JVC22"/>
      <c r="JVD22"/>
      <c r="JVE22"/>
      <c r="JVF22"/>
      <c r="JVG22"/>
      <c r="JVH22"/>
      <c r="JVI22"/>
      <c r="JVJ22"/>
      <c r="JVK22"/>
      <c r="JVL22"/>
      <c r="JVM22"/>
      <c r="JVN22"/>
      <c r="JVO22"/>
      <c r="JVP22"/>
      <c r="JVQ22"/>
      <c r="JVR22"/>
      <c r="JVS22"/>
      <c r="JVT22"/>
      <c r="JVU22"/>
      <c r="JVV22"/>
      <c r="JVW22"/>
      <c r="JVX22"/>
      <c r="JVY22"/>
      <c r="JVZ22"/>
      <c r="JWA22"/>
      <c r="JWB22"/>
      <c r="JWC22"/>
      <c r="JWD22"/>
      <c r="JWE22"/>
      <c r="JWF22"/>
      <c r="JWG22"/>
      <c r="JWH22"/>
      <c r="JWI22"/>
      <c r="JWJ22"/>
      <c r="JWK22"/>
      <c r="JWL22"/>
      <c r="JWM22"/>
      <c r="JWN22"/>
      <c r="JWO22"/>
      <c r="JWP22"/>
      <c r="JWQ22"/>
      <c r="JWR22"/>
      <c r="JWS22"/>
      <c r="JWT22"/>
      <c r="JWU22"/>
      <c r="JWV22"/>
      <c r="JWW22"/>
      <c r="JWX22"/>
      <c r="JWY22"/>
      <c r="JWZ22"/>
      <c r="JXA22"/>
      <c r="JXB22"/>
      <c r="JXC22"/>
      <c r="JXD22"/>
      <c r="JXE22"/>
      <c r="JXF22"/>
      <c r="JXG22"/>
      <c r="JXH22"/>
      <c r="JXI22"/>
      <c r="JXJ22"/>
      <c r="JXK22"/>
      <c r="JXL22"/>
      <c r="JXM22"/>
      <c r="JXN22"/>
      <c r="JXO22"/>
      <c r="JXP22"/>
      <c r="JXQ22"/>
      <c r="JXR22"/>
      <c r="JXS22"/>
      <c r="JXT22"/>
      <c r="JXU22"/>
      <c r="JXV22"/>
      <c r="JXW22"/>
      <c r="JXX22"/>
      <c r="JXY22"/>
      <c r="JXZ22"/>
      <c r="JYA22"/>
      <c r="JYB22"/>
      <c r="JYC22"/>
      <c r="JYD22"/>
      <c r="JYE22"/>
      <c r="JYF22"/>
      <c r="JYG22"/>
      <c r="JYH22"/>
      <c r="JYI22"/>
      <c r="JYJ22"/>
      <c r="JYK22"/>
      <c r="JYL22"/>
      <c r="JYM22"/>
      <c r="JYN22"/>
      <c r="JYO22"/>
      <c r="JYP22"/>
      <c r="JYQ22"/>
      <c r="JYR22"/>
      <c r="JYS22"/>
      <c r="JYT22"/>
      <c r="JYU22"/>
      <c r="JYV22"/>
      <c r="JYW22"/>
      <c r="JYX22"/>
      <c r="JYY22"/>
      <c r="JYZ22"/>
      <c r="JZA22"/>
      <c r="JZB22"/>
      <c r="JZC22"/>
      <c r="JZD22"/>
      <c r="JZE22"/>
      <c r="JZF22"/>
      <c r="JZG22"/>
      <c r="JZH22"/>
      <c r="JZI22"/>
      <c r="JZJ22"/>
      <c r="JZK22"/>
      <c r="JZL22"/>
      <c r="JZM22"/>
      <c r="JZN22"/>
      <c r="JZO22"/>
      <c r="JZP22"/>
      <c r="JZQ22"/>
      <c r="JZR22"/>
      <c r="JZS22"/>
      <c r="JZT22"/>
      <c r="JZU22"/>
      <c r="JZV22"/>
      <c r="JZW22"/>
      <c r="JZX22"/>
      <c r="JZY22"/>
      <c r="JZZ22"/>
      <c r="KAA22"/>
      <c r="KAB22"/>
      <c r="KAC22"/>
      <c r="KAD22"/>
      <c r="KAE22"/>
      <c r="KAF22"/>
      <c r="KAG22"/>
      <c r="KAH22"/>
      <c r="KAI22"/>
      <c r="KAJ22"/>
      <c r="KAK22"/>
      <c r="KAL22"/>
      <c r="KAM22"/>
      <c r="KAN22"/>
      <c r="KAO22"/>
      <c r="KAP22"/>
      <c r="KAQ22"/>
      <c r="KAR22"/>
      <c r="KAS22"/>
      <c r="KAT22"/>
      <c r="KAU22"/>
      <c r="KAV22"/>
      <c r="KAW22"/>
      <c r="KAX22"/>
      <c r="KAY22"/>
      <c r="KAZ22"/>
      <c r="KBA22"/>
      <c r="KBB22"/>
      <c r="KBC22"/>
      <c r="KBD22"/>
      <c r="KBE22"/>
      <c r="KBF22"/>
      <c r="KBG22"/>
      <c r="KBH22"/>
      <c r="KBI22"/>
      <c r="KBJ22"/>
      <c r="KBK22"/>
      <c r="KBL22"/>
      <c r="KBM22"/>
      <c r="KBN22"/>
      <c r="KBO22"/>
      <c r="KBP22"/>
      <c r="KBQ22"/>
      <c r="KBR22"/>
      <c r="KBS22"/>
      <c r="KBT22"/>
      <c r="KBU22"/>
      <c r="KBV22"/>
      <c r="KBW22"/>
      <c r="KBX22"/>
      <c r="KBY22"/>
      <c r="KBZ22"/>
      <c r="KCA22"/>
      <c r="KCB22"/>
      <c r="KCC22"/>
      <c r="KCD22"/>
      <c r="KCE22"/>
      <c r="KCF22"/>
      <c r="KCG22"/>
      <c r="KCH22"/>
      <c r="KCI22"/>
      <c r="KCJ22"/>
      <c r="KCK22"/>
      <c r="KCL22"/>
      <c r="KCM22"/>
      <c r="KCN22"/>
      <c r="KCO22"/>
      <c r="KCP22"/>
      <c r="KCQ22"/>
      <c r="KCR22"/>
      <c r="KCS22"/>
      <c r="KCT22"/>
      <c r="KCU22"/>
      <c r="KCV22"/>
      <c r="KCW22"/>
      <c r="KCX22"/>
      <c r="KCY22"/>
      <c r="KCZ22"/>
      <c r="KDA22"/>
      <c r="KDB22"/>
      <c r="KDC22"/>
      <c r="KDD22"/>
      <c r="KDE22"/>
      <c r="KDF22"/>
      <c r="KDG22"/>
      <c r="KDH22"/>
      <c r="KDI22"/>
      <c r="KDJ22"/>
      <c r="KDK22"/>
      <c r="KDL22"/>
      <c r="KDM22"/>
      <c r="KDN22"/>
      <c r="KDO22"/>
      <c r="KDP22"/>
      <c r="KDQ22"/>
      <c r="KDR22"/>
      <c r="KDS22"/>
      <c r="KDT22"/>
      <c r="KDU22"/>
      <c r="KDV22"/>
      <c r="KDW22"/>
      <c r="KDX22"/>
      <c r="KDY22"/>
      <c r="KDZ22"/>
      <c r="KEA22"/>
      <c r="KEB22"/>
      <c r="KEC22"/>
      <c r="KED22"/>
      <c r="KEE22"/>
      <c r="KEF22"/>
      <c r="KEG22"/>
      <c r="KEH22"/>
      <c r="KEI22"/>
      <c r="KEJ22"/>
      <c r="KEK22"/>
      <c r="KEL22"/>
      <c r="KEM22"/>
      <c r="KEN22"/>
      <c r="KEO22"/>
      <c r="KEP22"/>
      <c r="KEQ22"/>
      <c r="KER22"/>
      <c r="KES22"/>
      <c r="KET22"/>
      <c r="KEU22"/>
      <c r="KEV22"/>
      <c r="KEW22"/>
      <c r="KEX22"/>
      <c r="KEY22"/>
      <c r="KEZ22"/>
      <c r="KFA22"/>
      <c r="KFB22"/>
      <c r="KFC22"/>
      <c r="KFD22"/>
      <c r="KFE22"/>
      <c r="KFF22"/>
      <c r="KFG22"/>
      <c r="KFH22"/>
      <c r="KFI22"/>
      <c r="KFJ22"/>
      <c r="KFK22"/>
      <c r="KFL22"/>
      <c r="KFM22"/>
      <c r="KFN22"/>
      <c r="KFO22"/>
      <c r="KFP22"/>
      <c r="KFQ22"/>
      <c r="KFR22"/>
      <c r="KFS22"/>
      <c r="KFT22"/>
      <c r="KFU22"/>
      <c r="KFV22"/>
      <c r="KFW22"/>
      <c r="KFX22"/>
      <c r="KFY22"/>
      <c r="KFZ22"/>
      <c r="KGA22"/>
      <c r="KGB22"/>
      <c r="KGC22"/>
      <c r="KGD22"/>
      <c r="KGE22"/>
      <c r="KGF22"/>
      <c r="KGG22"/>
      <c r="KGH22"/>
      <c r="KGI22"/>
      <c r="KGJ22"/>
      <c r="KGK22"/>
      <c r="KGL22"/>
      <c r="KGM22"/>
      <c r="KGN22"/>
      <c r="KGO22"/>
      <c r="KGP22"/>
      <c r="KGQ22"/>
      <c r="KGR22"/>
      <c r="KGS22"/>
      <c r="KGT22"/>
      <c r="KGU22"/>
      <c r="KGV22"/>
      <c r="KGW22"/>
      <c r="KGX22"/>
      <c r="KGY22"/>
      <c r="KGZ22"/>
      <c r="KHA22"/>
      <c r="KHB22"/>
      <c r="KHC22"/>
      <c r="KHD22"/>
      <c r="KHE22"/>
      <c r="KHF22"/>
      <c r="KHG22"/>
      <c r="KHH22"/>
      <c r="KHI22"/>
      <c r="KHJ22"/>
      <c r="KHK22"/>
      <c r="KHL22"/>
      <c r="KHM22"/>
      <c r="KHN22"/>
      <c r="KHO22"/>
      <c r="KHP22"/>
      <c r="KHQ22"/>
      <c r="KHR22"/>
      <c r="KHS22"/>
      <c r="KHT22"/>
      <c r="KHU22"/>
      <c r="KHV22"/>
      <c r="KHW22"/>
      <c r="KHX22"/>
      <c r="KHY22"/>
      <c r="KHZ22"/>
      <c r="KIA22"/>
      <c r="KIB22"/>
      <c r="KIC22"/>
      <c r="KID22"/>
      <c r="KIE22"/>
      <c r="KIF22"/>
      <c r="KIG22"/>
      <c r="KIH22"/>
      <c r="KII22"/>
      <c r="KIJ22"/>
      <c r="KIK22"/>
      <c r="KIL22"/>
      <c r="KIM22"/>
      <c r="KIN22"/>
      <c r="KIO22"/>
      <c r="KIP22"/>
      <c r="KIQ22"/>
      <c r="KIR22"/>
      <c r="KIS22"/>
      <c r="KIT22"/>
      <c r="KIU22"/>
      <c r="KIV22"/>
      <c r="KIW22"/>
      <c r="KIX22"/>
      <c r="KIY22"/>
      <c r="KIZ22"/>
      <c r="KJA22"/>
      <c r="KJB22"/>
      <c r="KJC22"/>
      <c r="KJD22"/>
      <c r="KJE22"/>
      <c r="KJF22"/>
      <c r="KJG22"/>
      <c r="KJH22"/>
      <c r="KJI22"/>
      <c r="KJJ22"/>
      <c r="KJK22"/>
      <c r="KJL22"/>
      <c r="KJM22"/>
      <c r="KJN22"/>
      <c r="KJO22"/>
      <c r="KJP22"/>
      <c r="KJQ22"/>
      <c r="KJR22"/>
      <c r="KJS22"/>
      <c r="KJT22"/>
      <c r="KJU22"/>
      <c r="KJV22"/>
      <c r="KJW22"/>
      <c r="KJX22"/>
      <c r="KJY22"/>
      <c r="KJZ22"/>
      <c r="KKA22"/>
      <c r="KKB22"/>
      <c r="KKC22"/>
      <c r="KKD22"/>
      <c r="KKE22"/>
      <c r="KKF22"/>
      <c r="KKG22"/>
      <c r="KKH22"/>
      <c r="KKI22"/>
      <c r="KKJ22"/>
      <c r="KKK22"/>
      <c r="KKL22"/>
      <c r="KKM22"/>
      <c r="KKN22"/>
      <c r="KKO22"/>
      <c r="KKP22"/>
      <c r="KKQ22"/>
      <c r="KKR22"/>
      <c r="KKS22"/>
      <c r="KKT22"/>
      <c r="KKU22"/>
      <c r="KKV22"/>
      <c r="KKW22"/>
      <c r="KKX22"/>
      <c r="KKY22"/>
      <c r="KKZ22"/>
      <c r="KLA22"/>
      <c r="KLB22"/>
      <c r="KLC22"/>
      <c r="KLD22"/>
      <c r="KLE22"/>
      <c r="KLF22"/>
      <c r="KLG22"/>
      <c r="KLH22"/>
      <c r="KLI22"/>
      <c r="KLJ22"/>
      <c r="KLK22"/>
      <c r="KLL22"/>
      <c r="KLM22"/>
      <c r="KLN22"/>
      <c r="KLO22"/>
      <c r="KLP22"/>
      <c r="KLQ22"/>
      <c r="KLR22"/>
      <c r="KLS22"/>
      <c r="KLT22"/>
      <c r="KLU22"/>
      <c r="KLV22"/>
      <c r="KLW22"/>
      <c r="KLX22"/>
      <c r="KLY22"/>
      <c r="KLZ22"/>
      <c r="KMA22"/>
      <c r="KMB22"/>
      <c r="KMC22"/>
      <c r="KMD22"/>
      <c r="KME22"/>
      <c r="KMF22"/>
      <c r="KMG22"/>
      <c r="KMH22"/>
      <c r="KMI22"/>
      <c r="KMJ22"/>
      <c r="KMK22"/>
      <c r="KML22"/>
      <c r="KMM22"/>
      <c r="KMN22"/>
      <c r="KMO22"/>
      <c r="KMP22"/>
      <c r="KMQ22"/>
      <c r="KMR22"/>
      <c r="KMS22"/>
      <c r="KMT22"/>
      <c r="KMU22"/>
      <c r="KMV22"/>
      <c r="KMW22"/>
      <c r="KMX22"/>
      <c r="KMY22"/>
      <c r="KMZ22"/>
      <c r="KNA22"/>
      <c r="KNB22"/>
      <c r="KNC22"/>
      <c r="KND22"/>
      <c r="KNE22"/>
      <c r="KNF22"/>
      <c r="KNG22"/>
      <c r="KNH22"/>
      <c r="KNI22"/>
      <c r="KNJ22"/>
      <c r="KNK22"/>
      <c r="KNL22"/>
      <c r="KNM22"/>
      <c r="KNN22"/>
      <c r="KNO22"/>
      <c r="KNP22"/>
      <c r="KNQ22"/>
      <c r="KNR22"/>
      <c r="KNS22"/>
      <c r="KNT22"/>
      <c r="KNU22"/>
      <c r="KNV22"/>
      <c r="KNW22"/>
      <c r="KNX22"/>
      <c r="KNY22"/>
      <c r="KNZ22"/>
      <c r="KOA22"/>
      <c r="KOB22"/>
      <c r="KOC22"/>
      <c r="KOD22"/>
      <c r="KOE22"/>
      <c r="KOF22"/>
      <c r="KOG22"/>
      <c r="KOH22"/>
      <c r="KOI22"/>
      <c r="KOJ22"/>
      <c r="KOK22"/>
      <c r="KOL22"/>
      <c r="KOM22"/>
      <c r="KON22"/>
      <c r="KOO22"/>
      <c r="KOP22"/>
      <c r="KOQ22"/>
      <c r="KOR22"/>
      <c r="KOS22"/>
      <c r="KOT22"/>
      <c r="KOU22"/>
      <c r="KOV22"/>
      <c r="KOW22"/>
      <c r="KOX22"/>
      <c r="KOY22"/>
      <c r="KOZ22"/>
      <c r="KPA22"/>
      <c r="KPB22"/>
      <c r="KPC22"/>
      <c r="KPD22"/>
      <c r="KPE22"/>
      <c r="KPF22"/>
      <c r="KPG22"/>
      <c r="KPH22"/>
      <c r="KPI22"/>
      <c r="KPJ22"/>
      <c r="KPK22"/>
      <c r="KPL22"/>
      <c r="KPM22"/>
      <c r="KPN22"/>
      <c r="KPO22"/>
      <c r="KPP22"/>
      <c r="KPQ22"/>
      <c r="KPR22"/>
      <c r="KPS22"/>
      <c r="KPT22"/>
      <c r="KPU22"/>
      <c r="KPV22"/>
      <c r="KPW22"/>
      <c r="KPX22"/>
      <c r="KPY22"/>
      <c r="KPZ22"/>
      <c r="KQA22"/>
      <c r="KQB22"/>
      <c r="KQC22"/>
      <c r="KQD22"/>
      <c r="KQE22"/>
      <c r="KQF22"/>
      <c r="KQG22"/>
      <c r="KQH22"/>
      <c r="KQI22"/>
      <c r="KQJ22"/>
      <c r="KQK22"/>
      <c r="KQL22"/>
      <c r="KQM22"/>
      <c r="KQN22"/>
      <c r="KQO22"/>
      <c r="KQP22"/>
      <c r="KQQ22"/>
      <c r="KQR22"/>
      <c r="KQS22"/>
      <c r="KQT22"/>
      <c r="KQU22"/>
      <c r="KQV22"/>
      <c r="KQW22"/>
      <c r="KQX22"/>
      <c r="KQY22"/>
      <c r="KQZ22"/>
      <c r="KRA22"/>
      <c r="KRB22"/>
      <c r="KRC22"/>
      <c r="KRD22"/>
      <c r="KRE22"/>
      <c r="KRF22"/>
      <c r="KRG22"/>
      <c r="KRH22"/>
      <c r="KRI22"/>
      <c r="KRJ22"/>
      <c r="KRK22"/>
      <c r="KRL22"/>
      <c r="KRM22"/>
      <c r="KRN22"/>
      <c r="KRO22"/>
      <c r="KRP22"/>
      <c r="KRQ22"/>
      <c r="KRR22"/>
      <c r="KRS22"/>
      <c r="KRT22"/>
      <c r="KRU22"/>
      <c r="KRV22"/>
      <c r="KRW22"/>
      <c r="KRX22"/>
      <c r="KRY22"/>
      <c r="KRZ22"/>
      <c r="KSA22"/>
      <c r="KSB22"/>
      <c r="KSC22"/>
      <c r="KSD22"/>
      <c r="KSE22"/>
      <c r="KSF22"/>
      <c r="KSG22"/>
      <c r="KSH22"/>
      <c r="KSI22"/>
      <c r="KSJ22"/>
      <c r="KSK22"/>
      <c r="KSL22"/>
      <c r="KSM22"/>
      <c r="KSN22"/>
      <c r="KSO22"/>
      <c r="KSP22"/>
      <c r="KSQ22"/>
      <c r="KSR22"/>
      <c r="KSS22"/>
      <c r="KST22"/>
      <c r="KSU22"/>
      <c r="KSV22"/>
      <c r="KSW22"/>
      <c r="KSX22"/>
      <c r="KSY22"/>
      <c r="KSZ22"/>
      <c r="KTA22"/>
      <c r="KTB22"/>
      <c r="KTC22"/>
      <c r="KTD22"/>
      <c r="KTE22"/>
      <c r="KTF22"/>
      <c r="KTG22"/>
      <c r="KTH22"/>
      <c r="KTI22"/>
      <c r="KTJ22"/>
      <c r="KTK22"/>
      <c r="KTL22"/>
      <c r="KTM22"/>
      <c r="KTN22"/>
      <c r="KTO22"/>
      <c r="KTP22"/>
      <c r="KTQ22"/>
      <c r="KTR22"/>
      <c r="KTS22"/>
      <c r="KTT22"/>
      <c r="KTU22"/>
      <c r="KTV22"/>
      <c r="KTW22"/>
      <c r="KTX22"/>
      <c r="KTY22"/>
      <c r="KTZ22"/>
      <c r="KUA22"/>
      <c r="KUB22"/>
      <c r="KUC22"/>
      <c r="KUD22"/>
      <c r="KUE22"/>
      <c r="KUF22"/>
      <c r="KUG22"/>
      <c r="KUH22"/>
      <c r="KUI22"/>
      <c r="KUJ22"/>
      <c r="KUK22"/>
      <c r="KUL22"/>
      <c r="KUM22"/>
      <c r="KUN22"/>
      <c r="KUO22"/>
      <c r="KUP22"/>
      <c r="KUQ22"/>
      <c r="KUR22"/>
      <c r="KUS22"/>
      <c r="KUT22"/>
      <c r="KUU22"/>
      <c r="KUV22"/>
      <c r="KUW22"/>
      <c r="KUX22"/>
      <c r="KUY22"/>
      <c r="KUZ22"/>
      <c r="KVA22"/>
      <c r="KVB22"/>
      <c r="KVC22"/>
      <c r="KVD22"/>
      <c r="KVE22"/>
      <c r="KVF22"/>
      <c r="KVG22"/>
      <c r="KVH22"/>
      <c r="KVI22"/>
      <c r="KVJ22"/>
      <c r="KVK22"/>
      <c r="KVL22"/>
      <c r="KVM22"/>
      <c r="KVN22"/>
      <c r="KVO22"/>
      <c r="KVP22"/>
      <c r="KVQ22"/>
      <c r="KVR22"/>
      <c r="KVS22"/>
      <c r="KVT22"/>
      <c r="KVU22"/>
      <c r="KVV22"/>
      <c r="KVW22"/>
      <c r="KVX22"/>
      <c r="KVY22"/>
      <c r="KVZ22"/>
      <c r="KWA22"/>
      <c r="KWB22"/>
      <c r="KWC22"/>
      <c r="KWD22"/>
      <c r="KWE22"/>
      <c r="KWF22"/>
      <c r="KWG22"/>
      <c r="KWH22"/>
      <c r="KWI22"/>
      <c r="KWJ22"/>
      <c r="KWK22"/>
      <c r="KWL22"/>
      <c r="KWM22"/>
      <c r="KWN22"/>
      <c r="KWO22"/>
      <c r="KWP22"/>
      <c r="KWQ22"/>
      <c r="KWR22"/>
      <c r="KWS22"/>
      <c r="KWT22"/>
      <c r="KWU22"/>
      <c r="KWV22"/>
      <c r="KWW22"/>
      <c r="KWX22"/>
      <c r="KWY22"/>
      <c r="KWZ22"/>
      <c r="KXA22"/>
      <c r="KXB22"/>
      <c r="KXC22"/>
      <c r="KXD22"/>
      <c r="KXE22"/>
      <c r="KXF22"/>
      <c r="KXG22"/>
      <c r="KXH22"/>
      <c r="KXI22"/>
      <c r="KXJ22"/>
      <c r="KXK22"/>
      <c r="KXL22"/>
      <c r="KXM22"/>
      <c r="KXN22"/>
      <c r="KXO22"/>
      <c r="KXP22"/>
      <c r="KXQ22"/>
      <c r="KXR22"/>
      <c r="KXS22"/>
      <c r="KXT22"/>
      <c r="KXU22"/>
      <c r="KXV22"/>
      <c r="KXW22"/>
      <c r="KXX22"/>
      <c r="KXY22"/>
      <c r="KXZ22"/>
      <c r="KYA22"/>
      <c r="KYB22"/>
      <c r="KYC22"/>
      <c r="KYD22"/>
      <c r="KYE22"/>
      <c r="KYF22"/>
      <c r="KYG22"/>
      <c r="KYH22"/>
      <c r="KYI22"/>
      <c r="KYJ22"/>
      <c r="KYK22"/>
      <c r="KYL22"/>
      <c r="KYM22"/>
      <c r="KYN22"/>
      <c r="KYO22"/>
      <c r="KYP22"/>
      <c r="KYQ22"/>
      <c r="KYR22"/>
      <c r="KYS22"/>
      <c r="KYT22"/>
      <c r="KYU22"/>
      <c r="KYV22"/>
      <c r="KYW22"/>
      <c r="KYX22"/>
      <c r="KYY22"/>
      <c r="KYZ22"/>
      <c r="KZA22"/>
      <c r="KZB22"/>
      <c r="KZC22"/>
      <c r="KZD22"/>
      <c r="KZE22"/>
      <c r="KZF22"/>
      <c r="KZG22"/>
      <c r="KZH22"/>
      <c r="KZI22"/>
      <c r="KZJ22"/>
      <c r="KZK22"/>
      <c r="KZL22"/>
      <c r="KZM22"/>
      <c r="KZN22"/>
      <c r="KZO22"/>
      <c r="KZP22"/>
      <c r="KZQ22"/>
      <c r="KZR22"/>
      <c r="KZS22"/>
      <c r="KZT22"/>
      <c r="KZU22"/>
      <c r="KZV22"/>
      <c r="KZW22"/>
      <c r="KZX22"/>
      <c r="KZY22"/>
      <c r="KZZ22"/>
      <c r="LAA22"/>
      <c r="LAB22"/>
      <c r="LAC22"/>
      <c r="LAD22"/>
      <c r="LAE22"/>
      <c r="LAF22"/>
      <c r="LAG22"/>
      <c r="LAH22"/>
      <c r="LAI22"/>
      <c r="LAJ22"/>
      <c r="LAK22"/>
      <c r="LAL22"/>
      <c r="LAM22"/>
      <c r="LAN22"/>
      <c r="LAO22"/>
      <c r="LAP22"/>
      <c r="LAQ22"/>
      <c r="LAR22"/>
      <c r="LAS22"/>
      <c r="LAT22"/>
      <c r="LAU22"/>
      <c r="LAV22"/>
      <c r="LAW22"/>
      <c r="LAX22"/>
      <c r="LAY22"/>
      <c r="LAZ22"/>
      <c r="LBA22"/>
      <c r="LBB22"/>
      <c r="LBC22"/>
      <c r="LBD22"/>
      <c r="LBE22"/>
      <c r="LBF22"/>
      <c r="LBG22"/>
      <c r="LBH22"/>
      <c r="LBI22"/>
      <c r="LBJ22"/>
      <c r="LBK22"/>
      <c r="LBL22"/>
      <c r="LBM22"/>
      <c r="LBN22"/>
      <c r="LBO22"/>
      <c r="LBP22"/>
      <c r="LBQ22"/>
      <c r="LBR22"/>
      <c r="LBS22"/>
      <c r="LBT22"/>
      <c r="LBU22"/>
      <c r="LBV22"/>
      <c r="LBW22"/>
      <c r="LBX22"/>
      <c r="LBY22"/>
      <c r="LBZ22"/>
      <c r="LCA22"/>
      <c r="LCB22"/>
      <c r="LCC22"/>
      <c r="LCD22"/>
      <c r="LCE22"/>
      <c r="LCF22"/>
      <c r="LCG22"/>
      <c r="LCH22"/>
      <c r="LCI22"/>
      <c r="LCJ22"/>
      <c r="LCK22"/>
      <c r="LCL22"/>
      <c r="LCM22"/>
      <c r="LCN22"/>
      <c r="LCO22"/>
      <c r="LCP22"/>
      <c r="LCQ22"/>
      <c r="LCR22"/>
      <c r="LCS22"/>
      <c r="LCT22"/>
      <c r="LCU22"/>
      <c r="LCV22"/>
      <c r="LCW22"/>
      <c r="LCX22"/>
      <c r="LCY22"/>
      <c r="LCZ22"/>
      <c r="LDA22"/>
      <c r="LDB22"/>
      <c r="LDC22"/>
      <c r="LDD22"/>
      <c r="LDE22"/>
      <c r="LDF22"/>
      <c r="LDG22"/>
      <c r="LDH22"/>
      <c r="LDI22"/>
      <c r="LDJ22"/>
      <c r="LDK22"/>
      <c r="LDL22"/>
      <c r="LDM22"/>
      <c r="LDN22"/>
      <c r="LDO22"/>
      <c r="LDP22"/>
      <c r="LDQ22"/>
      <c r="LDR22"/>
      <c r="LDS22"/>
      <c r="LDT22"/>
      <c r="LDU22"/>
      <c r="LDV22"/>
      <c r="LDW22"/>
      <c r="LDX22"/>
      <c r="LDY22"/>
      <c r="LDZ22"/>
      <c r="LEA22"/>
      <c r="LEB22"/>
      <c r="LEC22"/>
      <c r="LED22"/>
      <c r="LEE22"/>
      <c r="LEF22"/>
      <c r="LEG22"/>
      <c r="LEH22"/>
      <c r="LEI22"/>
      <c r="LEJ22"/>
      <c r="LEK22"/>
      <c r="LEL22"/>
      <c r="LEM22"/>
      <c r="LEN22"/>
      <c r="LEO22"/>
      <c r="LEP22"/>
      <c r="LEQ22"/>
      <c r="LER22"/>
      <c r="LES22"/>
      <c r="LET22"/>
      <c r="LEU22"/>
      <c r="LEV22"/>
      <c r="LEW22"/>
      <c r="LEX22"/>
      <c r="LEY22"/>
      <c r="LEZ22"/>
      <c r="LFA22"/>
      <c r="LFB22"/>
      <c r="LFC22"/>
      <c r="LFD22"/>
      <c r="LFE22"/>
      <c r="LFF22"/>
      <c r="LFG22"/>
      <c r="LFH22"/>
      <c r="LFI22"/>
      <c r="LFJ22"/>
      <c r="LFK22"/>
      <c r="LFL22"/>
      <c r="LFM22"/>
      <c r="LFN22"/>
      <c r="LFO22"/>
      <c r="LFP22"/>
      <c r="LFQ22"/>
      <c r="LFR22"/>
      <c r="LFS22"/>
      <c r="LFT22"/>
      <c r="LFU22"/>
      <c r="LFV22"/>
      <c r="LFW22"/>
      <c r="LFX22"/>
      <c r="LFY22"/>
      <c r="LFZ22"/>
      <c r="LGA22"/>
      <c r="LGB22"/>
      <c r="LGC22"/>
      <c r="LGD22"/>
      <c r="LGE22"/>
      <c r="LGF22"/>
      <c r="LGG22"/>
      <c r="LGH22"/>
      <c r="LGI22"/>
      <c r="LGJ22"/>
      <c r="LGK22"/>
      <c r="LGL22"/>
      <c r="LGM22"/>
      <c r="LGN22"/>
      <c r="LGO22"/>
      <c r="LGP22"/>
      <c r="LGQ22"/>
      <c r="LGR22"/>
      <c r="LGS22"/>
      <c r="LGT22"/>
      <c r="LGU22"/>
      <c r="LGV22"/>
      <c r="LGW22"/>
      <c r="LGX22"/>
      <c r="LGY22"/>
      <c r="LGZ22"/>
      <c r="LHA22"/>
      <c r="LHB22"/>
      <c r="LHC22"/>
      <c r="LHD22"/>
      <c r="LHE22"/>
      <c r="LHF22"/>
      <c r="LHG22"/>
      <c r="LHH22"/>
      <c r="LHI22"/>
      <c r="LHJ22"/>
      <c r="LHK22"/>
      <c r="LHL22"/>
      <c r="LHM22"/>
      <c r="LHN22"/>
      <c r="LHO22"/>
      <c r="LHP22"/>
      <c r="LHQ22"/>
      <c r="LHR22"/>
      <c r="LHS22"/>
      <c r="LHT22"/>
      <c r="LHU22"/>
      <c r="LHV22"/>
      <c r="LHW22"/>
      <c r="LHX22"/>
      <c r="LHY22"/>
      <c r="LHZ22"/>
      <c r="LIA22"/>
      <c r="LIB22"/>
      <c r="LIC22"/>
      <c r="LID22"/>
      <c r="LIE22"/>
      <c r="LIF22"/>
      <c r="LIG22"/>
      <c r="LIH22"/>
      <c r="LII22"/>
      <c r="LIJ22"/>
      <c r="LIK22"/>
      <c r="LIL22"/>
      <c r="LIM22"/>
      <c r="LIN22"/>
      <c r="LIO22"/>
      <c r="LIP22"/>
      <c r="LIQ22"/>
      <c r="LIR22"/>
      <c r="LIS22"/>
      <c r="LIT22"/>
      <c r="LIU22"/>
      <c r="LIV22"/>
      <c r="LIW22"/>
      <c r="LIX22"/>
      <c r="LIY22"/>
      <c r="LIZ22"/>
      <c r="LJA22"/>
      <c r="LJB22"/>
      <c r="LJC22"/>
      <c r="LJD22"/>
      <c r="LJE22"/>
      <c r="LJF22"/>
      <c r="LJG22"/>
      <c r="LJH22"/>
      <c r="LJI22"/>
      <c r="LJJ22"/>
      <c r="LJK22"/>
      <c r="LJL22"/>
      <c r="LJM22"/>
      <c r="LJN22"/>
      <c r="LJO22"/>
      <c r="LJP22"/>
      <c r="LJQ22"/>
      <c r="LJR22"/>
      <c r="LJS22"/>
      <c r="LJT22"/>
      <c r="LJU22"/>
      <c r="LJV22"/>
      <c r="LJW22"/>
      <c r="LJX22"/>
      <c r="LJY22"/>
      <c r="LJZ22"/>
      <c r="LKA22"/>
      <c r="LKB22"/>
      <c r="LKC22"/>
      <c r="LKD22"/>
      <c r="LKE22"/>
      <c r="LKF22"/>
      <c r="LKG22"/>
      <c r="LKH22"/>
      <c r="LKI22"/>
      <c r="LKJ22"/>
      <c r="LKK22"/>
      <c r="LKL22"/>
      <c r="LKM22"/>
      <c r="LKN22"/>
      <c r="LKO22"/>
      <c r="LKP22"/>
      <c r="LKQ22"/>
      <c r="LKR22"/>
      <c r="LKS22"/>
      <c r="LKT22"/>
      <c r="LKU22"/>
      <c r="LKV22"/>
      <c r="LKW22"/>
      <c r="LKX22"/>
      <c r="LKY22"/>
      <c r="LKZ22"/>
      <c r="LLA22"/>
      <c r="LLB22"/>
      <c r="LLC22"/>
      <c r="LLD22"/>
      <c r="LLE22"/>
      <c r="LLF22"/>
      <c r="LLG22"/>
      <c r="LLH22"/>
      <c r="LLI22"/>
      <c r="LLJ22"/>
      <c r="LLK22"/>
      <c r="LLL22"/>
      <c r="LLM22"/>
      <c r="LLN22"/>
      <c r="LLO22"/>
      <c r="LLP22"/>
      <c r="LLQ22"/>
      <c r="LLR22"/>
      <c r="LLS22"/>
      <c r="LLT22"/>
      <c r="LLU22"/>
      <c r="LLV22"/>
      <c r="LLW22"/>
      <c r="LLX22"/>
      <c r="LLY22"/>
      <c r="LLZ22"/>
      <c r="LMA22"/>
      <c r="LMB22"/>
      <c r="LMC22"/>
      <c r="LMD22"/>
      <c r="LME22"/>
      <c r="LMF22"/>
      <c r="LMG22"/>
      <c r="LMH22"/>
      <c r="LMI22"/>
      <c r="LMJ22"/>
      <c r="LMK22"/>
      <c r="LML22"/>
      <c r="LMM22"/>
      <c r="LMN22"/>
      <c r="LMO22"/>
      <c r="LMP22"/>
      <c r="LMQ22"/>
      <c r="LMR22"/>
      <c r="LMS22"/>
      <c r="LMT22"/>
      <c r="LMU22"/>
      <c r="LMV22"/>
      <c r="LMW22"/>
      <c r="LMX22"/>
      <c r="LMY22"/>
      <c r="LMZ22"/>
      <c r="LNA22"/>
      <c r="LNB22"/>
      <c r="LNC22"/>
      <c r="LND22"/>
      <c r="LNE22"/>
      <c r="LNF22"/>
      <c r="LNG22"/>
      <c r="LNH22"/>
      <c r="LNI22"/>
      <c r="LNJ22"/>
      <c r="LNK22"/>
      <c r="LNL22"/>
      <c r="LNM22"/>
      <c r="LNN22"/>
      <c r="LNO22"/>
      <c r="LNP22"/>
      <c r="LNQ22"/>
      <c r="LNR22"/>
      <c r="LNS22"/>
      <c r="LNT22"/>
      <c r="LNU22"/>
      <c r="LNV22"/>
      <c r="LNW22"/>
      <c r="LNX22"/>
      <c r="LNY22"/>
      <c r="LNZ22"/>
      <c r="LOA22"/>
      <c r="LOB22"/>
      <c r="LOC22"/>
      <c r="LOD22"/>
      <c r="LOE22"/>
      <c r="LOF22"/>
      <c r="LOG22"/>
      <c r="LOH22"/>
      <c r="LOI22"/>
      <c r="LOJ22"/>
      <c r="LOK22"/>
      <c r="LOL22"/>
      <c r="LOM22"/>
      <c r="LON22"/>
      <c r="LOO22"/>
      <c r="LOP22"/>
      <c r="LOQ22"/>
      <c r="LOR22"/>
      <c r="LOS22"/>
      <c r="LOT22"/>
      <c r="LOU22"/>
      <c r="LOV22"/>
      <c r="LOW22"/>
      <c r="LOX22"/>
      <c r="LOY22"/>
      <c r="LOZ22"/>
      <c r="LPA22"/>
      <c r="LPB22"/>
      <c r="LPC22"/>
      <c r="LPD22"/>
      <c r="LPE22"/>
      <c r="LPF22"/>
      <c r="LPG22"/>
      <c r="LPH22"/>
      <c r="LPI22"/>
      <c r="LPJ22"/>
      <c r="LPK22"/>
      <c r="LPL22"/>
      <c r="LPM22"/>
      <c r="LPN22"/>
      <c r="LPO22"/>
      <c r="LPP22"/>
      <c r="LPQ22"/>
      <c r="LPR22"/>
      <c r="LPS22"/>
      <c r="LPT22"/>
      <c r="LPU22"/>
      <c r="LPV22"/>
      <c r="LPW22"/>
      <c r="LPX22"/>
      <c r="LPY22"/>
      <c r="LPZ22"/>
      <c r="LQA22"/>
      <c r="LQB22"/>
      <c r="LQC22"/>
      <c r="LQD22"/>
      <c r="LQE22"/>
      <c r="LQF22"/>
      <c r="LQG22"/>
      <c r="LQH22"/>
      <c r="LQI22"/>
      <c r="LQJ22"/>
      <c r="LQK22"/>
      <c r="LQL22"/>
      <c r="LQM22"/>
      <c r="LQN22"/>
      <c r="LQO22"/>
      <c r="LQP22"/>
      <c r="LQQ22"/>
      <c r="LQR22"/>
      <c r="LQS22"/>
      <c r="LQT22"/>
      <c r="LQU22"/>
      <c r="LQV22"/>
      <c r="LQW22"/>
      <c r="LQX22"/>
      <c r="LQY22"/>
      <c r="LQZ22"/>
      <c r="LRA22"/>
      <c r="LRB22"/>
      <c r="LRC22"/>
      <c r="LRD22"/>
      <c r="LRE22"/>
      <c r="LRF22"/>
      <c r="LRG22"/>
      <c r="LRH22"/>
      <c r="LRI22"/>
      <c r="LRJ22"/>
      <c r="LRK22"/>
      <c r="LRL22"/>
      <c r="LRM22"/>
      <c r="LRN22"/>
      <c r="LRO22"/>
      <c r="LRP22"/>
      <c r="LRQ22"/>
      <c r="LRR22"/>
      <c r="LRS22"/>
      <c r="LRT22"/>
      <c r="LRU22"/>
      <c r="LRV22"/>
      <c r="LRW22"/>
      <c r="LRX22"/>
      <c r="LRY22"/>
      <c r="LRZ22"/>
      <c r="LSA22"/>
      <c r="LSB22"/>
      <c r="LSC22"/>
      <c r="LSD22"/>
      <c r="LSE22"/>
      <c r="LSF22"/>
      <c r="LSG22"/>
      <c r="LSH22"/>
      <c r="LSI22"/>
      <c r="LSJ22"/>
      <c r="LSK22"/>
      <c r="LSL22"/>
      <c r="LSM22"/>
      <c r="LSN22"/>
      <c r="LSO22"/>
      <c r="LSP22"/>
      <c r="LSQ22"/>
      <c r="LSR22"/>
      <c r="LSS22"/>
      <c r="LST22"/>
      <c r="LSU22"/>
      <c r="LSV22"/>
      <c r="LSW22"/>
      <c r="LSX22"/>
      <c r="LSY22"/>
      <c r="LSZ22"/>
      <c r="LTA22"/>
      <c r="LTB22"/>
      <c r="LTC22"/>
      <c r="LTD22"/>
      <c r="LTE22"/>
      <c r="LTF22"/>
      <c r="LTG22"/>
      <c r="LTH22"/>
      <c r="LTI22"/>
      <c r="LTJ22"/>
      <c r="LTK22"/>
      <c r="LTL22"/>
      <c r="LTM22"/>
      <c r="LTN22"/>
      <c r="LTO22"/>
      <c r="LTP22"/>
      <c r="LTQ22"/>
      <c r="LTR22"/>
      <c r="LTS22"/>
      <c r="LTT22"/>
      <c r="LTU22"/>
      <c r="LTV22"/>
      <c r="LTW22"/>
      <c r="LTX22"/>
      <c r="LTY22"/>
      <c r="LTZ22"/>
      <c r="LUA22"/>
      <c r="LUB22"/>
      <c r="LUC22"/>
      <c r="LUD22"/>
      <c r="LUE22"/>
      <c r="LUF22"/>
      <c r="LUG22"/>
      <c r="LUH22"/>
      <c r="LUI22"/>
      <c r="LUJ22"/>
      <c r="LUK22"/>
      <c r="LUL22"/>
      <c r="LUM22"/>
      <c r="LUN22"/>
      <c r="LUO22"/>
      <c r="LUP22"/>
      <c r="LUQ22"/>
      <c r="LUR22"/>
      <c r="LUS22"/>
      <c r="LUT22"/>
      <c r="LUU22"/>
      <c r="LUV22"/>
      <c r="LUW22"/>
      <c r="LUX22"/>
      <c r="LUY22"/>
      <c r="LUZ22"/>
      <c r="LVA22"/>
      <c r="LVB22"/>
      <c r="LVC22"/>
      <c r="LVD22"/>
      <c r="LVE22"/>
      <c r="LVF22"/>
      <c r="LVG22"/>
      <c r="LVH22"/>
      <c r="LVI22"/>
      <c r="LVJ22"/>
      <c r="LVK22"/>
      <c r="LVL22"/>
      <c r="LVM22"/>
      <c r="LVN22"/>
      <c r="LVO22"/>
      <c r="LVP22"/>
      <c r="LVQ22"/>
      <c r="LVR22"/>
      <c r="LVS22"/>
      <c r="LVT22"/>
      <c r="LVU22"/>
      <c r="LVV22"/>
      <c r="LVW22"/>
      <c r="LVX22"/>
      <c r="LVY22"/>
      <c r="LVZ22"/>
      <c r="LWA22"/>
      <c r="LWB22"/>
      <c r="LWC22"/>
      <c r="LWD22"/>
      <c r="LWE22"/>
      <c r="LWF22"/>
      <c r="LWG22"/>
      <c r="LWH22"/>
      <c r="LWI22"/>
      <c r="LWJ22"/>
      <c r="LWK22"/>
      <c r="LWL22"/>
      <c r="LWM22"/>
      <c r="LWN22"/>
      <c r="LWO22"/>
      <c r="LWP22"/>
      <c r="LWQ22"/>
      <c r="LWR22"/>
      <c r="LWS22"/>
      <c r="LWT22"/>
      <c r="LWU22"/>
      <c r="LWV22"/>
      <c r="LWW22"/>
      <c r="LWX22"/>
      <c r="LWY22"/>
      <c r="LWZ22"/>
      <c r="LXA22"/>
      <c r="LXB22"/>
      <c r="LXC22"/>
      <c r="LXD22"/>
      <c r="LXE22"/>
      <c r="LXF22"/>
      <c r="LXG22"/>
      <c r="LXH22"/>
      <c r="LXI22"/>
      <c r="LXJ22"/>
      <c r="LXK22"/>
      <c r="LXL22"/>
      <c r="LXM22"/>
      <c r="LXN22"/>
      <c r="LXO22"/>
      <c r="LXP22"/>
      <c r="LXQ22"/>
      <c r="LXR22"/>
      <c r="LXS22"/>
      <c r="LXT22"/>
      <c r="LXU22"/>
      <c r="LXV22"/>
      <c r="LXW22"/>
      <c r="LXX22"/>
      <c r="LXY22"/>
      <c r="LXZ22"/>
      <c r="LYA22"/>
      <c r="LYB22"/>
      <c r="LYC22"/>
      <c r="LYD22"/>
      <c r="LYE22"/>
      <c r="LYF22"/>
      <c r="LYG22"/>
      <c r="LYH22"/>
      <c r="LYI22"/>
      <c r="LYJ22"/>
      <c r="LYK22"/>
      <c r="LYL22"/>
      <c r="LYM22"/>
      <c r="LYN22"/>
      <c r="LYO22"/>
      <c r="LYP22"/>
      <c r="LYQ22"/>
      <c r="LYR22"/>
      <c r="LYS22"/>
      <c r="LYT22"/>
      <c r="LYU22"/>
      <c r="LYV22"/>
      <c r="LYW22"/>
      <c r="LYX22"/>
      <c r="LYY22"/>
      <c r="LYZ22"/>
      <c r="LZA22"/>
      <c r="LZB22"/>
      <c r="LZC22"/>
      <c r="LZD22"/>
      <c r="LZE22"/>
      <c r="LZF22"/>
      <c r="LZG22"/>
      <c r="LZH22"/>
      <c r="LZI22"/>
      <c r="LZJ22"/>
      <c r="LZK22"/>
      <c r="LZL22"/>
      <c r="LZM22"/>
      <c r="LZN22"/>
      <c r="LZO22"/>
      <c r="LZP22"/>
      <c r="LZQ22"/>
      <c r="LZR22"/>
      <c r="LZS22"/>
      <c r="LZT22"/>
      <c r="LZU22"/>
      <c r="LZV22"/>
      <c r="LZW22"/>
      <c r="LZX22"/>
      <c r="LZY22"/>
      <c r="LZZ22"/>
      <c r="MAA22"/>
      <c r="MAB22"/>
      <c r="MAC22"/>
      <c r="MAD22"/>
      <c r="MAE22"/>
      <c r="MAF22"/>
      <c r="MAG22"/>
      <c r="MAH22"/>
      <c r="MAI22"/>
      <c r="MAJ22"/>
      <c r="MAK22"/>
      <c r="MAL22"/>
      <c r="MAM22"/>
      <c r="MAN22"/>
      <c r="MAO22"/>
      <c r="MAP22"/>
      <c r="MAQ22"/>
      <c r="MAR22"/>
      <c r="MAS22"/>
      <c r="MAT22"/>
      <c r="MAU22"/>
      <c r="MAV22"/>
      <c r="MAW22"/>
      <c r="MAX22"/>
      <c r="MAY22"/>
      <c r="MAZ22"/>
      <c r="MBA22"/>
      <c r="MBB22"/>
      <c r="MBC22"/>
      <c r="MBD22"/>
      <c r="MBE22"/>
      <c r="MBF22"/>
      <c r="MBG22"/>
      <c r="MBH22"/>
      <c r="MBI22"/>
      <c r="MBJ22"/>
      <c r="MBK22"/>
      <c r="MBL22"/>
      <c r="MBM22"/>
      <c r="MBN22"/>
      <c r="MBO22"/>
      <c r="MBP22"/>
      <c r="MBQ22"/>
      <c r="MBR22"/>
      <c r="MBS22"/>
      <c r="MBT22"/>
      <c r="MBU22"/>
      <c r="MBV22"/>
      <c r="MBW22"/>
      <c r="MBX22"/>
      <c r="MBY22"/>
      <c r="MBZ22"/>
      <c r="MCA22"/>
      <c r="MCB22"/>
      <c r="MCC22"/>
      <c r="MCD22"/>
      <c r="MCE22"/>
      <c r="MCF22"/>
      <c r="MCG22"/>
      <c r="MCH22"/>
      <c r="MCI22"/>
      <c r="MCJ22"/>
      <c r="MCK22"/>
      <c r="MCL22"/>
      <c r="MCM22"/>
      <c r="MCN22"/>
      <c r="MCO22"/>
      <c r="MCP22"/>
      <c r="MCQ22"/>
      <c r="MCR22"/>
      <c r="MCS22"/>
      <c r="MCT22"/>
      <c r="MCU22"/>
      <c r="MCV22"/>
      <c r="MCW22"/>
      <c r="MCX22"/>
      <c r="MCY22"/>
      <c r="MCZ22"/>
      <c r="MDA22"/>
      <c r="MDB22"/>
      <c r="MDC22"/>
      <c r="MDD22"/>
      <c r="MDE22"/>
      <c r="MDF22"/>
      <c r="MDG22"/>
      <c r="MDH22"/>
      <c r="MDI22"/>
      <c r="MDJ22"/>
      <c r="MDK22"/>
      <c r="MDL22"/>
      <c r="MDM22"/>
      <c r="MDN22"/>
      <c r="MDO22"/>
      <c r="MDP22"/>
      <c r="MDQ22"/>
      <c r="MDR22"/>
      <c r="MDS22"/>
      <c r="MDT22"/>
      <c r="MDU22"/>
      <c r="MDV22"/>
      <c r="MDW22"/>
      <c r="MDX22"/>
      <c r="MDY22"/>
      <c r="MDZ22"/>
      <c r="MEA22"/>
      <c r="MEB22"/>
      <c r="MEC22"/>
      <c r="MED22"/>
      <c r="MEE22"/>
      <c r="MEF22"/>
      <c r="MEG22"/>
      <c r="MEH22"/>
      <c r="MEI22"/>
      <c r="MEJ22"/>
      <c r="MEK22"/>
      <c r="MEL22"/>
      <c r="MEM22"/>
      <c r="MEN22"/>
      <c r="MEO22"/>
      <c r="MEP22"/>
      <c r="MEQ22"/>
      <c r="MER22"/>
      <c r="MES22"/>
      <c r="MET22"/>
      <c r="MEU22"/>
      <c r="MEV22"/>
      <c r="MEW22"/>
      <c r="MEX22"/>
      <c r="MEY22"/>
      <c r="MEZ22"/>
      <c r="MFA22"/>
      <c r="MFB22"/>
      <c r="MFC22"/>
      <c r="MFD22"/>
      <c r="MFE22"/>
      <c r="MFF22"/>
      <c r="MFG22"/>
      <c r="MFH22"/>
      <c r="MFI22"/>
      <c r="MFJ22"/>
      <c r="MFK22"/>
      <c r="MFL22"/>
      <c r="MFM22"/>
      <c r="MFN22"/>
      <c r="MFO22"/>
      <c r="MFP22"/>
      <c r="MFQ22"/>
      <c r="MFR22"/>
      <c r="MFS22"/>
      <c r="MFT22"/>
      <c r="MFU22"/>
      <c r="MFV22"/>
      <c r="MFW22"/>
      <c r="MFX22"/>
      <c r="MFY22"/>
      <c r="MFZ22"/>
      <c r="MGA22"/>
      <c r="MGB22"/>
      <c r="MGC22"/>
      <c r="MGD22"/>
      <c r="MGE22"/>
      <c r="MGF22"/>
      <c r="MGG22"/>
      <c r="MGH22"/>
      <c r="MGI22"/>
      <c r="MGJ22"/>
      <c r="MGK22"/>
      <c r="MGL22"/>
      <c r="MGM22"/>
      <c r="MGN22"/>
      <c r="MGO22"/>
      <c r="MGP22"/>
      <c r="MGQ22"/>
      <c r="MGR22"/>
      <c r="MGS22"/>
      <c r="MGT22"/>
      <c r="MGU22"/>
      <c r="MGV22"/>
      <c r="MGW22"/>
      <c r="MGX22"/>
      <c r="MGY22"/>
      <c r="MGZ22"/>
      <c r="MHA22"/>
      <c r="MHB22"/>
      <c r="MHC22"/>
      <c r="MHD22"/>
      <c r="MHE22"/>
      <c r="MHF22"/>
      <c r="MHG22"/>
      <c r="MHH22"/>
      <c r="MHI22"/>
      <c r="MHJ22"/>
      <c r="MHK22"/>
      <c r="MHL22"/>
      <c r="MHM22"/>
      <c r="MHN22"/>
      <c r="MHO22"/>
      <c r="MHP22"/>
      <c r="MHQ22"/>
      <c r="MHR22"/>
      <c r="MHS22"/>
      <c r="MHT22"/>
      <c r="MHU22"/>
      <c r="MHV22"/>
      <c r="MHW22"/>
      <c r="MHX22"/>
      <c r="MHY22"/>
      <c r="MHZ22"/>
      <c r="MIA22"/>
      <c r="MIB22"/>
      <c r="MIC22"/>
      <c r="MID22"/>
      <c r="MIE22"/>
      <c r="MIF22"/>
      <c r="MIG22"/>
      <c r="MIH22"/>
      <c r="MII22"/>
      <c r="MIJ22"/>
      <c r="MIK22"/>
      <c r="MIL22"/>
      <c r="MIM22"/>
      <c r="MIN22"/>
      <c r="MIO22"/>
      <c r="MIP22"/>
      <c r="MIQ22"/>
      <c r="MIR22"/>
      <c r="MIS22"/>
      <c r="MIT22"/>
      <c r="MIU22"/>
      <c r="MIV22"/>
      <c r="MIW22"/>
      <c r="MIX22"/>
      <c r="MIY22"/>
      <c r="MIZ22"/>
      <c r="MJA22"/>
      <c r="MJB22"/>
      <c r="MJC22"/>
      <c r="MJD22"/>
      <c r="MJE22"/>
      <c r="MJF22"/>
      <c r="MJG22"/>
      <c r="MJH22"/>
      <c r="MJI22"/>
      <c r="MJJ22"/>
      <c r="MJK22"/>
      <c r="MJL22"/>
      <c r="MJM22"/>
      <c r="MJN22"/>
      <c r="MJO22"/>
      <c r="MJP22"/>
      <c r="MJQ22"/>
      <c r="MJR22"/>
      <c r="MJS22"/>
      <c r="MJT22"/>
      <c r="MJU22"/>
      <c r="MJV22"/>
      <c r="MJW22"/>
      <c r="MJX22"/>
      <c r="MJY22"/>
      <c r="MJZ22"/>
      <c r="MKA22"/>
      <c r="MKB22"/>
      <c r="MKC22"/>
      <c r="MKD22"/>
      <c r="MKE22"/>
      <c r="MKF22"/>
      <c r="MKG22"/>
      <c r="MKH22"/>
      <c r="MKI22"/>
      <c r="MKJ22"/>
      <c r="MKK22"/>
      <c r="MKL22"/>
      <c r="MKM22"/>
      <c r="MKN22"/>
      <c r="MKO22"/>
      <c r="MKP22"/>
      <c r="MKQ22"/>
      <c r="MKR22"/>
      <c r="MKS22"/>
      <c r="MKT22"/>
      <c r="MKU22"/>
      <c r="MKV22"/>
      <c r="MKW22"/>
      <c r="MKX22"/>
      <c r="MKY22"/>
      <c r="MKZ22"/>
      <c r="MLA22"/>
      <c r="MLB22"/>
      <c r="MLC22"/>
      <c r="MLD22"/>
      <c r="MLE22"/>
      <c r="MLF22"/>
      <c r="MLG22"/>
      <c r="MLH22"/>
      <c r="MLI22"/>
      <c r="MLJ22"/>
      <c r="MLK22"/>
      <c r="MLL22"/>
      <c r="MLM22"/>
      <c r="MLN22"/>
      <c r="MLO22"/>
      <c r="MLP22"/>
      <c r="MLQ22"/>
      <c r="MLR22"/>
      <c r="MLS22"/>
      <c r="MLT22"/>
      <c r="MLU22"/>
      <c r="MLV22"/>
      <c r="MLW22"/>
      <c r="MLX22"/>
      <c r="MLY22"/>
      <c r="MLZ22"/>
      <c r="MMA22"/>
      <c r="MMB22"/>
      <c r="MMC22"/>
      <c r="MMD22"/>
      <c r="MME22"/>
      <c r="MMF22"/>
      <c r="MMG22"/>
      <c r="MMH22"/>
      <c r="MMI22"/>
      <c r="MMJ22"/>
      <c r="MMK22"/>
      <c r="MML22"/>
      <c r="MMM22"/>
      <c r="MMN22"/>
      <c r="MMO22"/>
      <c r="MMP22"/>
      <c r="MMQ22"/>
      <c r="MMR22"/>
      <c r="MMS22"/>
      <c r="MMT22"/>
      <c r="MMU22"/>
      <c r="MMV22"/>
      <c r="MMW22"/>
      <c r="MMX22"/>
      <c r="MMY22"/>
      <c r="MMZ22"/>
      <c r="MNA22"/>
      <c r="MNB22"/>
      <c r="MNC22"/>
      <c r="MND22"/>
      <c r="MNE22"/>
      <c r="MNF22"/>
      <c r="MNG22"/>
      <c r="MNH22"/>
      <c r="MNI22"/>
      <c r="MNJ22"/>
      <c r="MNK22"/>
      <c r="MNL22"/>
      <c r="MNM22"/>
      <c r="MNN22"/>
      <c r="MNO22"/>
      <c r="MNP22"/>
      <c r="MNQ22"/>
      <c r="MNR22"/>
      <c r="MNS22"/>
      <c r="MNT22"/>
      <c r="MNU22"/>
      <c r="MNV22"/>
      <c r="MNW22"/>
      <c r="MNX22"/>
      <c r="MNY22"/>
      <c r="MNZ22"/>
      <c r="MOA22"/>
      <c r="MOB22"/>
      <c r="MOC22"/>
      <c r="MOD22"/>
      <c r="MOE22"/>
      <c r="MOF22"/>
      <c r="MOG22"/>
      <c r="MOH22"/>
      <c r="MOI22"/>
      <c r="MOJ22"/>
      <c r="MOK22"/>
      <c r="MOL22"/>
      <c r="MOM22"/>
      <c r="MON22"/>
      <c r="MOO22"/>
      <c r="MOP22"/>
      <c r="MOQ22"/>
      <c r="MOR22"/>
      <c r="MOS22"/>
      <c r="MOT22"/>
      <c r="MOU22"/>
      <c r="MOV22"/>
      <c r="MOW22"/>
      <c r="MOX22"/>
      <c r="MOY22"/>
      <c r="MOZ22"/>
      <c r="MPA22"/>
      <c r="MPB22"/>
      <c r="MPC22"/>
      <c r="MPD22"/>
      <c r="MPE22"/>
      <c r="MPF22"/>
      <c r="MPG22"/>
      <c r="MPH22"/>
      <c r="MPI22"/>
      <c r="MPJ22"/>
      <c r="MPK22"/>
      <c r="MPL22"/>
      <c r="MPM22"/>
      <c r="MPN22"/>
      <c r="MPO22"/>
      <c r="MPP22"/>
      <c r="MPQ22"/>
      <c r="MPR22"/>
      <c r="MPS22"/>
      <c r="MPT22"/>
      <c r="MPU22"/>
      <c r="MPV22"/>
      <c r="MPW22"/>
      <c r="MPX22"/>
      <c r="MPY22"/>
      <c r="MPZ22"/>
      <c r="MQA22"/>
      <c r="MQB22"/>
      <c r="MQC22"/>
      <c r="MQD22"/>
      <c r="MQE22"/>
      <c r="MQF22"/>
      <c r="MQG22"/>
      <c r="MQH22"/>
      <c r="MQI22"/>
      <c r="MQJ22"/>
      <c r="MQK22"/>
      <c r="MQL22"/>
      <c r="MQM22"/>
      <c r="MQN22"/>
      <c r="MQO22"/>
      <c r="MQP22"/>
      <c r="MQQ22"/>
      <c r="MQR22"/>
      <c r="MQS22"/>
      <c r="MQT22"/>
      <c r="MQU22"/>
      <c r="MQV22"/>
      <c r="MQW22"/>
      <c r="MQX22"/>
      <c r="MQY22"/>
      <c r="MQZ22"/>
      <c r="MRA22"/>
      <c r="MRB22"/>
      <c r="MRC22"/>
      <c r="MRD22"/>
      <c r="MRE22"/>
      <c r="MRF22"/>
      <c r="MRG22"/>
      <c r="MRH22"/>
      <c r="MRI22"/>
      <c r="MRJ22"/>
      <c r="MRK22"/>
      <c r="MRL22"/>
      <c r="MRM22"/>
      <c r="MRN22"/>
      <c r="MRO22"/>
      <c r="MRP22"/>
      <c r="MRQ22"/>
      <c r="MRR22"/>
      <c r="MRS22"/>
      <c r="MRT22"/>
      <c r="MRU22"/>
      <c r="MRV22"/>
      <c r="MRW22"/>
      <c r="MRX22"/>
      <c r="MRY22"/>
      <c r="MRZ22"/>
      <c r="MSA22"/>
      <c r="MSB22"/>
      <c r="MSC22"/>
      <c r="MSD22"/>
      <c r="MSE22"/>
      <c r="MSF22"/>
      <c r="MSG22"/>
      <c r="MSH22"/>
      <c r="MSI22"/>
      <c r="MSJ22"/>
      <c r="MSK22"/>
      <c r="MSL22"/>
      <c r="MSM22"/>
      <c r="MSN22"/>
      <c r="MSO22"/>
      <c r="MSP22"/>
      <c r="MSQ22"/>
      <c r="MSR22"/>
      <c r="MSS22"/>
      <c r="MST22"/>
      <c r="MSU22"/>
      <c r="MSV22"/>
      <c r="MSW22"/>
      <c r="MSX22"/>
      <c r="MSY22"/>
      <c r="MSZ22"/>
      <c r="MTA22"/>
      <c r="MTB22"/>
      <c r="MTC22"/>
      <c r="MTD22"/>
      <c r="MTE22"/>
      <c r="MTF22"/>
      <c r="MTG22"/>
      <c r="MTH22"/>
      <c r="MTI22"/>
      <c r="MTJ22"/>
      <c r="MTK22"/>
      <c r="MTL22"/>
      <c r="MTM22"/>
      <c r="MTN22"/>
      <c r="MTO22"/>
      <c r="MTP22"/>
      <c r="MTQ22"/>
      <c r="MTR22"/>
      <c r="MTS22"/>
      <c r="MTT22"/>
      <c r="MTU22"/>
      <c r="MTV22"/>
      <c r="MTW22"/>
      <c r="MTX22"/>
      <c r="MTY22"/>
      <c r="MTZ22"/>
      <c r="MUA22"/>
      <c r="MUB22"/>
      <c r="MUC22"/>
      <c r="MUD22"/>
      <c r="MUE22"/>
      <c r="MUF22"/>
      <c r="MUG22"/>
      <c r="MUH22"/>
      <c r="MUI22"/>
      <c r="MUJ22"/>
      <c r="MUK22"/>
      <c r="MUL22"/>
      <c r="MUM22"/>
      <c r="MUN22"/>
      <c r="MUO22"/>
      <c r="MUP22"/>
      <c r="MUQ22"/>
      <c r="MUR22"/>
      <c r="MUS22"/>
      <c r="MUT22"/>
      <c r="MUU22"/>
      <c r="MUV22"/>
      <c r="MUW22"/>
      <c r="MUX22"/>
      <c r="MUY22"/>
      <c r="MUZ22"/>
      <c r="MVA22"/>
      <c r="MVB22"/>
      <c r="MVC22"/>
      <c r="MVD22"/>
      <c r="MVE22"/>
      <c r="MVF22"/>
      <c r="MVG22"/>
      <c r="MVH22"/>
      <c r="MVI22"/>
      <c r="MVJ22"/>
      <c r="MVK22"/>
      <c r="MVL22"/>
      <c r="MVM22"/>
      <c r="MVN22"/>
      <c r="MVO22"/>
      <c r="MVP22"/>
      <c r="MVQ22"/>
      <c r="MVR22"/>
      <c r="MVS22"/>
      <c r="MVT22"/>
      <c r="MVU22"/>
      <c r="MVV22"/>
      <c r="MVW22"/>
      <c r="MVX22"/>
      <c r="MVY22"/>
      <c r="MVZ22"/>
      <c r="MWA22"/>
      <c r="MWB22"/>
      <c r="MWC22"/>
      <c r="MWD22"/>
      <c r="MWE22"/>
      <c r="MWF22"/>
      <c r="MWG22"/>
      <c r="MWH22"/>
      <c r="MWI22"/>
      <c r="MWJ22"/>
      <c r="MWK22"/>
      <c r="MWL22"/>
      <c r="MWM22"/>
      <c r="MWN22"/>
      <c r="MWO22"/>
      <c r="MWP22"/>
      <c r="MWQ22"/>
      <c r="MWR22"/>
      <c r="MWS22"/>
      <c r="MWT22"/>
      <c r="MWU22"/>
      <c r="MWV22"/>
      <c r="MWW22"/>
      <c r="MWX22"/>
      <c r="MWY22"/>
      <c r="MWZ22"/>
      <c r="MXA22"/>
      <c r="MXB22"/>
      <c r="MXC22"/>
      <c r="MXD22"/>
      <c r="MXE22"/>
      <c r="MXF22"/>
      <c r="MXG22"/>
      <c r="MXH22"/>
      <c r="MXI22"/>
      <c r="MXJ22"/>
      <c r="MXK22"/>
      <c r="MXL22"/>
      <c r="MXM22"/>
      <c r="MXN22"/>
      <c r="MXO22"/>
      <c r="MXP22"/>
      <c r="MXQ22"/>
      <c r="MXR22"/>
      <c r="MXS22"/>
      <c r="MXT22"/>
      <c r="MXU22"/>
      <c r="MXV22"/>
      <c r="MXW22"/>
      <c r="MXX22"/>
      <c r="MXY22"/>
      <c r="MXZ22"/>
      <c r="MYA22"/>
      <c r="MYB22"/>
      <c r="MYC22"/>
      <c r="MYD22"/>
      <c r="MYE22"/>
      <c r="MYF22"/>
      <c r="MYG22"/>
      <c r="MYH22"/>
      <c r="MYI22"/>
      <c r="MYJ22"/>
      <c r="MYK22"/>
      <c r="MYL22"/>
      <c r="MYM22"/>
      <c r="MYN22"/>
      <c r="MYO22"/>
      <c r="MYP22"/>
      <c r="MYQ22"/>
      <c r="MYR22"/>
      <c r="MYS22"/>
      <c r="MYT22"/>
      <c r="MYU22"/>
      <c r="MYV22"/>
      <c r="MYW22"/>
      <c r="MYX22"/>
      <c r="MYY22"/>
      <c r="MYZ22"/>
      <c r="MZA22"/>
      <c r="MZB22"/>
      <c r="MZC22"/>
      <c r="MZD22"/>
      <c r="MZE22"/>
      <c r="MZF22"/>
      <c r="MZG22"/>
      <c r="MZH22"/>
      <c r="MZI22"/>
      <c r="MZJ22"/>
      <c r="MZK22"/>
      <c r="MZL22"/>
      <c r="MZM22"/>
      <c r="MZN22"/>
      <c r="MZO22"/>
      <c r="MZP22"/>
      <c r="MZQ22"/>
      <c r="MZR22"/>
      <c r="MZS22"/>
      <c r="MZT22"/>
      <c r="MZU22"/>
      <c r="MZV22"/>
      <c r="MZW22"/>
      <c r="MZX22"/>
      <c r="MZY22"/>
      <c r="MZZ22"/>
      <c r="NAA22"/>
      <c r="NAB22"/>
      <c r="NAC22"/>
      <c r="NAD22"/>
      <c r="NAE22"/>
      <c r="NAF22"/>
      <c r="NAG22"/>
      <c r="NAH22"/>
      <c r="NAI22"/>
      <c r="NAJ22"/>
      <c r="NAK22"/>
      <c r="NAL22"/>
      <c r="NAM22"/>
      <c r="NAN22"/>
      <c r="NAO22"/>
      <c r="NAP22"/>
      <c r="NAQ22"/>
      <c r="NAR22"/>
      <c r="NAS22"/>
      <c r="NAT22"/>
      <c r="NAU22"/>
      <c r="NAV22"/>
      <c r="NAW22"/>
      <c r="NAX22"/>
      <c r="NAY22"/>
      <c r="NAZ22"/>
      <c r="NBA22"/>
      <c r="NBB22"/>
      <c r="NBC22"/>
      <c r="NBD22"/>
      <c r="NBE22"/>
      <c r="NBF22"/>
      <c r="NBG22"/>
      <c r="NBH22"/>
      <c r="NBI22"/>
      <c r="NBJ22"/>
      <c r="NBK22"/>
      <c r="NBL22"/>
      <c r="NBM22"/>
      <c r="NBN22"/>
      <c r="NBO22"/>
      <c r="NBP22"/>
      <c r="NBQ22"/>
      <c r="NBR22"/>
      <c r="NBS22"/>
      <c r="NBT22"/>
      <c r="NBU22"/>
      <c r="NBV22"/>
      <c r="NBW22"/>
      <c r="NBX22"/>
      <c r="NBY22"/>
      <c r="NBZ22"/>
      <c r="NCA22"/>
      <c r="NCB22"/>
      <c r="NCC22"/>
      <c r="NCD22"/>
      <c r="NCE22"/>
      <c r="NCF22"/>
      <c r="NCG22"/>
      <c r="NCH22"/>
      <c r="NCI22"/>
      <c r="NCJ22"/>
      <c r="NCK22"/>
      <c r="NCL22"/>
      <c r="NCM22"/>
      <c r="NCN22"/>
      <c r="NCO22"/>
      <c r="NCP22"/>
      <c r="NCQ22"/>
      <c r="NCR22"/>
      <c r="NCS22"/>
      <c r="NCT22"/>
      <c r="NCU22"/>
      <c r="NCV22"/>
      <c r="NCW22"/>
      <c r="NCX22"/>
      <c r="NCY22"/>
      <c r="NCZ22"/>
      <c r="NDA22"/>
      <c r="NDB22"/>
      <c r="NDC22"/>
      <c r="NDD22"/>
      <c r="NDE22"/>
      <c r="NDF22"/>
      <c r="NDG22"/>
      <c r="NDH22"/>
      <c r="NDI22"/>
      <c r="NDJ22"/>
      <c r="NDK22"/>
      <c r="NDL22"/>
      <c r="NDM22"/>
      <c r="NDN22"/>
      <c r="NDO22"/>
      <c r="NDP22"/>
      <c r="NDQ22"/>
      <c r="NDR22"/>
      <c r="NDS22"/>
      <c r="NDT22"/>
      <c r="NDU22"/>
      <c r="NDV22"/>
      <c r="NDW22"/>
      <c r="NDX22"/>
      <c r="NDY22"/>
      <c r="NDZ22"/>
      <c r="NEA22"/>
      <c r="NEB22"/>
      <c r="NEC22"/>
      <c r="NED22"/>
      <c r="NEE22"/>
      <c r="NEF22"/>
      <c r="NEG22"/>
      <c r="NEH22"/>
      <c r="NEI22"/>
      <c r="NEJ22"/>
      <c r="NEK22"/>
      <c r="NEL22"/>
      <c r="NEM22"/>
      <c r="NEN22"/>
      <c r="NEO22"/>
      <c r="NEP22"/>
      <c r="NEQ22"/>
      <c r="NER22"/>
      <c r="NES22"/>
      <c r="NET22"/>
      <c r="NEU22"/>
      <c r="NEV22"/>
      <c r="NEW22"/>
      <c r="NEX22"/>
      <c r="NEY22"/>
      <c r="NEZ22"/>
      <c r="NFA22"/>
      <c r="NFB22"/>
      <c r="NFC22"/>
      <c r="NFD22"/>
      <c r="NFE22"/>
      <c r="NFF22"/>
      <c r="NFG22"/>
      <c r="NFH22"/>
      <c r="NFI22"/>
      <c r="NFJ22"/>
      <c r="NFK22"/>
      <c r="NFL22"/>
      <c r="NFM22"/>
      <c r="NFN22"/>
      <c r="NFO22"/>
      <c r="NFP22"/>
      <c r="NFQ22"/>
      <c r="NFR22"/>
      <c r="NFS22"/>
      <c r="NFT22"/>
      <c r="NFU22"/>
      <c r="NFV22"/>
      <c r="NFW22"/>
      <c r="NFX22"/>
      <c r="NFY22"/>
      <c r="NFZ22"/>
      <c r="NGA22"/>
      <c r="NGB22"/>
      <c r="NGC22"/>
      <c r="NGD22"/>
      <c r="NGE22"/>
      <c r="NGF22"/>
      <c r="NGG22"/>
      <c r="NGH22"/>
      <c r="NGI22"/>
      <c r="NGJ22"/>
      <c r="NGK22"/>
      <c r="NGL22"/>
      <c r="NGM22"/>
      <c r="NGN22"/>
      <c r="NGO22"/>
      <c r="NGP22"/>
      <c r="NGQ22"/>
      <c r="NGR22"/>
      <c r="NGS22"/>
      <c r="NGT22"/>
      <c r="NGU22"/>
      <c r="NGV22"/>
      <c r="NGW22"/>
      <c r="NGX22"/>
      <c r="NGY22"/>
      <c r="NGZ22"/>
      <c r="NHA22"/>
      <c r="NHB22"/>
      <c r="NHC22"/>
      <c r="NHD22"/>
      <c r="NHE22"/>
      <c r="NHF22"/>
      <c r="NHG22"/>
      <c r="NHH22"/>
      <c r="NHI22"/>
      <c r="NHJ22"/>
      <c r="NHK22"/>
      <c r="NHL22"/>
      <c r="NHM22"/>
      <c r="NHN22"/>
      <c r="NHO22"/>
      <c r="NHP22"/>
      <c r="NHQ22"/>
      <c r="NHR22"/>
      <c r="NHS22"/>
      <c r="NHT22"/>
      <c r="NHU22"/>
      <c r="NHV22"/>
      <c r="NHW22"/>
      <c r="NHX22"/>
      <c r="NHY22"/>
      <c r="NHZ22"/>
      <c r="NIA22"/>
      <c r="NIB22"/>
      <c r="NIC22"/>
      <c r="NID22"/>
      <c r="NIE22"/>
      <c r="NIF22"/>
      <c r="NIG22"/>
      <c r="NIH22"/>
      <c r="NII22"/>
      <c r="NIJ22"/>
      <c r="NIK22"/>
      <c r="NIL22"/>
      <c r="NIM22"/>
      <c r="NIN22"/>
      <c r="NIO22"/>
      <c r="NIP22"/>
      <c r="NIQ22"/>
      <c r="NIR22"/>
      <c r="NIS22"/>
      <c r="NIT22"/>
      <c r="NIU22"/>
      <c r="NIV22"/>
      <c r="NIW22"/>
      <c r="NIX22"/>
      <c r="NIY22"/>
      <c r="NIZ22"/>
      <c r="NJA22"/>
      <c r="NJB22"/>
      <c r="NJC22"/>
      <c r="NJD22"/>
      <c r="NJE22"/>
      <c r="NJF22"/>
      <c r="NJG22"/>
      <c r="NJH22"/>
      <c r="NJI22"/>
      <c r="NJJ22"/>
      <c r="NJK22"/>
      <c r="NJL22"/>
      <c r="NJM22"/>
      <c r="NJN22"/>
      <c r="NJO22"/>
      <c r="NJP22"/>
      <c r="NJQ22"/>
      <c r="NJR22"/>
      <c r="NJS22"/>
      <c r="NJT22"/>
      <c r="NJU22"/>
      <c r="NJV22"/>
      <c r="NJW22"/>
      <c r="NJX22"/>
      <c r="NJY22"/>
      <c r="NJZ22"/>
      <c r="NKA22"/>
      <c r="NKB22"/>
      <c r="NKC22"/>
      <c r="NKD22"/>
      <c r="NKE22"/>
      <c r="NKF22"/>
      <c r="NKG22"/>
      <c r="NKH22"/>
      <c r="NKI22"/>
      <c r="NKJ22"/>
      <c r="NKK22"/>
      <c r="NKL22"/>
      <c r="NKM22"/>
      <c r="NKN22"/>
      <c r="NKO22"/>
      <c r="NKP22"/>
      <c r="NKQ22"/>
      <c r="NKR22"/>
      <c r="NKS22"/>
      <c r="NKT22"/>
      <c r="NKU22"/>
      <c r="NKV22"/>
      <c r="NKW22"/>
      <c r="NKX22"/>
      <c r="NKY22"/>
      <c r="NKZ22"/>
      <c r="NLA22"/>
      <c r="NLB22"/>
      <c r="NLC22"/>
      <c r="NLD22"/>
      <c r="NLE22"/>
      <c r="NLF22"/>
      <c r="NLG22"/>
      <c r="NLH22"/>
      <c r="NLI22"/>
      <c r="NLJ22"/>
      <c r="NLK22"/>
      <c r="NLL22"/>
      <c r="NLM22"/>
      <c r="NLN22"/>
      <c r="NLO22"/>
      <c r="NLP22"/>
      <c r="NLQ22"/>
      <c r="NLR22"/>
      <c r="NLS22"/>
      <c r="NLT22"/>
      <c r="NLU22"/>
      <c r="NLV22"/>
      <c r="NLW22"/>
      <c r="NLX22"/>
      <c r="NLY22"/>
      <c r="NLZ22"/>
      <c r="NMA22"/>
      <c r="NMB22"/>
      <c r="NMC22"/>
      <c r="NMD22"/>
      <c r="NME22"/>
      <c r="NMF22"/>
      <c r="NMG22"/>
      <c r="NMH22"/>
      <c r="NMI22"/>
      <c r="NMJ22"/>
      <c r="NMK22"/>
      <c r="NML22"/>
      <c r="NMM22"/>
      <c r="NMN22"/>
      <c r="NMO22"/>
      <c r="NMP22"/>
      <c r="NMQ22"/>
      <c r="NMR22"/>
      <c r="NMS22"/>
      <c r="NMT22"/>
      <c r="NMU22"/>
      <c r="NMV22"/>
      <c r="NMW22"/>
      <c r="NMX22"/>
      <c r="NMY22"/>
      <c r="NMZ22"/>
      <c r="NNA22"/>
      <c r="NNB22"/>
      <c r="NNC22"/>
      <c r="NND22"/>
      <c r="NNE22"/>
      <c r="NNF22"/>
      <c r="NNG22"/>
      <c r="NNH22"/>
      <c r="NNI22"/>
      <c r="NNJ22"/>
      <c r="NNK22"/>
      <c r="NNL22"/>
      <c r="NNM22"/>
      <c r="NNN22"/>
      <c r="NNO22"/>
      <c r="NNP22"/>
      <c r="NNQ22"/>
      <c r="NNR22"/>
      <c r="NNS22"/>
      <c r="NNT22"/>
      <c r="NNU22"/>
      <c r="NNV22"/>
      <c r="NNW22"/>
      <c r="NNX22"/>
      <c r="NNY22"/>
      <c r="NNZ22"/>
      <c r="NOA22"/>
      <c r="NOB22"/>
      <c r="NOC22"/>
      <c r="NOD22"/>
      <c r="NOE22"/>
      <c r="NOF22"/>
      <c r="NOG22"/>
      <c r="NOH22"/>
      <c r="NOI22"/>
      <c r="NOJ22"/>
      <c r="NOK22"/>
      <c r="NOL22"/>
      <c r="NOM22"/>
      <c r="NON22"/>
      <c r="NOO22"/>
      <c r="NOP22"/>
      <c r="NOQ22"/>
      <c r="NOR22"/>
      <c r="NOS22"/>
      <c r="NOT22"/>
      <c r="NOU22"/>
      <c r="NOV22"/>
      <c r="NOW22"/>
      <c r="NOX22"/>
      <c r="NOY22"/>
      <c r="NOZ22"/>
      <c r="NPA22"/>
      <c r="NPB22"/>
      <c r="NPC22"/>
      <c r="NPD22"/>
      <c r="NPE22"/>
      <c r="NPF22"/>
      <c r="NPG22"/>
      <c r="NPH22"/>
      <c r="NPI22"/>
      <c r="NPJ22"/>
      <c r="NPK22"/>
      <c r="NPL22"/>
      <c r="NPM22"/>
      <c r="NPN22"/>
      <c r="NPO22"/>
      <c r="NPP22"/>
      <c r="NPQ22"/>
      <c r="NPR22"/>
      <c r="NPS22"/>
      <c r="NPT22"/>
      <c r="NPU22"/>
      <c r="NPV22"/>
      <c r="NPW22"/>
      <c r="NPX22"/>
      <c r="NPY22"/>
      <c r="NPZ22"/>
      <c r="NQA22"/>
      <c r="NQB22"/>
      <c r="NQC22"/>
      <c r="NQD22"/>
      <c r="NQE22"/>
      <c r="NQF22"/>
      <c r="NQG22"/>
      <c r="NQH22"/>
      <c r="NQI22"/>
      <c r="NQJ22"/>
      <c r="NQK22"/>
      <c r="NQL22"/>
      <c r="NQM22"/>
      <c r="NQN22"/>
      <c r="NQO22"/>
      <c r="NQP22"/>
      <c r="NQQ22"/>
      <c r="NQR22"/>
      <c r="NQS22"/>
      <c r="NQT22"/>
      <c r="NQU22"/>
      <c r="NQV22"/>
      <c r="NQW22"/>
      <c r="NQX22"/>
      <c r="NQY22"/>
      <c r="NQZ22"/>
      <c r="NRA22"/>
      <c r="NRB22"/>
      <c r="NRC22"/>
      <c r="NRD22"/>
      <c r="NRE22"/>
      <c r="NRF22"/>
      <c r="NRG22"/>
      <c r="NRH22"/>
      <c r="NRI22"/>
      <c r="NRJ22"/>
      <c r="NRK22"/>
      <c r="NRL22"/>
      <c r="NRM22"/>
      <c r="NRN22"/>
      <c r="NRO22"/>
      <c r="NRP22"/>
      <c r="NRQ22"/>
      <c r="NRR22"/>
      <c r="NRS22"/>
      <c r="NRT22"/>
      <c r="NRU22"/>
      <c r="NRV22"/>
      <c r="NRW22"/>
      <c r="NRX22"/>
      <c r="NRY22"/>
      <c r="NRZ22"/>
      <c r="NSA22"/>
      <c r="NSB22"/>
      <c r="NSC22"/>
      <c r="NSD22"/>
      <c r="NSE22"/>
      <c r="NSF22"/>
      <c r="NSG22"/>
      <c r="NSH22"/>
      <c r="NSI22"/>
      <c r="NSJ22"/>
      <c r="NSK22"/>
      <c r="NSL22"/>
      <c r="NSM22"/>
      <c r="NSN22"/>
      <c r="NSO22"/>
      <c r="NSP22"/>
      <c r="NSQ22"/>
      <c r="NSR22"/>
      <c r="NSS22"/>
      <c r="NST22"/>
      <c r="NSU22"/>
      <c r="NSV22"/>
      <c r="NSW22"/>
      <c r="NSX22"/>
      <c r="NSY22"/>
      <c r="NSZ22"/>
      <c r="NTA22"/>
      <c r="NTB22"/>
      <c r="NTC22"/>
      <c r="NTD22"/>
      <c r="NTE22"/>
      <c r="NTF22"/>
      <c r="NTG22"/>
      <c r="NTH22"/>
      <c r="NTI22"/>
      <c r="NTJ22"/>
      <c r="NTK22"/>
      <c r="NTL22"/>
      <c r="NTM22"/>
      <c r="NTN22"/>
      <c r="NTO22"/>
      <c r="NTP22"/>
      <c r="NTQ22"/>
      <c r="NTR22"/>
      <c r="NTS22"/>
      <c r="NTT22"/>
      <c r="NTU22"/>
      <c r="NTV22"/>
      <c r="NTW22"/>
      <c r="NTX22"/>
      <c r="NTY22"/>
      <c r="NTZ22"/>
      <c r="NUA22"/>
      <c r="NUB22"/>
      <c r="NUC22"/>
      <c r="NUD22"/>
      <c r="NUE22"/>
      <c r="NUF22"/>
      <c r="NUG22"/>
      <c r="NUH22"/>
      <c r="NUI22"/>
      <c r="NUJ22"/>
      <c r="NUK22"/>
      <c r="NUL22"/>
      <c r="NUM22"/>
      <c r="NUN22"/>
      <c r="NUO22"/>
      <c r="NUP22"/>
      <c r="NUQ22"/>
      <c r="NUR22"/>
      <c r="NUS22"/>
      <c r="NUT22"/>
      <c r="NUU22"/>
      <c r="NUV22"/>
      <c r="NUW22"/>
      <c r="NUX22"/>
      <c r="NUY22"/>
      <c r="NUZ22"/>
      <c r="NVA22"/>
      <c r="NVB22"/>
      <c r="NVC22"/>
      <c r="NVD22"/>
      <c r="NVE22"/>
      <c r="NVF22"/>
      <c r="NVG22"/>
      <c r="NVH22"/>
      <c r="NVI22"/>
      <c r="NVJ22"/>
      <c r="NVK22"/>
      <c r="NVL22"/>
      <c r="NVM22"/>
      <c r="NVN22"/>
      <c r="NVO22"/>
      <c r="NVP22"/>
      <c r="NVQ22"/>
      <c r="NVR22"/>
      <c r="NVS22"/>
      <c r="NVT22"/>
      <c r="NVU22"/>
      <c r="NVV22"/>
      <c r="NVW22"/>
      <c r="NVX22"/>
      <c r="NVY22"/>
      <c r="NVZ22"/>
      <c r="NWA22"/>
      <c r="NWB22"/>
      <c r="NWC22"/>
      <c r="NWD22"/>
      <c r="NWE22"/>
      <c r="NWF22"/>
      <c r="NWG22"/>
      <c r="NWH22"/>
      <c r="NWI22"/>
      <c r="NWJ22"/>
      <c r="NWK22"/>
      <c r="NWL22"/>
      <c r="NWM22"/>
      <c r="NWN22"/>
      <c r="NWO22"/>
      <c r="NWP22"/>
      <c r="NWQ22"/>
      <c r="NWR22"/>
      <c r="NWS22"/>
      <c r="NWT22"/>
      <c r="NWU22"/>
      <c r="NWV22"/>
      <c r="NWW22"/>
      <c r="NWX22"/>
      <c r="NWY22"/>
      <c r="NWZ22"/>
      <c r="NXA22"/>
      <c r="NXB22"/>
      <c r="NXC22"/>
      <c r="NXD22"/>
      <c r="NXE22"/>
      <c r="NXF22"/>
      <c r="NXG22"/>
      <c r="NXH22"/>
      <c r="NXI22"/>
      <c r="NXJ22"/>
      <c r="NXK22"/>
      <c r="NXL22"/>
      <c r="NXM22"/>
      <c r="NXN22"/>
      <c r="NXO22"/>
      <c r="NXP22"/>
      <c r="NXQ22"/>
      <c r="NXR22"/>
      <c r="NXS22"/>
      <c r="NXT22"/>
      <c r="NXU22"/>
      <c r="NXV22"/>
      <c r="NXW22"/>
      <c r="NXX22"/>
      <c r="NXY22"/>
      <c r="NXZ22"/>
      <c r="NYA22"/>
      <c r="NYB22"/>
      <c r="NYC22"/>
      <c r="NYD22"/>
      <c r="NYE22"/>
      <c r="NYF22"/>
      <c r="NYG22"/>
      <c r="NYH22"/>
      <c r="NYI22"/>
      <c r="NYJ22"/>
      <c r="NYK22"/>
      <c r="NYL22"/>
      <c r="NYM22"/>
      <c r="NYN22"/>
      <c r="NYO22"/>
      <c r="NYP22"/>
      <c r="NYQ22"/>
      <c r="NYR22"/>
      <c r="NYS22"/>
      <c r="NYT22"/>
      <c r="NYU22"/>
      <c r="NYV22"/>
      <c r="NYW22"/>
      <c r="NYX22"/>
      <c r="NYY22"/>
      <c r="NYZ22"/>
      <c r="NZA22"/>
      <c r="NZB22"/>
      <c r="NZC22"/>
      <c r="NZD22"/>
      <c r="NZE22"/>
      <c r="NZF22"/>
      <c r="NZG22"/>
      <c r="NZH22"/>
      <c r="NZI22"/>
      <c r="NZJ22"/>
      <c r="NZK22"/>
      <c r="NZL22"/>
      <c r="NZM22"/>
      <c r="NZN22"/>
      <c r="NZO22"/>
      <c r="NZP22"/>
      <c r="NZQ22"/>
      <c r="NZR22"/>
      <c r="NZS22"/>
      <c r="NZT22"/>
      <c r="NZU22"/>
      <c r="NZV22"/>
      <c r="NZW22"/>
      <c r="NZX22"/>
      <c r="NZY22"/>
      <c r="NZZ22"/>
      <c r="OAA22"/>
      <c r="OAB22"/>
      <c r="OAC22"/>
      <c r="OAD22"/>
      <c r="OAE22"/>
      <c r="OAF22"/>
      <c r="OAG22"/>
      <c r="OAH22"/>
      <c r="OAI22"/>
      <c r="OAJ22"/>
      <c r="OAK22"/>
      <c r="OAL22"/>
      <c r="OAM22"/>
      <c r="OAN22"/>
      <c r="OAO22"/>
      <c r="OAP22"/>
      <c r="OAQ22"/>
      <c r="OAR22"/>
      <c r="OAS22"/>
      <c r="OAT22"/>
      <c r="OAU22"/>
      <c r="OAV22"/>
      <c r="OAW22"/>
      <c r="OAX22"/>
      <c r="OAY22"/>
      <c r="OAZ22"/>
      <c r="OBA22"/>
      <c r="OBB22"/>
      <c r="OBC22"/>
      <c r="OBD22"/>
      <c r="OBE22"/>
      <c r="OBF22"/>
      <c r="OBG22"/>
      <c r="OBH22"/>
      <c r="OBI22"/>
      <c r="OBJ22"/>
      <c r="OBK22"/>
      <c r="OBL22"/>
      <c r="OBM22"/>
      <c r="OBN22"/>
      <c r="OBO22"/>
      <c r="OBP22"/>
      <c r="OBQ22"/>
      <c r="OBR22"/>
      <c r="OBS22"/>
      <c r="OBT22"/>
      <c r="OBU22"/>
      <c r="OBV22"/>
      <c r="OBW22"/>
      <c r="OBX22"/>
      <c r="OBY22"/>
      <c r="OBZ22"/>
      <c r="OCA22"/>
      <c r="OCB22"/>
      <c r="OCC22"/>
      <c r="OCD22"/>
      <c r="OCE22"/>
      <c r="OCF22"/>
      <c r="OCG22"/>
      <c r="OCH22"/>
      <c r="OCI22"/>
      <c r="OCJ22"/>
      <c r="OCK22"/>
      <c r="OCL22"/>
      <c r="OCM22"/>
      <c r="OCN22"/>
      <c r="OCO22"/>
      <c r="OCP22"/>
      <c r="OCQ22"/>
      <c r="OCR22"/>
      <c r="OCS22"/>
      <c r="OCT22"/>
      <c r="OCU22"/>
      <c r="OCV22"/>
      <c r="OCW22"/>
      <c r="OCX22"/>
      <c r="OCY22"/>
      <c r="OCZ22"/>
      <c r="ODA22"/>
      <c r="ODB22"/>
      <c r="ODC22"/>
      <c r="ODD22"/>
      <c r="ODE22"/>
      <c r="ODF22"/>
      <c r="ODG22"/>
      <c r="ODH22"/>
      <c r="ODI22"/>
      <c r="ODJ22"/>
      <c r="ODK22"/>
      <c r="ODL22"/>
      <c r="ODM22"/>
      <c r="ODN22"/>
      <c r="ODO22"/>
      <c r="ODP22"/>
      <c r="ODQ22"/>
      <c r="ODR22"/>
      <c r="ODS22"/>
      <c r="ODT22"/>
      <c r="ODU22"/>
      <c r="ODV22"/>
      <c r="ODW22"/>
      <c r="ODX22"/>
      <c r="ODY22"/>
      <c r="ODZ22"/>
      <c r="OEA22"/>
      <c r="OEB22"/>
      <c r="OEC22"/>
      <c r="OED22"/>
      <c r="OEE22"/>
      <c r="OEF22"/>
      <c r="OEG22"/>
      <c r="OEH22"/>
      <c r="OEI22"/>
      <c r="OEJ22"/>
      <c r="OEK22"/>
      <c r="OEL22"/>
      <c r="OEM22"/>
      <c r="OEN22"/>
      <c r="OEO22"/>
      <c r="OEP22"/>
      <c r="OEQ22"/>
      <c r="OER22"/>
      <c r="OES22"/>
      <c r="OET22"/>
      <c r="OEU22"/>
      <c r="OEV22"/>
      <c r="OEW22"/>
      <c r="OEX22"/>
      <c r="OEY22"/>
      <c r="OEZ22"/>
      <c r="OFA22"/>
      <c r="OFB22"/>
      <c r="OFC22"/>
      <c r="OFD22"/>
      <c r="OFE22"/>
      <c r="OFF22"/>
      <c r="OFG22"/>
      <c r="OFH22"/>
      <c r="OFI22"/>
      <c r="OFJ22"/>
      <c r="OFK22"/>
      <c r="OFL22"/>
      <c r="OFM22"/>
      <c r="OFN22"/>
      <c r="OFO22"/>
      <c r="OFP22"/>
      <c r="OFQ22"/>
      <c r="OFR22"/>
      <c r="OFS22"/>
      <c r="OFT22"/>
      <c r="OFU22"/>
      <c r="OFV22"/>
      <c r="OFW22"/>
      <c r="OFX22"/>
      <c r="OFY22"/>
      <c r="OFZ22"/>
      <c r="OGA22"/>
      <c r="OGB22"/>
      <c r="OGC22"/>
      <c r="OGD22"/>
      <c r="OGE22"/>
      <c r="OGF22"/>
      <c r="OGG22"/>
      <c r="OGH22"/>
      <c r="OGI22"/>
      <c r="OGJ22"/>
      <c r="OGK22"/>
      <c r="OGL22"/>
      <c r="OGM22"/>
      <c r="OGN22"/>
      <c r="OGO22"/>
      <c r="OGP22"/>
      <c r="OGQ22"/>
      <c r="OGR22"/>
      <c r="OGS22"/>
      <c r="OGT22"/>
      <c r="OGU22"/>
      <c r="OGV22"/>
      <c r="OGW22"/>
      <c r="OGX22"/>
      <c r="OGY22"/>
      <c r="OGZ22"/>
      <c r="OHA22"/>
      <c r="OHB22"/>
      <c r="OHC22"/>
      <c r="OHD22"/>
      <c r="OHE22"/>
      <c r="OHF22"/>
      <c r="OHG22"/>
      <c r="OHH22"/>
      <c r="OHI22"/>
      <c r="OHJ22"/>
      <c r="OHK22"/>
      <c r="OHL22"/>
      <c r="OHM22"/>
      <c r="OHN22"/>
      <c r="OHO22"/>
      <c r="OHP22"/>
      <c r="OHQ22"/>
      <c r="OHR22"/>
      <c r="OHS22"/>
      <c r="OHT22"/>
      <c r="OHU22"/>
      <c r="OHV22"/>
      <c r="OHW22"/>
      <c r="OHX22"/>
      <c r="OHY22"/>
      <c r="OHZ22"/>
      <c r="OIA22"/>
      <c r="OIB22"/>
      <c r="OIC22"/>
      <c r="OID22"/>
      <c r="OIE22"/>
      <c r="OIF22"/>
      <c r="OIG22"/>
      <c r="OIH22"/>
      <c r="OII22"/>
      <c r="OIJ22"/>
      <c r="OIK22"/>
      <c r="OIL22"/>
      <c r="OIM22"/>
      <c r="OIN22"/>
      <c r="OIO22"/>
      <c r="OIP22"/>
      <c r="OIQ22"/>
      <c r="OIR22"/>
      <c r="OIS22"/>
      <c r="OIT22"/>
      <c r="OIU22"/>
      <c r="OIV22"/>
      <c r="OIW22"/>
      <c r="OIX22"/>
      <c r="OIY22"/>
      <c r="OIZ22"/>
      <c r="OJA22"/>
      <c r="OJB22"/>
      <c r="OJC22"/>
      <c r="OJD22"/>
      <c r="OJE22"/>
      <c r="OJF22"/>
      <c r="OJG22"/>
      <c r="OJH22"/>
      <c r="OJI22"/>
      <c r="OJJ22"/>
      <c r="OJK22"/>
      <c r="OJL22"/>
      <c r="OJM22"/>
      <c r="OJN22"/>
      <c r="OJO22"/>
      <c r="OJP22"/>
      <c r="OJQ22"/>
      <c r="OJR22"/>
      <c r="OJS22"/>
      <c r="OJT22"/>
      <c r="OJU22"/>
      <c r="OJV22"/>
      <c r="OJW22"/>
      <c r="OJX22"/>
      <c r="OJY22"/>
      <c r="OJZ22"/>
      <c r="OKA22"/>
      <c r="OKB22"/>
      <c r="OKC22"/>
      <c r="OKD22"/>
      <c r="OKE22"/>
      <c r="OKF22"/>
      <c r="OKG22"/>
      <c r="OKH22"/>
      <c r="OKI22"/>
      <c r="OKJ22"/>
      <c r="OKK22"/>
      <c r="OKL22"/>
      <c r="OKM22"/>
      <c r="OKN22"/>
      <c r="OKO22"/>
      <c r="OKP22"/>
      <c r="OKQ22"/>
      <c r="OKR22"/>
      <c r="OKS22"/>
      <c r="OKT22"/>
      <c r="OKU22"/>
      <c r="OKV22"/>
      <c r="OKW22"/>
      <c r="OKX22"/>
      <c r="OKY22"/>
      <c r="OKZ22"/>
      <c r="OLA22"/>
      <c r="OLB22"/>
      <c r="OLC22"/>
      <c r="OLD22"/>
      <c r="OLE22"/>
      <c r="OLF22"/>
      <c r="OLG22"/>
      <c r="OLH22"/>
      <c r="OLI22"/>
      <c r="OLJ22"/>
      <c r="OLK22"/>
      <c r="OLL22"/>
      <c r="OLM22"/>
      <c r="OLN22"/>
      <c r="OLO22"/>
      <c r="OLP22"/>
      <c r="OLQ22"/>
      <c r="OLR22"/>
      <c r="OLS22"/>
      <c r="OLT22"/>
      <c r="OLU22"/>
      <c r="OLV22"/>
      <c r="OLW22"/>
      <c r="OLX22"/>
      <c r="OLY22"/>
      <c r="OLZ22"/>
      <c r="OMA22"/>
      <c r="OMB22"/>
      <c r="OMC22"/>
      <c r="OMD22"/>
      <c r="OME22"/>
      <c r="OMF22"/>
      <c r="OMG22"/>
      <c r="OMH22"/>
      <c r="OMI22"/>
      <c r="OMJ22"/>
      <c r="OMK22"/>
      <c r="OML22"/>
      <c r="OMM22"/>
      <c r="OMN22"/>
      <c r="OMO22"/>
      <c r="OMP22"/>
      <c r="OMQ22"/>
      <c r="OMR22"/>
      <c r="OMS22"/>
      <c r="OMT22"/>
      <c r="OMU22"/>
      <c r="OMV22"/>
      <c r="OMW22"/>
      <c r="OMX22"/>
      <c r="OMY22"/>
      <c r="OMZ22"/>
      <c r="ONA22"/>
      <c r="ONB22"/>
      <c r="ONC22"/>
      <c r="OND22"/>
      <c r="ONE22"/>
      <c r="ONF22"/>
      <c r="ONG22"/>
      <c r="ONH22"/>
      <c r="ONI22"/>
      <c r="ONJ22"/>
      <c r="ONK22"/>
      <c r="ONL22"/>
      <c r="ONM22"/>
      <c r="ONN22"/>
      <c r="ONO22"/>
      <c r="ONP22"/>
      <c r="ONQ22"/>
      <c r="ONR22"/>
      <c r="ONS22"/>
      <c r="ONT22"/>
      <c r="ONU22"/>
      <c r="ONV22"/>
      <c r="ONW22"/>
      <c r="ONX22"/>
      <c r="ONY22"/>
      <c r="ONZ22"/>
      <c r="OOA22"/>
      <c r="OOB22"/>
      <c r="OOC22"/>
      <c r="OOD22"/>
      <c r="OOE22"/>
      <c r="OOF22"/>
      <c r="OOG22"/>
      <c r="OOH22"/>
      <c r="OOI22"/>
      <c r="OOJ22"/>
      <c r="OOK22"/>
      <c r="OOL22"/>
      <c r="OOM22"/>
      <c r="OON22"/>
      <c r="OOO22"/>
      <c r="OOP22"/>
      <c r="OOQ22"/>
      <c r="OOR22"/>
      <c r="OOS22"/>
      <c r="OOT22"/>
      <c r="OOU22"/>
      <c r="OOV22"/>
      <c r="OOW22"/>
      <c r="OOX22"/>
      <c r="OOY22"/>
      <c r="OOZ22"/>
      <c r="OPA22"/>
      <c r="OPB22"/>
      <c r="OPC22"/>
      <c r="OPD22"/>
      <c r="OPE22"/>
      <c r="OPF22"/>
      <c r="OPG22"/>
      <c r="OPH22"/>
      <c r="OPI22"/>
      <c r="OPJ22"/>
      <c r="OPK22"/>
      <c r="OPL22"/>
      <c r="OPM22"/>
      <c r="OPN22"/>
      <c r="OPO22"/>
      <c r="OPP22"/>
      <c r="OPQ22"/>
      <c r="OPR22"/>
      <c r="OPS22"/>
      <c r="OPT22"/>
      <c r="OPU22"/>
      <c r="OPV22"/>
      <c r="OPW22"/>
      <c r="OPX22"/>
      <c r="OPY22"/>
      <c r="OPZ22"/>
      <c r="OQA22"/>
      <c r="OQB22"/>
      <c r="OQC22"/>
      <c r="OQD22"/>
      <c r="OQE22"/>
      <c r="OQF22"/>
      <c r="OQG22"/>
      <c r="OQH22"/>
      <c r="OQI22"/>
      <c r="OQJ22"/>
      <c r="OQK22"/>
      <c r="OQL22"/>
      <c r="OQM22"/>
      <c r="OQN22"/>
      <c r="OQO22"/>
      <c r="OQP22"/>
      <c r="OQQ22"/>
      <c r="OQR22"/>
      <c r="OQS22"/>
      <c r="OQT22"/>
      <c r="OQU22"/>
      <c r="OQV22"/>
      <c r="OQW22"/>
      <c r="OQX22"/>
      <c r="OQY22"/>
      <c r="OQZ22"/>
      <c r="ORA22"/>
      <c r="ORB22"/>
      <c r="ORC22"/>
      <c r="ORD22"/>
      <c r="ORE22"/>
      <c r="ORF22"/>
      <c r="ORG22"/>
      <c r="ORH22"/>
      <c r="ORI22"/>
      <c r="ORJ22"/>
      <c r="ORK22"/>
      <c r="ORL22"/>
      <c r="ORM22"/>
      <c r="ORN22"/>
      <c r="ORO22"/>
      <c r="ORP22"/>
      <c r="ORQ22"/>
      <c r="ORR22"/>
      <c r="ORS22"/>
      <c r="ORT22"/>
      <c r="ORU22"/>
      <c r="ORV22"/>
      <c r="ORW22"/>
      <c r="ORX22"/>
      <c r="ORY22"/>
      <c r="ORZ22"/>
      <c r="OSA22"/>
      <c r="OSB22"/>
      <c r="OSC22"/>
      <c r="OSD22"/>
      <c r="OSE22"/>
      <c r="OSF22"/>
      <c r="OSG22"/>
      <c r="OSH22"/>
      <c r="OSI22"/>
      <c r="OSJ22"/>
      <c r="OSK22"/>
      <c r="OSL22"/>
      <c r="OSM22"/>
      <c r="OSN22"/>
      <c r="OSO22"/>
      <c r="OSP22"/>
      <c r="OSQ22"/>
      <c r="OSR22"/>
      <c r="OSS22"/>
      <c r="OST22"/>
      <c r="OSU22"/>
      <c r="OSV22"/>
      <c r="OSW22"/>
      <c r="OSX22"/>
      <c r="OSY22"/>
      <c r="OSZ22"/>
      <c r="OTA22"/>
      <c r="OTB22"/>
      <c r="OTC22"/>
      <c r="OTD22"/>
      <c r="OTE22"/>
      <c r="OTF22"/>
      <c r="OTG22"/>
      <c r="OTH22"/>
      <c r="OTI22"/>
      <c r="OTJ22"/>
      <c r="OTK22"/>
      <c r="OTL22"/>
      <c r="OTM22"/>
      <c r="OTN22"/>
      <c r="OTO22"/>
      <c r="OTP22"/>
      <c r="OTQ22"/>
      <c r="OTR22"/>
      <c r="OTS22"/>
      <c r="OTT22"/>
      <c r="OTU22"/>
      <c r="OTV22"/>
      <c r="OTW22"/>
      <c r="OTX22"/>
      <c r="OTY22"/>
      <c r="OTZ22"/>
      <c r="OUA22"/>
      <c r="OUB22"/>
      <c r="OUC22"/>
      <c r="OUD22"/>
      <c r="OUE22"/>
      <c r="OUF22"/>
      <c r="OUG22"/>
      <c r="OUH22"/>
      <c r="OUI22"/>
      <c r="OUJ22"/>
      <c r="OUK22"/>
      <c r="OUL22"/>
      <c r="OUM22"/>
      <c r="OUN22"/>
      <c r="OUO22"/>
      <c r="OUP22"/>
      <c r="OUQ22"/>
      <c r="OUR22"/>
      <c r="OUS22"/>
      <c r="OUT22"/>
      <c r="OUU22"/>
      <c r="OUV22"/>
      <c r="OUW22"/>
      <c r="OUX22"/>
      <c r="OUY22"/>
      <c r="OUZ22"/>
      <c r="OVA22"/>
      <c r="OVB22"/>
      <c r="OVC22"/>
      <c r="OVD22"/>
      <c r="OVE22"/>
      <c r="OVF22"/>
      <c r="OVG22"/>
      <c r="OVH22"/>
      <c r="OVI22"/>
      <c r="OVJ22"/>
      <c r="OVK22"/>
      <c r="OVL22"/>
      <c r="OVM22"/>
      <c r="OVN22"/>
      <c r="OVO22"/>
      <c r="OVP22"/>
      <c r="OVQ22"/>
      <c r="OVR22"/>
      <c r="OVS22"/>
      <c r="OVT22"/>
      <c r="OVU22"/>
      <c r="OVV22"/>
      <c r="OVW22"/>
      <c r="OVX22"/>
      <c r="OVY22"/>
      <c r="OVZ22"/>
      <c r="OWA22"/>
      <c r="OWB22"/>
      <c r="OWC22"/>
      <c r="OWD22"/>
      <c r="OWE22"/>
      <c r="OWF22"/>
      <c r="OWG22"/>
      <c r="OWH22"/>
      <c r="OWI22"/>
      <c r="OWJ22"/>
      <c r="OWK22"/>
      <c r="OWL22"/>
      <c r="OWM22"/>
      <c r="OWN22"/>
      <c r="OWO22"/>
      <c r="OWP22"/>
      <c r="OWQ22"/>
      <c r="OWR22"/>
      <c r="OWS22"/>
      <c r="OWT22"/>
      <c r="OWU22"/>
      <c r="OWV22"/>
      <c r="OWW22"/>
      <c r="OWX22"/>
      <c r="OWY22"/>
      <c r="OWZ22"/>
      <c r="OXA22"/>
      <c r="OXB22"/>
      <c r="OXC22"/>
      <c r="OXD22"/>
      <c r="OXE22"/>
      <c r="OXF22"/>
      <c r="OXG22"/>
      <c r="OXH22"/>
      <c r="OXI22"/>
      <c r="OXJ22"/>
      <c r="OXK22"/>
      <c r="OXL22"/>
      <c r="OXM22"/>
      <c r="OXN22"/>
      <c r="OXO22"/>
      <c r="OXP22"/>
      <c r="OXQ22"/>
      <c r="OXR22"/>
      <c r="OXS22"/>
      <c r="OXT22"/>
      <c r="OXU22"/>
      <c r="OXV22"/>
      <c r="OXW22"/>
      <c r="OXX22"/>
      <c r="OXY22"/>
      <c r="OXZ22"/>
      <c r="OYA22"/>
      <c r="OYB22"/>
      <c r="OYC22"/>
      <c r="OYD22"/>
      <c r="OYE22"/>
      <c r="OYF22"/>
      <c r="OYG22"/>
      <c r="OYH22"/>
      <c r="OYI22"/>
      <c r="OYJ22"/>
      <c r="OYK22"/>
      <c r="OYL22"/>
      <c r="OYM22"/>
      <c r="OYN22"/>
      <c r="OYO22"/>
      <c r="OYP22"/>
      <c r="OYQ22"/>
      <c r="OYR22"/>
      <c r="OYS22"/>
      <c r="OYT22"/>
      <c r="OYU22"/>
      <c r="OYV22"/>
      <c r="OYW22"/>
      <c r="OYX22"/>
      <c r="OYY22"/>
      <c r="OYZ22"/>
      <c r="OZA22"/>
      <c r="OZB22"/>
      <c r="OZC22"/>
      <c r="OZD22"/>
      <c r="OZE22"/>
      <c r="OZF22"/>
      <c r="OZG22"/>
      <c r="OZH22"/>
      <c r="OZI22"/>
      <c r="OZJ22"/>
      <c r="OZK22"/>
      <c r="OZL22"/>
      <c r="OZM22"/>
      <c r="OZN22"/>
      <c r="OZO22"/>
      <c r="OZP22"/>
      <c r="OZQ22"/>
      <c r="OZR22"/>
      <c r="OZS22"/>
      <c r="OZT22"/>
      <c r="OZU22"/>
      <c r="OZV22"/>
      <c r="OZW22"/>
      <c r="OZX22"/>
      <c r="OZY22"/>
      <c r="OZZ22"/>
      <c r="PAA22"/>
      <c r="PAB22"/>
      <c r="PAC22"/>
      <c r="PAD22"/>
      <c r="PAE22"/>
      <c r="PAF22"/>
      <c r="PAG22"/>
      <c r="PAH22"/>
      <c r="PAI22"/>
      <c r="PAJ22"/>
      <c r="PAK22"/>
      <c r="PAL22"/>
      <c r="PAM22"/>
      <c r="PAN22"/>
      <c r="PAO22"/>
      <c r="PAP22"/>
      <c r="PAQ22"/>
      <c r="PAR22"/>
      <c r="PAS22"/>
      <c r="PAT22"/>
      <c r="PAU22"/>
      <c r="PAV22"/>
      <c r="PAW22"/>
      <c r="PAX22"/>
      <c r="PAY22"/>
      <c r="PAZ22"/>
      <c r="PBA22"/>
      <c r="PBB22"/>
      <c r="PBC22"/>
      <c r="PBD22"/>
      <c r="PBE22"/>
      <c r="PBF22"/>
      <c r="PBG22"/>
      <c r="PBH22"/>
      <c r="PBI22"/>
      <c r="PBJ22"/>
      <c r="PBK22"/>
      <c r="PBL22"/>
      <c r="PBM22"/>
      <c r="PBN22"/>
      <c r="PBO22"/>
      <c r="PBP22"/>
      <c r="PBQ22"/>
      <c r="PBR22"/>
      <c r="PBS22"/>
      <c r="PBT22"/>
      <c r="PBU22"/>
      <c r="PBV22"/>
      <c r="PBW22"/>
      <c r="PBX22"/>
      <c r="PBY22"/>
      <c r="PBZ22"/>
      <c r="PCA22"/>
      <c r="PCB22"/>
      <c r="PCC22"/>
      <c r="PCD22"/>
      <c r="PCE22"/>
      <c r="PCF22"/>
      <c r="PCG22"/>
      <c r="PCH22"/>
      <c r="PCI22"/>
      <c r="PCJ22"/>
      <c r="PCK22"/>
      <c r="PCL22"/>
      <c r="PCM22"/>
      <c r="PCN22"/>
      <c r="PCO22"/>
      <c r="PCP22"/>
      <c r="PCQ22"/>
      <c r="PCR22"/>
      <c r="PCS22"/>
      <c r="PCT22"/>
      <c r="PCU22"/>
      <c r="PCV22"/>
      <c r="PCW22"/>
      <c r="PCX22"/>
      <c r="PCY22"/>
      <c r="PCZ22"/>
      <c r="PDA22"/>
      <c r="PDB22"/>
      <c r="PDC22"/>
      <c r="PDD22"/>
      <c r="PDE22"/>
      <c r="PDF22"/>
      <c r="PDG22"/>
      <c r="PDH22"/>
      <c r="PDI22"/>
      <c r="PDJ22"/>
      <c r="PDK22"/>
      <c r="PDL22"/>
      <c r="PDM22"/>
      <c r="PDN22"/>
      <c r="PDO22"/>
      <c r="PDP22"/>
      <c r="PDQ22"/>
      <c r="PDR22"/>
      <c r="PDS22"/>
      <c r="PDT22"/>
      <c r="PDU22"/>
      <c r="PDV22"/>
      <c r="PDW22"/>
      <c r="PDX22"/>
      <c r="PDY22"/>
      <c r="PDZ22"/>
      <c r="PEA22"/>
      <c r="PEB22"/>
      <c r="PEC22"/>
      <c r="PED22"/>
      <c r="PEE22"/>
      <c r="PEF22"/>
      <c r="PEG22"/>
      <c r="PEH22"/>
      <c r="PEI22"/>
      <c r="PEJ22"/>
      <c r="PEK22"/>
      <c r="PEL22"/>
      <c r="PEM22"/>
      <c r="PEN22"/>
      <c r="PEO22"/>
      <c r="PEP22"/>
      <c r="PEQ22"/>
      <c r="PER22"/>
      <c r="PES22"/>
      <c r="PET22"/>
      <c r="PEU22"/>
      <c r="PEV22"/>
      <c r="PEW22"/>
      <c r="PEX22"/>
      <c r="PEY22"/>
      <c r="PEZ22"/>
      <c r="PFA22"/>
      <c r="PFB22"/>
      <c r="PFC22"/>
      <c r="PFD22"/>
      <c r="PFE22"/>
      <c r="PFF22"/>
      <c r="PFG22"/>
      <c r="PFH22"/>
      <c r="PFI22"/>
      <c r="PFJ22"/>
      <c r="PFK22"/>
      <c r="PFL22"/>
      <c r="PFM22"/>
      <c r="PFN22"/>
      <c r="PFO22"/>
      <c r="PFP22"/>
      <c r="PFQ22"/>
      <c r="PFR22"/>
      <c r="PFS22"/>
      <c r="PFT22"/>
      <c r="PFU22"/>
      <c r="PFV22"/>
      <c r="PFW22"/>
      <c r="PFX22"/>
      <c r="PFY22"/>
      <c r="PFZ22"/>
      <c r="PGA22"/>
      <c r="PGB22"/>
      <c r="PGC22"/>
      <c r="PGD22"/>
      <c r="PGE22"/>
      <c r="PGF22"/>
      <c r="PGG22"/>
      <c r="PGH22"/>
      <c r="PGI22"/>
      <c r="PGJ22"/>
      <c r="PGK22"/>
      <c r="PGL22"/>
      <c r="PGM22"/>
      <c r="PGN22"/>
      <c r="PGO22"/>
      <c r="PGP22"/>
      <c r="PGQ22"/>
      <c r="PGR22"/>
      <c r="PGS22"/>
      <c r="PGT22"/>
      <c r="PGU22"/>
      <c r="PGV22"/>
      <c r="PGW22"/>
      <c r="PGX22"/>
      <c r="PGY22"/>
      <c r="PGZ22"/>
      <c r="PHA22"/>
      <c r="PHB22"/>
      <c r="PHC22"/>
      <c r="PHD22"/>
      <c r="PHE22"/>
      <c r="PHF22"/>
      <c r="PHG22"/>
      <c r="PHH22"/>
      <c r="PHI22"/>
      <c r="PHJ22"/>
      <c r="PHK22"/>
      <c r="PHL22"/>
      <c r="PHM22"/>
      <c r="PHN22"/>
      <c r="PHO22"/>
      <c r="PHP22"/>
      <c r="PHQ22"/>
      <c r="PHR22"/>
      <c r="PHS22"/>
      <c r="PHT22"/>
      <c r="PHU22"/>
      <c r="PHV22"/>
      <c r="PHW22"/>
      <c r="PHX22"/>
      <c r="PHY22"/>
      <c r="PHZ22"/>
      <c r="PIA22"/>
      <c r="PIB22"/>
      <c r="PIC22"/>
      <c r="PID22"/>
      <c r="PIE22"/>
      <c r="PIF22"/>
      <c r="PIG22"/>
      <c r="PIH22"/>
      <c r="PII22"/>
      <c r="PIJ22"/>
      <c r="PIK22"/>
      <c r="PIL22"/>
      <c r="PIM22"/>
      <c r="PIN22"/>
      <c r="PIO22"/>
      <c r="PIP22"/>
      <c r="PIQ22"/>
      <c r="PIR22"/>
      <c r="PIS22"/>
      <c r="PIT22"/>
      <c r="PIU22"/>
      <c r="PIV22"/>
      <c r="PIW22"/>
      <c r="PIX22"/>
      <c r="PIY22"/>
      <c r="PIZ22"/>
      <c r="PJA22"/>
      <c r="PJB22"/>
      <c r="PJC22"/>
      <c r="PJD22"/>
      <c r="PJE22"/>
      <c r="PJF22"/>
      <c r="PJG22"/>
      <c r="PJH22"/>
      <c r="PJI22"/>
      <c r="PJJ22"/>
      <c r="PJK22"/>
      <c r="PJL22"/>
      <c r="PJM22"/>
      <c r="PJN22"/>
      <c r="PJO22"/>
      <c r="PJP22"/>
      <c r="PJQ22"/>
      <c r="PJR22"/>
      <c r="PJS22"/>
      <c r="PJT22"/>
      <c r="PJU22"/>
      <c r="PJV22"/>
      <c r="PJW22"/>
      <c r="PJX22"/>
      <c r="PJY22"/>
      <c r="PJZ22"/>
      <c r="PKA22"/>
      <c r="PKB22"/>
      <c r="PKC22"/>
      <c r="PKD22"/>
      <c r="PKE22"/>
      <c r="PKF22"/>
      <c r="PKG22"/>
      <c r="PKH22"/>
      <c r="PKI22"/>
      <c r="PKJ22"/>
      <c r="PKK22"/>
      <c r="PKL22"/>
      <c r="PKM22"/>
      <c r="PKN22"/>
      <c r="PKO22"/>
      <c r="PKP22"/>
      <c r="PKQ22"/>
      <c r="PKR22"/>
      <c r="PKS22"/>
      <c r="PKT22"/>
      <c r="PKU22"/>
      <c r="PKV22"/>
      <c r="PKW22"/>
      <c r="PKX22"/>
      <c r="PKY22"/>
      <c r="PKZ22"/>
      <c r="PLA22"/>
      <c r="PLB22"/>
      <c r="PLC22"/>
      <c r="PLD22"/>
      <c r="PLE22"/>
      <c r="PLF22"/>
      <c r="PLG22"/>
      <c r="PLH22"/>
      <c r="PLI22"/>
      <c r="PLJ22"/>
      <c r="PLK22"/>
      <c r="PLL22"/>
      <c r="PLM22"/>
      <c r="PLN22"/>
      <c r="PLO22"/>
      <c r="PLP22"/>
      <c r="PLQ22"/>
      <c r="PLR22"/>
      <c r="PLS22"/>
      <c r="PLT22"/>
      <c r="PLU22"/>
      <c r="PLV22"/>
      <c r="PLW22"/>
      <c r="PLX22"/>
      <c r="PLY22"/>
      <c r="PLZ22"/>
      <c r="PMA22"/>
      <c r="PMB22"/>
      <c r="PMC22"/>
      <c r="PMD22"/>
      <c r="PME22"/>
      <c r="PMF22"/>
      <c r="PMG22"/>
      <c r="PMH22"/>
      <c r="PMI22"/>
      <c r="PMJ22"/>
      <c r="PMK22"/>
      <c r="PML22"/>
      <c r="PMM22"/>
      <c r="PMN22"/>
      <c r="PMO22"/>
      <c r="PMP22"/>
      <c r="PMQ22"/>
      <c r="PMR22"/>
      <c r="PMS22"/>
      <c r="PMT22"/>
      <c r="PMU22"/>
      <c r="PMV22"/>
      <c r="PMW22"/>
      <c r="PMX22"/>
      <c r="PMY22"/>
      <c r="PMZ22"/>
      <c r="PNA22"/>
      <c r="PNB22"/>
      <c r="PNC22"/>
      <c r="PND22"/>
      <c r="PNE22"/>
      <c r="PNF22"/>
      <c r="PNG22"/>
      <c r="PNH22"/>
      <c r="PNI22"/>
      <c r="PNJ22"/>
      <c r="PNK22"/>
      <c r="PNL22"/>
      <c r="PNM22"/>
      <c r="PNN22"/>
      <c r="PNO22"/>
      <c r="PNP22"/>
      <c r="PNQ22"/>
      <c r="PNR22"/>
      <c r="PNS22"/>
      <c r="PNT22"/>
      <c r="PNU22"/>
      <c r="PNV22"/>
      <c r="PNW22"/>
      <c r="PNX22"/>
      <c r="PNY22"/>
      <c r="PNZ22"/>
      <c r="POA22"/>
      <c r="POB22"/>
      <c r="POC22"/>
      <c r="POD22"/>
      <c r="POE22"/>
      <c r="POF22"/>
      <c r="POG22"/>
      <c r="POH22"/>
      <c r="POI22"/>
      <c r="POJ22"/>
      <c r="POK22"/>
      <c r="POL22"/>
      <c r="POM22"/>
      <c r="PON22"/>
      <c r="POO22"/>
      <c r="POP22"/>
      <c r="POQ22"/>
      <c r="POR22"/>
      <c r="POS22"/>
      <c r="POT22"/>
      <c r="POU22"/>
      <c r="POV22"/>
      <c r="POW22"/>
      <c r="POX22"/>
      <c r="POY22"/>
      <c r="POZ22"/>
      <c r="PPA22"/>
      <c r="PPB22"/>
      <c r="PPC22"/>
      <c r="PPD22"/>
      <c r="PPE22"/>
      <c r="PPF22"/>
      <c r="PPG22"/>
      <c r="PPH22"/>
      <c r="PPI22"/>
      <c r="PPJ22"/>
      <c r="PPK22"/>
      <c r="PPL22"/>
      <c r="PPM22"/>
      <c r="PPN22"/>
      <c r="PPO22"/>
      <c r="PPP22"/>
      <c r="PPQ22"/>
      <c r="PPR22"/>
      <c r="PPS22"/>
      <c r="PPT22"/>
      <c r="PPU22"/>
      <c r="PPV22"/>
      <c r="PPW22"/>
      <c r="PPX22"/>
      <c r="PPY22"/>
      <c r="PPZ22"/>
      <c r="PQA22"/>
      <c r="PQB22"/>
      <c r="PQC22"/>
      <c r="PQD22"/>
      <c r="PQE22"/>
      <c r="PQF22"/>
      <c r="PQG22"/>
      <c r="PQH22"/>
      <c r="PQI22"/>
      <c r="PQJ22"/>
      <c r="PQK22"/>
      <c r="PQL22"/>
      <c r="PQM22"/>
      <c r="PQN22"/>
      <c r="PQO22"/>
      <c r="PQP22"/>
      <c r="PQQ22"/>
      <c r="PQR22"/>
      <c r="PQS22"/>
      <c r="PQT22"/>
      <c r="PQU22"/>
      <c r="PQV22"/>
      <c r="PQW22"/>
      <c r="PQX22"/>
      <c r="PQY22"/>
      <c r="PQZ22"/>
      <c r="PRA22"/>
      <c r="PRB22"/>
      <c r="PRC22"/>
      <c r="PRD22"/>
      <c r="PRE22"/>
      <c r="PRF22"/>
      <c r="PRG22"/>
      <c r="PRH22"/>
      <c r="PRI22"/>
      <c r="PRJ22"/>
      <c r="PRK22"/>
      <c r="PRL22"/>
      <c r="PRM22"/>
      <c r="PRN22"/>
      <c r="PRO22"/>
      <c r="PRP22"/>
      <c r="PRQ22"/>
      <c r="PRR22"/>
      <c r="PRS22"/>
      <c r="PRT22"/>
      <c r="PRU22"/>
      <c r="PRV22"/>
      <c r="PRW22"/>
      <c r="PRX22"/>
      <c r="PRY22"/>
      <c r="PRZ22"/>
      <c r="PSA22"/>
      <c r="PSB22"/>
      <c r="PSC22"/>
      <c r="PSD22"/>
      <c r="PSE22"/>
      <c r="PSF22"/>
      <c r="PSG22"/>
      <c r="PSH22"/>
      <c r="PSI22"/>
      <c r="PSJ22"/>
      <c r="PSK22"/>
      <c r="PSL22"/>
      <c r="PSM22"/>
      <c r="PSN22"/>
      <c r="PSO22"/>
      <c r="PSP22"/>
      <c r="PSQ22"/>
      <c r="PSR22"/>
      <c r="PSS22"/>
      <c r="PST22"/>
      <c r="PSU22"/>
      <c r="PSV22"/>
      <c r="PSW22"/>
      <c r="PSX22"/>
      <c r="PSY22"/>
      <c r="PSZ22"/>
      <c r="PTA22"/>
      <c r="PTB22"/>
      <c r="PTC22"/>
      <c r="PTD22"/>
      <c r="PTE22"/>
      <c r="PTF22"/>
      <c r="PTG22"/>
      <c r="PTH22"/>
      <c r="PTI22"/>
      <c r="PTJ22"/>
      <c r="PTK22"/>
      <c r="PTL22"/>
      <c r="PTM22"/>
      <c r="PTN22"/>
      <c r="PTO22"/>
      <c r="PTP22"/>
      <c r="PTQ22"/>
      <c r="PTR22"/>
      <c r="PTS22"/>
      <c r="PTT22"/>
      <c r="PTU22"/>
      <c r="PTV22"/>
      <c r="PTW22"/>
      <c r="PTX22"/>
      <c r="PTY22"/>
      <c r="PTZ22"/>
      <c r="PUA22"/>
      <c r="PUB22"/>
      <c r="PUC22"/>
      <c r="PUD22"/>
      <c r="PUE22"/>
      <c r="PUF22"/>
      <c r="PUG22"/>
      <c r="PUH22"/>
      <c r="PUI22"/>
      <c r="PUJ22"/>
      <c r="PUK22"/>
      <c r="PUL22"/>
      <c r="PUM22"/>
      <c r="PUN22"/>
      <c r="PUO22"/>
      <c r="PUP22"/>
      <c r="PUQ22"/>
      <c r="PUR22"/>
      <c r="PUS22"/>
      <c r="PUT22"/>
      <c r="PUU22"/>
      <c r="PUV22"/>
      <c r="PUW22"/>
      <c r="PUX22"/>
      <c r="PUY22"/>
      <c r="PUZ22"/>
      <c r="PVA22"/>
      <c r="PVB22"/>
      <c r="PVC22"/>
      <c r="PVD22"/>
      <c r="PVE22"/>
      <c r="PVF22"/>
      <c r="PVG22"/>
      <c r="PVH22"/>
      <c r="PVI22"/>
      <c r="PVJ22"/>
      <c r="PVK22"/>
      <c r="PVL22"/>
      <c r="PVM22"/>
      <c r="PVN22"/>
      <c r="PVO22"/>
      <c r="PVP22"/>
      <c r="PVQ22"/>
      <c r="PVR22"/>
      <c r="PVS22"/>
      <c r="PVT22"/>
      <c r="PVU22"/>
      <c r="PVV22"/>
      <c r="PVW22"/>
      <c r="PVX22"/>
      <c r="PVY22"/>
      <c r="PVZ22"/>
      <c r="PWA22"/>
      <c r="PWB22"/>
      <c r="PWC22"/>
      <c r="PWD22"/>
      <c r="PWE22"/>
      <c r="PWF22"/>
      <c r="PWG22"/>
      <c r="PWH22"/>
      <c r="PWI22"/>
      <c r="PWJ22"/>
      <c r="PWK22"/>
      <c r="PWL22"/>
      <c r="PWM22"/>
      <c r="PWN22"/>
      <c r="PWO22"/>
      <c r="PWP22"/>
      <c r="PWQ22"/>
      <c r="PWR22"/>
      <c r="PWS22"/>
      <c r="PWT22"/>
      <c r="PWU22"/>
      <c r="PWV22"/>
      <c r="PWW22"/>
      <c r="PWX22"/>
      <c r="PWY22"/>
      <c r="PWZ22"/>
      <c r="PXA22"/>
      <c r="PXB22"/>
      <c r="PXC22"/>
      <c r="PXD22"/>
      <c r="PXE22"/>
      <c r="PXF22"/>
      <c r="PXG22"/>
      <c r="PXH22"/>
      <c r="PXI22"/>
      <c r="PXJ22"/>
      <c r="PXK22"/>
      <c r="PXL22"/>
      <c r="PXM22"/>
      <c r="PXN22"/>
      <c r="PXO22"/>
      <c r="PXP22"/>
      <c r="PXQ22"/>
      <c r="PXR22"/>
      <c r="PXS22"/>
      <c r="PXT22"/>
      <c r="PXU22"/>
      <c r="PXV22"/>
      <c r="PXW22"/>
      <c r="PXX22"/>
      <c r="PXY22"/>
      <c r="PXZ22"/>
      <c r="PYA22"/>
      <c r="PYB22"/>
      <c r="PYC22"/>
      <c r="PYD22"/>
      <c r="PYE22"/>
      <c r="PYF22"/>
      <c r="PYG22"/>
      <c r="PYH22"/>
      <c r="PYI22"/>
      <c r="PYJ22"/>
      <c r="PYK22"/>
      <c r="PYL22"/>
      <c r="PYM22"/>
      <c r="PYN22"/>
      <c r="PYO22"/>
      <c r="PYP22"/>
      <c r="PYQ22"/>
      <c r="PYR22"/>
      <c r="PYS22"/>
      <c r="PYT22"/>
      <c r="PYU22"/>
      <c r="PYV22"/>
      <c r="PYW22"/>
      <c r="PYX22"/>
      <c r="PYY22"/>
      <c r="PYZ22"/>
      <c r="PZA22"/>
      <c r="PZB22"/>
      <c r="PZC22"/>
      <c r="PZD22"/>
      <c r="PZE22"/>
      <c r="PZF22"/>
      <c r="PZG22"/>
      <c r="PZH22"/>
      <c r="PZI22"/>
      <c r="PZJ22"/>
      <c r="PZK22"/>
      <c r="PZL22"/>
      <c r="PZM22"/>
      <c r="PZN22"/>
      <c r="PZO22"/>
      <c r="PZP22"/>
      <c r="PZQ22"/>
      <c r="PZR22"/>
      <c r="PZS22"/>
      <c r="PZT22"/>
      <c r="PZU22"/>
      <c r="PZV22"/>
      <c r="PZW22"/>
      <c r="PZX22"/>
      <c r="PZY22"/>
      <c r="PZZ22"/>
      <c r="QAA22"/>
      <c r="QAB22"/>
      <c r="QAC22"/>
      <c r="QAD22"/>
      <c r="QAE22"/>
      <c r="QAF22"/>
      <c r="QAG22"/>
      <c r="QAH22"/>
      <c r="QAI22"/>
      <c r="QAJ22"/>
      <c r="QAK22"/>
      <c r="QAL22"/>
      <c r="QAM22"/>
      <c r="QAN22"/>
      <c r="QAO22"/>
      <c r="QAP22"/>
      <c r="QAQ22"/>
      <c r="QAR22"/>
      <c r="QAS22"/>
      <c r="QAT22"/>
      <c r="QAU22"/>
      <c r="QAV22"/>
      <c r="QAW22"/>
      <c r="QAX22"/>
      <c r="QAY22"/>
      <c r="QAZ22"/>
      <c r="QBA22"/>
      <c r="QBB22"/>
      <c r="QBC22"/>
      <c r="QBD22"/>
      <c r="QBE22"/>
      <c r="QBF22"/>
      <c r="QBG22"/>
      <c r="QBH22"/>
      <c r="QBI22"/>
      <c r="QBJ22"/>
      <c r="QBK22"/>
      <c r="QBL22"/>
      <c r="QBM22"/>
      <c r="QBN22"/>
      <c r="QBO22"/>
      <c r="QBP22"/>
      <c r="QBQ22"/>
      <c r="QBR22"/>
      <c r="QBS22"/>
      <c r="QBT22"/>
      <c r="QBU22"/>
      <c r="QBV22"/>
      <c r="QBW22"/>
      <c r="QBX22"/>
      <c r="QBY22"/>
      <c r="QBZ22"/>
      <c r="QCA22"/>
      <c r="QCB22"/>
      <c r="QCC22"/>
      <c r="QCD22"/>
      <c r="QCE22"/>
      <c r="QCF22"/>
      <c r="QCG22"/>
      <c r="QCH22"/>
      <c r="QCI22"/>
      <c r="QCJ22"/>
      <c r="QCK22"/>
      <c r="QCL22"/>
      <c r="QCM22"/>
      <c r="QCN22"/>
      <c r="QCO22"/>
      <c r="QCP22"/>
      <c r="QCQ22"/>
      <c r="QCR22"/>
      <c r="QCS22"/>
      <c r="QCT22"/>
      <c r="QCU22"/>
      <c r="QCV22"/>
      <c r="QCW22"/>
      <c r="QCX22"/>
      <c r="QCY22"/>
      <c r="QCZ22"/>
      <c r="QDA22"/>
      <c r="QDB22"/>
      <c r="QDC22"/>
      <c r="QDD22"/>
      <c r="QDE22"/>
      <c r="QDF22"/>
      <c r="QDG22"/>
      <c r="QDH22"/>
      <c r="QDI22"/>
      <c r="QDJ22"/>
      <c r="QDK22"/>
      <c r="QDL22"/>
      <c r="QDM22"/>
      <c r="QDN22"/>
      <c r="QDO22"/>
      <c r="QDP22"/>
      <c r="QDQ22"/>
      <c r="QDR22"/>
      <c r="QDS22"/>
      <c r="QDT22"/>
      <c r="QDU22"/>
      <c r="QDV22"/>
      <c r="QDW22"/>
      <c r="QDX22"/>
      <c r="QDY22"/>
      <c r="QDZ22"/>
      <c r="QEA22"/>
      <c r="QEB22"/>
      <c r="QEC22"/>
      <c r="QED22"/>
      <c r="QEE22"/>
      <c r="QEF22"/>
      <c r="QEG22"/>
      <c r="QEH22"/>
      <c r="QEI22"/>
      <c r="QEJ22"/>
      <c r="QEK22"/>
      <c r="QEL22"/>
      <c r="QEM22"/>
      <c r="QEN22"/>
      <c r="QEO22"/>
      <c r="QEP22"/>
      <c r="QEQ22"/>
      <c r="QER22"/>
      <c r="QES22"/>
      <c r="QET22"/>
      <c r="QEU22"/>
      <c r="QEV22"/>
      <c r="QEW22"/>
      <c r="QEX22"/>
      <c r="QEY22"/>
      <c r="QEZ22"/>
      <c r="QFA22"/>
      <c r="QFB22"/>
      <c r="QFC22"/>
      <c r="QFD22"/>
      <c r="QFE22"/>
      <c r="QFF22"/>
      <c r="QFG22"/>
      <c r="QFH22"/>
      <c r="QFI22"/>
      <c r="QFJ22"/>
      <c r="QFK22"/>
      <c r="QFL22"/>
      <c r="QFM22"/>
      <c r="QFN22"/>
      <c r="QFO22"/>
      <c r="QFP22"/>
      <c r="QFQ22"/>
      <c r="QFR22"/>
      <c r="QFS22"/>
      <c r="QFT22"/>
      <c r="QFU22"/>
      <c r="QFV22"/>
      <c r="QFW22"/>
      <c r="QFX22"/>
      <c r="QFY22"/>
      <c r="QFZ22"/>
      <c r="QGA22"/>
      <c r="QGB22"/>
      <c r="QGC22"/>
      <c r="QGD22"/>
      <c r="QGE22"/>
      <c r="QGF22"/>
      <c r="QGG22"/>
      <c r="QGH22"/>
      <c r="QGI22"/>
      <c r="QGJ22"/>
      <c r="QGK22"/>
      <c r="QGL22"/>
      <c r="QGM22"/>
      <c r="QGN22"/>
      <c r="QGO22"/>
      <c r="QGP22"/>
      <c r="QGQ22"/>
      <c r="QGR22"/>
      <c r="QGS22"/>
      <c r="QGT22"/>
      <c r="QGU22"/>
      <c r="QGV22"/>
      <c r="QGW22"/>
      <c r="QGX22"/>
      <c r="QGY22"/>
      <c r="QGZ22"/>
      <c r="QHA22"/>
      <c r="QHB22"/>
      <c r="QHC22"/>
      <c r="QHD22"/>
      <c r="QHE22"/>
      <c r="QHF22"/>
      <c r="QHG22"/>
      <c r="QHH22"/>
      <c r="QHI22"/>
      <c r="QHJ22"/>
      <c r="QHK22"/>
      <c r="QHL22"/>
      <c r="QHM22"/>
      <c r="QHN22"/>
      <c r="QHO22"/>
      <c r="QHP22"/>
      <c r="QHQ22"/>
      <c r="QHR22"/>
      <c r="QHS22"/>
      <c r="QHT22"/>
      <c r="QHU22"/>
      <c r="QHV22"/>
      <c r="QHW22"/>
      <c r="QHX22"/>
      <c r="QHY22"/>
      <c r="QHZ22"/>
      <c r="QIA22"/>
      <c r="QIB22"/>
      <c r="QIC22"/>
      <c r="QID22"/>
      <c r="QIE22"/>
      <c r="QIF22"/>
      <c r="QIG22"/>
      <c r="QIH22"/>
      <c r="QII22"/>
      <c r="QIJ22"/>
      <c r="QIK22"/>
      <c r="QIL22"/>
      <c r="QIM22"/>
      <c r="QIN22"/>
      <c r="QIO22"/>
      <c r="QIP22"/>
      <c r="QIQ22"/>
      <c r="QIR22"/>
      <c r="QIS22"/>
      <c r="QIT22"/>
      <c r="QIU22"/>
      <c r="QIV22"/>
      <c r="QIW22"/>
      <c r="QIX22"/>
      <c r="QIY22"/>
      <c r="QIZ22"/>
      <c r="QJA22"/>
      <c r="QJB22"/>
      <c r="QJC22"/>
      <c r="QJD22"/>
      <c r="QJE22"/>
      <c r="QJF22"/>
      <c r="QJG22"/>
      <c r="QJH22"/>
      <c r="QJI22"/>
      <c r="QJJ22"/>
      <c r="QJK22"/>
      <c r="QJL22"/>
      <c r="QJM22"/>
      <c r="QJN22"/>
      <c r="QJO22"/>
      <c r="QJP22"/>
      <c r="QJQ22"/>
      <c r="QJR22"/>
      <c r="QJS22"/>
      <c r="QJT22"/>
      <c r="QJU22"/>
      <c r="QJV22"/>
      <c r="QJW22"/>
      <c r="QJX22"/>
      <c r="QJY22"/>
      <c r="QJZ22"/>
      <c r="QKA22"/>
      <c r="QKB22"/>
      <c r="QKC22"/>
      <c r="QKD22"/>
      <c r="QKE22"/>
      <c r="QKF22"/>
      <c r="QKG22"/>
      <c r="QKH22"/>
      <c r="QKI22"/>
      <c r="QKJ22"/>
      <c r="QKK22"/>
      <c r="QKL22"/>
      <c r="QKM22"/>
      <c r="QKN22"/>
      <c r="QKO22"/>
      <c r="QKP22"/>
      <c r="QKQ22"/>
      <c r="QKR22"/>
      <c r="QKS22"/>
      <c r="QKT22"/>
      <c r="QKU22"/>
      <c r="QKV22"/>
      <c r="QKW22"/>
      <c r="QKX22"/>
      <c r="QKY22"/>
      <c r="QKZ22"/>
      <c r="QLA22"/>
      <c r="QLB22"/>
      <c r="QLC22"/>
      <c r="QLD22"/>
      <c r="QLE22"/>
      <c r="QLF22"/>
      <c r="QLG22"/>
      <c r="QLH22"/>
      <c r="QLI22"/>
      <c r="QLJ22"/>
      <c r="QLK22"/>
      <c r="QLL22"/>
      <c r="QLM22"/>
      <c r="QLN22"/>
      <c r="QLO22"/>
      <c r="QLP22"/>
      <c r="QLQ22"/>
      <c r="QLR22"/>
      <c r="QLS22"/>
      <c r="QLT22"/>
      <c r="QLU22"/>
      <c r="QLV22"/>
      <c r="QLW22"/>
      <c r="QLX22"/>
      <c r="QLY22"/>
      <c r="QLZ22"/>
      <c r="QMA22"/>
      <c r="QMB22"/>
      <c r="QMC22"/>
      <c r="QMD22"/>
      <c r="QME22"/>
      <c r="QMF22"/>
      <c r="QMG22"/>
      <c r="QMH22"/>
      <c r="QMI22"/>
      <c r="QMJ22"/>
      <c r="QMK22"/>
      <c r="QML22"/>
      <c r="QMM22"/>
      <c r="QMN22"/>
      <c r="QMO22"/>
      <c r="QMP22"/>
      <c r="QMQ22"/>
      <c r="QMR22"/>
      <c r="QMS22"/>
      <c r="QMT22"/>
      <c r="QMU22"/>
      <c r="QMV22"/>
      <c r="QMW22"/>
      <c r="QMX22"/>
      <c r="QMY22"/>
      <c r="QMZ22"/>
      <c r="QNA22"/>
      <c r="QNB22"/>
      <c r="QNC22"/>
      <c r="QND22"/>
      <c r="QNE22"/>
      <c r="QNF22"/>
      <c r="QNG22"/>
      <c r="QNH22"/>
      <c r="QNI22"/>
      <c r="QNJ22"/>
      <c r="QNK22"/>
      <c r="QNL22"/>
      <c r="QNM22"/>
      <c r="QNN22"/>
      <c r="QNO22"/>
      <c r="QNP22"/>
      <c r="QNQ22"/>
      <c r="QNR22"/>
      <c r="QNS22"/>
      <c r="QNT22"/>
      <c r="QNU22"/>
      <c r="QNV22"/>
      <c r="QNW22"/>
      <c r="QNX22"/>
      <c r="QNY22"/>
      <c r="QNZ22"/>
      <c r="QOA22"/>
      <c r="QOB22"/>
      <c r="QOC22"/>
      <c r="QOD22"/>
      <c r="QOE22"/>
      <c r="QOF22"/>
      <c r="QOG22"/>
      <c r="QOH22"/>
      <c r="QOI22"/>
      <c r="QOJ22"/>
      <c r="QOK22"/>
      <c r="QOL22"/>
      <c r="QOM22"/>
      <c r="QON22"/>
      <c r="QOO22"/>
      <c r="QOP22"/>
      <c r="QOQ22"/>
      <c r="QOR22"/>
      <c r="QOS22"/>
      <c r="QOT22"/>
      <c r="QOU22"/>
      <c r="QOV22"/>
      <c r="QOW22"/>
      <c r="QOX22"/>
      <c r="QOY22"/>
      <c r="QOZ22"/>
      <c r="QPA22"/>
      <c r="QPB22"/>
      <c r="QPC22"/>
      <c r="QPD22"/>
      <c r="QPE22"/>
      <c r="QPF22"/>
      <c r="QPG22"/>
      <c r="QPH22"/>
      <c r="QPI22"/>
      <c r="QPJ22"/>
      <c r="QPK22"/>
      <c r="QPL22"/>
      <c r="QPM22"/>
      <c r="QPN22"/>
      <c r="QPO22"/>
      <c r="QPP22"/>
      <c r="QPQ22"/>
      <c r="QPR22"/>
      <c r="QPS22"/>
      <c r="QPT22"/>
      <c r="QPU22"/>
      <c r="QPV22"/>
      <c r="QPW22"/>
      <c r="QPX22"/>
      <c r="QPY22"/>
      <c r="QPZ22"/>
      <c r="QQA22"/>
      <c r="QQB22"/>
      <c r="QQC22"/>
      <c r="QQD22"/>
      <c r="QQE22"/>
      <c r="QQF22"/>
      <c r="QQG22"/>
      <c r="QQH22"/>
      <c r="QQI22"/>
      <c r="QQJ22"/>
      <c r="QQK22"/>
      <c r="QQL22"/>
      <c r="QQM22"/>
      <c r="QQN22"/>
      <c r="QQO22"/>
      <c r="QQP22"/>
      <c r="QQQ22"/>
      <c r="QQR22"/>
      <c r="QQS22"/>
      <c r="QQT22"/>
      <c r="QQU22"/>
      <c r="QQV22"/>
      <c r="QQW22"/>
      <c r="QQX22"/>
      <c r="QQY22"/>
      <c r="QQZ22"/>
      <c r="QRA22"/>
      <c r="QRB22"/>
      <c r="QRC22"/>
      <c r="QRD22"/>
      <c r="QRE22"/>
      <c r="QRF22"/>
      <c r="QRG22"/>
      <c r="QRH22"/>
      <c r="QRI22"/>
      <c r="QRJ22"/>
      <c r="QRK22"/>
      <c r="QRL22"/>
      <c r="QRM22"/>
      <c r="QRN22"/>
      <c r="QRO22"/>
      <c r="QRP22"/>
      <c r="QRQ22"/>
      <c r="QRR22"/>
      <c r="QRS22"/>
      <c r="QRT22"/>
      <c r="QRU22"/>
      <c r="QRV22"/>
      <c r="QRW22"/>
      <c r="QRX22"/>
      <c r="QRY22"/>
      <c r="QRZ22"/>
      <c r="QSA22"/>
      <c r="QSB22"/>
      <c r="QSC22"/>
      <c r="QSD22"/>
      <c r="QSE22"/>
      <c r="QSF22"/>
      <c r="QSG22"/>
      <c r="QSH22"/>
      <c r="QSI22"/>
      <c r="QSJ22"/>
      <c r="QSK22"/>
      <c r="QSL22"/>
      <c r="QSM22"/>
      <c r="QSN22"/>
      <c r="QSO22"/>
      <c r="QSP22"/>
      <c r="QSQ22"/>
      <c r="QSR22"/>
      <c r="QSS22"/>
      <c r="QST22"/>
      <c r="QSU22"/>
      <c r="QSV22"/>
      <c r="QSW22"/>
      <c r="QSX22"/>
      <c r="QSY22"/>
      <c r="QSZ22"/>
      <c r="QTA22"/>
      <c r="QTB22"/>
      <c r="QTC22"/>
      <c r="QTD22"/>
      <c r="QTE22"/>
      <c r="QTF22"/>
      <c r="QTG22"/>
      <c r="QTH22"/>
      <c r="QTI22"/>
      <c r="QTJ22"/>
      <c r="QTK22"/>
      <c r="QTL22"/>
      <c r="QTM22"/>
      <c r="QTN22"/>
      <c r="QTO22"/>
      <c r="QTP22"/>
      <c r="QTQ22"/>
      <c r="QTR22"/>
      <c r="QTS22"/>
      <c r="QTT22"/>
      <c r="QTU22"/>
      <c r="QTV22"/>
      <c r="QTW22"/>
      <c r="QTX22"/>
      <c r="QTY22"/>
      <c r="QTZ22"/>
      <c r="QUA22"/>
      <c r="QUB22"/>
      <c r="QUC22"/>
      <c r="QUD22"/>
      <c r="QUE22"/>
      <c r="QUF22"/>
      <c r="QUG22"/>
      <c r="QUH22"/>
      <c r="QUI22"/>
      <c r="QUJ22"/>
      <c r="QUK22"/>
      <c r="QUL22"/>
      <c r="QUM22"/>
      <c r="QUN22"/>
      <c r="QUO22"/>
      <c r="QUP22"/>
      <c r="QUQ22"/>
      <c r="QUR22"/>
      <c r="QUS22"/>
      <c r="QUT22"/>
      <c r="QUU22"/>
      <c r="QUV22"/>
      <c r="QUW22"/>
      <c r="QUX22"/>
      <c r="QUY22"/>
      <c r="QUZ22"/>
      <c r="QVA22"/>
      <c r="QVB22"/>
      <c r="QVC22"/>
      <c r="QVD22"/>
      <c r="QVE22"/>
      <c r="QVF22"/>
      <c r="QVG22"/>
      <c r="QVH22"/>
      <c r="QVI22"/>
      <c r="QVJ22"/>
      <c r="QVK22"/>
      <c r="QVL22"/>
      <c r="QVM22"/>
      <c r="QVN22"/>
      <c r="QVO22"/>
      <c r="QVP22"/>
      <c r="QVQ22"/>
      <c r="QVR22"/>
      <c r="QVS22"/>
      <c r="QVT22"/>
      <c r="QVU22"/>
      <c r="QVV22"/>
      <c r="QVW22"/>
      <c r="QVX22"/>
      <c r="QVY22"/>
      <c r="QVZ22"/>
      <c r="QWA22"/>
      <c r="QWB22"/>
      <c r="QWC22"/>
      <c r="QWD22"/>
      <c r="QWE22"/>
      <c r="QWF22"/>
      <c r="QWG22"/>
      <c r="QWH22"/>
      <c r="QWI22"/>
      <c r="QWJ22"/>
      <c r="QWK22"/>
      <c r="QWL22"/>
      <c r="QWM22"/>
      <c r="QWN22"/>
      <c r="QWO22"/>
      <c r="QWP22"/>
      <c r="QWQ22"/>
      <c r="QWR22"/>
      <c r="QWS22"/>
      <c r="QWT22"/>
      <c r="QWU22"/>
      <c r="QWV22"/>
      <c r="QWW22"/>
      <c r="QWX22"/>
      <c r="QWY22"/>
      <c r="QWZ22"/>
      <c r="QXA22"/>
      <c r="QXB22"/>
      <c r="QXC22"/>
      <c r="QXD22"/>
      <c r="QXE22"/>
      <c r="QXF22"/>
      <c r="QXG22"/>
      <c r="QXH22"/>
      <c r="QXI22"/>
      <c r="QXJ22"/>
      <c r="QXK22"/>
      <c r="QXL22"/>
      <c r="QXM22"/>
      <c r="QXN22"/>
      <c r="QXO22"/>
      <c r="QXP22"/>
      <c r="QXQ22"/>
      <c r="QXR22"/>
      <c r="QXS22"/>
      <c r="QXT22"/>
      <c r="QXU22"/>
      <c r="QXV22"/>
      <c r="QXW22"/>
      <c r="QXX22"/>
      <c r="QXY22"/>
      <c r="QXZ22"/>
      <c r="QYA22"/>
      <c r="QYB22"/>
      <c r="QYC22"/>
      <c r="QYD22"/>
      <c r="QYE22"/>
      <c r="QYF22"/>
      <c r="QYG22"/>
      <c r="QYH22"/>
      <c r="QYI22"/>
      <c r="QYJ22"/>
      <c r="QYK22"/>
      <c r="QYL22"/>
      <c r="QYM22"/>
      <c r="QYN22"/>
      <c r="QYO22"/>
      <c r="QYP22"/>
      <c r="QYQ22"/>
      <c r="QYR22"/>
      <c r="QYS22"/>
      <c r="QYT22"/>
      <c r="QYU22"/>
      <c r="QYV22"/>
      <c r="QYW22"/>
      <c r="QYX22"/>
      <c r="QYY22"/>
      <c r="QYZ22"/>
      <c r="QZA22"/>
      <c r="QZB22"/>
      <c r="QZC22"/>
      <c r="QZD22"/>
      <c r="QZE22"/>
      <c r="QZF22"/>
      <c r="QZG22"/>
      <c r="QZH22"/>
      <c r="QZI22"/>
      <c r="QZJ22"/>
      <c r="QZK22"/>
      <c r="QZL22"/>
      <c r="QZM22"/>
      <c r="QZN22"/>
      <c r="QZO22"/>
      <c r="QZP22"/>
      <c r="QZQ22"/>
      <c r="QZR22"/>
      <c r="QZS22"/>
      <c r="QZT22"/>
      <c r="QZU22"/>
      <c r="QZV22"/>
      <c r="QZW22"/>
      <c r="QZX22"/>
      <c r="QZY22"/>
      <c r="QZZ22"/>
      <c r="RAA22"/>
      <c r="RAB22"/>
      <c r="RAC22"/>
      <c r="RAD22"/>
      <c r="RAE22"/>
      <c r="RAF22"/>
      <c r="RAG22"/>
      <c r="RAH22"/>
      <c r="RAI22"/>
      <c r="RAJ22"/>
      <c r="RAK22"/>
      <c r="RAL22"/>
      <c r="RAM22"/>
      <c r="RAN22"/>
      <c r="RAO22"/>
      <c r="RAP22"/>
      <c r="RAQ22"/>
      <c r="RAR22"/>
      <c r="RAS22"/>
      <c r="RAT22"/>
      <c r="RAU22"/>
      <c r="RAV22"/>
      <c r="RAW22"/>
      <c r="RAX22"/>
      <c r="RAY22"/>
      <c r="RAZ22"/>
      <c r="RBA22"/>
      <c r="RBB22"/>
      <c r="RBC22"/>
      <c r="RBD22"/>
      <c r="RBE22"/>
      <c r="RBF22"/>
      <c r="RBG22"/>
      <c r="RBH22"/>
      <c r="RBI22"/>
      <c r="RBJ22"/>
      <c r="RBK22"/>
      <c r="RBL22"/>
      <c r="RBM22"/>
      <c r="RBN22"/>
      <c r="RBO22"/>
      <c r="RBP22"/>
      <c r="RBQ22"/>
      <c r="RBR22"/>
      <c r="RBS22"/>
      <c r="RBT22"/>
      <c r="RBU22"/>
      <c r="RBV22"/>
      <c r="RBW22"/>
      <c r="RBX22"/>
      <c r="RBY22"/>
      <c r="RBZ22"/>
      <c r="RCA22"/>
      <c r="RCB22"/>
      <c r="RCC22"/>
      <c r="RCD22"/>
      <c r="RCE22"/>
      <c r="RCF22"/>
      <c r="RCG22"/>
      <c r="RCH22"/>
      <c r="RCI22"/>
      <c r="RCJ22"/>
      <c r="RCK22"/>
      <c r="RCL22"/>
      <c r="RCM22"/>
      <c r="RCN22"/>
      <c r="RCO22"/>
      <c r="RCP22"/>
      <c r="RCQ22"/>
      <c r="RCR22"/>
      <c r="RCS22"/>
      <c r="RCT22"/>
      <c r="RCU22"/>
      <c r="RCV22"/>
      <c r="RCW22"/>
      <c r="RCX22"/>
      <c r="RCY22"/>
      <c r="RCZ22"/>
      <c r="RDA22"/>
      <c r="RDB22"/>
      <c r="RDC22"/>
      <c r="RDD22"/>
      <c r="RDE22"/>
      <c r="RDF22"/>
      <c r="RDG22"/>
      <c r="RDH22"/>
      <c r="RDI22"/>
      <c r="RDJ22"/>
      <c r="RDK22"/>
      <c r="RDL22"/>
      <c r="RDM22"/>
      <c r="RDN22"/>
      <c r="RDO22"/>
      <c r="RDP22"/>
      <c r="RDQ22"/>
      <c r="RDR22"/>
      <c r="RDS22"/>
      <c r="RDT22"/>
      <c r="RDU22"/>
      <c r="RDV22"/>
      <c r="RDW22"/>
      <c r="RDX22"/>
      <c r="RDY22"/>
      <c r="RDZ22"/>
      <c r="REA22"/>
      <c r="REB22"/>
      <c r="REC22"/>
      <c r="RED22"/>
      <c r="REE22"/>
      <c r="REF22"/>
      <c r="REG22"/>
      <c r="REH22"/>
      <c r="REI22"/>
      <c r="REJ22"/>
      <c r="REK22"/>
      <c r="REL22"/>
      <c r="REM22"/>
      <c r="REN22"/>
      <c r="REO22"/>
      <c r="REP22"/>
      <c r="REQ22"/>
      <c r="RER22"/>
      <c r="RES22"/>
      <c r="RET22"/>
      <c r="REU22"/>
      <c r="REV22"/>
      <c r="REW22"/>
      <c r="REX22"/>
      <c r="REY22"/>
      <c r="REZ22"/>
      <c r="RFA22"/>
      <c r="RFB22"/>
      <c r="RFC22"/>
      <c r="RFD22"/>
      <c r="RFE22"/>
      <c r="RFF22"/>
      <c r="RFG22"/>
      <c r="RFH22"/>
      <c r="RFI22"/>
      <c r="RFJ22"/>
      <c r="RFK22"/>
      <c r="RFL22"/>
      <c r="RFM22"/>
      <c r="RFN22"/>
      <c r="RFO22"/>
      <c r="RFP22"/>
      <c r="RFQ22"/>
      <c r="RFR22"/>
      <c r="RFS22"/>
      <c r="RFT22"/>
      <c r="RFU22"/>
      <c r="RFV22"/>
      <c r="RFW22"/>
      <c r="RFX22"/>
      <c r="RFY22"/>
      <c r="RFZ22"/>
      <c r="RGA22"/>
      <c r="RGB22"/>
      <c r="RGC22"/>
      <c r="RGD22"/>
      <c r="RGE22"/>
      <c r="RGF22"/>
      <c r="RGG22"/>
      <c r="RGH22"/>
      <c r="RGI22"/>
      <c r="RGJ22"/>
      <c r="RGK22"/>
      <c r="RGL22"/>
      <c r="RGM22"/>
      <c r="RGN22"/>
      <c r="RGO22"/>
      <c r="RGP22"/>
      <c r="RGQ22"/>
      <c r="RGR22"/>
      <c r="RGS22"/>
      <c r="RGT22"/>
      <c r="RGU22"/>
      <c r="RGV22"/>
      <c r="RGW22"/>
      <c r="RGX22"/>
      <c r="RGY22"/>
      <c r="RGZ22"/>
      <c r="RHA22"/>
      <c r="RHB22"/>
      <c r="RHC22"/>
      <c r="RHD22"/>
      <c r="RHE22"/>
      <c r="RHF22"/>
      <c r="RHG22"/>
      <c r="RHH22"/>
      <c r="RHI22"/>
      <c r="RHJ22"/>
      <c r="RHK22"/>
      <c r="RHL22"/>
      <c r="RHM22"/>
      <c r="RHN22"/>
      <c r="RHO22"/>
      <c r="RHP22"/>
      <c r="RHQ22"/>
      <c r="RHR22"/>
      <c r="RHS22"/>
      <c r="RHT22"/>
      <c r="RHU22"/>
      <c r="RHV22"/>
      <c r="RHW22"/>
      <c r="RHX22"/>
      <c r="RHY22"/>
      <c r="RHZ22"/>
      <c r="RIA22"/>
      <c r="RIB22"/>
      <c r="RIC22"/>
      <c r="RID22"/>
      <c r="RIE22"/>
      <c r="RIF22"/>
      <c r="RIG22"/>
      <c r="RIH22"/>
      <c r="RII22"/>
      <c r="RIJ22"/>
      <c r="RIK22"/>
      <c r="RIL22"/>
      <c r="RIM22"/>
      <c r="RIN22"/>
      <c r="RIO22"/>
      <c r="RIP22"/>
      <c r="RIQ22"/>
      <c r="RIR22"/>
      <c r="RIS22"/>
      <c r="RIT22"/>
      <c r="RIU22"/>
      <c r="RIV22"/>
      <c r="RIW22"/>
      <c r="RIX22"/>
      <c r="RIY22"/>
      <c r="RIZ22"/>
      <c r="RJA22"/>
      <c r="RJB22"/>
      <c r="RJC22"/>
      <c r="RJD22"/>
      <c r="RJE22"/>
      <c r="RJF22"/>
      <c r="RJG22"/>
      <c r="RJH22"/>
      <c r="RJI22"/>
      <c r="RJJ22"/>
      <c r="RJK22"/>
      <c r="RJL22"/>
      <c r="RJM22"/>
      <c r="RJN22"/>
      <c r="RJO22"/>
      <c r="RJP22"/>
      <c r="RJQ22"/>
      <c r="RJR22"/>
      <c r="RJS22"/>
      <c r="RJT22"/>
      <c r="RJU22"/>
      <c r="RJV22"/>
      <c r="RJW22"/>
      <c r="RJX22"/>
      <c r="RJY22"/>
      <c r="RJZ22"/>
      <c r="RKA22"/>
      <c r="RKB22"/>
      <c r="RKC22"/>
      <c r="RKD22"/>
      <c r="RKE22"/>
      <c r="RKF22"/>
      <c r="RKG22"/>
      <c r="RKH22"/>
      <c r="RKI22"/>
      <c r="RKJ22"/>
      <c r="RKK22"/>
      <c r="RKL22"/>
      <c r="RKM22"/>
      <c r="RKN22"/>
      <c r="RKO22"/>
      <c r="RKP22"/>
      <c r="RKQ22"/>
      <c r="RKR22"/>
      <c r="RKS22"/>
      <c r="RKT22"/>
      <c r="RKU22"/>
      <c r="RKV22"/>
      <c r="RKW22"/>
      <c r="RKX22"/>
      <c r="RKY22"/>
      <c r="RKZ22"/>
      <c r="RLA22"/>
      <c r="RLB22"/>
      <c r="RLC22"/>
      <c r="RLD22"/>
      <c r="RLE22"/>
      <c r="RLF22"/>
      <c r="RLG22"/>
      <c r="RLH22"/>
      <c r="RLI22"/>
      <c r="RLJ22"/>
      <c r="RLK22"/>
      <c r="RLL22"/>
      <c r="RLM22"/>
      <c r="RLN22"/>
      <c r="RLO22"/>
      <c r="RLP22"/>
      <c r="RLQ22"/>
      <c r="RLR22"/>
      <c r="RLS22"/>
      <c r="RLT22"/>
      <c r="RLU22"/>
      <c r="RLV22"/>
      <c r="RLW22"/>
      <c r="RLX22"/>
      <c r="RLY22"/>
      <c r="RLZ22"/>
      <c r="RMA22"/>
      <c r="RMB22"/>
      <c r="RMC22"/>
      <c r="RMD22"/>
      <c r="RME22"/>
      <c r="RMF22"/>
      <c r="RMG22"/>
      <c r="RMH22"/>
      <c r="RMI22"/>
      <c r="RMJ22"/>
      <c r="RMK22"/>
      <c r="RML22"/>
      <c r="RMM22"/>
      <c r="RMN22"/>
      <c r="RMO22"/>
      <c r="RMP22"/>
      <c r="RMQ22"/>
      <c r="RMR22"/>
      <c r="RMS22"/>
      <c r="RMT22"/>
      <c r="RMU22"/>
      <c r="RMV22"/>
      <c r="RMW22"/>
      <c r="RMX22"/>
      <c r="RMY22"/>
      <c r="RMZ22"/>
      <c r="RNA22"/>
      <c r="RNB22"/>
      <c r="RNC22"/>
      <c r="RND22"/>
      <c r="RNE22"/>
      <c r="RNF22"/>
      <c r="RNG22"/>
      <c r="RNH22"/>
      <c r="RNI22"/>
      <c r="RNJ22"/>
      <c r="RNK22"/>
      <c r="RNL22"/>
      <c r="RNM22"/>
      <c r="RNN22"/>
      <c r="RNO22"/>
      <c r="RNP22"/>
      <c r="RNQ22"/>
      <c r="RNR22"/>
      <c r="RNS22"/>
      <c r="RNT22"/>
      <c r="RNU22"/>
      <c r="RNV22"/>
      <c r="RNW22"/>
      <c r="RNX22"/>
      <c r="RNY22"/>
      <c r="RNZ22"/>
      <c r="ROA22"/>
      <c r="ROB22"/>
      <c r="ROC22"/>
      <c r="ROD22"/>
      <c r="ROE22"/>
      <c r="ROF22"/>
      <c r="ROG22"/>
      <c r="ROH22"/>
      <c r="ROI22"/>
      <c r="ROJ22"/>
      <c r="ROK22"/>
      <c r="ROL22"/>
      <c r="ROM22"/>
      <c r="RON22"/>
      <c r="ROO22"/>
      <c r="ROP22"/>
      <c r="ROQ22"/>
      <c r="ROR22"/>
      <c r="ROS22"/>
      <c r="ROT22"/>
      <c r="ROU22"/>
      <c r="ROV22"/>
      <c r="ROW22"/>
      <c r="ROX22"/>
      <c r="ROY22"/>
      <c r="ROZ22"/>
      <c r="RPA22"/>
      <c r="RPB22"/>
      <c r="RPC22"/>
      <c r="RPD22"/>
      <c r="RPE22"/>
      <c r="RPF22"/>
      <c r="RPG22"/>
      <c r="RPH22"/>
      <c r="RPI22"/>
      <c r="RPJ22"/>
      <c r="RPK22"/>
      <c r="RPL22"/>
      <c r="RPM22"/>
      <c r="RPN22"/>
      <c r="RPO22"/>
      <c r="RPP22"/>
      <c r="RPQ22"/>
      <c r="RPR22"/>
      <c r="RPS22"/>
      <c r="RPT22"/>
      <c r="RPU22"/>
      <c r="RPV22"/>
      <c r="RPW22"/>
      <c r="RPX22"/>
      <c r="RPY22"/>
      <c r="RPZ22"/>
      <c r="RQA22"/>
      <c r="RQB22"/>
      <c r="RQC22"/>
      <c r="RQD22"/>
      <c r="RQE22"/>
      <c r="RQF22"/>
      <c r="RQG22"/>
      <c r="RQH22"/>
      <c r="RQI22"/>
      <c r="RQJ22"/>
      <c r="RQK22"/>
      <c r="RQL22"/>
      <c r="RQM22"/>
      <c r="RQN22"/>
      <c r="RQO22"/>
      <c r="RQP22"/>
      <c r="RQQ22"/>
      <c r="RQR22"/>
      <c r="RQS22"/>
      <c r="RQT22"/>
      <c r="RQU22"/>
      <c r="RQV22"/>
      <c r="RQW22"/>
      <c r="RQX22"/>
      <c r="RQY22"/>
      <c r="RQZ22"/>
      <c r="RRA22"/>
      <c r="RRB22"/>
      <c r="RRC22"/>
      <c r="RRD22"/>
      <c r="RRE22"/>
      <c r="RRF22"/>
      <c r="RRG22"/>
      <c r="RRH22"/>
      <c r="RRI22"/>
      <c r="RRJ22"/>
      <c r="RRK22"/>
      <c r="RRL22"/>
      <c r="RRM22"/>
      <c r="RRN22"/>
      <c r="RRO22"/>
      <c r="RRP22"/>
      <c r="RRQ22"/>
      <c r="RRR22"/>
      <c r="RRS22"/>
      <c r="RRT22"/>
      <c r="RRU22"/>
      <c r="RRV22"/>
      <c r="RRW22"/>
      <c r="RRX22"/>
      <c r="RRY22"/>
      <c r="RRZ22"/>
      <c r="RSA22"/>
      <c r="RSB22"/>
      <c r="RSC22"/>
      <c r="RSD22"/>
      <c r="RSE22"/>
      <c r="RSF22"/>
      <c r="RSG22"/>
      <c r="RSH22"/>
      <c r="RSI22"/>
      <c r="RSJ22"/>
      <c r="RSK22"/>
      <c r="RSL22"/>
      <c r="RSM22"/>
      <c r="RSN22"/>
      <c r="RSO22"/>
      <c r="RSP22"/>
      <c r="RSQ22"/>
      <c r="RSR22"/>
      <c r="RSS22"/>
      <c r="RST22"/>
      <c r="RSU22"/>
      <c r="RSV22"/>
      <c r="RSW22"/>
      <c r="RSX22"/>
      <c r="RSY22"/>
      <c r="RSZ22"/>
      <c r="RTA22"/>
      <c r="RTB22"/>
      <c r="RTC22"/>
      <c r="RTD22"/>
      <c r="RTE22"/>
      <c r="RTF22"/>
      <c r="RTG22"/>
      <c r="RTH22"/>
      <c r="RTI22"/>
      <c r="RTJ22"/>
      <c r="RTK22"/>
      <c r="RTL22"/>
      <c r="RTM22"/>
      <c r="RTN22"/>
      <c r="RTO22"/>
      <c r="RTP22"/>
      <c r="RTQ22"/>
      <c r="RTR22"/>
      <c r="RTS22"/>
      <c r="RTT22"/>
      <c r="RTU22"/>
      <c r="RTV22"/>
      <c r="RTW22"/>
      <c r="RTX22"/>
      <c r="RTY22"/>
      <c r="RTZ22"/>
      <c r="RUA22"/>
      <c r="RUB22"/>
      <c r="RUC22"/>
      <c r="RUD22"/>
      <c r="RUE22"/>
      <c r="RUF22"/>
      <c r="RUG22"/>
      <c r="RUH22"/>
      <c r="RUI22"/>
      <c r="RUJ22"/>
      <c r="RUK22"/>
      <c r="RUL22"/>
      <c r="RUM22"/>
      <c r="RUN22"/>
      <c r="RUO22"/>
      <c r="RUP22"/>
      <c r="RUQ22"/>
      <c r="RUR22"/>
      <c r="RUS22"/>
      <c r="RUT22"/>
      <c r="RUU22"/>
      <c r="RUV22"/>
      <c r="RUW22"/>
      <c r="RUX22"/>
      <c r="RUY22"/>
      <c r="RUZ22"/>
      <c r="RVA22"/>
      <c r="RVB22"/>
      <c r="RVC22"/>
      <c r="RVD22"/>
      <c r="RVE22"/>
      <c r="RVF22"/>
      <c r="RVG22"/>
      <c r="RVH22"/>
      <c r="RVI22"/>
      <c r="RVJ22"/>
      <c r="RVK22"/>
      <c r="RVL22"/>
      <c r="RVM22"/>
      <c r="RVN22"/>
      <c r="RVO22"/>
      <c r="RVP22"/>
      <c r="RVQ22"/>
      <c r="RVR22"/>
      <c r="RVS22"/>
      <c r="RVT22"/>
      <c r="RVU22"/>
      <c r="RVV22"/>
      <c r="RVW22"/>
      <c r="RVX22"/>
      <c r="RVY22"/>
      <c r="RVZ22"/>
      <c r="RWA22"/>
      <c r="RWB22"/>
      <c r="RWC22"/>
      <c r="RWD22"/>
      <c r="RWE22"/>
      <c r="RWF22"/>
      <c r="RWG22"/>
      <c r="RWH22"/>
      <c r="RWI22"/>
      <c r="RWJ22"/>
      <c r="RWK22"/>
      <c r="RWL22"/>
      <c r="RWM22"/>
      <c r="RWN22"/>
      <c r="RWO22"/>
      <c r="RWP22"/>
      <c r="RWQ22"/>
      <c r="RWR22"/>
      <c r="RWS22"/>
      <c r="RWT22"/>
      <c r="RWU22"/>
      <c r="RWV22"/>
      <c r="RWW22"/>
      <c r="RWX22"/>
      <c r="RWY22"/>
      <c r="RWZ22"/>
      <c r="RXA22"/>
      <c r="RXB22"/>
      <c r="RXC22"/>
      <c r="RXD22"/>
      <c r="RXE22"/>
      <c r="RXF22"/>
      <c r="RXG22"/>
      <c r="RXH22"/>
      <c r="RXI22"/>
      <c r="RXJ22"/>
      <c r="RXK22"/>
      <c r="RXL22"/>
      <c r="RXM22"/>
      <c r="RXN22"/>
      <c r="RXO22"/>
      <c r="RXP22"/>
      <c r="RXQ22"/>
      <c r="RXR22"/>
      <c r="RXS22"/>
      <c r="RXT22"/>
      <c r="RXU22"/>
      <c r="RXV22"/>
      <c r="RXW22"/>
      <c r="RXX22"/>
      <c r="RXY22"/>
      <c r="RXZ22"/>
      <c r="RYA22"/>
      <c r="RYB22"/>
      <c r="RYC22"/>
      <c r="RYD22"/>
      <c r="RYE22"/>
      <c r="RYF22"/>
      <c r="RYG22"/>
      <c r="RYH22"/>
      <c r="RYI22"/>
      <c r="RYJ22"/>
      <c r="RYK22"/>
      <c r="RYL22"/>
      <c r="RYM22"/>
      <c r="RYN22"/>
      <c r="RYO22"/>
      <c r="RYP22"/>
      <c r="RYQ22"/>
      <c r="RYR22"/>
      <c r="RYS22"/>
      <c r="RYT22"/>
      <c r="RYU22"/>
      <c r="RYV22"/>
      <c r="RYW22"/>
      <c r="RYX22"/>
      <c r="RYY22"/>
      <c r="RYZ22"/>
      <c r="RZA22"/>
      <c r="RZB22"/>
      <c r="RZC22"/>
      <c r="RZD22"/>
      <c r="RZE22"/>
      <c r="RZF22"/>
      <c r="RZG22"/>
      <c r="RZH22"/>
      <c r="RZI22"/>
      <c r="RZJ22"/>
      <c r="RZK22"/>
      <c r="RZL22"/>
      <c r="RZM22"/>
      <c r="RZN22"/>
      <c r="RZO22"/>
      <c r="RZP22"/>
      <c r="RZQ22"/>
      <c r="RZR22"/>
      <c r="RZS22"/>
      <c r="RZT22"/>
      <c r="RZU22"/>
      <c r="RZV22"/>
      <c r="RZW22"/>
      <c r="RZX22"/>
      <c r="RZY22"/>
      <c r="RZZ22"/>
      <c r="SAA22"/>
      <c r="SAB22"/>
      <c r="SAC22"/>
      <c r="SAD22"/>
      <c r="SAE22"/>
      <c r="SAF22"/>
      <c r="SAG22"/>
      <c r="SAH22"/>
      <c r="SAI22"/>
      <c r="SAJ22"/>
      <c r="SAK22"/>
      <c r="SAL22"/>
      <c r="SAM22"/>
      <c r="SAN22"/>
      <c r="SAO22"/>
      <c r="SAP22"/>
      <c r="SAQ22"/>
      <c r="SAR22"/>
      <c r="SAS22"/>
      <c r="SAT22"/>
      <c r="SAU22"/>
      <c r="SAV22"/>
      <c r="SAW22"/>
      <c r="SAX22"/>
      <c r="SAY22"/>
      <c r="SAZ22"/>
      <c r="SBA22"/>
      <c r="SBB22"/>
      <c r="SBC22"/>
      <c r="SBD22"/>
      <c r="SBE22"/>
      <c r="SBF22"/>
      <c r="SBG22"/>
      <c r="SBH22"/>
      <c r="SBI22"/>
      <c r="SBJ22"/>
      <c r="SBK22"/>
      <c r="SBL22"/>
      <c r="SBM22"/>
      <c r="SBN22"/>
      <c r="SBO22"/>
      <c r="SBP22"/>
      <c r="SBQ22"/>
      <c r="SBR22"/>
      <c r="SBS22"/>
      <c r="SBT22"/>
      <c r="SBU22"/>
      <c r="SBV22"/>
      <c r="SBW22"/>
      <c r="SBX22"/>
      <c r="SBY22"/>
      <c r="SBZ22"/>
      <c r="SCA22"/>
      <c r="SCB22"/>
      <c r="SCC22"/>
      <c r="SCD22"/>
      <c r="SCE22"/>
      <c r="SCF22"/>
      <c r="SCG22"/>
      <c r="SCH22"/>
      <c r="SCI22"/>
      <c r="SCJ22"/>
      <c r="SCK22"/>
      <c r="SCL22"/>
      <c r="SCM22"/>
      <c r="SCN22"/>
      <c r="SCO22"/>
      <c r="SCP22"/>
      <c r="SCQ22"/>
      <c r="SCR22"/>
      <c r="SCS22"/>
      <c r="SCT22"/>
      <c r="SCU22"/>
      <c r="SCV22"/>
      <c r="SCW22"/>
      <c r="SCX22"/>
      <c r="SCY22"/>
      <c r="SCZ22"/>
      <c r="SDA22"/>
      <c r="SDB22"/>
      <c r="SDC22"/>
      <c r="SDD22"/>
      <c r="SDE22"/>
      <c r="SDF22"/>
      <c r="SDG22"/>
      <c r="SDH22"/>
      <c r="SDI22"/>
      <c r="SDJ22"/>
      <c r="SDK22"/>
      <c r="SDL22"/>
      <c r="SDM22"/>
      <c r="SDN22"/>
      <c r="SDO22"/>
      <c r="SDP22"/>
      <c r="SDQ22"/>
      <c r="SDR22"/>
      <c r="SDS22"/>
      <c r="SDT22"/>
      <c r="SDU22"/>
      <c r="SDV22"/>
      <c r="SDW22"/>
      <c r="SDX22"/>
      <c r="SDY22"/>
      <c r="SDZ22"/>
      <c r="SEA22"/>
      <c r="SEB22"/>
      <c r="SEC22"/>
      <c r="SED22"/>
      <c r="SEE22"/>
      <c r="SEF22"/>
      <c r="SEG22"/>
      <c r="SEH22"/>
      <c r="SEI22"/>
      <c r="SEJ22"/>
      <c r="SEK22"/>
      <c r="SEL22"/>
      <c r="SEM22"/>
      <c r="SEN22"/>
      <c r="SEO22"/>
      <c r="SEP22"/>
      <c r="SEQ22"/>
      <c r="SER22"/>
      <c r="SES22"/>
      <c r="SET22"/>
      <c r="SEU22"/>
      <c r="SEV22"/>
      <c r="SEW22"/>
      <c r="SEX22"/>
      <c r="SEY22"/>
      <c r="SEZ22"/>
      <c r="SFA22"/>
      <c r="SFB22"/>
      <c r="SFC22"/>
      <c r="SFD22"/>
      <c r="SFE22"/>
      <c r="SFF22"/>
      <c r="SFG22"/>
      <c r="SFH22"/>
      <c r="SFI22"/>
      <c r="SFJ22"/>
      <c r="SFK22"/>
      <c r="SFL22"/>
      <c r="SFM22"/>
      <c r="SFN22"/>
      <c r="SFO22"/>
      <c r="SFP22"/>
      <c r="SFQ22"/>
      <c r="SFR22"/>
      <c r="SFS22"/>
      <c r="SFT22"/>
      <c r="SFU22"/>
      <c r="SFV22"/>
      <c r="SFW22"/>
      <c r="SFX22"/>
      <c r="SFY22"/>
      <c r="SFZ22"/>
      <c r="SGA22"/>
      <c r="SGB22"/>
      <c r="SGC22"/>
      <c r="SGD22"/>
      <c r="SGE22"/>
      <c r="SGF22"/>
      <c r="SGG22"/>
      <c r="SGH22"/>
      <c r="SGI22"/>
      <c r="SGJ22"/>
      <c r="SGK22"/>
      <c r="SGL22"/>
      <c r="SGM22"/>
      <c r="SGN22"/>
      <c r="SGO22"/>
      <c r="SGP22"/>
      <c r="SGQ22"/>
      <c r="SGR22"/>
      <c r="SGS22"/>
      <c r="SGT22"/>
      <c r="SGU22"/>
      <c r="SGV22"/>
      <c r="SGW22"/>
      <c r="SGX22"/>
      <c r="SGY22"/>
      <c r="SGZ22"/>
      <c r="SHA22"/>
      <c r="SHB22"/>
      <c r="SHC22"/>
      <c r="SHD22"/>
      <c r="SHE22"/>
      <c r="SHF22"/>
      <c r="SHG22"/>
      <c r="SHH22"/>
      <c r="SHI22"/>
      <c r="SHJ22"/>
      <c r="SHK22"/>
      <c r="SHL22"/>
      <c r="SHM22"/>
      <c r="SHN22"/>
      <c r="SHO22"/>
      <c r="SHP22"/>
      <c r="SHQ22"/>
      <c r="SHR22"/>
      <c r="SHS22"/>
      <c r="SHT22"/>
      <c r="SHU22"/>
      <c r="SHV22"/>
      <c r="SHW22"/>
      <c r="SHX22"/>
      <c r="SHY22"/>
      <c r="SHZ22"/>
      <c r="SIA22"/>
      <c r="SIB22"/>
      <c r="SIC22"/>
      <c r="SID22"/>
      <c r="SIE22"/>
      <c r="SIF22"/>
      <c r="SIG22"/>
      <c r="SIH22"/>
      <c r="SII22"/>
      <c r="SIJ22"/>
      <c r="SIK22"/>
      <c r="SIL22"/>
      <c r="SIM22"/>
      <c r="SIN22"/>
      <c r="SIO22"/>
      <c r="SIP22"/>
      <c r="SIQ22"/>
      <c r="SIR22"/>
      <c r="SIS22"/>
      <c r="SIT22"/>
      <c r="SIU22"/>
      <c r="SIV22"/>
      <c r="SIW22"/>
      <c r="SIX22"/>
      <c r="SIY22"/>
      <c r="SIZ22"/>
      <c r="SJA22"/>
      <c r="SJB22"/>
      <c r="SJC22"/>
      <c r="SJD22"/>
      <c r="SJE22"/>
      <c r="SJF22"/>
      <c r="SJG22"/>
      <c r="SJH22"/>
      <c r="SJI22"/>
      <c r="SJJ22"/>
      <c r="SJK22"/>
      <c r="SJL22"/>
      <c r="SJM22"/>
      <c r="SJN22"/>
      <c r="SJO22"/>
      <c r="SJP22"/>
      <c r="SJQ22"/>
      <c r="SJR22"/>
      <c r="SJS22"/>
      <c r="SJT22"/>
      <c r="SJU22"/>
      <c r="SJV22"/>
      <c r="SJW22"/>
      <c r="SJX22"/>
      <c r="SJY22"/>
      <c r="SJZ22"/>
      <c r="SKA22"/>
      <c r="SKB22"/>
      <c r="SKC22"/>
      <c r="SKD22"/>
      <c r="SKE22"/>
      <c r="SKF22"/>
      <c r="SKG22"/>
      <c r="SKH22"/>
      <c r="SKI22"/>
      <c r="SKJ22"/>
      <c r="SKK22"/>
      <c r="SKL22"/>
      <c r="SKM22"/>
      <c r="SKN22"/>
      <c r="SKO22"/>
      <c r="SKP22"/>
      <c r="SKQ22"/>
      <c r="SKR22"/>
      <c r="SKS22"/>
      <c r="SKT22"/>
      <c r="SKU22"/>
      <c r="SKV22"/>
      <c r="SKW22"/>
      <c r="SKX22"/>
      <c r="SKY22"/>
      <c r="SKZ22"/>
      <c r="SLA22"/>
      <c r="SLB22"/>
      <c r="SLC22"/>
      <c r="SLD22"/>
      <c r="SLE22"/>
      <c r="SLF22"/>
      <c r="SLG22"/>
      <c r="SLH22"/>
      <c r="SLI22"/>
      <c r="SLJ22"/>
      <c r="SLK22"/>
      <c r="SLL22"/>
      <c r="SLM22"/>
      <c r="SLN22"/>
      <c r="SLO22"/>
      <c r="SLP22"/>
      <c r="SLQ22"/>
      <c r="SLR22"/>
      <c r="SLS22"/>
      <c r="SLT22"/>
      <c r="SLU22"/>
      <c r="SLV22"/>
      <c r="SLW22"/>
      <c r="SLX22"/>
      <c r="SLY22"/>
      <c r="SLZ22"/>
      <c r="SMA22"/>
      <c r="SMB22"/>
      <c r="SMC22"/>
      <c r="SMD22"/>
      <c r="SME22"/>
      <c r="SMF22"/>
      <c r="SMG22"/>
      <c r="SMH22"/>
      <c r="SMI22"/>
      <c r="SMJ22"/>
      <c r="SMK22"/>
      <c r="SML22"/>
      <c r="SMM22"/>
      <c r="SMN22"/>
      <c r="SMO22"/>
      <c r="SMP22"/>
      <c r="SMQ22"/>
      <c r="SMR22"/>
      <c r="SMS22"/>
      <c r="SMT22"/>
      <c r="SMU22"/>
      <c r="SMV22"/>
      <c r="SMW22"/>
      <c r="SMX22"/>
      <c r="SMY22"/>
      <c r="SMZ22"/>
      <c r="SNA22"/>
      <c r="SNB22"/>
      <c r="SNC22"/>
      <c r="SND22"/>
      <c r="SNE22"/>
      <c r="SNF22"/>
      <c r="SNG22"/>
      <c r="SNH22"/>
      <c r="SNI22"/>
      <c r="SNJ22"/>
      <c r="SNK22"/>
      <c r="SNL22"/>
      <c r="SNM22"/>
      <c r="SNN22"/>
      <c r="SNO22"/>
      <c r="SNP22"/>
      <c r="SNQ22"/>
      <c r="SNR22"/>
      <c r="SNS22"/>
      <c r="SNT22"/>
      <c r="SNU22"/>
      <c r="SNV22"/>
      <c r="SNW22"/>
      <c r="SNX22"/>
      <c r="SNY22"/>
      <c r="SNZ22"/>
      <c r="SOA22"/>
      <c r="SOB22"/>
      <c r="SOC22"/>
      <c r="SOD22"/>
      <c r="SOE22"/>
      <c r="SOF22"/>
      <c r="SOG22"/>
      <c r="SOH22"/>
      <c r="SOI22"/>
      <c r="SOJ22"/>
      <c r="SOK22"/>
      <c r="SOL22"/>
      <c r="SOM22"/>
      <c r="SON22"/>
      <c r="SOO22"/>
      <c r="SOP22"/>
      <c r="SOQ22"/>
      <c r="SOR22"/>
      <c r="SOS22"/>
      <c r="SOT22"/>
      <c r="SOU22"/>
      <c r="SOV22"/>
      <c r="SOW22"/>
      <c r="SOX22"/>
      <c r="SOY22"/>
      <c r="SOZ22"/>
      <c r="SPA22"/>
      <c r="SPB22"/>
      <c r="SPC22"/>
      <c r="SPD22"/>
      <c r="SPE22"/>
      <c r="SPF22"/>
      <c r="SPG22"/>
      <c r="SPH22"/>
      <c r="SPI22"/>
      <c r="SPJ22"/>
      <c r="SPK22"/>
      <c r="SPL22"/>
      <c r="SPM22"/>
      <c r="SPN22"/>
      <c r="SPO22"/>
      <c r="SPP22"/>
      <c r="SPQ22"/>
      <c r="SPR22"/>
      <c r="SPS22"/>
      <c r="SPT22"/>
      <c r="SPU22"/>
      <c r="SPV22"/>
      <c r="SPW22"/>
      <c r="SPX22"/>
      <c r="SPY22"/>
      <c r="SPZ22"/>
      <c r="SQA22"/>
      <c r="SQB22"/>
      <c r="SQC22"/>
      <c r="SQD22"/>
      <c r="SQE22"/>
      <c r="SQF22"/>
      <c r="SQG22"/>
      <c r="SQH22"/>
      <c r="SQI22"/>
      <c r="SQJ22"/>
      <c r="SQK22"/>
      <c r="SQL22"/>
      <c r="SQM22"/>
      <c r="SQN22"/>
      <c r="SQO22"/>
      <c r="SQP22"/>
      <c r="SQQ22"/>
      <c r="SQR22"/>
      <c r="SQS22"/>
      <c r="SQT22"/>
      <c r="SQU22"/>
      <c r="SQV22"/>
      <c r="SQW22"/>
      <c r="SQX22"/>
      <c r="SQY22"/>
      <c r="SQZ22"/>
      <c r="SRA22"/>
      <c r="SRB22"/>
      <c r="SRC22"/>
      <c r="SRD22"/>
      <c r="SRE22"/>
      <c r="SRF22"/>
      <c r="SRG22"/>
      <c r="SRH22"/>
      <c r="SRI22"/>
      <c r="SRJ22"/>
      <c r="SRK22"/>
      <c r="SRL22"/>
      <c r="SRM22"/>
      <c r="SRN22"/>
      <c r="SRO22"/>
      <c r="SRP22"/>
      <c r="SRQ22"/>
      <c r="SRR22"/>
      <c r="SRS22"/>
      <c r="SRT22"/>
      <c r="SRU22"/>
      <c r="SRV22"/>
      <c r="SRW22"/>
      <c r="SRX22"/>
      <c r="SRY22"/>
      <c r="SRZ22"/>
      <c r="SSA22"/>
      <c r="SSB22"/>
      <c r="SSC22"/>
      <c r="SSD22"/>
      <c r="SSE22"/>
      <c r="SSF22"/>
      <c r="SSG22"/>
      <c r="SSH22"/>
      <c r="SSI22"/>
      <c r="SSJ22"/>
      <c r="SSK22"/>
      <c r="SSL22"/>
      <c r="SSM22"/>
      <c r="SSN22"/>
      <c r="SSO22"/>
      <c r="SSP22"/>
      <c r="SSQ22"/>
      <c r="SSR22"/>
      <c r="SSS22"/>
      <c r="SST22"/>
      <c r="SSU22"/>
      <c r="SSV22"/>
      <c r="SSW22"/>
      <c r="SSX22"/>
      <c r="SSY22"/>
      <c r="SSZ22"/>
      <c r="STA22"/>
      <c r="STB22"/>
      <c r="STC22"/>
      <c r="STD22"/>
      <c r="STE22"/>
      <c r="STF22"/>
      <c r="STG22"/>
      <c r="STH22"/>
      <c r="STI22"/>
      <c r="STJ22"/>
      <c r="STK22"/>
      <c r="STL22"/>
      <c r="STM22"/>
      <c r="STN22"/>
      <c r="STO22"/>
      <c r="STP22"/>
      <c r="STQ22"/>
      <c r="STR22"/>
      <c r="STS22"/>
      <c r="STT22"/>
      <c r="STU22"/>
      <c r="STV22"/>
      <c r="STW22"/>
      <c r="STX22"/>
      <c r="STY22"/>
      <c r="STZ22"/>
      <c r="SUA22"/>
      <c r="SUB22"/>
      <c r="SUC22"/>
      <c r="SUD22"/>
      <c r="SUE22"/>
      <c r="SUF22"/>
      <c r="SUG22"/>
      <c r="SUH22"/>
      <c r="SUI22"/>
      <c r="SUJ22"/>
      <c r="SUK22"/>
      <c r="SUL22"/>
      <c r="SUM22"/>
      <c r="SUN22"/>
      <c r="SUO22"/>
      <c r="SUP22"/>
      <c r="SUQ22"/>
      <c r="SUR22"/>
      <c r="SUS22"/>
      <c r="SUT22"/>
      <c r="SUU22"/>
      <c r="SUV22"/>
      <c r="SUW22"/>
      <c r="SUX22"/>
      <c r="SUY22"/>
      <c r="SUZ22"/>
      <c r="SVA22"/>
      <c r="SVB22"/>
      <c r="SVC22"/>
      <c r="SVD22"/>
      <c r="SVE22"/>
      <c r="SVF22"/>
      <c r="SVG22"/>
      <c r="SVH22"/>
      <c r="SVI22"/>
      <c r="SVJ22"/>
      <c r="SVK22"/>
      <c r="SVL22"/>
      <c r="SVM22"/>
      <c r="SVN22"/>
      <c r="SVO22"/>
      <c r="SVP22"/>
      <c r="SVQ22"/>
      <c r="SVR22"/>
      <c r="SVS22"/>
      <c r="SVT22"/>
      <c r="SVU22"/>
      <c r="SVV22"/>
      <c r="SVW22"/>
      <c r="SVX22"/>
      <c r="SVY22"/>
      <c r="SVZ22"/>
      <c r="SWA22"/>
      <c r="SWB22"/>
      <c r="SWC22"/>
      <c r="SWD22"/>
      <c r="SWE22"/>
      <c r="SWF22"/>
      <c r="SWG22"/>
      <c r="SWH22"/>
      <c r="SWI22"/>
      <c r="SWJ22"/>
      <c r="SWK22"/>
      <c r="SWL22"/>
      <c r="SWM22"/>
      <c r="SWN22"/>
      <c r="SWO22"/>
      <c r="SWP22"/>
      <c r="SWQ22"/>
      <c r="SWR22"/>
      <c r="SWS22"/>
      <c r="SWT22"/>
      <c r="SWU22"/>
      <c r="SWV22"/>
      <c r="SWW22"/>
      <c r="SWX22"/>
      <c r="SWY22"/>
      <c r="SWZ22"/>
      <c r="SXA22"/>
      <c r="SXB22"/>
      <c r="SXC22"/>
      <c r="SXD22"/>
      <c r="SXE22"/>
      <c r="SXF22"/>
      <c r="SXG22"/>
      <c r="SXH22"/>
      <c r="SXI22"/>
      <c r="SXJ22"/>
      <c r="SXK22"/>
      <c r="SXL22"/>
      <c r="SXM22"/>
      <c r="SXN22"/>
      <c r="SXO22"/>
      <c r="SXP22"/>
      <c r="SXQ22"/>
      <c r="SXR22"/>
      <c r="SXS22"/>
      <c r="SXT22"/>
      <c r="SXU22"/>
      <c r="SXV22"/>
      <c r="SXW22"/>
      <c r="SXX22"/>
      <c r="SXY22"/>
      <c r="SXZ22"/>
      <c r="SYA22"/>
      <c r="SYB22"/>
      <c r="SYC22"/>
      <c r="SYD22"/>
      <c r="SYE22"/>
      <c r="SYF22"/>
      <c r="SYG22"/>
      <c r="SYH22"/>
      <c r="SYI22"/>
      <c r="SYJ22"/>
      <c r="SYK22"/>
      <c r="SYL22"/>
      <c r="SYM22"/>
      <c r="SYN22"/>
      <c r="SYO22"/>
      <c r="SYP22"/>
      <c r="SYQ22"/>
      <c r="SYR22"/>
      <c r="SYS22"/>
      <c r="SYT22"/>
      <c r="SYU22"/>
      <c r="SYV22"/>
      <c r="SYW22"/>
      <c r="SYX22"/>
      <c r="SYY22"/>
      <c r="SYZ22"/>
      <c r="SZA22"/>
      <c r="SZB22"/>
      <c r="SZC22"/>
      <c r="SZD22"/>
      <c r="SZE22"/>
      <c r="SZF22"/>
      <c r="SZG22"/>
      <c r="SZH22"/>
      <c r="SZI22"/>
      <c r="SZJ22"/>
      <c r="SZK22"/>
      <c r="SZL22"/>
      <c r="SZM22"/>
      <c r="SZN22"/>
      <c r="SZO22"/>
      <c r="SZP22"/>
      <c r="SZQ22"/>
      <c r="SZR22"/>
      <c r="SZS22"/>
      <c r="SZT22"/>
      <c r="SZU22"/>
      <c r="SZV22"/>
      <c r="SZW22"/>
      <c r="SZX22"/>
      <c r="SZY22"/>
      <c r="SZZ22"/>
      <c r="TAA22"/>
      <c r="TAB22"/>
      <c r="TAC22"/>
      <c r="TAD22"/>
      <c r="TAE22"/>
      <c r="TAF22"/>
      <c r="TAG22"/>
      <c r="TAH22"/>
      <c r="TAI22"/>
      <c r="TAJ22"/>
      <c r="TAK22"/>
      <c r="TAL22"/>
      <c r="TAM22"/>
      <c r="TAN22"/>
      <c r="TAO22"/>
      <c r="TAP22"/>
      <c r="TAQ22"/>
      <c r="TAR22"/>
      <c r="TAS22"/>
      <c r="TAT22"/>
      <c r="TAU22"/>
      <c r="TAV22"/>
      <c r="TAW22"/>
      <c r="TAX22"/>
      <c r="TAY22"/>
      <c r="TAZ22"/>
      <c r="TBA22"/>
      <c r="TBB22"/>
      <c r="TBC22"/>
      <c r="TBD22"/>
      <c r="TBE22"/>
      <c r="TBF22"/>
      <c r="TBG22"/>
      <c r="TBH22"/>
      <c r="TBI22"/>
      <c r="TBJ22"/>
      <c r="TBK22"/>
      <c r="TBL22"/>
      <c r="TBM22"/>
      <c r="TBN22"/>
      <c r="TBO22"/>
      <c r="TBP22"/>
      <c r="TBQ22"/>
      <c r="TBR22"/>
      <c r="TBS22"/>
      <c r="TBT22"/>
      <c r="TBU22"/>
      <c r="TBV22"/>
      <c r="TBW22"/>
      <c r="TBX22"/>
      <c r="TBY22"/>
      <c r="TBZ22"/>
      <c r="TCA22"/>
      <c r="TCB22"/>
      <c r="TCC22"/>
      <c r="TCD22"/>
      <c r="TCE22"/>
      <c r="TCF22"/>
      <c r="TCG22"/>
      <c r="TCH22"/>
      <c r="TCI22"/>
      <c r="TCJ22"/>
      <c r="TCK22"/>
      <c r="TCL22"/>
      <c r="TCM22"/>
      <c r="TCN22"/>
      <c r="TCO22"/>
      <c r="TCP22"/>
      <c r="TCQ22"/>
      <c r="TCR22"/>
      <c r="TCS22"/>
      <c r="TCT22"/>
      <c r="TCU22"/>
      <c r="TCV22"/>
      <c r="TCW22"/>
      <c r="TCX22"/>
      <c r="TCY22"/>
      <c r="TCZ22"/>
      <c r="TDA22"/>
      <c r="TDB22"/>
      <c r="TDC22"/>
      <c r="TDD22"/>
      <c r="TDE22"/>
      <c r="TDF22"/>
      <c r="TDG22"/>
      <c r="TDH22"/>
      <c r="TDI22"/>
      <c r="TDJ22"/>
      <c r="TDK22"/>
      <c r="TDL22"/>
      <c r="TDM22"/>
      <c r="TDN22"/>
      <c r="TDO22"/>
      <c r="TDP22"/>
      <c r="TDQ22"/>
      <c r="TDR22"/>
      <c r="TDS22"/>
      <c r="TDT22"/>
      <c r="TDU22"/>
      <c r="TDV22"/>
      <c r="TDW22"/>
      <c r="TDX22"/>
      <c r="TDY22"/>
      <c r="TDZ22"/>
      <c r="TEA22"/>
      <c r="TEB22"/>
      <c r="TEC22"/>
      <c r="TED22"/>
      <c r="TEE22"/>
      <c r="TEF22"/>
      <c r="TEG22"/>
      <c r="TEH22"/>
      <c r="TEI22"/>
      <c r="TEJ22"/>
      <c r="TEK22"/>
      <c r="TEL22"/>
      <c r="TEM22"/>
      <c r="TEN22"/>
      <c r="TEO22"/>
      <c r="TEP22"/>
      <c r="TEQ22"/>
      <c r="TER22"/>
      <c r="TES22"/>
      <c r="TET22"/>
      <c r="TEU22"/>
      <c r="TEV22"/>
      <c r="TEW22"/>
      <c r="TEX22"/>
      <c r="TEY22"/>
      <c r="TEZ22"/>
      <c r="TFA22"/>
      <c r="TFB22"/>
      <c r="TFC22"/>
      <c r="TFD22"/>
      <c r="TFE22"/>
      <c r="TFF22"/>
      <c r="TFG22"/>
      <c r="TFH22"/>
      <c r="TFI22"/>
      <c r="TFJ22"/>
      <c r="TFK22"/>
      <c r="TFL22"/>
      <c r="TFM22"/>
      <c r="TFN22"/>
      <c r="TFO22"/>
      <c r="TFP22"/>
      <c r="TFQ22"/>
      <c r="TFR22"/>
      <c r="TFS22"/>
      <c r="TFT22"/>
      <c r="TFU22"/>
      <c r="TFV22"/>
      <c r="TFW22"/>
      <c r="TFX22"/>
      <c r="TFY22"/>
      <c r="TFZ22"/>
      <c r="TGA22"/>
      <c r="TGB22"/>
      <c r="TGC22"/>
      <c r="TGD22"/>
      <c r="TGE22"/>
      <c r="TGF22"/>
      <c r="TGG22"/>
      <c r="TGH22"/>
      <c r="TGI22"/>
      <c r="TGJ22"/>
      <c r="TGK22"/>
      <c r="TGL22"/>
      <c r="TGM22"/>
      <c r="TGN22"/>
      <c r="TGO22"/>
      <c r="TGP22"/>
      <c r="TGQ22"/>
      <c r="TGR22"/>
      <c r="TGS22"/>
      <c r="TGT22"/>
      <c r="TGU22"/>
      <c r="TGV22"/>
      <c r="TGW22"/>
      <c r="TGX22"/>
      <c r="TGY22"/>
      <c r="TGZ22"/>
      <c r="THA22"/>
      <c r="THB22"/>
      <c r="THC22"/>
      <c r="THD22"/>
      <c r="THE22"/>
      <c r="THF22"/>
      <c r="THG22"/>
      <c r="THH22"/>
      <c r="THI22"/>
      <c r="THJ22"/>
      <c r="THK22"/>
      <c r="THL22"/>
      <c r="THM22"/>
      <c r="THN22"/>
      <c r="THO22"/>
      <c r="THP22"/>
      <c r="THQ22"/>
      <c r="THR22"/>
      <c r="THS22"/>
      <c r="THT22"/>
      <c r="THU22"/>
      <c r="THV22"/>
      <c r="THW22"/>
      <c r="THX22"/>
      <c r="THY22"/>
      <c r="THZ22"/>
      <c r="TIA22"/>
      <c r="TIB22"/>
      <c r="TIC22"/>
      <c r="TID22"/>
      <c r="TIE22"/>
      <c r="TIF22"/>
      <c r="TIG22"/>
      <c r="TIH22"/>
      <c r="TII22"/>
      <c r="TIJ22"/>
      <c r="TIK22"/>
      <c r="TIL22"/>
      <c r="TIM22"/>
      <c r="TIN22"/>
      <c r="TIO22"/>
      <c r="TIP22"/>
      <c r="TIQ22"/>
      <c r="TIR22"/>
      <c r="TIS22"/>
      <c r="TIT22"/>
      <c r="TIU22"/>
      <c r="TIV22"/>
      <c r="TIW22"/>
      <c r="TIX22"/>
      <c r="TIY22"/>
      <c r="TIZ22"/>
      <c r="TJA22"/>
      <c r="TJB22"/>
      <c r="TJC22"/>
      <c r="TJD22"/>
      <c r="TJE22"/>
      <c r="TJF22"/>
      <c r="TJG22"/>
      <c r="TJH22"/>
      <c r="TJI22"/>
      <c r="TJJ22"/>
      <c r="TJK22"/>
      <c r="TJL22"/>
      <c r="TJM22"/>
      <c r="TJN22"/>
      <c r="TJO22"/>
      <c r="TJP22"/>
      <c r="TJQ22"/>
      <c r="TJR22"/>
      <c r="TJS22"/>
      <c r="TJT22"/>
      <c r="TJU22"/>
      <c r="TJV22"/>
      <c r="TJW22"/>
      <c r="TJX22"/>
      <c r="TJY22"/>
      <c r="TJZ22"/>
      <c r="TKA22"/>
      <c r="TKB22"/>
      <c r="TKC22"/>
      <c r="TKD22"/>
      <c r="TKE22"/>
      <c r="TKF22"/>
      <c r="TKG22"/>
      <c r="TKH22"/>
      <c r="TKI22"/>
      <c r="TKJ22"/>
      <c r="TKK22"/>
      <c r="TKL22"/>
      <c r="TKM22"/>
      <c r="TKN22"/>
      <c r="TKO22"/>
      <c r="TKP22"/>
      <c r="TKQ22"/>
      <c r="TKR22"/>
      <c r="TKS22"/>
      <c r="TKT22"/>
      <c r="TKU22"/>
      <c r="TKV22"/>
      <c r="TKW22"/>
      <c r="TKX22"/>
      <c r="TKY22"/>
      <c r="TKZ22"/>
      <c r="TLA22"/>
      <c r="TLB22"/>
      <c r="TLC22"/>
      <c r="TLD22"/>
      <c r="TLE22"/>
      <c r="TLF22"/>
      <c r="TLG22"/>
      <c r="TLH22"/>
      <c r="TLI22"/>
      <c r="TLJ22"/>
      <c r="TLK22"/>
      <c r="TLL22"/>
      <c r="TLM22"/>
      <c r="TLN22"/>
      <c r="TLO22"/>
      <c r="TLP22"/>
      <c r="TLQ22"/>
      <c r="TLR22"/>
      <c r="TLS22"/>
      <c r="TLT22"/>
      <c r="TLU22"/>
      <c r="TLV22"/>
      <c r="TLW22"/>
      <c r="TLX22"/>
      <c r="TLY22"/>
      <c r="TLZ22"/>
      <c r="TMA22"/>
      <c r="TMB22"/>
      <c r="TMC22"/>
      <c r="TMD22"/>
      <c r="TME22"/>
      <c r="TMF22"/>
      <c r="TMG22"/>
      <c r="TMH22"/>
      <c r="TMI22"/>
      <c r="TMJ22"/>
      <c r="TMK22"/>
      <c r="TML22"/>
      <c r="TMM22"/>
      <c r="TMN22"/>
      <c r="TMO22"/>
      <c r="TMP22"/>
      <c r="TMQ22"/>
      <c r="TMR22"/>
      <c r="TMS22"/>
      <c r="TMT22"/>
      <c r="TMU22"/>
      <c r="TMV22"/>
      <c r="TMW22"/>
      <c r="TMX22"/>
      <c r="TMY22"/>
      <c r="TMZ22"/>
      <c r="TNA22"/>
      <c r="TNB22"/>
      <c r="TNC22"/>
      <c r="TND22"/>
      <c r="TNE22"/>
      <c r="TNF22"/>
      <c r="TNG22"/>
      <c r="TNH22"/>
      <c r="TNI22"/>
      <c r="TNJ22"/>
      <c r="TNK22"/>
      <c r="TNL22"/>
      <c r="TNM22"/>
      <c r="TNN22"/>
      <c r="TNO22"/>
      <c r="TNP22"/>
      <c r="TNQ22"/>
      <c r="TNR22"/>
      <c r="TNS22"/>
      <c r="TNT22"/>
      <c r="TNU22"/>
      <c r="TNV22"/>
      <c r="TNW22"/>
      <c r="TNX22"/>
      <c r="TNY22"/>
      <c r="TNZ22"/>
      <c r="TOA22"/>
      <c r="TOB22"/>
      <c r="TOC22"/>
      <c r="TOD22"/>
      <c r="TOE22"/>
      <c r="TOF22"/>
      <c r="TOG22"/>
      <c r="TOH22"/>
      <c r="TOI22"/>
      <c r="TOJ22"/>
      <c r="TOK22"/>
      <c r="TOL22"/>
      <c r="TOM22"/>
      <c r="TON22"/>
      <c r="TOO22"/>
      <c r="TOP22"/>
      <c r="TOQ22"/>
      <c r="TOR22"/>
      <c r="TOS22"/>
      <c r="TOT22"/>
      <c r="TOU22"/>
      <c r="TOV22"/>
      <c r="TOW22"/>
      <c r="TOX22"/>
      <c r="TOY22"/>
      <c r="TOZ22"/>
      <c r="TPA22"/>
      <c r="TPB22"/>
      <c r="TPC22"/>
      <c r="TPD22"/>
      <c r="TPE22"/>
      <c r="TPF22"/>
      <c r="TPG22"/>
      <c r="TPH22"/>
      <c r="TPI22"/>
      <c r="TPJ22"/>
      <c r="TPK22"/>
      <c r="TPL22"/>
      <c r="TPM22"/>
      <c r="TPN22"/>
      <c r="TPO22"/>
      <c r="TPP22"/>
      <c r="TPQ22"/>
      <c r="TPR22"/>
      <c r="TPS22"/>
      <c r="TPT22"/>
      <c r="TPU22"/>
      <c r="TPV22"/>
      <c r="TPW22"/>
      <c r="TPX22"/>
      <c r="TPY22"/>
      <c r="TPZ22"/>
      <c r="TQA22"/>
      <c r="TQB22"/>
      <c r="TQC22"/>
      <c r="TQD22"/>
      <c r="TQE22"/>
      <c r="TQF22"/>
      <c r="TQG22"/>
      <c r="TQH22"/>
      <c r="TQI22"/>
      <c r="TQJ22"/>
      <c r="TQK22"/>
      <c r="TQL22"/>
      <c r="TQM22"/>
      <c r="TQN22"/>
      <c r="TQO22"/>
      <c r="TQP22"/>
      <c r="TQQ22"/>
      <c r="TQR22"/>
      <c r="TQS22"/>
      <c r="TQT22"/>
      <c r="TQU22"/>
      <c r="TQV22"/>
      <c r="TQW22"/>
      <c r="TQX22"/>
      <c r="TQY22"/>
      <c r="TQZ22"/>
      <c r="TRA22"/>
      <c r="TRB22"/>
      <c r="TRC22"/>
      <c r="TRD22"/>
      <c r="TRE22"/>
      <c r="TRF22"/>
      <c r="TRG22"/>
      <c r="TRH22"/>
      <c r="TRI22"/>
      <c r="TRJ22"/>
      <c r="TRK22"/>
      <c r="TRL22"/>
      <c r="TRM22"/>
      <c r="TRN22"/>
      <c r="TRO22"/>
      <c r="TRP22"/>
      <c r="TRQ22"/>
      <c r="TRR22"/>
      <c r="TRS22"/>
      <c r="TRT22"/>
      <c r="TRU22"/>
      <c r="TRV22"/>
      <c r="TRW22"/>
      <c r="TRX22"/>
      <c r="TRY22"/>
      <c r="TRZ22"/>
      <c r="TSA22"/>
      <c r="TSB22"/>
      <c r="TSC22"/>
      <c r="TSD22"/>
      <c r="TSE22"/>
      <c r="TSF22"/>
      <c r="TSG22"/>
      <c r="TSH22"/>
      <c r="TSI22"/>
      <c r="TSJ22"/>
      <c r="TSK22"/>
      <c r="TSL22"/>
      <c r="TSM22"/>
      <c r="TSN22"/>
      <c r="TSO22"/>
      <c r="TSP22"/>
      <c r="TSQ22"/>
      <c r="TSR22"/>
      <c r="TSS22"/>
      <c r="TST22"/>
      <c r="TSU22"/>
      <c r="TSV22"/>
      <c r="TSW22"/>
      <c r="TSX22"/>
      <c r="TSY22"/>
      <c r="TSZ22"/>
      <c r="TTA22"/>
      <c r="TTB22"/>
      <c r="TTC22"/>
      <c r="TTD22"/>
      <c r="TTE22"/>
      <c r="TTF22"/>
      <c r="TTG22"/>
      <c r="TTH22"/>
      <c r="TTI22"/>
      <c r="TTJ22"/>
      <c r="TTK22"/>
      <c r="TTL22"/>
      <c r="TTM22"/>
      <c r="TTN22"/>
      <c r="TTO22"/>
      <c r="TTP22"/>
      <c r="TTQ22"/>
      <c r="TTR22"/>
      <c r="TTS22"/>
      <c r="TTT22"/>
      <c r="TTU22"/>
      <c r="TTV22"/>
      <c r="TTW22"/>
      <c r="TTX22"/>
      <c r="TTY22"/>
      <c r="TTZ22"/>
      <c r="TUA22"/>
      <c r="TUB22"/>
      <c r="TUC22"/>
      <c r="TUD22"/>
      <c r="TUE22"/>
      <c r="TUF22"/>
      <c r="TUG22"/>
      <c r="TUH22"/>
      <c r="TUI22"/>
      <c r="TUJ22"/>
      <c r="TUK22"/>
      <c r="TUL22"/>
      <c r="TUM22"/>
      <c r="TUN22"/>
      <c r="TUO22"/>
      <c r="TUP22"/>
      <c r="TUQ22"/>
      <c r="TUR22"/>
      <c r="TUS22"/>
      <c r="TUT22"/>
      <c r="TUU22"/>
      <c r="TUV22"/>
      <c r="TUW22"/>
      <c r="TUX22"/>
      <c r="TUY22"/>
      <c r="TUZ22"/>
      <c r="TVA22"/>
      <c r="TVB22"/>
      <c r="TVC22"/>
      <c r="TVD22"/>
      <c r="TVE22"/>
      <c r="TVF22"/>
      <c r="TVG22"/>
      <c r="TVH22"/>
      <c r="TVI22"/>
      <c r="TVJ22"/>
      <c r="TVK22"/>
      <c r="TVL22"/>
      <c r="TVM22"/>
      <c r="TVN22"/>
      <c r="TVO22"/>
      <c r="TVP22"/>
      <c r="TVQ22"/>
      <c r="TVR22"/>
      <c r="TVS22"/>
      <c r="TVT22"/>
      <c r="TVU22"/>
      <c r="TVV22"/>
      <c r="TVW22"/>
      <c r="TVX22"/>
      <c r="TVY22"/>
      <c r="TVZ22"/>
      <c r="TWA22"/>
      <c r="TWB22"/>
      <c r="TWC22"/>
      <c r="TWD22"/>
      <c r="TWE22"/>
      <c r="TWF22"/>
      <c r="TWG22"/>
      <c r="TWH22"/>
      <c r="TWI22"/>
      <c r="TWJ22"/>
      <c r="TWK22"/>
      <c r="TWL22"/>
      <c r="TWM22"/>
      <c r="TWN22"/>
      <c r="TWO22"/>
      <c r="TWP22"/>
      <c r="TWQ22"/>
      <c r="TWR22"/>
      <c r="TWS22"/>
      <c r="TWT22"/>
      <c r="TWU22"/>
      <c r="TWV22"/>
      <c r="TWW22"/>
      <c r="TWX22"/>
      <c r="TWY22"/>
      <c r="TWZ22"/>
      <c r="TXA22"/>
      <c r="TXB22"/>
      <c r="TXC22"/>
      <c r="TXD22"/>
      <c r="TXE22"/>
      <c r="TXF22"/>
      <c r="TXG22"/>
      <c r="TXH22"/>
      <c r="TXI22"/>
      <c r="TXJ22"/>
      <c r="TXK22"/>
      <c r="TXL22"/>
      <c r="TXM22"/>
      <c r="TXN22"/>
      <c r="TXO22"/>
      <c r="TXP22"/>
      <c r="TXQ22"/>
      <c r="TXR22"/>
      <c r="TXS22"/>
      <c r="TXT22"/>
      <c r="TXU22"/>
      <c r="TXV22"/>
      <c r="TXW22"/>
      <c r="TXX22"/>
      <c r="TXY22"/>
      <c r="TXZ22"/>
      <c r="TYA22"/>
      <c r="TYB22"/>
      <c r="TYC22"/>
      <c r="TYD22"/>
      <c r="TYE22"/>
      <c r="TYF22"/>
      <c r="TYG22"/>
      <c r="TYH22"/>
      <c r="TYI22"/>
      <c r="TYJ22"/>
      <c r="TYK22"/>
      <c r="TYL22"/>
      <c r="TYM22"/>
      <c r="TYN22"/>
      <c r="TYO22"/>
      <c r="TYP22"/>
      <c r="TYQ22"/>
      <c r="TYR22"/>
      <c r="TYS22"/>
      <c r="TYT22"/>
      <c r="TYU22"/>
      <c r="TYV22"/>
      <c r="TYW22"/>
      <c r="TYX22"/>
      <c r="TYY22"/>
      <c r="TYZ22"/>
      <c r="TZA22"/>
      <c r="TZB22"/>
      <c r="TZC22"/>
      <c r="TZD22"/>
      <c r="TZE22"/>
      <c r="TZF22"/>
      <c r="TZG22"/>
      <c r="TZH22"/>
      <c r="TZI22"/>
      <c r="TZJ22"/>
      <c r="TZK22"/>
      <c r="TZL22"/>
      <c r="TZM22"/>
      <c r="TZN22"/>
      <c r="TZO22"/>
      <c r="TZP22"/>
      <c r="TZQ22"/>
      <c r="TZR22"/>
      <c r="TZS22"/>
      <c r="TZT22"/>
      <c r="TZU22"/>
      <c r="TZV22"/>
      <c r="TZW22"/>
      <c r="TZX22"/>
      <c r="TZY22"/>
      <c r="TZZ22"/>
      <c r="UAA22"/>
      <c r="UAB22"/>
      <c r="UAC22"/>
      <c r="UAD22"/>
      <c r="UAE22"/>
      <c r="UAF22"/>
      <c r="UAG22"/>
      <c r="UAH22"/>
      <c r="UAI22"/>
      <c r="UAJ22"/>
      <c r="UAK22"/>
      <c r="UAL22"/>
      <c r="UAM22"/>
      <c r="UAN22"/>
      <c r="UAO22"/>
      <c r="UAP22"/>
      <c r="UAQ22"/>
      <c r="UAR22"/>
      <c r="UAS22"/>
      <c r="UAT22"/>
      <c r="UAU22"/>
      <c r="UAV22"/>
      <c r="UAW22"/>
      <c r="UAX22"/>
      <c r="UAY22"/>
      <c r="UAZ22"/>
      <c r="UBA22"/>
      <c r="UBB22"/>
      <c r="UBC22"/>
      <c r="UBD22"/>
      <c r="UBE22"/>
      <c r="UBF22"/>
      <c r="UBG22"/>
      <c r="UBH22"/>
      <c r="UBI22"/>
      <c r="UBJ22"/>
      <c r="UBK22"/>
      <c r="UBL22"/>
      <c r="UBM22"/>
      <c r="UBN22"/>
      <c r="UBO22"/>
      <c r="UBP22"/>
      <c r="UBQ22"/>
      <c r="UBR22"/>
      <c r="UBS22"/>
      <c r="UBT22"/>
      <c r="UBU22"/>
      <c r="UBV22"/>
      <c r="UBW22"/>
      <c r="UBX22"/>
      <c r="UBY22"/>
      <c r="UBZ22"/>
      <c r="UCA22"/>
      <c r="UCB22"/>
      <c r="UCC22"/>
      <c r="UCD22"/>
      <c r="UCE22"/>
      <c r="UCF22"/>
      <c r="UCG22"/>
      <c r="UCH22"/>
      <c r="UCI22"/>
      <c r="UCJ22"/>
      <c r="UCK22"/>
      <c r="UCL22"/>
      <c r="UCM22"/>
      <c r="UCN22"/>
      <c r="UCO22"/>
      <c r="UCP22"/>
      <c r="UCQ22"/>
      <c r="UCR22"/>
      <c r="UCS22"/>
      <c r="UCT22"/>
      <c r="UCU22"/>
      <c r="UCV22"/>
      <c r="UCW22"/>
      <c r="UCX22"/>
      <c r="UCY22"/>
      <c r="UCZ22"/>
      <c r="UDA22"/>
      <c r="UDB22"/>
      <c r="UDC22"/>
      <c r="UDD22"/>
      <c r="UDE22"/>
      <c r="UDF22"/>
      <c r="UDG22"/>
      <c r="UDH22"/>
      <c r="UDI22"/>
      <c r="UDJ22"/>
      <c r="UDK22"/>
      <c r="UDL22"/>
      <c r="UDM22"/>
      <c r="UDN22"/>
      <c r="UDO22"/>
      <c r="UDP22"/>
      <c r="UDQ22"/>
      <c r="UDR22"/>
      <c r="UDS22"/>
      <c r="UDT22"/>
      <c r="UDU22"/>
      <c r="UDV22"/>
      <c r="UDW22"/>
      <c r="UDX22"/>
      <c r="UDY22"/>
      <c r="UDZ22"/>
      <c r="UEA22"/>
      <c r="UEB22"/>
      <c r="UEC22"/>
      <c r="UED22"/>
      <c r="UEE22"/>
      <c r="UEF22"/>
      <c r="UEG22"/>
      <c r="UEH22"/>
      <c r="UEI22"/>
      <c r="UEJ22"/>
      <c r="UEK22"/>
      <c r="UEL22"/>
      <c r="UEM22"/>
      <c r="UEN22"/>
      <c r="UEO22"/>
      <c r="UEP22"/>
      <c r="UEQ22"/>
      <c r="UER22"/>
      <c r="UES22"/>
      <c r="UET22"/>
      <c r="UEU22"/>
      <c r="UEV22"/>
      <c r="UEW22"/>
      <c r="UEX22"/>
      <c r="UEY22"/>
      <c r="UEZ22"/>
      <c r="UFA22"/>
      <c r="UFB22"/>
      <c r="UFC22"/>
      <c r="UFD22"/>
      <c r="UFE22"/>
      <c r="UFF22"/>
      <c r="UFG22"/>
      <c r="UFH22"/>
      <c r="UFI22"/>
      <c r="UFJ22"/>
      <c r="UFK22"/>
      <c r="UFL22"/>
      <c r="UFM22"/>
      <c r="UFN22"/>
      <c r="UFO22"/>
      <c r="UFP22"/>
      <c r="UFQ22"/>
      <c r="UFR22"/>
      <c r="UFS22"/>
      <c r="UFT22"/>
      <c r="UFU22"/>
      <c r="UFV22"/>
      <c r="UFW22"/>
      <c r="UFX22"/>
      <c r="UFY22"/>
      <c r="UFZ22"/>
      <c r="UGA22"/>
      <c r="UGB22"/>
      <c r="UGC22"/>
      <c r="UGD22"/>
      <c r="UGE22"/>
      <c r="UGF22"/>
      <c r="UGG22"/>
      <c r="UGH22"/>
      <c r="UGI22"/>
      <c r="UGJ22"/>
      <c r="UGK22"/>
      <c r="UGL22"/>
      <c r="UGM22"/>
      <c r="UGN22"/>
      <c r="UGO22"/>
      <c r="UGP22"/>
      <c r="UGQ22"/>
      <c r="UGR22"/>
      <c r="UGS22"/>
      <c r="UGT22"/>
      <c r="UGU22"/>
      <c r="UGV22"/>
      <c r="UGW22"/>
      <c r="UGX22"/>
      <c r="UGY22"/>
      <c r="UGZ22"/>
      <c r="UHA22"/>
      <c r="UHB22"/>
      <c r="UHC22"/>
      <c r="UHD22"/>
      <c r="UHE22"/>
      <c r="UHF22"/>
      <c r="UHG22"/>
      <c r="UHH22"/>
      <c r="UHI22"/>
      <c r="UHJ22"/>
      <c r="UHK22"/>
      <c r="UHL22"/>
      <c r="UHM22"/>
      <c r="UHN22"/>
      <c r="UHO22"/>
      <c r="UHP22"/>
      <c r="UHQ22"/>
      <c r="UHR22"/>
      <c r="UHS22"/>
      <c r="UHT22"/>
      <c r="UHU22"/>
      <c r="UHV22"/>
      <c r="UHW22"/>
      <c r="UHX22"/>
      <c r="UHY22"/>
      <c r="UHZ22"/>
      <c r="UIA22"/>
      <c r="UIB22"/>
      <c r="UIC22"/>
      <c r="UID22"/>
      <c r="UIE22"/>
      <c r="UIF22"/>
      <c r="UIG22"/>
      <c r="UIH22"/>
      <c r="UII22"/>
      <c r="UIJ22"/>
      <c r="UIK22"/>
      <c r="UIL22"/>
      <c r="UIM22"/>
      <c r="UIN22"/>
      <c r="UIO22"/>
      <c r="UIP22"/>
      <c r="UIQ22"/>
      <c r="UIR22"/>
      <c r="UIS22"/>
      <c r="UIT22"/>
      <c r="UIU22"/>
      <c r="UIV22"/>
      <c r="UIW22"/>
      <c r="UIX22"/>
      <c r="UIY22"/>
      <c r="UIZ22"/>
      <c r="UJA22"/>
      <c r="UJB22"/>
      <c r="UJC22"/>
      <c r="UJD22"/>
      <c r="UJE22"/>
      <c r="UJF22"/>
      <c r="UJG22"/>
      <c r="UJH22"/>
      <c r="UJI22"/>
      <c r="UJJ22"/>
      <c r="UJK22"/>
      <c r="UJL22"/>
      <c r="UJM22"/>
      <c r="UJN22"/>
      <c r="UJO22"/>
      <c r="UJP22"/>
      <c r="UJQ22"/>
      <c r="UJR22"/>
      <c r="UJS22"/>
      <c r="UJT22"/>
      <c r="UJU22"/>
      <c r="UJV22"/>
      <c r="UJW22"/>
      <c r="UJX22"/>
      <c r="UJY22"/>
      <c r="UJZ22"/>
      <c r="UKA22"/>
      <c r="UKB22"/>
      <c r="UKC22"/>
      <c r="UKD22"/>
      <c r="UKE22"/>
      <c r="UKF22"/>
      <c r="UKG22"/>
      <c r="UKH22"/>
      <c r="UKI22"/>
      <c r="UKJ22"/>
      <c r="UKK22"/>
      <c r="UKL22"/>
      <c r="UKM22"/>
      <c r="UKN22"/>
      <c r="UKO22"/>
      <c r="UKP22"/>
      <c r="UKQ22"/>
      <c r="UKR22"/>
      <c r="UKS22"/>
      <c r="UKT22"/>
      <c r="UKU22"/>
      <c r="UKV22"/>
      <c r="UKW22"/>
      <c r="UKX22"/>
      <c r="UKY22"/>
      <c r="UKZ22"/>
      <c r="ULA22"/>
      <c r="ULB22"/>
      <c r="ULC22"/>
      <c r="ULD22"/>
      <c r="ULE22"/>
      <c r="ULF22"/>
      <c r="ULG22"/>
      <c r="ULH22"/>
      <c r="ULI22"/>
      <c r="ULJ22"/>
      <c r="ULK22"/>
      <c r="ULL22"/>
      <c r="ULM22"/>
      <c r="ULN22"/>
      <c r="ULO22"/>
      <c r="ULP22"/>
      <c r="ULQ22"/>
      <c r="ULR22"/>
      <c r="ULS22"/>
      <c r="ULT22"/>
      <c r="ULU22"/>
      <c r="ULV22"/>
      <c r="ULW22"/>
      <c r="ULX22"/>
      <c r="ULY22"/>
      <c r="ULZ22"/>
      <c r="UMA22"/>
      <c r="UMB22"/>
      <c r="UMC22"/>
      <c r="UMD22"/>
      <c r="UME22"/>
      <c r="UMF22"/>
      <c r="UMG22"/>
      <c r="UMH22"/>
      <c r="UMI22"/>
      <c r="UMJ22"/>
      <c r="UMK22"/>
      <c r="UML22"/>
      <c r="UMM22"/>
      <c r="UMN22"/>
      <c r="UMO22"/>
      <c r="UMP22"/>
      <c r="UMQ22"/>
      <c r="UMR22"/>
      <c r="UMS22"/>
      <c r="UMT22"/>
      <c r="UMU22"/>
      <c r="UMV22"/>
      <c r="UMW22"/>
      <c r="UMX22"/>
      <c r="UMY22"/>
      <c r="UMZ22"/>
      <c r="UNA22"/>
      <c r="UNB22"/>
      <c r="UNC22"/>
      <c r="UND22"/>
      <c r="UNE22"/>
      <c r="UNF22"/>
      <c r="UNG22"/>
      <c r="UNH22"/>
      <c r="UNI22"/>
      <c r="UNJ22"/>
      <c r="UNK22"/>
      <c r="UNL22"/>
      <c r="UNM22"/>
      <c r="UNN22"/>
      <c r="UNO22"/>
      <c r="UNP22"/>
      <c r="UNQ22"/>
      <c r="UNR22"/>
      <c r="UNS22"/>
      <c r="UNT22"/>
      <c r="UNU22"/>
      <c r="UNV22"/>
      <c r="UNW22"/>
      <c r="UNX22"/>
      <c r="UNY22"/>
      <c r="UNZ22"/>
      <c r="UOA22"/>
      <c r="UOB22"/>
      <c r="UOC22"/>
      <c r="UOD22"/>
      <c r="UOE22"/>
      <c r="UOF22"/>
      <c r="UOG22"/>
      <c r="UOH22"/>
      <c r="UOI22"/>
      <c r="UOJ22"/>
      <c r="UOK22"/>
      <c r="UOL22"/>
      <c r="UOM22"/>
      <c r="UON22"/>
      <c r="UOO22"/>
      <c r="UOP22"/>
      <c r="UOQ22"/>
      <c r="UOR22"/>
      <c r="UOS22"/>
      <c r="UOT22"/>
      <c r="UOU22"/>
      <c r="UOV22"/>
      <c r="UOW22"/>
      <c r="UOX22"/>
      <c r="UOY22"/>
      <c r="UOZ22"/>
      <c r="UPA22"/>
      <c r="UPB22"/>
      <c r="UPC22"/>
      <c r="UPD22"/>
      <c r="UPE22"/>
      <c r="UPF22"/>
      <c r="UPG22"/>
      <c r="UPH22"/>
      <c r="UPI22"/>
      <c r="UPJ22"/>
      <c r="UPK22"/>
      <c r="UPL22"/>
      <c r="UPM22"/>
      <c r="UPN22"/>
      <c r="UPO22"/>
      <c r="UPP22"/>
      <c r="UPQ22"/>
      <c r="UPR22"/>
      <c r="UPS22"/>
      <c r="UPT22"/>
      <c r="UPU22"/>
      <c r="UPV22"/>
      <c r="UPW22"/>
      <c r="UPX22"/>
      <c r="UPY22"/>
      <c r="UPZ22"/>
      <c r="UQA22"/>
      <c r="UQB22"/>
      <c r="UQC22"/>
      <c r="UQD22"/>
      <c r="UQE22"/>
      <c r="UQF22"/>
      <c r="UQG22"/>
      <c r="UQH22"/>
      <c r="UQI22"/>
      <c r="UQJ22"/>
      <c r="UQK22"/>
      <c r="UQL22"/>
      <c r="UQM22"/>
      <c r="UQN22"/>
      <c r="UQO22"/>
      <c r="UQP22"/>
      <c r="UQQ22"/>
      <c r="UQR22"/>
      <c r="UQS22"/>
      <c r="UQT22"/>
      <c r="UQU22"/>
      <c r="UQV22"/>
      <c r="UQW22"/>
      <c r="UQX22"/>
      <c r="UQY22"/>
      <c r="UQZ22"/>
      <c r="URA22"/>
      <c r="URB22"/>
      <c r="URC22"/>
      <c r="URD22"/>
      <c r="URE22"/>
      <c r="URF22"/>
      <c r="URG22"/>
      <c r="URH22"/>
      <c r="URI22"/>
      <c r="URJ22"/>
      <c r="URK22"/>
      <c r="URL22"/>
      <c r="URM22"/>
      <c r="URN22"/>
      <c r="URO22"/>
      <c r="URP22"/>
      <c r="URQ22"/>
      <c r="URR22"/>
      <c r="URS22"/>
      <c r="URT22"/>
      <c r="URU22"/>
      <c r="URV22"/>
      <c r="URW22"/>
      <c r="URX22"/>
      <c r="URY22"/>
      <c r="URZ22"/>
      <c r="USA22"/>
      <c r="USB22"/>
      <c r="USC22"/>
      <c r="USD22"/>
      <c r="USE22"/>
      <c r="USF22"/>
      <c r="USG22"/>
      <c r="USH22"/>
      <c r="USI22"/>
      <c r="USJ22"/>
      <c r="USK22"/>
      <c r="USL22"/>
      <c r="USM22"/>
      <c r="USN22"/>
      <c r="USO22"/>
      <c r="USP22"/>
      <c r="USQ22"/>
      <c r="USR22"/>
      <c r="USS22"/>
      <c r="UST22"/>
      <c r="USU22"/>
      <c r="USV22"/>
      <c r="USW22"/>
      <c r="USX22"/>
      <c r="USY22"/>
      <c r="USZ22"/>
      <c r="UTA22"/>
      <c r="UTB22"/>
      <c r="UTC22"/>
      <c r="UTD22"/>
      <c r="UTE22"/>
      <c r="UTF22"/>
      <c r="UTG22"/>
      <c r="UTH22"/>
      <c r="UTI22"/>
      <c r="UTJ22"/>
      <c r="UTK22"/>
      <c r="UTL22"/>
      <c r="UTM22"/>
      <c r="UTN22"/>
      <c r="UTO22"/>
      <c r="UTP22"/>
      <c r="UTQ22"/>
      <c r="UTR22"/>
      <c r="UTS22"/>
      <c r="UTT22"/>
      <c r="UTU22"/>
      <c r="UTV22"/>
      <c r="UTW22"/>
      <c r="UTX22"/>
      <c r="UTY22"/>
      <c r="UTZ22"/>
      <c r="UUA22"/>
      <c r="UUB22"/>
      <c r="UUC22"/>
      <c r="UUD22"/>
      <c r="UUE22"/>
      <c r="UUF22"/>
      <c r="UUG22"/>
      <c r="UUH22"/>
      <c r="UUI22"/>
      <c r="UUJ22"/>
      <c r="UUK22"/>
      <c r="UUL22"/>
      <c r="UUM22"/>
      <c r="UUN22"/>
      <c r="UUO22"/>
      <c r="UUP22"/>
      <c r="UUQ22"/>
      <c r="UUR22"/>
      <c r="UUS22"/>
      <c r="UUT22"/>
      <c r="UUU22"/>
      <c r="UUV22"/>
      <c r="UUW22"/>
      <c r="UUX22"/>
      <c r="UUY22"/>
      <c r="UUZ22"/>
      <c r="UVA22"/>
      <c r="UVB22"/>
      <c r="UVC22"/>
      <c r="UVD22"/>
      <c r="UVE22"/>
      <c r="UVF22"/>
      <c r="UVG22"/>
      <c r="UVH22"/>
      <c r="UVI22"/>
      <c r="UVJ22"/>
      <c r="UVK22"/>
      <c r="UVL22"/>
      <c r="UVM22"/>
      <c r="UVN22"/>
      <c r="UVO22"/>
      <c r="UVP22"/>
      <c r="UVQ22"/>
      <c r="UVR22"/>
      <c r="UVS22"/>
      <c r="UVT22"/>
      <c r="UVU22"/>
      <c r="UVV22"/>
      <c r="UVW22"/>
      <c r="UVX22"/>
      <c r="UVY22"/>
      <c r="UVZ22"/>
      <c r="UWA22"/>
      <c r="UWB22"/>
      <c r="UWC22"/>
      <c r="UWD22"/>
      <c r="UWE22"/>
      <c r="UWF22"/>
      <c r="UWG22"/>
      <c r="UWH22"/>
      <c r="UWI22"/>
      <c r="UWJ22"/>
      <c r="UWK22"/>
      <c r="UWL22"/>
      <c r="UWM22"/>
      <c r="UWN22"/>
      <c r="UWO22"/>
      <c r="UWP22"/>
      <c r="UWQ22"/>
      <c r="UWR22"/>
      <c r="UWS22"/>
      <c r="UWT22"/>
      <c r="UWU22"/>
      <c r="UWV22"/>
      <c r="UWW22"/>
      <c r="UWX22"/>
      <c r="UWY22"/>
      <c r="UWZ22"/>
      <c r="UXA22"/>
      <c r="UXB22"/>
      <c r="UXC22"/>
      <c r="UXD22"/>
      <c r="UXE22"/>
      <c r="UXF22"/>
      <c r="UXG22"/>
      <c r="UXH22"/>
      <c r="UXI22"/>
      <c r="UXJ22"/>
      <c r="UXK22"/>
      <c r="UXL22"/>
      <c r="UXM22"/>
      <c r="UXN22"/>
      <c r="UXO22"/>
      <c r="UXP22"/>
      <c r="UXQ22"/>
      <c r="UXR22"/>
      <c r="UXS22"/>
      <c r="UXT22"/>
      <c r="UXU22"/>
      <c r="UXV22"/>
      <c r="UXW22"/>
      <c r="UXX22"/>
      <c r="UXY22"/>
      <c r="UXZ22"/>
      <c r="UYA22"/>
      <c r="UYB22"/>
      <c r="UYC22"/>
      <c r="UYD22"/>
      <c r="UYE22"/>
      <c r="UYF22"/>
      <c r="UYG22"/>
      <c r="UYH22"/>
      <c r="UYI22"/>
      <c r="UYJ22"/>
      <c r="UYK22"/>
      <c r="UYL22"/>
      <c r="UYM22"/>
      <c r="UYN22"/>
      <c r="UYO22"/>
      <c r="UYP22"/>
      <c r="UYQ22"/>
      <c r="UYR22"/>
      <c r="UYS22"/>
      <c r="UYT22"/>
      <c r="UYU22"/>
      <c r="UYV22"/>
      <c r="UYW22"/>
      <c r="UYX22"/>
      <c r="UYY22"/>
      <c r="UYZ22"/>
      <c r="UZA22"/>
      <c r="UZB22"/>
      <c r="UZC22"/>
      <c r="UZD22"/>
      <c r="UZE22"/>
      <c r="UZF22"/>
      <c r="UZG22"/>
      <c r="UZH22"/>
      <c r="UZI22"/>
      <c r="UZJ22"/>
      <c r="UZK22"/>
      <c r="UZL22"/>
      <c r="UZM22"/>
      <c r="UZN22"/>
      <c r="UZO22"/>
      <c r="UZP22"/>
      <c r="UZQ22"/>
      <c r="UZR22"/>
      <c r="UZS22"/>
      <c r="UZT22"/>
      <c r="UZU22"/>
      <c r="UZV22"/>
      <c r="UZW22"/>
      <c r="UZX22"/>
      <c r="UZY22"/>
      <c r="UZZ22"/>
      <c r="VAA22"/>
      <c r="VAB22"/>
      <c r="VAC22"/>
      <c r="VAD22"/>
      <c r="VAE22"/>
      <c r="VAF22"/>
      <c r="VAG22"/>
      <c r="VAH22"/>
      <c r="VAI22"/>
      <c r="VAJ22"/>
      <c r="VAK22"/>
      <c r="VAL22"/>
      <c r="VAM22"/>
      <c r="VAN22"/>
      <c r="VAO22"/>
      <c r="VAP22"/>
      <c r="VAQ22"/>
      <c r="VAR22"/>
      <c r="VAS22"/>
      <c r="VAT22"/>
      <c r="VAU22"/>
      <c r="VAV22"/>
      <c r="VAW22"/>
      <c r="VAX22"/>
      <c r="VAY22"/>
      <c r="VAZ22"/>
      <c r="VBA22"/>
      <c r="VBB22"/>
      <c r="VBC22"/>
      <c r="VBD22"/>
      <c r="VBE22"/>
      <c r="VBF22"/>
      <c r="VBG22"/>
      <c r="VBH22"/>
      <c r="VBI22"/>
      <c r="VBJ22"/>
      <c r="VBK22"/>
      <c r="VBL22"/>
      <c r="VBM22"/>
      <c r="VBN22"/>
      <c r="VBO22"/>
      <c r="VBP22"/>
      <c r="VBQ22"/>
      <c r="VBR22"/>
      <c r="VBS22"/>
      <c r="VBT22"/>
      <c r="VBU22"/>
      <c r="VBV22"/>
      <c r="VBW22"/>
      <c r="VBX22"/>
      <c r="VBY22"/>
      <c r="VBZ22"/>
      <c r="VCA22"/>
      <c r="VCB22"/>
      <c r="VCC22"/>
      <c r="VCD22"/>
      <c r="VCE22"/>
      <c r="VCF22"/>
      <c r="VCG22"/>
      <c r="VCH22"/>
      <c r="VCI22"/>
      <c r="VCJ22"/>
      <c r="VCK22"/>
      <c r="VCL22"/>
      <c r="VCM22"/>
      <c r="VCN22"/>
      <c r="VCO22"/>
      <c r="VCP22"/>
      <c r="VCQ22"/>
      <c r="VCR22"/>
      <c r="VCS22"/>
      <c r="VCT22"/>
      <c r="VCU22"/>
      <c r="VCV22"/>
      <c r="VCW22"/>
      <c r="VCX22"/>
      <c r="VCY22"/>
      <c r="VCZ22"/>
      <c r="VDA22"/>
      <c r="VDB22"/>
      <c r="VDC22"/>
      <c r="VDD22"/>
      <c r="VDE22"/>
      <c r="VDF22"/>
      <c r="VDG22"/>
      <c r="VDH22"/>
      <c r="VDI22"/>
      <c r="VDJ22"/>
      <c r="VDK22"/>
      <c r="VDL22"/>
      <c r="VDM22"/>
      <c r="VDN22"/>
      <c r="VDO22"/>
      <c r="VDP22"/>
      <c r="VDQ22"/>
      <c r="VDR22"/>
      <c r="VDS22"/>
      <c r="VDT22"/>
      <c r="VDU22"/>
      <c r="VDV22"/>
      <c r="VDW22"/>
      <c r="VDX22"/>
      <c r="VDY22"/>
      <c r="VDZ22"/>
      <c r="VEA22"/>
      <c r="VEB22"/>
      <c r="VEC22"/>
      <c r="VED22"/>
      <c r="VEE22"/>
      <c r="VEF22"/>
      <c r="VEG22"/>
      <c r="VEH22"/>
      <c r="VEI22"/>
      <c r="VEJ22"/>
      <c r="VEK22"/>
      <c r="VEL22"/>
      <c r="VEM22"/>
      <c r="VEN22"/>
      <c r="VEO22"/>
      <c r="VEP22"/>
      <c r="VEQ22"/>
      <c r="VER22"/>
      <c r="VES22"/>
      <c r="VET22"/>
      <c r="VEU22"/>
      <c r="VEV22"/>
      <c r="VEW22"/>
      <c r="VEX22"/>
      <c r="VEY22"/>
      <c r="VEZ22"/>
      <c r="VFA22"/>
      <c r="VFB22"/>
      <c r="VFC22"/>
      <c r="VFD22"/>
      <c r="VFE22"/>
      <c r="VFF22"/>
      <c r="VFG22"/>
      <c r="VFH22"/>
      <c r="VFI22"/>
      <c r="VFJ22"/>
      <c r="VFK22"/>
      <c r="VFL22"/>
      <c r="VFM22"/>
      <c r="VFN22"/>
      <c r="VFO22"/>
      <c r="VFP22"/>
      <c r="VFQ22"/>
      <c r="VFR22"/>
      <c r="VFS22"/>
      <c r="VFT22"/>
      <c r="VFU22"/>
      <c r="VFV22"/>
      <c r="VFW22"/>
      <c r="VFX22"/>
      <c r="VFY22"/>
      <c r="VFZ22"/>
      <c r="VGA22"/>
      <c r="VGB22"/>
      <c r="VGC22"/>
      <c r="VGD22"/>
      <c r="VGE22"/>
      <c r="VGF22"/>
      <c r="VGG22"/>
      <c r="VGH22"/>
      <c r="VGI22"/>
      <c r="VGJ22"/>
      <c r="VGK22"/>
      <c r="VGL22"/>
      <c r="VGM22"/>
      <c r="VGN22"/>
      <c r="VGO22"/>
      <c r="VGP22"/>
      <c r="VGQ22"/>
      <c r="VGR22"/>
      <c r="VGS22"/>
      <c r="VGT22"/>
      <c r="VGU22"/>
      <c r="VGV22"/>
      <c r="VGW22"/>
      <c r="VGX22"/>
      <c r="VGY22"/>
      <c r="VGZ22"/>
      <c r="VHA22"/>
      <c r="VHB22"/>
      <c r="VHC22"/>
      <c r="VHD22"/>
      <c r="VHE22"/>
      <c r="VHF22"/>
      <c r="VHG22"/>
      <c r="VHH22"/>
      <c r="VHI22"/>
      <c r="VHJ22"/>
      <c r="VHK22"/>
      <c r="VHL22"/>
      <c r="VHM22"/>
      <c r="VHN22"/>
      <c r="VHO22"/>
      <c r="VHP22"/>
      <c r="VHQ22"/>
      <c r="VHR22"/>
      <c r="VHS22"/>
      <c r="VHT22"/>
      <c r="VHU22"/>
      <c r="VHV22"/>
      <c r="VHW22"/>
      <c r="VHX22"/>
      <c r="VHY22"/>
      <c r="VHZ22"/>
      <c r="VIA22"/>
      <c r="VIB22"/>
      <c r="VIC22"/>
      <c r="VID22"/>
      <c r="VIE22"/>
      <c r="VIF22"/>
      <c r="VIG22"/>
      <c r="VIH22"/>
      <c r="VII22"/>
      <c r="VIJ22"/>
      <c r="VIK22"/>
      <c r="VIL22"/>
      <c r="VIM22"/>
      <c r="VIN22"/>
      <c r="VIO22"/>
      <c r="VIP22"/>
      <c r="VIQ22"/>
      <c r="VIR22"/>
      <c r="VIS22"/>
      <c r="VIT22"/>
      <c r="VIU22"/>
      <c r="VIV22"/>
      <c r="VIW22"/>
      <c r="VIX22"/>
      <c r="VIY22"/>
      <c r="VIZ22"/>
      <c r="VJA22"/>
      <c r="VJB22"/>
      <c r="VJC22"/>
      <c r="VJD22"/>
      <c r="VJE22"/>
      <c r="VJF22"/>
      <c r="VJG22"/>
      <c r="VJH22"/>
      <c r="VJI22"/>
      <c r="VJJ22"/>
      <c r="VJK22"/>
      <c r="VJL22"/>
      <c r="VJM22"/>
      <c r="VJN22"/>
      <c r="VJO22"/>
      <c r="VJP22"/>
      <c r="VJQ22"/>
      <c r="VJR22"/>
      <c r="VJS22"/>
      <c r="VJT22"/>
      <c r="VJU22"/>
      <c r="VJV22"/>
      <c r="VJW22"/>
      <c r="VJX22"/>
      <c r="VJY22"/>
      <c r="VJZ22"/>
      <c r="VKA22"/>
      <c r="VKB22"/>
      <c r="VKC22"/>
      <c r="VKD22"/>
      <c r="VKE22"/>
      <c r="VKF22"/>
      <c r="VKG22"/>
      <c r="VKH22"/>
      <c r="VKI22"/>
      <c r="VKJ22"/>
      <c r="VKK22"/>
      <c r="VKL22"/>
      <c r="VKM22"/>
      <c r="VKN22"/>
      <c r="VKO22"/>
      <c r="VKP22"/>
      <c r="VKQ22"/>
      <c r="VKR22"/>
      <c r="VKS22"/>
      <c r="VKT22"/>
      <c r="VKU22"/>
      <c r="VKV22"/>
      <c r="VKW22"/>
      <c r="VKX22"/>
      <c r="VKY22"/>
      <c r="VKZ22"/>
      <c r="VLA22"/>
      <c r="VLB22"/>
      <c r="VLC22"/>
      <c r="VLD22"/>
      <c r="VLE22"/>
      <c r="VLF22"/>
      <c r="VLG22"/>
      <c r="VLH22"/>
      <c r="VLI22"/>
      <c r="VLJ22"/>
      <c r="VLK22"/>
      <c r="VLL22"/>
      <c r="VLM22"/>
      <c r="VLN22"/>
      <c r="VLO22"/>
      <c r="VLP22"/>
      <c r="VLQ22"/>
      <c r="VLR22"/>
      <c r="VLS22"/>
      <c r="VLT22"/>
      <c r="VLU22"/>
      <c r="VLV22"/>
      <c r="VLW22"/>
      <c r="VLX22"/>
      <c r="VLY22"/>
      <c r="VLZ22"/>
      <c r="VMA22"/>
      <c r="VMB22"/>
      <c r="VMC22"/>
      <c r="VMD22"/>
      <c r="VME22"/>
      <c r="VMF22"/>
      <c r="VMG22"/>
      <c r="VMH22"/>
      <c r="VMI22"/>
      <c r="VMJ22"/>
      <c r="VMK22"/>
      <c r="VML22"/>
      <c r="VMM22"/>
      <c r="VMN22"/>
      <c r="VMO22"/>
      <c r="VMP22"/>
      <c r="VMQ22"/>
      <c r="VMR22"/>
      <c r="VMS22"/>
      <c r="VMT22"/>
      <c r="VMU22"/>
      <c r="VMV22"/>
      <c r="VMW22"/>
      <c r="VMX22"/>
      <c r="VMY22"/>
      <c r="VMZ22"/>
      <c r="VNA22"/>
      <c r="VNB22"/>
      <c r="VNC22"/>
      <c r="VND22"/>
      <c r="VNE22"/>
      <c r="VNF22"/>
      <c r="VNG22"/>
      <c r="VNH22"/>
      <c r="VNI22"/>
      <c r="VNJ22"/>
      <c r="VNK22"/>
      <c r="VNL22"/>
      <c r="VNM22"/>
      <c r="VNN22"/>
      <c r="VNO22"/>
      <c r="VNP22"/>
      <c r="VNQ22"/>
      <c r="VNR22"/>
      <c r="VNS22"/>
      <c r="VNT22"/>
      <c r="VNU22"/>
      <c r="VNV22"/>
      <c r="VNW22"/>
      <c r="VNX22"/>
      <c r="VNY22"/>
      <c r="VNZ22"/>
      <c r="VOA22"/>
      <c r="VOB22"/>
      <c r="VOC22"/>
      <c r="VOD22"/>
      <c r="VOE22"/>
      <c r="VOF22"/>
      <c r="VOG22"/>
      <c r="VOH22"/>
      <c r="VOI22"/>
      <c r="VOJ22"/>
      <c r="VOK22"/>
      <c r="VOL22"/>
      <c r="VOM22"/>
      <c r="VON22"/>
      <c r="VOO22"/>
      <c r="VOP22"/>
      <c r="VOQ22"/>
      <c r="VOR22"/>
      <c r="VOS22"/>
      <c r="VOT22"/>
      <c r="VOU22"/>
      <c r="VOV22"/>
      <c r="VOW22"/>
      <c r="VOX22"/>
      <c r="VOY22"/>
      <c r="VOZ22"/>
      <c r="VPA22"/>
      <c r="VPB22"/>
      <c r="VPC22"/>
      <c r="VPD22"/>
      <c r="VPE22"/>
      <c r="VPF22"/>
      <c r="VPG22"/>
      <c r="VPH22"/>
      <c r="VPI22"/>
      <c r="VPJ22"/>
      <c r="VPK22"/>
      <c r="VPL22"/>
      <c r="VPM22"/>
      <c r="VPN22"/>
      <c r="VPO22"/>
      <c r="VPP22"/>
      <c r="VPQ22"/>
      <c r="VPR22"/>
      <c r="VPS22"/>
      <c r="VPT22"/>
      <c r="VPU22"/>
      <c r="VPV22"/>
      <c r="VPW22"/>
      <c r="VPX22"/>
      <c r="VPY22"/>
      <c r="VPZ22"/>
      <c r="VQA22"/>
      <c r="VQB22"/>
      <c r="VQC22"/>
      <c r="VQD22"/>
      <c r="VQE22"/>
      <c r="VQF22"/>
      <c r="VQG22"/>
      <c r="VQH22"/>
      <c r="VQI22"/>
      <c r="VQJ22"/>
      <c r="VQK22"/>
      <c r="VQL22"/>
      <c r="VQM22"/>
      <c r="VQN22"/>
      <c r="VQO22"/>
      <c r="VQP22"/>
      <c r="VQQ22"/>
      <c r="VQR22"/>
      <c r="VQS22"/>
      <c r="VQT22"/>
      <c r="VQU22"/>
      <c r="VQV22"/>
      <c r="VQW22"/>
      <c r="VQX22"/>
      <c r="VQY22"/>
      <c r="VQZ22"/>
      <c r="VRA22"/>
      <c r="VRB22"/>
      <c r="VRC22"/>
      <c r="VRD22"/>
      <c r="VRE22"/>
      <c r="VRF22"/>
      <c r="VRG22"/>
      <c r="VRH22"/>
      <c r="VRI22"/>
      <c r="VRJ22"/>
      <c r="VRK22"/>
      <c r="VRL22"/>
      <c r="VRM22"/>
      <c r="VRN22"/>
      <c r="VRO22"/>
      <c r="VRP22"/>
      <c r="VRQ22"/>
      <c r="VRR22"/>
      <c r="VRS22"/>
      <c r="VRT22"/>
      <c r="VRU22"/>
      <c r="VRV22"/>
      <c r="VRW22"/>
      <c r="VRX22"/>
      <c r="VRY22"/>
      <c r="VRZ22"/>
      <c r="VSA22"/>
      <c r="VSB22"/>
      <c r="VSC22"/>
      <c r="VSD22"/>
      <c r="VSE22"/>
      <c r="VSF22"/>
      <c r="VSG22"/>
      <c r="VSH22"/>
      <c r="VSI22"/>
      <c r="VSJ22"/>
      <c r="VSK22"/>
      <c r="VSL22"/>
      <c r="VSM22"/>
      <c r="VSN22"/>
      <c r="VSO22"/>
      <c r="VSP22"/>
      <c r="VSQ22"/>
      <c r="VSR22"/>
      <c r="VSS22"/>
      <c r="VST22"/>
      <c r="VSU22"/>
      <c r="VSV22"/>
      <c r="VSW22"/>
      <c r="VSX22"/>
      <c r="VSY22"/>
      <c r="VSZ22"/>
      <c r="VTA22"/>
      <c r="VTB22"/>
      <c r="VTC22"/>
      <c r="VTD22"/>
      <c r="VTE22"/>
      <c r="VTF22"/>
      <c r="VTG22"/>
      <c r="VTH22"/>
      <c r="VTI22"/>
      <c r="VTJ22"/>
      <c r="VTK22"/>
      <c r="VTL22"/>
      <c r="VTM22"/>
      <c r="VTN22"/>
      <c r="VTO22"/>
      <c r="VTP22"/>
      <c r="VTQ22"/>
      <c r="VTR22"/>
      <c r="VTS22"/>
      <c r="VTT22"/>
      <c r="VTU22"/>
      <c r="VTV22"/>
      <c r="VTW22"/>
      <c r="VTX22"/>
      <c r="VTY22"/>
      <c r="VTZ22"/>
      <c r="VUA22"/>
      <c r="VUB22"/>
      <c r="VUC22"/>
      <c r="VUD22"/>
      <c r="VUE22"/>
      <c r="VUF22"/>
      <c r="VUG22"/>
      <c r="VUH22"/>
      <c r="VUI22"/>
      <c r="VUJ22"/>
      <c r="VUK22"/>
      <c r="VUL22"/>
      <c r="VUM22"/>
      <c r="VUN22"/>
      <c r="VUO22"/>
      <c r="VUP22"/>
      <c r="VUQ22"/>
      <c r="VUR22"/>
      <c r="VUS22"/>
      <c r="VUT22"/>
      <c r="VUU22"/>
      <c r="VUV22"/>
      <c r="VUW22"/>
      <c r="VUX22"/>
      <c r="VUY22"/>
      <c r="VUZ22"/>
      <c r="VVA22"/>
      <c r="VVB22"/>
      <c r="VVC22"/>
      <c r="VVD22"/>
      <c r="VVE22"/>
      <c r="VVF22"/>
      <c r="VVG22"/>
      <c r="VVH22"/>
      <c r="VVI22"/>
      <c r="VVJ22"/>
      <c r="VVK22"/>
      <c r="VVL22"/>
      <c r="VVM22"/>
      <c r="VVN22"/>
      <c r="VVO22"/>
      <c r="VVP22"/>
      <c r="VVQ22"/>
      <c r="VVR22"/>
      <c r="VVS22"/>
      <c r="VVT22"/>
      <c r="VVU22"/>
      <c r="VVV22"/>
      <c r="VVW22"/>
      <c r="VVX22"/>
      <c r="VVY22"/>
      <c r="VVZ22"/>
      <c r="VWA22"/>
      <c r="VWB22"/>
      <c r="VWC22"/>
      <c r="VWD22"/>
      <c r="VWE22"/>
      <c r="VWF22"/>
      <c r="VWG22"/>
      <c r="VWH22"/>
      <c r="VWI22"/>
      <c r="VWJ22"/>
      <c r="VWK22"/>
      <c r="VWL22"/>
      <c r="VWM22"/>
      <c r="VWN22"/>
      <c r="VWO22"/>
      <c r="VWP22"/>
      <c r="VWQ22"/>
      <c r="VWR22"/>
      <c r="VWS22"/>
      <c r="VWT22"/>
      <c r="VWU22"/>
      <c r="VWV22"/>
      <c r="VWW22"/>
      <c r="VWX22"/>
      <c r="VWY22"/>
      <c r="VWZ22"/>
      <c r="VXA22"/>
      <c r="VXB22"/>
      <c r="VXC22"/>
      <c r="VXD22"/>
      <c r="VXE22"/>
      <c r="VXF22"/>
      <c r="VXG22"/>
      <c r="VXH22"/>
      <c r="VXI22"/>
      <c r="VXJ22"/>
      <c r="VXK22"/>
      <c r="VXL22"/>
      <c r="VXM22"/>
      <c r="VXN22"/>
      <c r="VXO22"/>
      <c r="VXP22"/>
      <c r="VXQ22"/>
      <c r="VXR22"/>
      <c r="VXS22"/>
      <c r="VXT22"/>
      <c r="VXU22"/>
      <c r="VXV22"/>
      <c r="VXW22"/>
      <c r="VXX22"/>
      <c r="VXY22"/>
      <c r="VXZ22"/>
      <c r="VYA22"/>
      <c r="VYB22"/>
      <c r="VYC22"/>
      <c r="VYD22"/>
      <c r="VYE22"/>
      <c r="VYF22"/>
      <c r="VYG22"/>
      <c r="VYH22"/>
      <c r="VYI22"/>
      <c r="VYJ22"/>
      <c r="VYK22"/>
      <c r="VYL22"/>
      <c r="VYM22"/>
      <c r="VYN22"/>
      <c r="VYO22"/>
      <c r="VYP22"/>
      <c r="VYQ22"/>
      <c r="VYR22"/>
      <c r="VYS22"/>
      <c r="VYT22"/>
      <c r="VYU22"/>
      <c r="VYV22"/>
      <c r="VYW22"/>
      <c r="VYX22"/>
      <c r="VYY22"/>
      <c r="VYZ22"/>
      <c r="VZA22"/>
      <c r="VZB22"/>
      <c r="VZC22"/>
      <c r="VZD22"/>
      <c r="VZE22"/>
      <c r="VZF22"/>
      <c r="VZG22"/>
      <c r="VZH22"/>
      <c r="VZI22"/>
      <c r="VZJ22"/>
      <c r="VZK22"/>
      <c r="VZL22"/>
      <c r="VZM22"/>
      <c r="VZN22"/>
      <c r="VZO22"/>
      <c r="VZP22"/>
      <c r="VZQ22"/>
      <c r="VZR22"/>
      <c r="VZS22"/>
      <c r="VZT22"/>
      <c r="VZU22"/>
      <c r="VZV22"/>
      <c r="VZW22"/>
      <c r="VZX22"/>
      <c r="VZY22"/>
      <c r="VZZ22"/>
      <c r="WAA22"/>
      <c r="WAB22"/>
      <c r="WAC22"/>
      <c r="WAD22"/>
      <c r="WAE22"/>
      <c r="WAF22"/>
      <c r="WAG22"/>
      <c r="WAH22"/>
      <c r="WAI22"/>
      <c r="WAJ22"/>
      <c r="WAK22"/>
      <c r="WAL22"/>
      <c r="WAM22"/>
      <c r="WAN22"/>
      <c r="WAO22"/>
      <c r="WAP22"/>
      <c r="WAQ22"/>
      <c r="WAR22"/>
      <c r="WAS22"/>
      <c r="WAT22"/>
      <c r="WAU22"/>
      <c r="WAV22"/>
      <c r="WAW22"/>
      <c r="WAX22"/>
      <c r="WAY22"/>
      <c r="WAZ22"/>
      <c r="WBA22"/>
      <c r="WBB22"/>
      <c r="WBC22"/>
      <c r="WBD22"/>
      <c r="WBE22"/>
      <c r="WBF22"/>
      <c r="WBG22"/>
      <c r="WBH22"/>
      <c r="WBI22"/>
      <c r="WBJ22"/>
      <c r="WBK22"/>
      <c r="WBL22"/>
      <c r="WBM22"/>
      <c r="WBN22"/>
      <c r="WBO22"/>
      <c r="WBP22"/>
      <c r="WBQ22"/>
      <c r="WBR22"/>
      <c r="WBS22"/>
      <c r="WBT22"/>
      <c r="WBU22"/>
      <c r="WBV22"/>
      <c r="WBW22"/>
      <c r="WBX22"/>
      <c r="WBY22"/>
      <c r="WBZ22"/>
      <c r="WCA22"/>
      <c r="WCB22"/>
      <c r="WCC22"/>
      <c r="WCD22"/>
      <c r="WCE22"/>
      <c r="WCF22"/>
      <c r="WCG22"/>
      <c r="WCH22"/>
      <c r="WCI22"/>
      <c r="WCJ22"/>
      <c r="WCK22"/>
      <c r="WCL22"/>
      <c r="WCM22"/>
      <c r="WCN22"/>
      <c r="WCO22"/>
      <c r="WCP22"/>
      <c r="WCQ22"/>
      <c r="WCR22"/>
      <c r="WCS22"/>
      <c r="WCT22"/>
      <c r="WCU22"/>
      <c r="WCV22"/>
      <c r="WCW22"/>
      <c r="WCX22"/>
      <c r="WCY22"/>
      <c r="WCZ22"/>
      <c r="WDA22"/>
      <c r="WDB22"/>
      <c r="WDC22"/>
      <c r="WDD22"/>
      <c r="WDE22"/>
      <c r="WDF22"/>
      <c r="WDG22"/>
      <c r="WDH22"/>
      <c r="WDI22"/>
      <c r="WDJ22"/>
      <c r="WDK22"/>
      <c r="WDL22"/>
      <c r="WDM22"/>
      <c r="WDN22"/>
      <c r="WDO22"/>
      <c r="WDP22"/>
      <c r="WDQ22"/>
      <c r="WDR22"/>
      <c r="WDS22"/>
      <c r="WDT22"/>
      <c r="WDU22"/>
      <c r="WDV22"/>
      <c r="WDW22"/>
      <c r="WDX22"/>
      <c r="WDY22"/>
      <c r="WDZ22"/>
      <c r="WEA22"/>
      <c r="WEB22"/>
      <c r="WEC22"/>
      <c r="WED22"/>
      <c r="WEE22"/>
      <c r="WEF22"/>
      <c r="WEG22"/>
      <c r="WEH22"/>
      <c r="WEI22"/>
      <c r="WEJ22"/>
      <c r="WEK22"/>
      <c r="WEL22"/>
      <c r="WEM22"/>
      <c r="WEN22"/>
      <c r="WEO22"/>
      <c r="WEP22"/>
      <c r="WEQ22"/>
      <c r="WER22"/>
      <c r="WES22"/>
      <c r="WET22"/>
      <c r="WEU22"/>
      <c r="WEV22"/>
      <c r="WEW22"/>
      <c r="WEX22"/>
      <c r="WEY22"/>
      <c r="WEZ22"/>
      <c r="WFA22"/>
      <c r="WFB22"/>
      <c r="WFC22"/>
      <c r="WFD22"/>
      <c r="WFE22"/>
      <c r="WFF22"/>
      <c r="WFG22"/>
      <c r="WFH22"/>
      <c r="WFI22"/>
      <c r="WFJ22"/>
      <c r="WFK22"/>
      <c r="WFL22"/>
      <c r="WFM22"/>
      <c r="WFN22"/>
      <c r="WFO22"/>
      <c r="WFP22"/>
      <c r="WFQ22"/>
      <c r="WFR22"/>
      <c r="WFS22"/>
      <c r="WFT22"/>
      <c r="WFU22"/>
      <c r="WFV22"/>
      <c r="WFW22"/>
      <c r="WFX22"/>
      <c r="WFY22"/>
      <c r="WFZ22"/>
      <c r="WGA22"/>
      <c r="WGB22"/>
      <c r="WGC22"/>
      <c r="WGD22"/>
      <c r="WGE22"/>
      <c r="WGF22"/>
      <c r="WGG22"/>
      <c r="WGH22"/>
      <c r="WGI22"/>
      <c r="WGJ22"/>
      <c r="WGK22"/>
      <c r="WGL22"/>
      <c r="WGM22"/>
      <c r="WGN22"/>
      <c r="WGO22"/>
      <c r="WGP22"/>
      <c r="WGQ22"/>
      <c r="WGR22"/>
      <c r="WGS22"/>
      <c r="WGT22"/>
      <c r="WGU22"/>
      <c r="WGV22"/>
      <c r="WGW22"/>
      <c r="WGX22"/>
      <c r="WGY22"/>
      <c r="WGZ22"/>
      <c r="WHA22"/>
      <c r="WHB22"/>
      <c r="WHC22"/>
      <c r="WHD22"/>
      <c r="WHE22"/>
      <c r="WHF22"/>
      <c r="WHG22"/>
      <c r="WHH22"/>
      <c r="WHI22"/>
      <c r="WHJ22"/>
      <c r="WHK22"/>
      <c r="WHL22"/>
      <c r="WHM22"/>
      <c r="WHN22"/>
      <c r="WHO22"/>
      <c r="WHP22"/>
      <c r="WHQ22"/>
      <c r="WHR22"/>
      <c r="WHS22"/>
      <c r="WHT22"/>
      <c r="WHU22"/>
      <c r="WHV22"/>
      <c r="WHW22"/>
      <c r="WHX22"/>
      <c r="WHY22"/>
      <c r="WHZ22"/>
      <c r="WIA22"/>
      <c r="WIB22"/>
      <c r="WIC22"/>
      <c r="WID22"/>
      <c r="WIE22"/>
      <c r="WIF22"/>
      <c r="WIG22"/>
      <c r="WIH22"/>
      <c r="WII22"/>
      <c r="WIJ22"/>
      <c r="WIK22"/>
      <c r="WIL22"/>
      <c r="WIM22"/>
      <c r="WIN22"/>
      <c r="WIO22"/>
      <c r="WIP22"/>
      <c r="WIQ22"/>
      <c r="WIR22"/>
      <c r="WIS22"/>
      <c r="WIT22"/>
      <c r="WIU22"/>
      <c r="WIV22"/>
      <c r="WIW22"/>
      <c r="WIX22"/>
      <c r="WIY22"/>
      <c r="WIZ22"/>
      <c r="WJA22"/>
      <c r="WJB22"/>
      <c r="WJC22"/>
      <c r="WJD22"/>
      <c r="WJE22"/>
      <c r="WJF22"/>
      <c r="WJG22"/>
      <c r="WJH22"/>
      <c r="WJI22"/>
      <c r="WJJ22"/>
      <c r="WJK22"/>
      <c r="WJL22"/>
      <c r="WJM22"/>
      <c r="WJN22"/>
      <c r="WJO22"/>
      <c r="WJP22"/>
      <c r="WJQ22"/>
      <c r="WJR22"/>
      <c r="WJS22"/>
      <c r="WJT22"/>
      <c r="WJU22"/>
      <c r="WJV22"/>
      <c r="WJW22"/>
      <c r="WJX22"/>
      <c r="WJY22"/>
      <c r="WJZ22"/>
      <c r="WKA22"/>
      <c r="WKB22"/>
      <c r="WKC22"/>
      <c r="WKD22"/>
      <c r="WKE22"/>
      <c r="WKF22"/>
      <c r="WKG22"/>
      <c r="WKH22"/>
      <c r="WKI22"/>
      <c r="WKJ22"/>
      <c r="WKK22"/>
      <c r="WKL22"/>
      <c r="WKM22"/>
      <c r="WKN22"/>
      <c r="WKO22"/>
      <c r="WKP22"/>
      <c r="WKQ22"/>
      <c r="WKR22"/>
      <c r="WKS22"/>
      <c r="WKT22"/>
      <c r="WKU22"/>
      <c r="WKV22"/>
      <c r="WKW22"/>
      <c r="WKX22"/>
      <c r="WKY22"/>
      <c r="WKZ22"/>
      <c r="WLA22"/>
      <c r="WLB22"/>
      <c r="WLC22"/>
      <c r="WLD22"/>
      <c r="WLE22"/>
      <c r="WLF22"/>
      <c r="WLG22"/>
      <c r="WLH22"/>
      <c r="WLI22"/>
      <c r="WLJ22"/>
      <c r="WLK22"/>
      <c r="WLL22"/>
      <c r="WLM22"/>
      <c r="WLN22"/>
      <c r="WLO22"/>
      <c r="WLP22"/>
      <c r="WLQ22"/>
      <c r="WLR22"/>
      <c r="WLS22"/>
      <c r="WLT22"/>
      <c r="WLU22"/>
      <c r="WLV22"/>
      <c r="WLW22"/>
      <c r="WLX22"/>
      <c r="WLY22"/>
      <c r="WLZ22"/>
      <c r="WMA22"/>
      <c r="WMB22"/>
      <c r="WMC22"/>
      <c r="WMD22"/>
      <c r="WME22"/>
      <c r="WMF22"/>
      <c r="WMG22"/>
      <c r="WMH22"/>
      <c r="WMI22"/>
      <c r="WMJ22"/>
      <c r="WMK22"/>
      <c r="WML22"/>
      <c r="WMM22"/>
      <c r="WMN22"/>
      <c r="WMO22"/>
      <c r="WMP22"/>
      <c r="WMQ22"/>
      <c r="WMR22"/>
      <c r="WMS22"/>
      <c r="WMT22"/>
      <c r="WMU22"/>
      <c r="WMV22"/>
      <c r="WMW22"/>
      <c r="WMX22"/>
      <c r="WMY22"/>
      <c r="WMZ22"/>
      <c r="WNA22"/>
      <c r="WNB22"/>
      <c r="WNC22"/>
      <c r="WND22"/>
      <c r="WNE22"/>
      <c r="WNF22"/>
      <c r="WNG22"/>
      <c r="WNH22"/>
      <c r="WNI22"/>
      <c r="WNJ22"/>
      <c r="WNK22"/>
      <c r="WNL22"/>
      <c r="WNM22"/>
      <c r="WNN22"/>
      <c r="WNO22"/>
      <c r="WNP22"/>
      <c r="WNQ22"/>
      <c r="WNR22"/>
      <c r="WNS22"/>
      <c r="WNT22"/>
      <c r="WNU22"/>
      <c r="WNV22"/>
      <c r="WNW22"/>
      <c r="WNX22"/>
      <c r="WNY22"/>
      <c r="WNZ22"/>
      <c r="WOA22"/>
      <c r="WOB22"/>
      <c r="WOC22"/>
      <c r="WOD22"/>
      <c r="WOE22"/>
      <c r="WOF22"/>
      <c r="WOG22"/>
      <c r="WOH22"/>
      <c r="WOI22"/>
      <c r="WOJ22"/>
      <c r="WOK22"/>
      <c r="WOL22"/>
      <c r="WOM22"/>
      <c r="WON22"/>
      <c r="WOO22"/>
      <c r="WOP22"/>
      <c r="WOQ22"/>
      <c r="WOR22"/>
      <c r="WOS22"/>
      <c r="WOT22"/>
      <c r="WOU22"/>
      <c r="WOV22"/>
      <c r="WOW22"/>
      <c r="WOX22"/>
      <c r="WOY22"/>
      <c r="WOZ22"/>
      <c r="WPA22"/>
      <c r="WPB22"/>
      <c r="WPC22"/>
      <c r="WPD22"/>
      <c r="WPE22"/>
      <c r="WPF22"/>
      <c r="WPG22"/>
      <c r="WPH22"/>
      <c r="WPI22"/>
      <c r="WPJ22"/>
      <c r="WPK22"/>
      <c r="WPL22"/>
      <c r="WPM22"/>
      <c r="WPN22"/>
      <c r="WPO22"/>
      <c r="WPP22"/>
      <c r="WPQ22"/>
      <c r="WPR22"/>
      <c r="WPS22"/>
      <c r="WPT22"/>
      <c r="WPU22"/>
      <c r="WPV22"/>
      <c r="WPW22"/>
      <c r="WPX22"/>
      <c r="WPY22"/>
      <c r="WPZ22"/>
      <c r="WQA22"/>
      <c r="WQB22"/>
      <c r="WQC22"/>
      <c r="WQD22"/>
      <c r="WQE22"/>
      <c r="WQF22"/>
      <c r="WQG22"/>
      <c r="WQH22"/>
      <c r="WQI22"/>
      <c r="WQJ22"/>
      <c r="WQK22"/>
      <c r="WQL22"/>
      <c r="WQM22"/>
      <c r="WQN22"/>
      <c r="WQO22"/>
      <c r="WQP22"/>
      <c r="WQQ22"/>
      <c r="WQR22"/>
      <c r="WQS22"/>
      <c r="WQT22"/>
      <c r="WQU22"/>
      <c r="WQV22"/>
      <c r="WQW22"/>
      <c r="WQX22"/>
      <c r="WQY22"/>
      <c r="WQZ22"/>
      <c r="WRA22"/>
      <c r="WRB22"/>
      <c r="WRC22"/>
      <c r="WRD22"/>
      <c r="WRE22"/>
      <c r="WRF22"/>
      <c r="WRG22"/>
      <c r="WRH22"/>
      <c r="WRI22"/>
      <c r="WRJ22"/>
      <c r="WRK22"/>
      <c r="WRL22"/>
      <c r="WRM22"/>
      <c r="WRN22"/>
      <c r="WRO22"/>
      <c r="WRP22"/>
      <c r="WRQ22"/>
      <c r="WRR22"/>
      <c r="WRS22"/>
      <c r="WRT22"/>
      <c r="WRU22"/>
      <c r="WRV22"/>
      <c r="WRW22"/>
      <c r="WRX22"/>
      <c r="WRY22"/>
      <c r="WRZ22"/>
      <c r="WSA22"/>
      <c r="WSB22"/>
      <c r="WSC22"/>
      <c r="WSD22"/>
      <c r="WSE22"/>
      <c r="WSF22"/>
      <c r="WSG22"/>
      <c r="WSH22"/>
      <c r="WSI22"/>
      <c r="WSJ22"/>
      <c r="WSK22"/>
      <c r="WSL22"/>
      <c r="WSM22"/>
      <c r="WSN22"/>
      <c r="WSO22"/>
      <c r="WSP22"/>
      <c r="WSQ22"/>
      <c r="WSR22"/>
      <c r="WSS22"/>
      <c r="WST22"/>
      <c r="WSU22"/>
      <c r="WSV22"/>
      <c r="WSW22"/>
      <c r="WSX22"/>
      <c r="WSY22"/>
      <c r="WSZ22"/>
      <c r="WTA22"/>
      <c r="WTB22"/>
      <c r="WTC22"/>
      <c r="WTD22"/>
      <c r="WTE22"/>
      <c r="WTF22"/>
      <c r="WTG22"/>
      <c r="WTH22"/>
      <c r="WTI22"/>
      <c r="WTJ22"/>
      <c r="WTK22"/>
      <c r="WTL22"/>
      <c r="WTM22"/>
      <c r="WTN22"/>
      <c r="WTO22"/>
      <c r="WTP22"/>
      <c r="WTQ22"/>
      <c r="WTR22"/>
      <c r="WTS22"/>
      <c r="WTT22"/>
      <c r="WTU22"/>
      <c r="WTV22"/>
      <c r="WTW22"/>
      <c r="WTX22"/>
      <c r="WTY22"/>
      <c r="WTZ22"/>
      <c r="WUA22"/>
      <c r="WUB22"/>
      <c r="WUC22"/>
      <c r="WUD22"/>
      <c r="WUE22"/>
      <c r="WUF22"/>
      <c r="WUG22"/>
      <c r="WUH22"/>
      <c r="WUI22"/>
      <c r="WUJ22"/>
      <c r="WUK22"/>
      <c r="WUL22"/>
      <c r="WUM22"/>
      <c r="WUN22"/>
      <c r="WUO22"/>
      <c r="WUP22"/>
      <c r="WUQ22"/>
      <c r="WUR22"/>
      <c r="WUS22"/>
      <c r="WUT22"/>
      <c r="WUU22"/>
      <c r="WUV22"/>
      <c r="WUW22"/>
      <c r="WUX22"/>
      <c r="WUY22"/>
      <c r="WUZ22"/>
      <c r="WVA22"/>
      <c r="WVB22"/>
      <c r="WVC22"/>
      <c r="WVD22"/>
      <c r="WVE22"/>
      <c r="WVF22"/>
      <c r="WVG22"/>
      <c r="WVH22"/>
      <c r="WVI22"/>
      <c r="WVJ22"/>
      <c r="WVK22"/>
      <c r="WVL22"/>
      <c r="WVM22"/>
      <c r="WVN22"/>
      <c r="WVO22"/>
      <c r="WVP22"/>
      <c r="WVQ22"/>
      <c r="WVR22"/>
      <c r="WVS22"/>
      <c r="WVT22"/>
      <c r="WVU22"/>
      <c r="WVV22"/>
      <c r="WVW22"/>
      <c r="WVX22"/>
      <c r="WVY22"/>
      <c r="WVZ22"/>
      <c r="WWA22"/>
      <c r="WWB22"/>
      <c r="WWC22"/>
      <c r="WWD22"/>
      <c r="WWE22"/>
      <c r="WWF22"/>
      <c r="WWG22"/>
      <c r="WWH22"/>
      <c r="WWI22"/>
      <c r="WWJ22"/>
      <c r="WWK22"/>
      <c r="WWL22"/>
      <c r="WWM22"/>
      <c r="WWN22"/>
      <c r="WWO22"/>
      <c r="WWP22"/>
      <c r="WWQ22"/>
      <c r="WWR22"/>
      <c r="WWS22"/>
      <c r="WWT22"/>
      <c r="WWU22"/>
      <c r="WWV22"/>
      <c r="WWW22"/>
      <c r="WWX22"/>
      <c r="WWY22"/>
      <c r="WWZ22"/>
      <c r="WXA22"/>
      <c r="WXB22"/>
      <c r="WXC22"/>
      <c r="WXD22"/>
      <c r="WXE22"/>
      <c r="WXF22"/>
      <c r="WXG22"/>
      <c r="WXH22"/>
      <c r="WXI22"/>
      <c r="WXJ22"/>
      <c r="WXK22"/>
      <c r="WXL22"/>
      <c r="WXM22"/>
      <c r="WXN22"/>
      <c r="WXO22"/>
      <c r="WXP22"/>
      <c r="WXQ22"/>
      <c r="WXR22"/>
      <c r="WXS22"/>
      <c r="WXT22"/>
      <c r="WXU22"/>
      <c r="WXV22"/>
      <c r="WXW22"/>
      <c r="WXX22"/>
      <c r="WXY22"/>
      <c r="WXZ22"/>
      <c r="WYA22"/>
      <c r="WYB22"/>
      <c r="WYC22"/>
      <c r="WYD22"/>
      <c r="WYE22"/>
      <c r="WYF22"/>
      <c r="WYG22"/>
      <c r="WYH22"/>
      <c r="WYI22"/>
      <c r="WYJ22"/>
      <c r="WYK22"/>
      <c r="WYL22"/>
      <c r="WYM22"/>
      <c r="WYN22"/>
      <c r="WYO22"/>
      <c r="WYP22"/>
      <c r="WYQ22"/>
      <c r="WYR22"/>
      <c r="WYS22"/>
      <c r="WYT22"/>
      <c r="WYU22"/>
      <c r="WYV22"/>
      <c r="WYW22"/>
      <c r="WYX22"/>
      <c r="WYY22"/>
      <c r="WYZ22"/>
      <c r="WZA22"/>
      <c r="WZB22"/>
      <c r="WZC22"/>
      <c r="WZD22"/>
      <c r="WZE22"/>
      <c r="WZF22"/>
      <c r="WZG22"/>
      <c r="WZH22"/>
      <c r="WZI22"/>
      <c r="WZJ22"/>
      <c r="WZK22"/>
      <c r="WZL22"/>
      <c r="WZM22"/>
      <c r="WZN22"/>
      <c r="WZO22"/>
      <c r="WZP22"/>
      <c r="WZQ22"/>
      <c r="WZR22"/>
      <c r="WZS22"/>
      <c r="WZT22"/>
      <c r="WZU22"/>
      <c r="WZV22"/>
      <c r="WZW22"/>
      <c r="WZX22"/>
      <c r="WZY22"/>
      <c r="WZZ22"/>
      <c r="XAA22"/>
      <c r="XAB22"/>
      <c r="XAC22"/>
      <c r="XAD22"/>
      <c r="XAE22"/>
      <c r="XAF22"/>
      <c r="XAG22"/>
      <c r="XAH22"/>
      <c r="XAI22"/>
      <c r="XAJ22"/>
      <c r="XAK22"/>
      <c r="XAL22"/>
      <c r="XAM22"/>
      <c r="XAN22"/>
      <c r="XAO22"/>
      <c r="XAP22"/>
      <c r="XAQ22"/>
      <c r="XAR22"/>
      <c r="XAS22"/>
      <c r="XAT22"/>
      <c r="XAU22"/>
      <c r="XAV22"/>
      <c r="XAW22"/>
      <c r="XAX22"/>
      <c r="XAY22"/>
      <c r="XAZ22"/>
      <c r="XBA22"/>
      <c r="XBB22"/>
      <c r="XBC22"/>
      <c r="XBD22"/>
      <c r="XBE22"/>
      <c r="XBF22"/>
      <c r="XBG22"/>
      <c r="XBH22"/>
      <c r="XBI22"/>
      <c r="XBJ22"/>
      <c r="XBK22"/>
      <c r="XBL22"/>
      <c r="XBM22"/>
      <c r="XBN22"/>
      <c r="XBO22"/>
      <c r="XBP22"/>
      <c r="XBQ22"/>
      <c r="XBR22"/>
      <c r="XBS22"/>
      <c r="XBT22"/>
      <c r="XBU22"/>
      <c r="XBV22"/>
      <c r="XBW22"/>
      <c r="XBX22"/>
      <c r="XBY22"/>
      <c r="XBZ22"/>
      <c r="XCA22"/>
      <c r="XCB22"/>
      <c r="XCC22"/>
      <c r="XCD22"/>
      <c r="XCE22"/>
      <c r="XCF22"/>
      <c r="XCG22"/>
      <c r="XCH22"/>
      <c r="XCI22"/>
      <c r="XCJ22"/>
      <c r="XCK22"/>
      <c r="XCL22"/>
      <c r="XCM22"/>
      <c r="XCN22"/>
      <c r="XCO22"/>
      <c r="XCP22"/>
      <c r="XCQ22"/>
      <c r="XCR22"/>
      <c r="XCS22"/>
      <c r="XCT22"/>
      <c r="XCU22"/>
      <c r="XCV22"/>
      <c r="XCW22"/>
      <c r="XCX22"/>
      <c r="XCY22"/>
      <c r="XCZ22"/>
      <c r="XDA22"/>
      <c r="XDB22"/>
      <c r="XDC22"/>
      <c r="XDD22"/>
      <c r="XDE22"/>
      <c r="XDF22"/>
      <c r="XDG22"/>
      <c r="XDH22"/>
      <c r="XDI22"/>
      <c r="XDJ22"/>
      <c r="XDK22"/>
      <c r="XDL22"/>
      <c r="XDM22"/>
      <c r="XDN22"/>
      <c r="XDO22"/>
      <c r="XDP22"/>
      <c r="XDQ22"/>
      <c r="XDR22"/>
      <c r="XDS22"/>
      <c r="XDT22"/>
      <c r="XDU22"/>
      <c r="XDV22"/>
      <c r="XDW22"/>
      <c r="XDX22"/>
      <c r="XDY22"/>
      <c r="XDZ22"/>
      <c r="XEA22"/>
      <c r="XEB22"/>
      <c r="XEC22"/>
      <c r="XED22"/>
      <c r="XEE22"/>
      <c r="XEF22"/>
      <c r="XEG22"/>
      <c r="XEH22"/>
      <c r="XEI22"/>
      <c r="XEJ22"/>
      <c r="XEK22"/>
      <c r="XEL22"/>
      <c r="XEM22"/>
      <c r="XEN22"/>
      <c r="XEO22"/>
      <c r="XEP22"/>
      <c r="XEQ22"/>
      <c r="XER22"/>
      <c r="XES22"/>
      <c r="XET22"/>
      <c r="XEU22"/>
      <c r="XEV22"/>
      <c r="XEW22"/>
      <c r="XEX22"/>
      <c r="XEY22"/>
      <c r="XEZ22"/>
      <c r="XFA22"/>
      <c r="XFB22"/>
    </row>
    <row r="23" spans="1:16382" s="44" customFormat="1" x14ac:dyDescent="0.35">
      <c r="A23"/>
      <c r="B23" t="s">
        <v>914</v>
      </c>
      <c r="C23" s="28" t="s">
        <v>381</v>
      </c>
      <c r="D23" s="29" t="s">
        <v>382</v>
      </c>
      <c r="E23" s="29" t="s">
        <v>383</v>
      </c>
      <c r="F23" s="29"/>
      <c r="G23" s="29"/>
      <c r="H23" s="29"/>
      <c r="I23" s="29" t="s">
        <v>160</v>
      </c>
      <c r="J23" s="30"/>
      <c r="K23" s="29" t="s">
        <v>82</v>
      </c>
      <c r="L23" s="81">
        <v>2250</v>
      </c>
      <c r="M23" s="81">
        <v>2250</v>
      </c>
      <c r="N23" s="16">
        <f t="shared" si="0"/>
        <v>-4414.2151898734173</v>
      </c>
      <c r="O23" s="81">
        <v>0</v>
      </c>
      <c r="P23" s="81">
        <v>0</v>
      </c>
      <c r="Q23" s="16">
        <f t="shared" si="1"/>
        <v>0</v>
      </c>
      <c r="R23" s="81">
        <v>2250</v>
      </c>
      <c r="S23" s="81">
        <v>2250</v>
      </c>
      <c r="T23" s="16">
        <f t="shared" si="2"/>
        <v>-343.54918032786884</v>
      </c>
      <c r="U23" s="81">
        <v>0</v>
      </c>
      <c r="V23" s="81">
        <v>0</v>
      </c>
      <c r="W23" s="16">
        <f t="shared" si="3"/>
        <v>0</v>
      </c>
      <c r="X23" s="81">
        <v>0</v>
      </c>
      <c r="Y23" s="81">
        <v>0</v>
      </c>
      <c r="Z23" s="16">
        <f t="shared" si="4"/>
        <v>0</v>
      </c>
      <c r="AA23" s="81">
        <v>0</v>
      </c>
      <c r="AB23" s="81">
        <v>0</v>
      </c>
      <c r="AC23" s="16">
        <f t="shared" si="5"/>
        <v>0</v>
      </c>
      <c r="AD23" s="32" t="s">
        <v>82</v>
      </c>
      <c r="AE23" s="5">
        <v>1</v>
      </c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  <c r="AJY23"/>
      <c r="AJZ23"/>
      <c r="AKA23"/>
      <c r="AKB23"/>
      <c r="AKC23"/>
      <c r="AKD23"/>
      <c r="AKE23"/>
      <c r="AKF23"/>
      <c r="AKG23"/>
      <c r="AKH23"/>
      <c r="AKI23"/>
      <c r="AKJ23"/>
      <c r="AKK23"/>
      <c r="AKL23"/>
      <c r="AKM23"/>
      <c r="AKN23"/>
      <c r="AKO23"/>
      <c r="AKP23"/>
      <c r="AKQ23"/>
      <c r="AKR23"/>
      <c r="AKS23"/>
      <c r="AKT23"/>
      <c r="AKU23"/>
      <c r="AKV23"/>
      <c r="AKW23"/>
      <c r="AKX23"/>
      <c r="AKY23"/>
      <c r="AKZ23"/>
      <c r="ALA23"/>
      <c r="ALB23"/>
      <c r="ALC23"/>
      <c r="ALD23"/>
      <c r="ALE23"/>
      <c r="ALF23"/>
      <c r="ALG23"/>
      <c r="ALH23"/>
      <c r="ALI23"/>
      <c r="ALJ23"/>
      <c r="ALK23"/>
      <c r="ALL23"/>
      <c r="ALM23"/>
      <c r="ALN23"/>
      <c r="ALO23"/>
      <c r="ALP23"/>
      <c r="ALQ23"/>
      <c r="ALR23"/>
      <c r="ALS23"/>
      <c r="ALT23"/>
      <c r="ALU23"/>
      <c r="ALV23"/>
      <c r="ALW23"/>
      <c r="ALX23"/>
      <c r="ALY23"/>
      <c r="ALZ23"/>
      <c r="AMA23"/>
      <c r="AMB23"/>
      <c r="AMC23"/>
      <c r="AMD23"/>
      <c r="AME23"/>
      <c r="AMF23"/>
      <c r="AMG23"/>
      <c r="AMH23"/>
      <c r="AMI23"/>
      <c r="AMJ23"/>
      <c r="AMK23"/>
      <c r="AML23"/>
      <c r="AMM23"/>
      <c r="AMN23"/>
      <c r="AMO23"/>
      <c r="AMP23"/>
      <c r="AMQ23"/>
      <c r="AMR23"/>
      <c r="AMS23"/>
      <c r="AMT23"/>
      <c r="AMU23"/>
      <c r="AMV23"/>
      <c r="AMW23"/>
      <c r="AMX23"/>
      <c r="AMY23"/>
      <c r="AMZ23"/>
      <c r="ANA23"/>
      <c r="ANB23"/>
      <c r="ANC23"/>
      <c r="AND23"/>
      <c r="ANE23"/>
      <c r="ANF23"/>
      <c r="ANG23"/>
      <c r="ANH23"/>
      <c r="ANI23"/>
      <c r="ANJ23"/>
      <c r="ANK23"/>
      <c r="ANL23"/>
      <c r="ANM23"/>
      <c r="ANN23"/>
      <c r="ANO23"/>
      <c r="ANP23"/>
      <c r="ANQ23"/>
      <c r="ANR23"/>
      <c r="ANS23"/>
      <c r="ANT23"/>
      <c r="ANU23"/>
      <c r="ANV23"/>
      <c r="ANW23"/>
      <c r="ANX23"/>
      <c r="ANY23"/>
      <c r="ANZ23"/>
      <c r="AOA23"/>
      <c r="AOB23"/>
      <c r="AOC23"/>
      <c r="AOD23"/>
      <c r="AOE23"/>
      <c r="AOF23"/>
      <c r="AOG23"/>
      <c r="AOH23"/>
      <c r="AOI23"/>
      <c r="AOJ23"/>
      <c r="AOK23"/>
      <c r="AOL23"/>
      <c r="AOM23"/>
      <c r="AON23"/>
      <c r="AOO23"/>
      <c r="AOP23"/>
      <c r="AOQ23"/>
      <c r="AOR23"/>
      <c r="AOS23"/>
      <c r="AOT23"/>
      <c r="AOU23"/>
      <c r="AOV23"/>
      <c r="AOW23"/>
      <c r="AOX23"/>
      <c r="AOY23"/>
      <c r="AOZ23"/>
      <c r="APA23"/>
      <c r="APB23"/>
      <c r="APC23"/>
      <c r="APD23"/>
      <c r="APE23"/>
      <c r="APF23"/>
      <c r="APG23"/>
      <c r="APH23"/>
      <c r="API23"/>
      <c r="APJ23"/>
      <c r="APK23"/>
      <c r="APL23"/>
      <c r="APM23"/>
      <c r="APN23"/>
      <c r="APO23"/>
      <c r="APP23"/>
      <c r="APQ23"/>
      <c r="APR23"/>
      <c r="APS23"/>
      <c r="APT23"/>
      <c r="APU23"/>
      <c r="APV23"/>
      <c r="APW23"/>
      <c r="APX23"/>
      <c r="APY23"/>
      <c r="APZ23"/>
      <c r="AQA23"/>
      <c r="AQB23"/>
      <c r="AQC23"/>
      <c r="AQD23"/>
      <c r="AQE23"/>
      <c r="AQF23"/>
      <c r="AQG23"/>
      <c r="AQH23"/>
      <c r="AQI23"/>
      <c r="AQJ23"/>
      <c r="AQK23"/>
      <c r="AQL23"/>
      <c r="AQM23"/>
      <c r="AQN23"/>
      <c r="AQO23"/>
      <c r="AQP23"/>
      <c r="AQQ23"/>
      <c r="AQR23"/>
      <c r="AQS23"/>
      <c r="AQT23"/>
      <c r="AQU23"/>
      <c r="AQV23"/>
      <c r="AQW23"/>
      <c r="AQX23"/>
      <c r="AQY23"/>
      <c r="AQZ23"/>
      <c r="ARA23"/>
      <c r="ARB23"/>
      <c r="ARC23"/>
      <c r="ARD23"/>
      <c r="ARE23"/>
      <c r="ARF23"/>
      <c r="ARG23"/>
      <c r="ARH23"/>
      <c r="ARI23"/>
      <c r="ARJ23"/>
      <c r="ARK23"/>
      <c r="ARL23"/>
      <c r="ARM23"/>
      <c r="ARN23"/>
      <c r="ARO23"/>
      <c r="ARP23"/>
      <c r="ARQ23"/>
      <c r="ARR23"/>
      <c r="ARS23"/>
      <c r="ART23"/>
      <c r="ARU23"/>
      <c r="ARV23"/>
      <c r="ARW23"/>
      <c r="ARX23"/>
      <c r="ARY23"/>
      <c r="ARZ23"/>
      <c r="ASA23"/>
      <c r="ASB23"/>
      <c r="ASC23"/>
      <c r="ASD23"/>
      <c r="ASE23"/>
      <c r="ASF23"/>
      <c r="ASG23"/>
      <c r="ASH23"/>
      <c r="ASI23"/>
      <c r="ASJ23"/>
      <c r="ASK23"/>
      <c r="ASL23"/>
      <c r="ASM23"/>
      <c r="ASN23"/>
      <c r="ASO23"/>
      <c r="ASP23"/>
      <c r="ASQ23"/>
      <c r="ASR23"/>
      <c r="ASS23"/>
      <c r="AST23"/>
      <c r="ASU23"/>
      <c r="ASV23"/>
      <c r="ASW23"/>
      <c r="ASX23"/>
      <c r="ASY23"/>
      <c r="ASZ23"/>
      <c r="ATA23"/>
      <c r="ATB23"/>
      <c r="ATC23"/>
      <c r="ATD23"/>
      <c r="ATE23"/>
      <c r="ATF23"/>
      <c r="ATG23"/>
      <c r="ATH23"/>
      <c r="ATI23"/>
      <c r="ATJ23"/>
      <c r="ATK23"/>
      <c r="ATL23"/>
      <c r="ATM23"/>
      <c r="ATN23"/>
      <c r="ATO23"/>
      <c r="ATP23"/>
      <c r="ATQ23"/>
      <c r="ATR23"/>
      <c r="ATS23"/>
      <c r="ATT23"/>
      <c r="ATU23"/>
      <c r="ATV23"/>
      <c r="ATW23"/>
      <c r="ATX23"/>
      <c r="ATY23"/>
      <c r="ATZ23"/>
      <c r="AUA23"/>
      <c r="AUB23"/>
      <c r="AUC23"/>
      <c r="AUD23"/>
      <c r="AUE23"/>
      <c r="AUF23"/>
      <c r="AUG23"/>
      <c r="AUH23"/>
      <c r="AUI23"/>
      <c r="AUJ23"/>
      <c r="AUK23"/>
      <c r="AUL23"/>
      <c r="AUM23"/>
      <c r="AUN23"/>
      <c r="AUO23"/>
      <c r="AUP23"/>
      <c r="AUQ23"/>
      <c r="AUR23"/>
      <c r="AUS23"/>
      <c r="AUT23"/>
      <c r="AUU23"/>
      <c r="AUV23"/>
      <c r="AUW23"/>
      <c r="AUX23"/>
      <c r="AUY23"/>
      <c r="AUZ23"/>
      <c r="AVA23"/>
      <c r="AVB23"/>
      <c r="AVC23"/>
      <c r="AVD23"/>
      <c r="AVE23"/>
      <c r="AVF23"/>
      <c r="AVG23"/>
      <c r="AVH23"/>
      <c r="AVI23"/>
      <c r="AVJ23"/>
      <c r="AVK23"/>
      <c r="AVL23"/>
      <c r="AVM23"/>
      <c r="AVN23"/>
      <c r="AVO23"/>
      <c r="AVP23"/>
      <c r="AVQ23"/>
      <c r="AVR23"/>
      <c r="AVS23"/>
      <c r="AVT23"/>
      <c r="AVU23"/>
      <c r="AVV23"/>
      <c r="AVW23"/>
      <c r="AVX23"/>
      <c r="AVY23"/>
      <c r="AVZ23"/>
      <c r="AWA23"/>
      <c r="AWB23"/>
      <c r="AWC23"/>
      <c r="AWD23"/>
      <c r="AWE23"/>
      <c r="AWF23"/>
      <c r="AWG23"/>
      <c r="AWH23"/>
      <c r="AWI23"/>
      <c r="AWJ23"/>
      <c r="AWK23"/>
      <c r="AWL23"/>
      <c r="AWM23"/>
      <c r="AWN23"/>
      <c r="AWO23"/>
      <c r="AWP23"/>
      <c r="AWQ23"/>
      <c r="AWR23"/>
      <c r="AWS23"/>
      <c r="AWT23"/>
      <c r="AWU23"/>
      <c r="AWV23"/>
      <c r="AWW23"/>
      <c r="AWX23"/>
      <c r="AWY23"/>
      <c r="AWZ23"/>
      <c r="AXA23"/>
      <c r="AXB23"/>
      <c r="AXC23"/>
      <c r="AXD23"/>
      <c r="AXE23"/>
      <c r="AXF23"/>
      <c r="AXG23"/>
      <c r="AXH23"/>
      <c r="AXI23"/>
      <c r="AXJ23"/>
      <c r="AXK23"/>
      <c r="AXL23"/>
      <c r="AXM23"/>
      <c r="AXN23"/>
      <c r="AXO23"/>
      <c r="AXP23"/>
      <c r="AXQ23"/>
      <c r="AXR23"/>
      <c r="AXS23"/>
      <c r="AXT23"/>
      <c r="AXU23"/>
      <c r="AXV23"/>
      <c r="AXW23"/>
      <c r="AXX23"/>
      <c r="AXY23"/>
      <c r="AXZ23"/>
      <c r="AYA23"/>
      <c r="AYB23"/>
      <c r="AYC23"/>
      <c r="AYD23"/>
      <c r="AYE23"/>
      <c r="AYF23"/>
      <c r="AYG23"/>
      <c r="AYH23"/>
      <c r="AYI23"/>
      <c r="AYJ23"/>
      <c r="AYK23"/>
      <c r="AYL23"/>
      <c r="AYM23"/>
      <c r="AYN23"/>
      <c r="AYO23"/>
      <c r="AYP23"/>
      <c r="AYQ23"/>
      <c r="AYR23"/>
      <c r="AYS23"/>
      <c r="AYT23"/>
      <c r="AYU23"/>
      <c r="AYV23"/>
      <c r="AYW23"/>
      <c r="AYX23"/>
      <c r="AYY23"/>
      <c r="AYZ23"/>
      <c r="AZA23"/>
      <c r="AZB23"/>
      <c r="AZC23"/>
      <c r="AZD23"/>
      <c r="AZE23"/>
      <c r="AZF23"/>
      <c r="AZG23"/>
      <c r="AZH23"/>
      <c r="AZI23"/>
      <c r="AZJ23"/>
      <c r="AZK23"/>
      <c r="AZL23"/>
      <c r="AZM23"/>
      <c r="AZN23"/>
      <c r="AZO23"/>
      <c r="AZP23"/>
      <c r="AZQ23"/>
      <c r="AZR23"/>
      <c r="AZS23"/>
      <c r="AZT23"/>
      <c r="AZU23"/>
      <c r="AZV23"/>
      <c r="AZW23"/>
      <c r="AZX23"/>
      <c r="AZY23"/>
      <c r="AZZ23"/>
      <c r="BAA23"/>
      <c r="BAB23"/>
      <c r="BAC23"/>
      <c r="BAD23"/>
      <c r="BAE23"/>
      <c r="BAF23"/>
      <c r="BAG23"/>
      <c r="BAH23"/>
      <c r="BAI23"/>
      <c r="BAJ23"/>
      <c r="BAK23"/>
      <c r="BAL23"/>
      <c r="BAM23"/>
      <c r="BAN23"/>
      <c r="BAO23"/>
      <c r="BAP23"/>
      <c r="BAQ23"/>
      <c r="BAR23"/>
      <c r="BAS23"/>
      <c r="BAT23"/>
      <c r="BAU23"/>
      <c r="BAV23"/>
      <c r="BAW23"/>
      <c r="BAX23"/>
      <c r="BAY23"/>
      <c r="BAZ23"/>
      <c r="BBA23"/>
      <c r="BBB23"/>
      <c r="BBC23"/>
      <c r="BBD23"/>
      <c r="BBE23"/>
      <c r="BBF23"/>
      <c r="BBG23"/>
      <c r="BBH23"/>
      <c r="BBI23"/>
      <c r="BBJ23"/>
      <c r="BBK23"/>
      <c r="BBL23"/>
      <c r="BBM23"/>
      <c r="BBN23"/>
      <c r="BBO23"/>
      <c r="BBP23"/>
      <c r="BBQ23"/>
      <c r="BBR23"/>
      <c r="BBS23"/>
      <c r="BBT23"/>
      <c r="BBU23"/>
      <c r="BBV23"/>
      <c r="BBW23"/>
      <c r="BBX23"/>
      <c r="BBY23"/>
      <c r="BBZ23"/>
      <c r="BCA23"/>
      <c r="BCB23"/>
      <c r="BCC23"/>
      <c r="BCD23"/>
      <c r="BCE23"/>
      <c r="BCF23"/>
      <c r="BCG23"/>
      <c r="BCH23"/>
      <c r="BCI23"/>
      <c r="BCJ23"/>
      <c r="BCK23"/>
      <c r="BCL23"/>
      <c r="BCM23"/>
      <c r="BCN23"/>
      <c r="BCO23"/>
      <c r="BCP23"/>
      <c r="BCQ23"/>
      <c r="BCR23"/>
      <c r="BCS23"/>
      <c r="BCT23"/>
      <c r="BCU23"/>
      <c r="BCV23"/>
      <c r="BCW23"/>
      <c r="BCX23"/>
      <c r="BCY23"/>
      <c r="BCZ23"/>
      <c r="BDA23"/>
      <c r="BDB23"/>
      <c r="BDC23"/>
      <c r="BDD23"/>
      <c r="BDE23"/>
      <c r="BDF23"/>
      <c r="BDG23"/>
      <c r="BDH23"/>
      <c r="BDI23"/>
      <c r="BDJ23"/>
      <c r="BDK23"/>
      <c r="BDL23"/>
      <c r="BDM23"/>
      <c r="BDN23"/>
      <c r="BDO23"/>
      <c r="BDP23"/>
      <c r="BDQ23"/>
      <c r="BDR23"/>
      <c r="BDS23"/>
      <c r="BDT23"/>
      <c r="BDU23"/>
      <c r="BDV23"/>
      <c r="BDW23"/>
      <c r="BDX23"/>
      <c r="BDY23"/>
      <c r="BDZ23"/>
      <c r="BEA23"/>
      <c r="BEB23"/>
      <c r="BEC23"/>
      <c r="BED23"/>
      <c r="BEE23"/>
      <c r="BEF23"/>
      <c r="BEG23"/>
      <c r="BEH23"/>
      <c r="BEI23"/>
      <c r="BEJ23"/>
      <c r="BEK23"/>
      <c r="BEL23"/>
      <c r="BEM23"/>
      <c r="BEN23"/>
      <c r="BEO23"/>
      <c r="BEP23"/>
      <c r="BEQ23"/>
      <c r="BER23"/>
      <c r="BES23"/>
      <c r="BET23"/>
      <c r="BEU23"/>
      <c r="BEV23"/>
      <c r="BEW23"/>
      <c r="BEX23"/>
      <c r="BEY23"/>
      <c r="BEZ23"/>
      <c r="BFA23"/>
      <c r="BFB23"/>
      <c r="BFC23"/>
      <c r="BFD23"/>
      <c r="BFE23"/>
      <c r="BFF23"/>
      <c r="BFG23"/>
      <c r="BFH23"/>
      <c r="BFI23"/>
      <c r="BFJ23"/>
      <c r="BFK23"/>
      <c r="BFL23"/>
      <c r="BFM23"/>
      <c r="BFN23"/>
      <c r="BFO23"/>
      <c r="BFP23"/>
      <c r="BFQ23"/>
      <c r="BFR23"/>
      <c r="BFS23"/>
      <c r="BFT23"/>
      <c r="BFU23"/>
      <c r="BFV23"/>
      <c r="BFW23"/>
      <c r="BFX23"/>
      <c r="BFY23"/>
      <c r="BFZ23"/>
      <c r="BGA23"/>
      <c r="BGB23"/>
      <c r="BGC23"/>
      <c r="BGD23"/>
      <c r="BGE23"/>
      <c r="BGF23"/>
      <c r="BGG23"/>
      <c r="BGH23"/>
      <c r="BGI23"/>
      <c r="BGJ23"/>
      <c r="BGK23"/>
      <c r="BGL23"/>
      <c r="BGM23"/>
      <c r="BGN23"/>
      <c r="BGO23"/>
      <c r="BGP23"/>
      <c r="BGQ23"/>
      <c r="BGR23"/>
      <c r="BGS23"/>
      <c r="BGT23"/>
      <c r="BGU23"/>
      <c r="BGV23"/>
      <c r="BGW23"/>
      <c r="BGX23"/>
      <c r="BGY23"/>
      <c r="BGZ23"/>
      <c r="BHA23"/>
      <c r="BHB23"/>
      <c r="BHC23"/>
      <c r="BHD23"/>
      <c r="BHE23"/>
      <c r="BHF23"/>
      <c r="BHG23"/>
      <c r="BHH23"/>
      <c r="BHI23"/>
      <c r="BHJ23"/>
      <c r="BHK23"/>
      <c r="BHL23"/>
      <c r="BHM23"/>
      <c r="BHN23"/>
      <c r="BHO23"/>
      <c r="BHP23"/>
      <c r="BHQ23"/>
      <c r="BHR23"/>
      <c r="BHS23"/>
      <c r="BHT23"/>
      <c r="BHU23"/>
      <c r="BHV23"/>
      <c r="BHW23"/>
      <c r="BHX23"/>
      <c r="BHY23"/>
      <c r="BHZ23"/>
      <c r="BIA23"/>
      <c r="BIB23"/>
      <c r="BIC23"/>
      <c r="BID23"/>
      <c r="BIE23"/>
      <c r="BIF23"/>
      <c r="BIG23"/>
      <c r="BIH23"/>
      <c r="BII23"/>
      <c r="BIJ23"/>
      <c r="BIK23"/>
      <c r="BIL23"/>
      <c r="BIM23"/>
      <c r="BIN23"/>
      <c r="BIO23"/>
      <c r="BIP23"/>
      <c r="BIQ23"/>
      <c r="BIR23"/>
      <c r="BIS23"/>
      <c r="BIT23"/>
      <c r="BIU23"/>
      <c r="BIV23"/>
      <c r="BIW23"/>
      <c r="BIX23"/>
      <c r="BIY23"/>
      <c r="BIZ23"/>
      <c r="BJA23"/>
      <c r="BJB23"/>
      <c r="BJC23"/>
      <c r="BJD23"/>
      <c r="BJE23"/>
      <c r="BJF23"/>
      <c r="BJG23"/>
      <c r="BJH23"/>
      <c r="BJI23"/>
      <c r="BJJ23"/>
      <c r="BJK23"/>
      <c r="BJL23"/>
      <c r="BJM23"/>
      <c r="BJN23"/>
      <c r="BJO23"/>
      <c r="BJP23"/>
      <c r="BJQ23"/>
      <c r="BJR23"/>
      <c r="BJS23"/>
      <c r="BJT23"/>
      <c r="BJU23"/>
      <c r="BJV23"/>
      <c r="BJW23"/>
      <c r="BJX23"/>
      <c r="BJY23"/>
      <c r="BJZ23"/>
      <c r="BKA23"/>
      <c r="BKB23"/>
      <c r="BKC23"/>
      <c r="BKD23"/>
      <c r="BKE23"/>
      <c r="BKF23"/>
      <c r="BKG23"/>
      <c r="BKH23"/>
      <c r="BKI23"/>
      <c r="BKJ23"/>
      <c r="BKK23"/>
      <c r="BKL23"/>
      <c r="BKM23"/>
      <c r="BKN23"/>
      <c r="BKO23"/>
      <c r="BKP23"/>
      <c r="BKQ23"/>
      <c r="BKR23"/>
      <c r="BKS23"/>
      <c r="BKT23"/>
      <c r="BKU23"/>
      <c r="BKV23"/>
      <c r="BKW23"/>
      <c r="BKX23"/>
      <c r="BKY23"/>
      <c r="BKZ23"/>
      <c r="BLA23"/>
      <c r="BLB23"/>
      <c r="BLC23"/>
      <c r="BLD23"/>
      <c r="BLE23"/>
      <c r="BLF23"/>
      <c r="BLG23"/>
      <c r="BLH23"/>
      <c r="BLI23"/>
      <c r="BLJ23"/>
      <c r="BLK23"/>
      <c r="BLL23"/>
      <c r="BLM23"/>
      <c r="BLN23"/>
      <c r="BLO23"/>
      <c r="BLP23"/>
      <c r="BLQ23"/>
      <c r="BLR23"/>
      <c r="BLS23"/>
      <c r="BLT23"/>
      <c r="BLU23"/>
      <c r="BLV23"/>
      <c r="BLW23"/>
      <c r="BLX23"/>
      <c r="BLY23"/>
      <c r="BLZ23"/>
      <c r="BMA23"/>
      <c r="BMB23"/>
      <c r="BMC23"/>
      <c r="BMD23"/>
      <c r="BME23"/>
      <c r="BMF23"/>
      <c r="BMG23"/>
      <c r="BMH23"/>
      <c r="BMI23"/>
      <c r="BMJ23"/>
      <c r="BMK23"/>
      <c r="BML23"/>
      <c r="BMM23"/>
      <c r="BMN23"/>
      <c r="BMO23"/>
      <c r="BMP23"/>
      <c r="BMQ23"/>
      <c r="BMR23"/>
      <c r="BMS23"/>
      <c r="BMT23"/>
      <c r="BMU23"/>
      <c r="BMV23"/>
      <c r="BMW23"/>
      <c r="BMX23"/>
      <c r="BMY23"/>
      <c r="BMZ23"/>
      <c r="BNA23"/>
      <c r="BNB23"/>
      <c r="BNC23"/>
      <c r="BND23"/>
      <c r="BNE23"/>
      <c r="BNF23"/>
      <c r="BNG23"/>
      <c r="BNH23"/>
      <c r="BNI23"/>
      <c r="BNJ23"/>
      <c r="BNK23"/>
      <c r="BNL23"/>
      <c r="BNM23"/>
      <c r="BNN23"/>
      <c r="BNO23"/>
      <c r="BNP23"/>
      <c r="BNQ23"/>
      <c r="BNR23"/>
      <c r="BNS23"/>
      <c r="BNT23"/>
      <c r="BNU23"/>
      <c r="BNV23"/>
      <c r="BNW23"/>
      <c r="BNX23"/>
      <c r="BNY23"/>
      <c r="BNZ23"/>
      <c r="BOA23"/>
      <c r="BOB23"/>
      <c r="BOC23"/>
      <c r="BOD23"/>
      <c r="BOE23"/>
      <c r="BOF23"/>
      <c r="BOG23"/>
      <c r="BOH23"/>
      <c r="BOI23"/>
      <c r="BOJ23"/>
      <c r="BOK23"/>
      <c r="BOL23"/>
      <c r="BOM23"/>
      <c r="BON23"/>
      <c r="BOO23"/>
      <c r="BOP23"/>
      <c r="BOQ23"/>
      <c r="BOR23"/>
      <c r="BOS23"/>
      <c r="BOT23"/>
      <c r="BOU23"/>
      <c r="BOV23"/>
      <c r="BOW23"/>
      <c r="BOX23"/>
      <c r="BOY23"/>
      <c r="BOZ23"/>
      <c r="BPA23"/>
      <c r="BPB23"/>
      <c r="BPC23"/>
      <c r="BPD23"/>
      <c r="BPE23"/>
      <c r="BPF23"/>
      <c r="BPG23"/>
      <c r="BPH23"/>
      <c r="BPI23"/>
      <c r="BPJ23"/>
      <c r="BPK23"/>
      <c r="BPL23"/>
      <c r="BPM23"/>
      <c r="BPN23"/>
      <c r="BPO23"/>
      <c r="BPP23"/>
      <c r="BPQ23"/>
      <c r="BPR23"/>
      <c r="BPS23"/>
      <c r="BPT23"/>
      <c r="BPU23"/>
      <c r="BPV23"/>
      <c r="BPW23"/>
      <c r="BPX23"/>
      <c r="BPY23"/>
      <c r="BPZ23"/>
      <c r="BQA23"/>
      <c r="BQB23"/>
      <c r="BQC23"/>
      <c r="BQD23"/>
      <c r="BQE23"/>
      <c r="BQF23"/>
      <c r="BQG23"/>
      <c r="BQH23"/>
      <c r="BQI23"/>
      <c r="BQJ23"/>
      <c r="BQK23"/>
      <c r="BQL23"/>
      <c r="BQM23"/>
      <c r="BQN23"/>
      <c r="BQO23"/>
      <c r="BQP23"/>
      <c r="BQQ23"/>
      <c r="BQR23"/>
      <c r="BQS23"/>
      <c r="BQT23"/>
      <c r="BQU23"/>
      <c r="BQV23"/>
      <c r="BQW23"/>
      <c r="BQX23"/>
      <c r="BQY23"/>
      <c r="BQZ23"/>
      <c r="BRA23"/>
      <c r="BRB23"/>
      <c r="BRC23"/>
      <c r="BRD23"/>
      <c r="BRE23"/>
      <c r="BRF23"/>
      <c r="BRG23"/>
      <c r="BRH23"/>
      <c r="BRI23"/>
      <c r="BRJ23"/>
      <c r="BRK23"/>
      <c r="BRL23"/>
      <c r="BRM23"/>
      <c r="BRN23"/>
      <c r="BRO23"/>
      <c r="BRP23"/>
      <c r="BRQ23"/>
      <c r="BRR23"/>
      <c r="BRS23"/>
      <c r="BRT23"/>
      <c r="BRU23"/>
      <c r="BRV23"/>
      <c r="BRW23"/>
      <c r="BRX23"/>
      <c r="BRY23"/>
      <c r="BRZ23"/>
      <c r="BSA23"/>
      <c r="BSB23"/>
      <c r="BSC23"/>
      <c r="BSD23"/>
      <c r="BSE23"/>
      <c r="BSF23"/>
      <c r="BSG23"/>
      <c r="BSH23"/>
      <c r="BSI23"/>
      <c r="BSJ23"/>
      <c r="BSK23"/>
      <c r="BSL23"/>
      <c r="BSM23"/>
      <c r="BSN23"/>
      <c r="BSO23"/>
      <c r="BSP23"/>
      <c r="BSQ23"/>
      <c r="BSR23"/>
      <c r="BSS23"/>
      <c r="BST23"/>
      <c r="BSU23"/>
      <c r="BSV23"/>
      <c r="BSW23"/>
      <c r="BSX23"/>
      <c r="BSY23"/>
      <c r="BSZ23"/>
      <c r="BTA23"/>
      <c r="BTB23"/>
      <c r="BTC23"/>
      <c r="BTD23"/>
      <c r="BTE23"/>
      <c r="BTF23"/>
      <c r="BTG23"/>
      <c r="BTH23"/>
      <c r="BTI23"/>
      <c r="BTJ23"/>
      <c r="BTK23"/>
      <c r="BTL23"/>
      <c r="BTM23"/>
      <c r="BTN23"/>
      <c r="BTO23"/>
      <c r="BTP23"/>
      <c r="BTQ23"/>
      <c r="BTR23"/>
      <c r="BTS23"/>
      <c r="BTT23"/>
      <c r="BTU23"/>
      <c r="BTV23"/>
      <c r="BTW23"/>
      <c r="BTX23"/>
      <c r="BTY23"/>
      <c r="BTZ23"/>
      <c r="BUA23"/>
      <c r="BUB23"/>
      <c r="BUC23"/>
      <c r="BUD23"/>
      <c r="BUE23"/>
      <c r="BUF23"/>
      <c r="BUG23"/>
      <c r="BUH23"/>
      <c r="BUI23"/>
      <c r="BUJ23"/>
      <c r="BUK23"/>
      <c r="BUL23"/>
      <c r="BUM23"/>
      <c r="BUN23"/>
      <c r="BUO23"/>
      <c r="BUP23"/>
      <c r="BUQ23"/>
      <c r="BUR23"/>
      <c r="BUS23"/>
      <c r="BUT23"/>
      <c r="BUU23"/>
      <c r="BUV23"/>
      <c r="BUW23"/>
      <c r="BUX23"/>
      <c r="BUY23"/>
      <c r="BUZ23"/>
      <c r="BVA23"/>
      <c r="BVB23"/>
      <c r="BVC23"/>
      <c r="BVD23"/>
      <c r="BVE23"/>
      <c r="BVF23"/>
      <c r="BVG23"/>
      <c r="BVH23"/>
      <c r="BVI23"/>
      <c r="BVJ23"/>
      <c r="BVK23"/>
      <c r="BVL23"/>
      <c r="BVM23"/>
      <c r="BVN23"/>
      <c r="BVO23"/>
      <c r="BVP23"/>
      <c r="BVQ23"/>
      <c r="BVR23"/>
      <c r="BVS23"/>
      <c r="BVT23"/>
      <c r="BVU23"/>
      <c r="BVV23"/>
      <c r="BVW23"/>
      <c r="BVX23"/>
      <c r="BVY23"/>
      <c r="BVZ23"/>
      <c r="BWA23"/>
      <c r="BWB23"/>
      <c r="BWC23"/>
      <c r="BWD23"/>
      <c r="BWE23"/>
      <c r="BWF23"/>
      <c r="BWG23"/>
      <c r="BWH23"/>
      <c r="BWI23"/>
      <c r="BWJ23"/>
      <c r="BWK23"/>
      <c r="BWL23"/>
      <c r="BWM23"/>
      <c r="BWN23"/>
      <c r="BWO23"/>
      <c r="BWP23"/>
      <c r="BWQ23"/>
      <c r="BWR23"/>
      <c r="BWS23"/>
      <c r="BWT23"/>
      <c r="BWU23"/>
      <c r="BWV23"/>
      <c r="BWW23"/>
      <c r="BWX23"/>
      <c r="BWY23"/>
      <c r="BWZ23"/>
      <c r="BXA23"/>
      <c r="BXB23"/>
      <c r="BXC23"/>
      <c r="BXD23"/>
      <c r="BXE23"/>
      <c r="BXF23"/>
      <c r="BXG23"/>
      <c r="BXH23"/>
      <c r="BXI23"/>
      <c r="BXJ23"/>
      <c r="BXK23"/>
      <c r="BXL23"/>
      <c r="BXM23"/>
      <c r="BXN23"/>
      <c r="BXO23"/>
      <c r="BXP23"/>
      <c r="BXQ23"/>
      <c r="BXR23"/>
      <c r="BXS23"/>
      <c r="BXT23"/>
      <c r="BXU23"/>
      <c r="BXV23"/>
      <c r="BXW23"/>
      <c r="BXX23"/>
      <c r="BXY23"/>
      <c r="BXZ23"/>
      <c r="BYA23"/>
      <c r="BYB23"/>
      <c r="BYC23"/>
      <c r="BYD23"/>
      <c r="BYE23"/>
      <c r="BYF23"/>
      <c r="BYG23"/>
      <c r="BYH23"/>
      <c r="BYI23"/>
      <c r="BYJ23"/>
      <c r="BYK23"/>
      <c r="BYL23"/>
      <c r="BYM23"/>
      <c r="BYN23"/>
      <c r="BYO23"/>
      <c r="BYP23"/>
      <c r="BYQ23"/>
      <c r="BYR23"/>
      <c r="BYS23"/>
      <c r="BYT23"/>
      <c r="BYU23"/>
      <c r="BYV23"/>
      <c r="BYW23"/>
      <c r="BYX23"/>
      <c r="BYY23"/>
      <c r="BYZ23"/>
      <c r="BZA23"/>
      <c r="BZB23"/>
      <c r="BZC23"/>
      <c r="BZD23"/>
      <c r="BZE23"/>
      <c r="BZF23"/>
      <c r="BZG23"/>
      <c r="BZH23"/>
      <c r="BZI23"/>
      <c r="BZJ23"/>
      <c r="BZK23"/>
      <c r="BZL23"/>
      <c r="BZM23"/>
      <c r="BZN23"/>
      <c r="BZO23"/>
      <c r="BZP23"/>
      <c r="BZQ23"/>
      <c r="BZR23"/>
      <c r="BZS23"/>
      <c r="BZT23"/>
      <c r="BZU23"/>
      <c r="BZV23"/>
      <c r="BZW23"/>
      <c r="BZX23"/>
      <c r="BZY23"/>
      <c r="BZZ23"/>
      <c r="CAA23"/>
      <c r="CAB23"/>
      <c r="CAC23"/>
      <c r="CAD23"/>
      <c r="CAE23"/>
      <c r="CAF23"/>
      <c r="CAG23"/>
      <c r="CAH23"/>
      <c r="CAI23"/>
      <c r="CAJ23"/>
      <c r="CAK23"/>
      <c r="CAL23"/>
      <c r="CAM23"/>
      <c r="CAN23"/>
      <c r="CAO23"/>
      <c r="CAP23"/>
      <c r="CAQ23"/>
      <c r="CAR23"/>
      <c r="CAS23"/>
      <c r="CAT23"/>
      <c r="CAU23"/>
      <c r="CAV23"/>
      <c r="CAW23"/>
      <c r="CAX23"/>
      <c r="CAY23"/>
      <c r="CAZ23"/>
      <c r="CBA23"/>
      <c r="CBB23"/>
      <c r="CBC23"/>
      <c r="CBD23"/>
      <c r="CBE23"/>
      <c r="CBF23"/>
      <c r="CBG23"/>
      <c r="CBH23"/>
      <c r="CBI23"/>
      <c r="CBJ23"/>
      <c r="CBK23"/>
      <c r="CBL23"/>
      <c r="CBM23"/>
      <c r="CBN23"/>
      <c r="CBO23"/>
      <c r="CBP23"/>
      <c r="CBQ23"/>
      <c r="CBR23"/>
      <c r="CBS23"/>
      <c r="CBT23"/>
      <c r="CBU23"/>
      <c r="CBV23"/>
      <c r="CBW23"/>
      <c r="CBX23"/>
      <c r="CBY23"/>
      <c r="CBZ23"/>
      <c r="CCA23"/>
      <c r="CCB23"/>
      <c r="CCC23"/>
      <c r="CCD23"/>
      <c r="CCE23"/>
      <c r="CCF23"/>
      <c r="CCG23"/>
      <c r="CCH23"/>
      <c r="CCI23"/>
      <c r="CCJ23"/>
      <c r="CCK23"/>
      <c r="CCL23"/>
      <c r="CCM23"/>
      <c r="CCN23"/>
      <c r="CCO23"/>
      <c r="CCP23"/>
      <c r="CCQ23"/>
      <c r="CCR23"/>
      <c r="CCS23"/>
      <c r="CCT23"/>
      <c r="CCU23"/>
      <c r="CCV23"/>
      <c r="CCW23"/>
      <c r="CCX23"/>
      <c r="CCY23"/>
      <c r="CCZ23"/>
      <c r="CDA23"/>
      <c r="CDB23"/>
      <c r="CDC23"/>
      <c r="CDD23"/>
      <c r="CDE23"/>
      <c r="CDF23"/>
      <c r="CDG23"/>
      <c r="CDH23"/>
      <c r="CDI23"/>
      <c r="CDJ23"/>
      <c r="CDK23"/>
      <c r="CDL23"/>
      <c r="CDM23"/>
      <c r="CDN23"/>
      <c r="CDO23"/>
      <c r="CDP23"/>
      <c r="CDQ23"/>
      <c r="CDR23"/>
      <c r="CDS23"/>
      <c r="CDT23"/>
      <c r="CDU23"/>
      <c r="CDV23"/>
      <c r="CDW23"/>
      <c r="CDX23"/>
      <c r="CDY23"/>
      <c r="CDZ23"/>
      <c r="CEA23"/>
      <c r="CEB23"/>
      <c r="CEC23"/>
      <c r="CED23"/>
      <c r="CEE23"/>
      <c r="CEF23"/>
      <c r="CEG23"/>
      <c r="CEH23"/>
      <c r="CEI23"/>
      <c r="CEJ23"/>
      <c r="CEK23"/>
      <c r="CEL23"/>
      <c r="CEM23"/>
      <c r="CEN23"/>
      <c r="CEO23"/>
      <c r="CEP23"/>
      <c r="CEQ23"/>
      <c r="CER23"/>
      <c r="CES23"/>
      <c r="CET23"/>
      <c r="CEU23"/>
      <c r="CEV23"/>
      <c r="CEW23"/>
      <c r="CEX23"/>
      <c r="CEY23"/>
      <c r="CEZ23"/>
      <c r="CFA23"/>
      <c r="CFB23"/>
      <c r="CFC23"/>
      <c r="CFD23"/>
      <c r="CFE23"/>
      <c r="CFF23"/>
      <c r="CFG23"/>
      <c r="CFH23"/>
      <c r="CFI23"/>
      <c r="CFJ23"/>
      <c r="CFK23"/>
      <c r="CFL23"/>
      <c r="CFM23"/>
      <c r="CFN23"/>
      <c r="CFO23"/>
      <c r="CFP23"/>
      <c r="CFQ23"/>
      <c r="CFR23"/>
      <c r="CFS23"/>
      <c r="CFT23"/>
      <c r="CFU23"/>
      <c r="CFV23"/>
      <c r="CFW23"/>
      <c r="CFX23"/>
      <c r="CFY23"/>
      <c r="CFZ23"/>
      <c r="CGA23"/>
      <c r="CGB23"/>
      <c r="CGC23"/>
      <c r="CGD23"/>
      <c r="CGE23"/>
      <c r="CGF23"/>
      <c r="CGG23"/>
      <c r="CGH23"/>
      <c r="CGI23"/>
      <c r="CGJ23"/>
      <c r="CGK23"/>
      <c r="CGL23"/>
      <c r="CGM23"/>
      <c r="CGN23"/>
      <c r="CGO23"/>
      <c r="CGP23"/>
      <c r="CGQ23"/>
      <c r="CGR23"/>
      <c r="CGS23"/>
      <c r="CGT23"/>
      <c r="CGU23"/>
      <c r="CGV23"/>
      <c r="CGW23"/>
      <c r="CGX23"/>
      <c r="CGY23"/>
      <c r="CGZ23"/>
      <c r="CHA23"/>
      <c r="CHB23"/>
      <c r="CHC23"/>
      <c r="CHD23"/>
      <c r="CHE23"/>
      <c r="CHF23"/>
      <c r="CHG23"/>
      <c r="CHH23"/>
      <c r="CHI23"/>
      <c r="CHJ23"/>
      <c r="CHK23"/>
      <c r="CHL23"/>
      <c r="CHM23"/>
      <c r="CHN23"/>
      <c r="CHO23"/>
      <c r="CHP23"/>
      <c r="CHQ23"/>
      <c r="CHR23"/>
      <c r="CHS23"/>
      <c r="CHT23"/>
      <c r="CHU23"/>
      <c r="CHV23"/>
      <c r="CHW23"/>
      <c r="CHX23"/>
      <c r="CHY23"/>
      <c r="CHZ23"/>
      <c r="CIA23"/>
      <c r="CIB23"/>
      <c r="CIC23"/>
      <c r="CID23"/>
      <c r="CIE23"/>
      <c r="CIF23"/>
      <c r="CIG23"/>
      <c r="CIH23"/>
      <c r="CII23"/>
      <c r="CIJ23"/>
      <c r="CIK23"/>
      <c r="CIL23"/>
      <c r="CIM23"/>
      <c r="CIN23"/>
      <c r="CIO23"/>
      <c r="CIP23"/>
      <c r="CIQ23"/>
      <c r="CIR23"/>
      <c r="CIS23"/>
      <c r="CIT23"/>
      <c r="CIU23"/>
      <c r="CIV23"/>
      <c r="CIW23"/>
      <c r="CIX23"/>
      <c r="CIY23"/>
      <c r="CIZ23"/>
      <c r="CJA23"/>
      <c r="CJB23"/>
      <c r="CJC23"/>
      <c r="CJD23"/>
      <c r="CJE23"/>
      <c r="CJF23"/>
      <c r="CJG23"/>
      <c r="CJH23"/>
      <c r="CJI23"/>
      <c r="CJJ23"/>
      <c r="CJK23"/>
      <c r="CJL23"/>
      <c r="CJM23"/>
      <c r="CJN23"/>
      <c r="CJO23"/>
      <c r="CJP23"/>
      <c r="CJQ23"/>
      <c r="CJR23"/>
      <c r="CJS23"/>
      <c r="CJT23"/>
      <c r="CJU23"/>
      <c r="CJV23"/>
      <c r="CJW23"/>
      <c r="CJX23"/>
      <c r="CJY23"/>
      <c r="CJZ23"/>
      <c r="CKA23"/>
      <c r="CKB23"/>
      <c r="CKC23"/>
      <c r="CKD23"/>
      <c r="CKE23"/>
      <c r="CKF23"/>
      <c r="CKG23"/>
      <c r="CKH23"/>
      <c r="CKI23"/>
      <c r="CKJ23"/>
      <c r="CKK23"/>
      <c r="CKL23"/>
      <c r="CKM23"/>
      <c r="CKN23"/>
      <c r="CKO23"/>
      <c r="CKP23"/>
      <c r="CKQ23"/>
      <c r="CKR23"/>
      <c r="CKS23"/>
      <c r="CKT23"/>
      <c r="CKU23"/>
      <c r="CKV23"/>
      <c r="CKW23"/>
      <c r="CKX23"/>
      <c r="CKY23"/>
      <c r="CKZ23"/>
      <c r="CLA23"/>
      <c r="CLB23"/>
      <c r="CLC23"/>
      <c r="CLD23"/>
      <c r="CLE23"/>
      <c r="CLF23"/>
      <c r="CLG23"/>
      <c r="CLH23"/>
      <c r="CLI23"/>
      <c r="CLJ23"/>
      <c r="CLK23"/>
      <c r="CLL23"/>
      <c r="CLM23"/>
      <c r="CLN23"/>
      <c r="CLO23"/>
      <c r="CLP23"/>
      <c r="CLQ23"/>
      <c r="CLR23"/>
      <c r="CLS23"/>
      <c r="CLT23"/>
      <c r="CLU23"/>
      <c r="CLV23"/>
      <c r="CLW23"/>
      <c r="CLX23"/>
      <c r="CLY23"/>
      <c r="CLZ23"/>
      <c r="CMA23"/>
      <c r="CMB23"/>
      <c r="CMC23"/>
      <c r="CMD23"/>
      <c r="CME23"/>
      <c r="CMF23"/>
      <c r="CMG23"/>
      <c r="CMH23"/>
      <c r="CMI23"/>
      <c r="CMJ23"/>
      <c r="CMK23"/>
      <c r="CML23"/>
      <c r="CMM23"/>
      <c r="CMN23"/>
      <c r="CMO23"/>
      <c r="CMP23"/>
      <c r="CMQ23"/>
      <c r="CMR23"/>
      <c r="CMS23"/>
      <c r="CMT23"/>
      <c r="CMU23"/>
      <c r="CMV23"/>
      <c r="CMW23"/>
      <c r="CMX23"/>
      <c r="CMY23"/>
      <c r="CMZ23"/>
      <c r="CNA23"/>
      <c r="CNB23"/>
      <c r="CNC23"/>
      <c r="CND23"/>
      <c r="CNE23"/>
      <c r="CNF23"/>
      <c r="CNG23"/>
      <c r="CNH23"/>
      <c r="CNI23"/>
      <c r="CNJ23"/>
      <c r="CNK23"/>
      <c r="CNL23"/>
      <c r="CNM23"/>
      <c r="CNN23"/>
      <c r="CNO23"/>
      <c r="CNP23"/>
      <c r="CNQ23"/>
      <c r="CNR23"/>
      <c r="CNS23"/>
      <c r="CNT23"/>
      <c r="CNU23"/>
      <c r="CNV23"/>
      <c r="CNW23"/>
      <c r="CNX23"/>
      <c r="CNY23"/>
      <c r="CNZ23"/>
      <c r="COA23"/>
      <c r="COB23"/>
      <c r="COC23"/>
      <c r="COD23"/>
      <c r="COE23"/>
      <c r="COF23"/>
      <c r="COG23"/>
      <c r="COH23"/>
      <c r="COI23"/>
      <c r="COJ23"/>
      <c r="COK23"/>
      <c r="COL23"/>
      <c r="COM23"/>
      <c r="CON23"/>
      <c r="COO23"/>
      <c r="COP23"/>
      <c r="COQ23"/>
      <c r="COR23"/>
      <c r="COS23"/>
      <c r="COT23"/>
      <c r="COU23"/>
      <c r="COV23"/>
      <c r="COW23"/>
      <c r="COX23"/>
      <c r="COY23"/>
      <c r="COZ23"/>
      <c r="CPA23"/>
      <c r="CPB23"/>
      <c r="CPC23"/>
      <c r="CPD23"/>
      <c r="CPE23"/>
      <c r="CPF23"/>
      <c r="CPG23"/>
      <c r="CPH23"/>
      <c r="CPI23"/>
      <c r="CPJ23"/>
      <c r="CPK23"/>
      <c r="CPL23"/>
      <c r="CPM23"/>
      <c r="CPN23"/>
      <c r="CPO23"/>
      <c r="CPP23"/>
      <c r="CPQ23"/>
      <c r="CPR23"/>
      <c r="CPS23"/>
      <c r="CPT23"/>
      <c r="CPU23"/>
      <c r="CPV23"/>
      <c r="CPW23"/>
      <c r="CPX23"/>
      <c r="CPY23"/>
      <c r="CPZ23"/>
      <c r="CQA23"/>
      <c r="CQB23"/>
      <c r="CQC23"/>
      <c r="CQD23"/>
      <c r="CQE23"/>
      <c r="CQF23"/>
      <c r="CQG23"/>
      <c r="CQH23"/>
      <c r="CQI23"/>
      <c r="CQJ23"/>
      <c r="CQK23"/>
      <c r="CQL23"/>
      <c r="CQM23"/>
      <c r="CQN23"/>
      <c r="CQO23"/>
      <c r="CQP23"/>
      <c r="CQQ23"/>
      <c r="CQR23"/>
      <c r="CQS23"/>
      <c r="CQT23"/>
      <c r="CQU23"/>
      <c r="CQV23"/>
      <c r="CQW23"/>
      <c r="CQX23"/>
      <c r="CQY23"/>
      <c r="CQZ23"/>
      <c r="CRA23"/>
      <c r="CRB23"/>
      <c r="CRC23"/>
      <c r="CRD23"/>
      <c r="CRE23"/>
      <c r="CRF23"/>
      <c r="CRG23"/>
      <c r="CRH23"/>
      <c r="CRI23"/>
      <c r="CRJ23"/>
      <c r="CRK23"/>
      <c r="CRL23"/>
      <c r="CRM23"/>
      <c r="CRN23"/>
      <c r="CRO23"/>
      <c r="CRP23"/>
      <c r="CRQ23"/>
      <c r="CRR23"/>
      <c r="CRS23"/>
      <c r="CRT23"/>
      <c r="CRU23"/>
      <c r="CRV23"/>
      <c r="CRW23"/>
      <c r="CRX23"/>
      <c r="CRY23"/>
      <c r="CRZ23"/>
      <c r="CSA23"/>
      <c r="CSB23"/>
      <c r="CSC23"/>
      <c r="CSD23"/>
      <c r="CSE23"/>
      <c r="CSF23"/>
      <c r="CSG23"/>
      <c r="CSH23"/>
      <c r="CSI23"/>
      <c r="CSJ23"/>
      <c r="CSK23"/>
      <c r="CSL23"/>
      <c r="CSM23"/>
      <c r="CSN23"/>
      <c r="CSO23"/>
      <c r="CSP23"/>
      <c r="CSQ23"/>
      <c r="CSR23"/>
      <c r="CSS23"/>
      <c r="CST23"/>
      <c r="CSU23"/>
      <c r="CSV23"/>
      <c r="CSW23"/>
      <c r="CSX23"/>
      <c r="CSY23"/>
      <c r="CSZ23"/>
      <c r="CTA23"/>
      <c r="CTB23"/>
      <c r="CTC23"/>
      <c r="CTD23"/>
      <c r="CTE23"/>
      <c r="CTF23"/>
      <c r="CTG23"/>
      <c r="CTH23"/>
      <c r="CTI23"/>
      <c r="CTJ23"/>
      <c r="CTK23"/>
      <c r="CTL23"/>
      <c r="CTM23"/>
      <c r="CTN23"/>
      <c r="CTO23"/>
      <c r="CTP23"/>
      <c r="CTQ23"/>
      <c r="CTR23"/>
      <c r="CTS23"/>
      <c r="CTT23"/>
      <c r="CTU23"/>
      <c r="CTV23"/>
      <c r="CTW23"/>
      <c r="CTX23"/>
      <c r="CTY23"/>
      <c r="CTZ23"/>
      <c r="CUA23"/>
      <c r="CUB23"/>
      <c r="CUC23"/>
      <c r="CUD23"/>
      <c r="CUE23"/>
      <c r="CUF23"/>
      <c r="CUG23"/>
      <c r="CUH23"/>
      <c r="CUI23"/>
      <c r="CUJ23"/>
      <c r="CUK23"/>
      <c r="CUL23"/>
      <c r="CUM23"/>
      <c r="CUN23"/>
      <c r="CUO23"/>
      <c r="CUP23"/>
      <c r="CUQ23"/>
      <c r="CUR23"/>
      <c r="CUS23"/>
      <c r="CUT23"/>
      <c r="CUU23"/>
      <c r="CUV23"/>
      <c r="CUW23"/>
      <c r="CUX23"/>
      <c r="CUY23"/>
      <c r="CUZ23"/>
      <c r="CVA23"/>
      <c r="CVB23"/>
      <c r="CVC23"/>
      <c r="CVD23"/>
      <c r="CVE23"/>
      <c r="CVF23"/>
      <c r="CVG23"/>
      <c r="CVH23"/>
      <c r="CVI23"/>
      <c r="CVJ23"/>
      <c r="CVK23"/>
      <c r="CVL23"/>
      <c r="CVM23"/>
      <c r="CVN23"/>
      <c r="CVO23"/>
      <c r="CVP23"/>
      <c r="CVQ23"/>
      <c r="CVR23"/>
      <c r="CVS23"/>
      <c r="CVT23"/>
      <c r="CVU23"/>
      <c r="CVV23"/>
      <c r="CVW23"/>
      <c r="CVX23"/>
      <c r="CVY23"/>
      <c r="CVZ23"/>
      <c r="CWA23"/>
      <c r="CWB23"/>
      <c r="CWC23"/>
      <c r="CWD23"/>
      <c r="CWE23"/>
      <c r="CWF23"/>
      <c r="CWG23"/>
      <c r="CWH23"/>
      <c r="CWI23"/>
      <c r="CWJ23"/>
      <c r="CWK23"/>
      <c r="CWL23"/>
      <c r="CWM23"/>
      <c r="CWN23"/>
      <c r="CWO23"/>
      <c r="CWP23"/>
      <c r="CWQ23"/>
      <c r="CWR23"/>
      <c r="CWS23"/>
      <c r="CWT23"/>
      <c r="CWU23"/>
      <c r="CWV23"/>
      <c r="CWW23"/>
      <c r="CWX23"/>
      <c r="CWY23"/>
      <c r="CWZ23"/>
      <c r="CXA23"/>
      <c r="CXB23"/>
      <c r="CXC23"/>
      <c r="CXD23"/>
      <c r="CXE23"/>
      <c r="CXF23"/>
      <c r="CXG23"/>
      <c r="CXH23"/>
      <c r="CXI23"/>
      <c r="CXJ23"/>
      <c r="CXK23"/>
      <c r="CXL23"/>
      <c r="CXM23"/>
      <c r="CXN23"/>
      <c r="CXO23"/>
      <c r="CXP23"/>
      <c r="CXQ23"/>
      <c r="CXR23"/>
      <c r="CXS23"/>
      <c r="CXT23"/>
      <c r="CXU23"/>
      <c r="CXV23"/>
      <c r="CXW23"/>
      <c r="CXX23"/>
      <c r="CXY23"/>
      <c r="CXZ23"/>
      <c r="CYA23"/>
      <c r="CYB23"/>
      <c r="CYC23"/>
      <c r="CYD23"/>
      <c r="CYE23"/>
      <c r="CYF23"/>
      <c r="CYG23"/>
      <c r="CYH23"/>
      <c r="CYI23"/>
      <c r="CYJ23"/>
      <c r="CYK23"/>
      <c r="CYL23"/>
      <c r="CYM23"/>
      <c r="CYN23"/>
      <c r="CYO23"/>
      <c r="CYP23"/>
      <c r="CYQ23"/>
      <c r="CYR23"/>
      <c r="CYS23"/>
      <c r="CYT23"/>
      <c r="CYU23"/>
      <c r="CYV23"/>
      <c r="CYW23"/>
      <c r="CYX23"/>
      <c r="CYY23"/>
      <c r="CYZ23"/>
      <c r="CZA23"/>
      <c r="CZB23"/>
      <c r="CZC23"/>
      <c r="CZD23"/>
      <c r="CZE23"/>
      <c r="CZF23"/>
      <c r="CZG23"/>
      <c r="CZH23"/>
      <c r="CZI23"/>
      <c r="CZJ23"/>
      <c r="CZK23"/>
      <c r="CZL23"/>
      <c r="CZM23"/>
      <c r="CZN23"/>
      <c r="CZO23"/>
      <c r="CZP23"/>
      <c r="CZQ23"/>
      <c r="CZR23"/>
      <c r="CZS23"/>
      <c r="CZT23"/>
      <c r="CZU23"/>
      <c r="CZV23"/>
      <c r="CZW23"/>
      <c r="CZX23"/>
      <c r="CZY23"/>
      <c r="CZZ23"/>
      <c r="DAA23"/>
      <c r="DAB23"/>
      <c r="DAC23"/>
      <c r="DAD23"/>
      <c r="DAE23"/>
      <c r="DAF23"/>
      <c r="DAG23"/>
      <c r="DAH23"/>
      <c r="DAI23"/>
      <c r="DAJ23"/>
      <c r="DAK23"/>
      <c r="DAL23"/>
      <c r="DAM23"/>
      <c r="DAN23"/>
      <c r="DAO23"/>
      <c r="DAP23"/>
      <c r="DAQ23"/>
      <c r="DAR23"/>
      <c r="DAS23"/>
      <c r="DAT23"/>
      <c r="DAU23"/>
      <c r="DAV23"/>
      <c r="DAW23"/>
      <c r="DAX23"/>
      <c r="DAY23"/>
      <c r="DAZ23"/>
      <c r="DBA23"/>
      <c r="DBB23"/>
      <c r="DBC23"/>
      <c r="DBD23"/>
      <c r="DBE23"/>
      <c r="DBF23"/>
      <c r="DBG23"/>
      <c r="DBH23"/>
      <c r="DBI23"/>
      <c r="DBJ23"/>
      <c r="DBK23"/>
      <c r="DBL23"/>
      <c r="DBM23"/>
      <c r="DBN23"/>
      <c r="DBO23"/>
      <c r="DBP23"/>
      <c r="DBQ23"/>
      <c r="DBR23"/>
      <c r="DBS23"/>
      <c r="DBT23"/>
      <c r="DBU23"/>
      <c r="DBV23"/>
      <c r="DBW23"/>
      <c r="DBX23"/>
      <c r="DBY23"/>
      <c r="DBZ23"/>
      <c r="DCA23"/>
      <c r="DCB23"/>
      <c r="DCC23"/>
      <c r="DCD23"/>
      <c r="DCE23"/>
      <c r="DCF23"/>
      <c r="DCG23"/>
      <c r="DCH23"/>
      <c r="DCI23"/>
      <c r="DCJ23"/>
      <c r="DCK23"/>
      <c r="DCL23"/>
      <c r="DCM23"/>
      <c r="DCN23"/>
      <c r="DCO23"/>
      <c r="DCP23"/>
      <c r="DCQ23"/>
      <c r="DCR23"/>
      <c r="DCS23"/>
      <c r="DCT23"/>
      <c r="DCU23"/>
      <c r="DCV23"/>
      <c r="DCW23"/>
      <c r="DCX23"/>
      <c r="DCY23"/>
      <c r="DCZ23"/>
      <c r="DDA23"/>
      <c r="DDB23"/>
      <c r="DDC23"/>
      <c r="DDD23"/>
      <c r="DDE23"/>
      <c r="DDF23"/>
      <c r="DDG23"/>
      <c r="DDH23"/>
      <c r="DDI23"/>
      <c r="DDJ23"/>
      <c r="DDK23"/>
      <c r="DDL23"/>
      <c r="DDM23"/>
      <c r="DDN23"/>
      <c r="DDO23"/>
      <c r="DDP23"/>
      <c r="DDQ23"/>
      <c r="DDR23"/>
      <c r="DDS23"/>
      <c r="DDT23"/>
      <c r="DDU23"/>
      <c r="DDV23"/>
      <c r="DDW23"/>
      <c r="DDX23"/>
      <c r="DDY23"/>
      <c r="DDZ23"/>
      <c r="DEA23"/>
      <c r="DEB23"/>
      <c r="DEC23"/>
      <c r="DED23"/>
      <c r="DEE23"/>
      <c r="DEF23"/>
      <c r="DEG23"/>
      <c r="DEH23"/>
      <c r="DEI23"/>
      <c r="DEJ23"/>
      <c r="DEK23"/>
      <c r="DEL23"/>
      <c r="DEM23"/>
      <c r="DEN23"/>
      <c r="DEO23"/>
      <c r="DEP23"/>
      <c r="DEQ23"/>
      <c r="DER23"/>
      <c r="DES23"/>
      <c r="DET23"/>
      <c r="DEU23"/>
      <c r="DEV23"/>
      <c r="DEW23"/>
      <c r="DEX23"/>
      <c r="DEY23"/>
      <c r="DEZ23"/>
      <c r="DFA23"/>
      <c r="DFB23"/>
      <c r="DFC23"/>
      <c r="DFD23"/>
      <c r="DFE23"/>
      <c r="DFF23"/>
      <c r="DFG23"/>
      <c r="DFH23"/>
      <c r="DFI23"/>
      <c r="DFJ23"/>
      <c r="DFK23"/>
      <c r="DFL23"/>
      <c r="DFM23"/>
      <c r="DFN23"/>
      <c r="DFO23"/>
      <c r="DFP23"/>
      <c r="DFQ23"/>
      <c r="DFR23"/>
      <c r="DFS23"/>
      <c r="DFT23"/>
      <c r="DFU23"/>
      <c r="DFV23"/>
      <c r="DFW23"/>
      <c r="DFX23"/>
      <c r="DFY23"/>
      <c r="DFZ23"/>
      <c r="DGA23"/>
      <c r="DGB23"/>
      <c r="DGC23"/>
      <c r="DGD23"/>
      <c r="DGE23"/>
      <c r="DGF23"/>
      <c r="DGG23"/>
      <c r="DGH23"/>
      <c r="DGI23"/>
      <c r="DGJ23"/>
      <c r="DGK23"/>
      <c r="DGL23"/>
      <c r="DGM23"/>
      <c r="DGN23"/>
      <c r="DGO23"/>
      <c r="DGP23"/>
      <c r="DGQ23"/>
      <c r="DGR23"/>
      <c r="DGS23"/>
      <c r="DGT23"/>
      <c r="DGU23"/>
      <c r="DGV23"/>
      <c r="DGW23"/>
      <c r="DGX23"/>
      <c r="DGY23"/>
      <c r="DGZ23"/>
      <c r="DHA23"/>
      <c r="DHB23"/>
      <c r="DHC23"/>
      <c r="DHD23"/>
      <c r="DHE23"/>
      <c r="DHF23"/>
      <c r="DHG23"/>
      <c r="DHH23"/>
      <c r="DHI23"/>
      <c r="DHJ23"/>
      <c r="DHK23"/>
      <c r="DHL23"/>
      <c r="DHM23"/>
      <c r="DHN23"/>
      <c r="DHO23"/>
      <c r="DHP23"/>
      <c r="DHQ23"/>
      <c r="DHR23"/>
      <c r="DHS23"/>
      <c r="DHT23"/>
      <c r="DHU23"/>
      <c r="DHV23"/>
      <c r="DHW23"/>
      <c r="DHX23"/>
      <c r="DHY23"/>
      <c r="DHZ23"/>
      <c r="DIA23"/>
      <c r="DIB23"/>
      <c r="DIC23"/>
      <c r="DID23"/>
      <c r="DIE23"/>
      <c r="DIF23"/>
      <c r="DIG23"/>
      <c r="DIH23"/>
      <c r="DII23"/>
      <c r="DIJ23"/>
      <c r="DIK23"/>
      <c r="DIL23"/>
      <c r="DIM23"/>
      <c r="DIN23"/>
      <c r="DIO23"/>
      <c r="DIP23"/>
      <c r="DIQ23"/>
      <c r="DIR23"/>
      <c r="DIS23"/>
      <c r="DIT23"/>
      <c r="DIU23"/>
      <c r="DIV23"/>
      <c r="DIW23"/>
      <c r="DIX23"/>
      <c r="DIY23"/>
      <c r="DIZ23"/>
      <c r="DJA23"/>
      <c r="DJB23"/>
      <c r="DJC23"/>
      <c r="DJD23"/>
      <c r="DJE23"/>
      <c r="DJF23"/>
      <c r="DJG23"/>
      <c r="DJH23"/>
      <c r="DJI23"/>
      <c r="DJJ23"/>
      <c r="DJK23"/>
      <c r="DJL23"/>
      <c r="DJM23"/>
      <c r="DJN23"/>
      <c r="DJO23"/>
      <c r="DJP23"/>
      <c r="DJQ23"/>
      <c r="DJR23"/>
      <c r="DJS23"/>
      <c r="DJT23"/>
      <c r="DJU23"/>
      <c r="DJV23"/>
      <c r="DJW23"/>
      <c r="DJX23"/>
      <c r="DJY23"/>
      <c r="DJZ23"/>
      <c r="DKA23"/>
      <c r="DKB23"/>
      <c r="DKC23"/>
      <c r="DKD23"/>
      <c r="DKE23"/>
      <c r="DKF23"/>
      <c r="DKG23"/>
      <c r="DKH23"/>
      <c r="DKI23"/>
      <c r="DKJ23"/>
      <c r="DKK23"/>
      <c r="DKL23"/>
      <c r="DKM23"/>
      <c r="DKN23"/>
      <c r="DKO23"/>
      <c r="DKP23"/>
      <c r="DKQ23"/>
      <c r="DKR23"/>
      <c r="DKS23"/>
      <c r="DKT23"/>
      <c r="DKU23"/>
      <c r="DKV23"/>
      <c r="DKW23"/>
      <c r="DKX23"/>
      <c r="DKY23"/>
      <c r="DKZ23"/>
      <c r="DLA23"/>
      <c r="DLB23"/>
      <c r="DLC23"/>
      <c r="DLD23"/>
      <c r="DLE23"/>
      <c r="DLF23"/>
      <c r="DLG23"/>
      <c r="DLH23"/>
      <c r="DLI23"/>
      <c r="DLJ23"/>
      <c r="DLK23"/>
      <c r="DLL23"/>
      <c r="DLM23"/>
      <c r="DLN23"/>
      <c r="DLO23"/>
      <c r="DLP23"/>
      <c r="DLQ23"/>
      <c r="DLR23"/>
      <c r="DLS23"/>
      <c r="DLT23"/>
      <c r="DLU23"/>
      <c r="DLV23"/>
      <c r="DLW23"/>
      <c r="DLX23"/>
      <c r="DLY23"/>
      <c r="DLZ23"/>
      <c r="DMA23"/>
      <c r="DMB23"/>
      <c r="DMC23"/>
      <c r="DMD23"/>
      <c r="DME23"/>
      <c r="DMF23"/>
      <c r="DMG23"/>
      <c r="DMH23"/>
      <c r="DMI23"/>
      <c r="DMJ23"/>
      <c r="DMK23"/>
      <c r="DML23"/>
      <c r="DMM23"/>
      <c r="DMN23"/>
      <c r="DMO23"/>
      <c r="DMP23"/>
      <c r="DMQ23"/>
      <c r="DMR23"/>
      <c r="DMS23"/>
      <c r="DMT23"/>
      <c r="DMU23"/>
      <c r="DMV23"/>
      <c r="DMW23"/>
      <c r="DMX23"/>
      <c r="DMY23"/>
      <c r="DMZ23"/>
      <c r="DNA23"/>
      <c r="DNB23"/>
      <c r="DNC23"/>
      <c r="DND23"/>
      <c r="DNE23"/>
      <c r="DNF23"/>
      <c r="DNG23"/>
      <c r="DNH23"/>
      <c r="DNI23"/>
      <c r="DNJ23"/>
      <c r="DNK23"/>
      <c r="DNL23"/>
      <c r="DNM23"/>
      <c r="DNN23"/>
      <c r="DNO23"/>
      <c r="DNP23"/>
      <c r="DNQ23"/>
      <c r="DNR23"/>
      <c r="DNS23"/>
      <c r="DNT23"/>
      <c r="DNU23"/>
      <c r="DNV23"/>
      <c r="DNW23"/>
      <c r="DNX23"/>
      <c r="DNY23"/>
      <c r="DNZ23"/>
      <c r="DOA23"/>
      <c r="DOB23"/>
      <c r="DOC23"/>
      <c r="DOD23"/>
      <c r="DOE23"/>
      <c r="DOF23"/>
      <c r="DOG23"/>
      <c r="DOH23"/>
      <c r="DOI23"/>
      <c r="DOJ23"/>
      <c r="DOK23"/>
      <c r="DOL23"/>
      <c r="DOM23"/>
      <c r="DON23"/>
      <c r="DOO23"/>
      <c r="DOP23"/>
      <c r="DOQ23"/>
      <c r="DOR23"/>
      <c r="DOS23"/>
      <c r="DOT23"/>
      <c r="DOU23"/>
      <c r="DOV23"/>
      <c r="DOW23"/>
      <c r="DOX23"/>
      <c r="DOY23"/>
      <c r="DOZ23"/>
      <c r="DPA23"/>
      <c r="DPB23"/>
      <c r="DPC23"/>
      <c r="DPD23"/>
      <c r="DPE23"/>
      <c r="DPF23"/>
      <c r="DPG23"/>
      <c r="DPH23"/>
      <c r="DPI23"/>
      <c r="DPJ23"/>
      <c r="DPK23"/>
      <c r="DPL23"/>
      <c r="DPM23"/>
      <c r="DPN23"/>
      <c r="DPO23"/>
      <c r="DPP23"/>
      <c r="DPQ23"/>
      <c r="DPR23"/>
      <c r="DPS23"/>
      <c r="DPT23"/>
      <c r="DPU23"/>
      <c r="DPV23"/>
      <c r="DPW23"/>
      <c r="DPX23"/>
      <c r="DPY23"/>
      <c r="DPZ23"/>
      <c r="DQA23"/>
      <c r="DQB23"/>
      <c r="DQC23"/>
      <c r="DQD23"/>
      <c r="DQE23"/>
      <c r="DQF23"/>
      <c r="DQG23"/>
      <c r="DQH23"/>
      <c r="DQI23"/>
      <c r="DQJ23"/>
      <c r="DQK23"/>
      <c r="DQL23"/>
      <c r="DQM23"/>
      <c r="DQN23"/>
      <c r="DQO23"/>
      <c r="DQP23"/>
      <c r="DQQ23"/>
      <c r="DQR23"/>
      <c r="DQS23"/>
      <c r="DQT23"/>
      <c r="DQU23"/>
      <c r="DQV23"/>
      <c r="DQW23"/>
      <c r="DQX23"/>
      <c r="DQY23"/>
      <c r="DQZ23"/>
      <c r="DRA23"/>
      <c r="DRB23"/>
      <c r="DRC23"/>
      <c r="DRD23"/>
      <c r="DRE23"/>
      <c r="DRF23"/>
      <c r="DRG23"/>
      <c r="DRH23"/>
      <c r="DRI23"/>
      <c r="DRJ23"/>
      <c r="DRK23"/>
      <c r="DRL23"/>
      <c r="DRM23"/>
      <c r="DRN23"/>
      <c r="DRO23"/>
      <c r="DRP23"/>
      <c r="DRQ23"/>
      <c r="DRR23"/>
      <c r="DRS23"/>
      <c r="DRT23"/>
      <c r="DRU23"/>
      <c r="DRV23"/>
      <c r="DRW23"/>
      <c r="DRX23"/>
      <c r="DRY23"/>
      <c r="DRZ23"/>
      <c r="DSA23"/>
      <c r="DSB23"/>
      <c r="DSC23"/>
      <c r="DSD23"/>
      <c r="DSE23"/>
      <c r="DSF23"/>
      <c r="DSG23"/>
      <c r="DSH23"/>
      <c r="DSI23"/>
      <c r="DSJ23"/>
      <c r="DSK23"/>
      <c r="DSL23"/>
      <c r="DSM23"/>
      <c r="DSN23"/>
      <c r="DSO23"/>
      <c r="DSP23"/>
      <c r="DSQ23"/>
      <c r="DSR23"/>
      <c r="DSS23"/>
      <c r="DST23"/>
      <c r="DSU23"/>
      <c r="DSV23"/>
      <c r="DSW23"/>
      <c r="DSX23"/>
      <c r="DSY23"/>
      <c r="DSZ23"/>
      <c r="DTA23"/>
      <c r="DTB23"/>
      <c r="DTC23"/>
      <c r="DTD23"/>
      <c r="DTE23"/>
      <c r="DTF23"/>
      <c r="DTG23"/>
      <c r="DTH23"/>
      <c r="DTI23"/>
      <c r="DTJ23"/>
      <c r="DTK23"/>
      <c r="DTL23"/>
      <c r="DTM23"/>
      <c r="DTN23"/>
      <c r="DTO23"/>
      <c r="DTP23"/>
      <c r="DTQ23"/>
      <c r="DTR23"/>
      <c r="DTS23"/>
      <c r="DTT23"/>
      <c r="DTU23"/>
      <c r="DTV23"/>
      <c r="DTW23"/>
      <c r="DTX23"/>
      <c r="DTY23"/>
      <c r="DTZ23"/>
      <c r="DUA23"/>
      <c r="DUB23"/>
      <c r="DUC23"/>
      <c r="DUD23"/>
      <c r="DUE23"/>
      <c r="DUF23"/>
      <c r="DUG23"/>
      <c r="DUH23"/>
      <c r="DUI23"/>
      <c r="DUJ23"/>
      <c r="DUK23"/>
      <c r="DUL23"/>
      <c r="DUM23"/>
      <c r="DUN23"/>
      <c r="DUO23"/>
      <c r="DUP23"/>
      <c r="DUQ23"/>
      <c r="DUR23"/>
      <c r="DUS23"/>
      <c r="DUT23"/>
      <c r="DUU23"/>
      <c r="DUV23"/>
      <c r="DUW23"/>
      <c r="DUX23"/>
      <c r="DUY23"/>
      <c r="DUZ23"/>
      <c r="DVA23"/>
      <c r="DVB23"/>
      <c r="DVC23"/>
      <c r="DVD23"/>
      <c r="DVE23"/>
      <c r="DVF23"/>
      <c r="DVG23"/>
      <c r="DVH23"/>
      <c r="DVI23"/>
      <c r="DVJ23"/>
      <c r="DVK23"/>
      <c r="DVL23"/>
      <c r="DVM23"/>
      <c r="DVN23"/>
      <c r="DVO23"/>
      <c r="DVP23"/>
      <c r="DVQ23"/>
      <c r="DVR23"/>
      <c r="DVS23"/>
      <c r="DVT23"/>
      <c r="DVU23"/>
      <c r="DVV23"/>
      <c r="DVW23"/>
      <c r="DVX23"/>
      <c r="DVY23"/>
      <c r="DVZ23"/>
      <c r="DWA23"/>
      <c r="DWB23"/>
      <c r="DWC23"/>
      <c r="DWD23"/>
      <c r="DWE23"/>
      <c r="DWF23"/>
      <c r="DWG23"/>
      <c r="DWH23"/>
      <c r="DWI23"/>
      <c r="DWJ23"/>
      <c r="DWK23"/>
      <c r="DWL23"/>
      <c r="DWM23"/>
      <c r="DWN23"/>
      <c r="DWO23"/>
      <c r="DWP23"/>
      <c r="DWQ23"/>
      <c r="DWR23"/>
      <c r="DWS23"/>
      <c r="DWT23"/>
      <c r="DWU23"/>
      <c r="DWV23"/>
      <c r="DWW23"/>
      <c r="DWX23"/>
      <c r="DWY23"/>
      <c r="DWZ23"/>
      <c r="DXA23"/>
      <c r="DXB23"/>
      <c r="DXC23"/>
      <c r="DXD23"/>
      <c r="DXE23"/>
      <c r="DXF23"/>
      <c r="DXG23"/>
      <c r="DXH23"/>
      <c r="DXI23"/>
      <c r="DXJ23"/>
      <c r="DXK23"/>
      <c r="DXL23"/>
      <c r="DXM23"/>
      <c r="DXN23"/>
      <c r="DXO23"/>
      <c r="DXP23"/>
      <c r="DXQ23"/>
      <c r="DXR23"/>
      <c r="DXS23"/>
      <c r="DXT23"/>
      <c r="DXU23"/>
      <c r="DXV23"/>
      <c r="DXW23"/>
      <c r="DXX23"/>
      <c r="DXY23"/>
      <c r="DXZ23"/>
      <c r="DYA23"/>
      <c r="DYB23"/>
      <c r="DYC23"/>
      <c r="DYD23"/>
      <c r="DYE23"/>
      <c r="DYF23"/>
      <c r="DYG23"/>
      <c r="DYH23"/>
      <c r="DYI23"/>
      <c r="DYJ23"/>
      <c r="DYK23"/>
      <c r="DYL23"/>
      <c r="DYM23"/>
      <c r="DYN23"/>
      <c r="DYO23"/>
      <c r="DYP23"/>
      <c r="DYQ23"/>
      <c r="DYR23"/>
      <c r="DYS23"/>
      <c r="DYT23"/>
      <c r="DYU23"/>
      <c r="DYV23"/>
      <c r="DYW23"/>
      <c r="DYX23"/>
      <c r="DYY23"/>
      <c r="DYZ23"/>
      <c r="DZA23"/>
      <c r="DZB23"/>
      <c r="DZC23"/>
      <c r="DZD23"/>
      <c r="DZE23"/>
      <c r="DZF23"/>
      <c r="DZG23"/>
      <c r="DZH23"/>
      <c r="DZI23"/>
      <c r="DZJ23"/>
      <c r="DZK23"/>
      <c r="DZL23"/>
      <c r="DZM23"/>
      <c r="DZN23"/>
      <c r="DZO23"/>
      <c r="DZP23"/>
      <c r="DZQ23"/>
      <c r="DZR23"/>
      <c r="DZS23"/>
      <c r="DZT23"/>
      <c r="DZU23"/>
      <c r="DZV23"/>
      <c r="DZW23"/>
      <c r="DZX23"/>
      <c r="DZY23"/>
      <c r="DZZ23"/>
      <c r="EAA23"/>
      <c r="EAB23"/>
      <c r="EAC23"/>
      <c r="EAD23"/>
      <c r="EAE23"/>
      <c r="EAF23"/>
      <c r="EAG23"/>
      <c r="EAH23"/>
      <c r="EAI23"/>
      <c r="EAJ23"/>
      <c r="EAK23"/>
      <c r="EAL23"/>
      <c r="EAM23"/>
      <c r="EAN23"/>
      <c r="EAO23"/>
      <c r="EAP23"/>
      <c r="EAQ23"/>
      <c r="EAR23"/>
      <c r="EAS23"/>
      <c r="EAT23"/>
      <c r="EAU23"/>
      <c r="EAV23"/>
      <c r="EAW23"/>
      <c r="EAX23"/>
      <c r="EAY23"/>
      <c r="EAZ23"/>
      <c r="EBA23"/>
      <c r="EBB23"/>
      <c r="EBC23"/>
      <c r="EBD23"/>
      <c r="EBE23"/>
      <c r="EBF23"/>
      <c r="EBG23"/>
      <c r="EBH23"/>
      <c r="EBI23"/>
      <c r="EBJ23"/>
      <c r="EBK23"/>
      <c r="EBL23"/>
      <c r="EBM23"/>
      <c r="EBN23"/>
      <c r="EBO23"/>
      <c r="EBP23"/>
      <c r="EBQ23"/>
      <c r="EBR23"/>
      <c r="EBS23"/>
      <c r="EBT23"/>
      <c r="EBU23"/>
      <c r="EBV23"/>
      <c r="EBW23"/>
      <c r="EBX23"/>
      <c r="EBY23"/>
      <c r="EBZ23"/>
      <c r="ECA23"/>
      <c r="ECB23"/>
      <c r="ECC23"/>
      <c r="ECD23"/>
      <c r="ECE23"/>
      <c r="ECF23"/>
      <c r="ECG23"/>
      <c r="ECH23"/>
      <c r="ECI23"/>
      <c r="ECJ23"/>
      <c r="ECK23"/>
      <c r="ECL23"/>
      <c r="ECM23"/>
      <c r="ECN23"/>
      <c r="ECO23"/>
      <c r="ECP23"/>
      <c r="ECQ23"/>
      <c r="ECR23"/>
      <c r="ECS23"/>
      <c r="ECT23"/>
      <c r="ECU23"/>
      <c r="ECV23"/>
      <c r="ECW23"/>
      <c r="ECX23"/>
      <c r="ECY23"/>
      <c r="ECZ23"/>
      <c r="EDA23"/>
      <c r="EDB23"/>
      <c r="EDC23"/>
      <c r="EDD23"/>
      <c r="EDE23"/>
      <c r="EDF23"/>
      <c r="EDG23"/>
      <c r="EDH23"/>
      <c r="EDI23"/>
      <c r="EDJ23"/>
      <c r="EDK23"/>
      <c r="EDL23"/>
      <c r="EDM23"/>
      <c r="EDN23"/>
      <c r="EDO23"/>
      <c r="EDP23"/>
      <c r="EDQ23"/>
      <c r="EDR23"/>
      <c r="EDS23"/>
      <c r="EDT23"/>
      <c r="EDU23"/>
      <c r="EDV23"/>
      <c r="EDW23"/>
      <c r="EDX23"/>
      <c r="EDY23"/>
      <c r="EDZ23"/>
      <c r="EEA23"/>
      <c r="EEB23"/>
      <c r="EEC23"/>
      <c r="EED23"/>
      <c r="EEE23"/>
      <c r="EEF23"/>
      <c r="EEG23"/>
      <c r="EEH23"/>
      <c r="EEI23"/>
      <c r="EEJ23"/>
      <c r="EEK23"/>
      <c r="EEL23"/>
      <c r="EEM23"/>
      <c r="EEN23"/>
      <c r="EEO23"/>
      <c r="EEP23"/>
      <c r="EEQ23"/>
      <c r="EER23"/>
      <c r="EES23"/>
      <c r="EET23"/>
      <c r="EEU23"/>
      <c r="EEV23"/>
      <c r="EEW23"/>
      <c r="EEX23"/>
      <c r="EEY23"/>
      <c r="EEZ23"/>
      <c r="EFA23"/>
      <c r="EFB23"/>
      <c r="EFC23"/>
      <c r="EFD23"/>
      <c r="EFE23"/>
      <c r="EFF23"/>
      <c r="EFG23"/>
      <c r="EFH23"/>
      <c r="EFI23"/>
      <c r="EFJ23"/>
      <c r="EFK23"/>
      <c r="EFL23"/>
      <c r="EFM23"/>
      <c r="EFN23"/>
      <c r="EFO23"/>
      <c r="EFP23"/>
      <c r="EFQ23"/>
      <c r="EFR23"/>
      <c r="EFS23"/>
      <c r="EFT23"/>
      <c r="EFU23"/>
      <c r="EFV23"/>
      <c r="EFW23"/>
      <c r="EFX23"/>
      <c r="EFY23"/>
      <c r="EFZ23"/>
      <c r="EGA23"/>
      <c r="EGB23"/>
      <c r="EGC23"/>
      <c r="EGD23"/>
      <c r="EGE23"/>
      <c r="EGF23"/>
      <c r="EGG23"/>
      <c r="EGH23"/>
      <c r="EGI23"/>
      <c r="EGJ23"/>
      <c r="EGK23"/>
      <c r="EGL23"/>
      <c r="EGM23"/>
      <c r="EGN23"/>
      <c r="EGO23"/>
      <c r="EGP23"/>
      <c r="EGQ23"/>
      <c r="EGR23"/>
      <c r="EGS23"/>
      <c r="EGT23"/>
      <c r="EGU23"/>
      <c r="EGV23"/>
      <c r="EGW23"/>
      <c r="EGX23"/>
      <c r="EGY23"/>
      <c r="EGZ23"/>
      <c r="EHA23"/>
      <c r="EHB23"/>
      <c r="EHC23"/>
      <c r="EHD23"/>
      <c r="EHE23"/>
      <c r="EHF23"/>
      <c r="EHG23"/>
      <c r="EHH23"/>
      <c r="EHI23"/>
      <c r="EHJ23"/>
      <c r="EHK23"/>
      <c r="EHL23"/>
      <c r="EHM23"/>
      <c r="EHN23"/>
      <c r="EHO23"/>
      <c r="EHP23"/>
      <c r="EHQ23"/>
      <c r="EHR23"/>
      <c r="EHS23"/>
      <c r="EHT23"/>
      <c r="EHU23"/>
      <c r="EHV23"/>
      <c r="EHW23"/>
      <c r="EHX23"/>
      <c r="EHY23"/>
      <c r="EHZ23"/>
      <c r="EIA23"/>
      <c r="EIB23"/>
      <c r="EIC23"/>
      <c r="EID23"/>
      <c r="EIE23"/>
      <c r="EIF23"/>
      <c r="EIG23"/>
      <c r="EIH23"/>
      <c r="EII23"/>
      <c r="EIJ23"/>
      <c r="EIK23"/>
      <c r="EIL23"/>
      <c r="EIM23"/>
      <c r="EIN23"/>
      <c r="EIO23"/>
      <c r="EIP23"/>
      <c r="EIQ23"/>
      <c r="EIR23"/>
      <c r="EIS23"/>
      <c r="EIT23"/>
      <c r="EIU23"/>
      <c r="EIV23"/>
      <c r="EIW23"/>
      <c r="EIX23"/>
      <c r="EIY23"/>
      <c r="EIZ23"/>
      <c r="EJA23"/>
      <c r="EJB23"/>
      <c r="EJC23"/>
      <c r="EJD23"/>
      <c r="EJE23"/>
      <c r="EJF23"/>
      <c r="EJG23"/>
      <c r="EJH23"/>
      <c r="EJI23"/>
      <c r="EJJ23"/>
      <c r="EJK23"/>
      <c r="EJL23"/>
      <c r="EJM23"/>
      <c r="EJN23"/>
      <c r="EJO23"/>
      <c r="EJP23"/>
      <c r="EJQ23"/>
      <c r="EJR23"/>
      <c r="EJS23"/>
      <c r="EJT23"/>
      <c r="EJU23"/>
      <c r="EJV23"/>
      <c r="EJW23"/>
      <c r="EJX23"/>
      <c r="EJY23"/>
      <c r="EJZ23"/>
      <c r="EKA23"/>
      <c r="EKB23"/>
      <c r="EKC23"/>
      <c r="EKD23"/>
      <c r="EKE23"/>
      <c r="EKF23"/>
      <c r="EKG23"/>
      <c r="EKH23"/>
      <c r="EKI23"/>
      <c r="EKJ23"/>
      <c r="EKK23"/>
      <c r="EKL23"/>
      <c r="EKM23"/>
      <c r="EKN23"/>
      <c r="EKO23"/>
      <c r="EKP23"/>
      <c r="EKQ23"/>
      <c r="EKR23"/>
      <c r="EKS23"/>
      <c r="EKT23"/>
      <c r="EKU23"/>
      <c r="EKV23"/>
      <c r="EKW23"/>
      <c r="EKX23"/>
      <c r="EKY23"/>
      <c r="EKZ23"/>
      <c r="ELA23"/>
      <c r="ELB23"/>
      <c r="ELC23"/>
      <c r="ELD23"/>
      <c r="ELE23"/>
      <c r="ELF23"/>
      <c r="ELG23"/>
      <c r="ELH23"/>
      <c r="ELI23"/>
      <c r="ELJ23"/>
      <c r="ELK23"/>
      <c r="ELL23"/>
      <c r="ELM23"/>
      <c r="ELN23"/>
      <c r="ELO23"/>
      <c r="ELP23"/>
      <c r="ELQ23"/>
      <c r="ELR23"/>
      <c r="ELS23"/>
      <c r="ELT23"/>
      <c r="ELU23"/>
      <c r="ELV23"/>
      <c r="ELW23"/>
      <c r="ELX23"/>
      <c r="ELY23"/>
      <c r="ELZ23"/>
      <c r="EMA23"/>
      <c r="EMB23"/>
      <c r="EMC23"/>
      <c r="EMD23"/>
      <c r="EME23"/>
      <c r="EMF23"/>
      <c r="EMG23"/>
      <c r="EMH23"/>
      <c r="EMI23"/>
      <c r="EMJ23"/>
      <c r="EMK23"/>
      <c r="EML23"/>
      <c r="EMM23"/>
      <c r="EMN23"/>
      <c r="EMO23"/>
      <c r="EMP23"/>
      <c r="EMQ23"/>
      <c r="EMR23"/>
      <c r="EMS23"/>
      <c r="EMT23"/>
      <c r="EMU23"/>
      <c r="EMV23"/>
      <c r="EMW23"/>
      <c r="EMX23"/>
      <c r="EMY23"/>
      <c r="EMZ23"/>
      <c r="ENA23"/>
      <c r="ENB23"/>
      <c r="ENC23"/>
      <c r="END23"/>
      <c r="ENE23"/>
      <c r="ENF23"/>
      <c r="ENG23"/>
      <c r="ENH23"/>
      <c r="ENI23"/>
      <c r="ENJ23"/>
      <c r="ENK23"/>
      <c r="ENL23"/>
      <c r="ENM23"/>
      <c r="ENN23"/>
      <c r="ENO23"/>
      <c r="ENP23"/>
      <c r="ENQ23"/>
      <c r="ENR23"/>
      <c r="ENS23"/>
      <c r="ENT23"/>
      <c r="ENU23"/>
      <c r="ENV23"/>
      <c r="ENW23"/>
      <c r="ENX23"/>
      <c r="ENY23"/>
      <c r="ENZ23"/>
      <c r="EOA23"/>
      <c r="EOB23"/>
      <c r="EOC23"/>
      <c r="EOD23"/>
      <c r="EOE23"/>
      <c r="EOF23"/>
      <c r="EOG23"/>
      <c r="EOH23"/>
      <c r="EOI23"/>
      <c r="EOJ23"/>
      <c r="EOK23"/>
      <c r="EOL23"/>
      <c r="EOM23"/>
      <c r="EON23"/>
      <c r="EOO23"/>
      <c r="EOP23"/>
      <c r="EOQ23"/>
      <c r="EOR23"/>
      <c r="EOS23"/>
      <c r="EOT23"/>
      <c r="EOU23"/>
      <c r="EOV23"/>
      <c r="EOW23"/>
      <c r="EOX23"/>
      <c r="EOY23"/>
      <c r="EOZ23"/>
      <c r="EPA23"/>
      <c r="EPB23"/>
      <c r="EPC23"/>
      <c r="EPD23"/>
      <c r="EPE23"/>
      <c r="EPF23"/>
      <c r="EPG23"/>
      <c r="EPH23"/>
      <c r="EPI23"/>
      <c r="EPJ23"/>
      <c r="EPK23"/>
      <c r="EPL23"/>
      <c r="EPM23"/>
      <c r="EPN23"/>
      <c r="EPO23"/>
      <c r="EPP23"/>
      <c r="EPQ23"/>
      <c r="EPR23"/>
      <c r="EPS23"/>
      <c r="EPT23"/>
      <c r="EPU23"/>
      <c r="EPV23"/>
      <c r="EPW23"/>
      <c r="EPX23"/>
      <c r="EPY23"/>
      <c r="EPZ23"/>
      <c r="EQA23"/>
      <c r="EQB23"/>
      <c r="EQC23"/>
      <c r="EQD23"/>
      <c r="EQE23"/>
      <c r="EQF23"/>
      <c r="EQG23"/>
      <c r="EQH23"/>
      <c r="EQI23"/>
      <c r="EQJ23"/>
      <c r="EQK23"/>
      <c r="EQL23"/>
      <c r="EQM23"/>
      <c r="EQN23"/>
      <c r="EQO23"/>
      <c r="EQP23"/>
      <c r="EQQ23"/>
      <c r="EQR23"/>
      <c r="EQS23"/>
      <c r="EQT23"/>
      <c r="EQU23"/>
      <c r="EQV23"/>
      <c r="EQW23"/>
      <c r="EQX23"/>
      <c r="EQY23"/>
      <c r="EQZ23"/>
      <c r="ERA23"/>
      <c r="ERB23"/>
      <c r="ERC23"/>
      <c r="ERD23"/>
      <c r="ERE23"/>
      <c r="ERF23"/>
      <c r="ERG23"/>
      <c r="ERH23"/>
      <c r="ERI23"/>
      <c r="ERJ23"/>
      <c r="ERK23"/>
      <c r="ERL23"/>
      <c r="ERM23"/>
      <c r="ERN23"/>
      <c r="ERO23"/>
      <c r="ERP23"/>
      <c r="ERQ23"/>
      <c r="ERR23"/>
      <c r="ERS23"/>
      <c r="ERT23"/>
      <c r="ERU23"/>
      <c r="ERV23"/>
      <c r="ERW23"/>
      <c r="ERX23"/>
      <c r="ERY23"/>
      <c r="ERZ23"/>
      <c r="ESA23"/>
      <c r="ESB23"/>
      <c r="ESC23"/>
      <c r="ESD23"/>
      <c r="ESE23"/>
      <c r="ESF23"/>
      <c r="ESG23"/>
      <c r="ESH23"/>
      <c r="ESI23"/>
      <c r="ESJ23"/>
      <c r="ESK23"/>
      <c r="ESL23"/>
      <c r="ESM23"/>
      <c r="ESN23"/>
      <c r="ESO23"/>
      <c r="ESP23"/>
      <c r="ESQ23"/>
      <c r="ESR23"/>
      <c r="ESS23"/>
      <c r="EST23"/>
      <c r="ESU23"/>
      <c r="ESV23"/>
      <c r="ESW23"/>
      <c r="ESX23"/>
      <c r="ESY23"/>
      <c r="ESZ23"/>
      <c r="ETA23"/>
      <c r="ETB23"/>
      <c r="ETC23"/>
      <c r="ETD23"/>
      <c r="ETE23"/>
      <c r="ETF23"/>
      <c r="ETG23"/>
      <c r="ETH23"/>
      <c r="ETI23"/>
      <c r="ETJ23"/>
      <c r="ETK23"/>
      <c r="ETL23"/>
      <c r="ETM23"/>
      <c r="ETN23"/>
      <c r="ETO23"/>
      <c r="ETP23"/>
      <c r="ETQ23"/>
      <c r="ETR23"/>
      <c r="ETS23"/>
      <c r="ETT23"/>
      <c r="ETU23"/>
      <c r="ETV23"/>
      <c r="ETW23"/>
      <c r="ETX23"/>
      <c r="ETY23"/>
      <c r="ETZ23"/>
      <c r="EUA23"/>
      <c r="EUB23"/>
      <c r="EUC23"/>
      <c r="EUD23"/>
      <c r="EUE23"/>
      <c r="EUF23"/>
      <c r="EUG23"/>
      <c r="EUH23"/>
      <c r="EUI23"/>
      <c r="EUJ23"/>
      <c r="EUK23"/>
      <c r="EUL23"/>
      <c r="EUM23"/>
      <c r="EUN23"/>
      <c r="EUO23"/>
      <c r="EUP23"/>
      <c r="EUQ23"/>
      <c r="EUR23"/>
      <c r="EUS23"/>
      <c r="EUT23"/>
      <c r="EUU23"/>
      <c r="EUV23"/>
      <c r="EUW23"/>
      <c r="EUX23"/>
      <c r="EUY23"/>
      <c r="EUZ23"/>
      <c r="EVA23"/>
      <c r="EVB23"/>
      <c r="EVC23"/>
      <c r="EVD23"/>
      <c r="EVE23"/>
      <c r="EVF23"/>
      <c r="EVG23"/>
      <c r="EVH23"/>
      <c r="EVI23"/>
      <c r="EVJ23"/>
      <c r="EVK23"/>
      <c r="EVL23"/>
      <c r="EVM23"/>
      <c r="EVN23"/>
      <c r="EVO23"/>
      <c r="EVP23"/>
      <c r="EVQ23"/>
      <c r="EVR23"/>
      <c r="EVS23"/>
      <c r="EVT23"/>
      <c r="EVU23"/>
      <c r="EVV23"/>
      <c r="EVW23"/>
      <c r="EVX23"/>
      <c r="EVY23"/>
      <c r="EVZ23"/>
      <c r="EWA23"/>
      <c r="EWB23"/>
      <c r="EWC23"/>
      <c r="EWD23"/>
      <c r="EWE23"/>
      <c r="EWF23"/>
      <c r="EWG23"/>
      <c r="EWH23"/>
      <c r="EWI23"/>
      <c r="EWJ23"/>
      <c r="EWK23"/>
      <c r="EWL23"/>
      <c r="EWM23"/>
      <c r="EWN23"/>
      <c r="EWO23"/>
      <c r="EWP23"/>
      <c r="EWQ23"/>
      <c r="EWR23"/>
      <c r="EWS23"/>
      <c r="EWT23"/>
      <c r="EWU23"/>
      <c r="EWV23"/>
      <c r="EWW23"/>
      <c r="EWX23"/>
      <c r="EWY23"/>
      <c r="EWZ23"/>
      <c r="EXA23"/>
      <c r="EXB23"/>
      <c r="EXC23"/>
      <c r="EXD23"/>
      <c r="EXE23"/>
      <c r="EXF23"/>
      <c r="EXG23"/>
      <c r="EXH23"/>
      <c r="EXI23"/>
      <c r="EXJ23"/>
      <c r="EXK23"/>
      <c r="EXL23"/>
      <c r="EXM23"/>
      <c r="EXN23"/>
      <c r="EXO23"/>
      <c r="EXP23"/>
      <c r="EXQ23"/>
      <c r="EXR23"/>
      <c r="EXS23"/>
      <c r="EXT23"/>
      <c r="EXU23"/>
      <c r="EXV23"/>
      <c r="EXW23"/>
      <c r="EXX23"/>
      <c r="EXY23"/>
      <c r="EXZ23"/>
      <c r="EYA23"/>
      <c r="EYB23"/>
      <c r="EYC23"/>
      <c r="EYD23"/>
      <c r="EYE23"/>
      <c r="EYF23"/>
      <c r="EYG23"/>
      <c r="EYH23"/>
      <c r="EYI23"/>
      <c r="EYJ23"/>
      <c r="EYK23"/>
      <c r="EYL23"/>
      <c r="EYM23"/>
      <c r="EYN23"/>
      <c r="EYO23"/>
      <c r="EYP23"/>
      <c r="EYQ23"/>
      <c r="EYR23"/>
      <c r="EYS23"/>
      <c r="EYT23"/>
      <c r="EYU23"/>
      <c r="EYV23"/>
      <c r="EYW23"/>
      <c r="EYX23"/>
      <c r="EYY23"/>
      <c r="EYZ23"/>
      <c r="EZA23"/>
      <c r="EZB23"/>
      <c r="EZC23"/>
      <c r="EZD23"/>
      <c r="EZE23"/>
      <c r="EZF23"/>
      <c r="EZG23"/>
      <c r="EZH23"/>
      <c r="EZI23"/>
      <c r="EZJ23"/>
      <c r="EZK23"/>
      <c r="EZL23"/>
      <c r="EZM23"/>
      <c r="EZN23"/>
      <c r="EZO23"/>
      <c r="EZP23"/>
      <c r="EZQ23"/>
      <c r="EZR23"/>
      <c r="EZS23"/>
      <c r="EZT23"/>
      <c r="EZU23"/>
      <c r="EZV23"/>
      <c r="EZW23"/>
      <c r="EZX23"/>
      <c r="EZY23"/>
      <c r="EZZ23"/>
      <c r="FAA23"/>
      <c r="FAB23"/>
      <c r="FAC23"/>
      <c r="FAD23"/>
      <c r="FAE23"/>
      <c r="FAF23"/>
      <c r="FAG23"/>
      <c r="FAH23"/>
      <c r="FAI23"/>
      <c r="FAJ23"/>
      <c r="FAK23"/>
      <c r="FAL23"/>
      <c r="FAM23"/>
      <c r="FAN23"/>
      <c r="FAO23"/>
      <c r="FAP23"/>
      <c r="FAQ23"/>
      <c r="FAR23"/>
      <c r="FAS23"/>
      <c r="FAT23"/>
      <c r="FAU23"/>
      <c r="FAV23"/>
      <c r="FAW23"/>
      <c r="FAX23"/>
      <c r="FAY23"/>
      <c r="FAZ23"/>
      <c r="FBA23"/>
      <c r="FBB23"/>
      <c r="FBC23"/>
      <c r="FBD23"/>
      <c r="FBE23"/>
      <c r="FBF23"/>
      <c r="FBG23"/>
      <c r="FBH23"/>
      <c r="FBI23"/>
      <c r="FBJ23"/>
      <c r="FBK23"/>
      <c r="FBL23"/>
      <c r="FBM23"/>
      <c r="FBN23"/>
      <c r="FBO23"/>
      <c r="FBP23"/>
      <c r="FBQ23"/>
      <c r="FBR23"/>
      <c r="FBS23"/>
      <c r="FBT23"/>
      <c r="FBU23"/>
      <c r="FBV23"/>
      <c r="FBW23"/>
      <c r="FBX23"/>
      <c r="FBY23"/>
      <c r="FBZ23"/>
      <c r="FCA23"/>
      <c r="FCB23"/>
      <c r="FCC23"/>
      <c r="FCD23"/>
      <c r="FCE23"/>
      <c r="FCF23"/>
      <c r="FCG23"/>
      <c r="FCH23"/>
      <c r="FCI23"/>
      <c r="FCJ23"/>
      <c r="FCK23"/>
      <c r="FCL23"/>
      <c r="FCM23"/>
      <c r="FCN23"/>
      <c r="FCO23"/>
      <c r="FCP23"/>
      <c r="FCQ23"/>
      <c r="FCR23"/>
      <c r="FCS23"/>
      <c r="FCT23"/>
      <c r="FCU23"/>
      <c r="FCV23"/>
      <c r="FCW23"/>
      <c r="FCX23"/>
      <c r="FCY23"/>
      <c r="FCZ23"/>
      <c r="FDA23"/>
      <c r="FDB23"/>
      <c r="FDC23"/>
      <c r="FDD23"/>
      <c r="FDE23"/>
      <c r="FDF23"/>
      <c r="FDG23"/>
      <c r="FDH23"/>
      <c r="FDI23"/>
      <c r="FDJ23"/>
      <c r="FDK23"/>
      <c r="FDL23"/>
      <c r="FDM23"/>
      <c r="FDN23"/>
      <c r="FDO23"/>
      <c r="FDP23"/>
      <c r="FDQ23"/>
      <c r="FDR23"/>
      <c r="FDS23"/>
      <c r="FDT23"/>
      <c r="FDU23"/>
      <c r="FDV23"/>
      <c r="FDW23"/>
      <c r="FDX23"/>
      <c r="FDY23"/>
      <c r="FDZ23"/>
      <c r="FEA23"/>
      <c r="FEB23"/>
      <c r="FEC23"/>
      <c r="FED23"/>
      <c r="FEE23"/>
      <c r="FEF23"/>
      <c r="FEG23"/>
      <c r="FEH23"/>
      <c r="FEI23"/>
      <c r="FEJ23"/>
      <c r="FEK23"/>
      <c r="FEL23"/>
      <c r="FEM23"/>
      <c r="FEN23"/>
      <c r="FEO23"/>
      <c r="FEP23"/>
      <c r="FEQ23"/>
      <c r="FER23"/>
      <c r="FES23"/>
      <c r="FET23"/>
      <c r="FEU23"/>
      <c r="FEV23"/>
      <c r="FEW23"/>
      <c r="FEX23"/>
      <c r="FEY23"/>
      <c r="FEZ23"/>
      <c r="FFA23"/>
      <c r="FFB23"/>
      <c r="FFC23"/>
      <c r="FFD23"/>
      <c r="FFE23"/>
      <c r="FFF23"/>
      <c r="FFG23"/>
      <c r="FFH23"/>
      <c r="FFI23"/>
      <c r="FFJ23"/>
      <c r="FFK23"/>
      <c r="FFL23"/>
      <c r="FFM23"/>
      <c r="FFN23"/>
      <c r="FFO23"/>
      <c r="FFP23"/>
      <c r="FFQ23"/>
      <c r="FFR23"/>
      <c r="FFS23"/>
      <c r="FFT23"/>
      <c r="FFU23"/>
      <c r="FFV23"/>
      <c r="FFW23"/>
      <c r="FFX23"/>
      <c r="FFY23"/>
      <c r="FFZ23"/>
      <c r="FGA23"/>
      <c r="FGB23"/>
      <c r="FGC23"/>
      <c r="FGD23"/>
      <c r="FGE23"/>
      <c r="FGF23"/>
      <c r="FGG23"/>
      <c r="FGH23"/>
      <c r="FGI23"/>
      <c r="FGJ23"/>
      <c r="FGK23"/>
      <c r="FGL23"/>
      <c r="FGM23"/>
      <c r="FGN23"/>
      <c r="FGO23"/>
      <c r="FGP23"/>
      <c r="FGQ23"/>
      <c r="FGR23"/>
      <c r="FGS23"/>
      <c r="FGT23"/>
      <c r="FGU23"/>
      <c r="FGV23"/>
      <c r="FGW23"/>
      <c r="FGX23"/>
      <c r="FGY23"/>
      <c r="FGZ23"/>
      <c r="FHA23"/>
      <c r="FHB23"/>
      <c r="FHC23"/>
      <c r="FHD23"/>
      <c r="FHE23"/>
      <c r="FHF23"/>
      <c r="FHG23"/>
      <c r="FHH23"/>
      <c r="FHI23"/>
      <c r="FHJ23"/>
      <c r="FHK23"/>
      <c r="FHL23"/>
      <c r="FHM23"/>
      <c r="FHN23"/>
      <c r="FHO23"/>
      <c r="FHP23"/>
      <c r="FHQ23"/>
      <c r="FHR23"/>
      <c r="FHS23"/>
      <c r="FHT23"/>
      <c r="FHU23"/>
      <c r="FHV23"/>
      <c r="FHW23"/>
      <c r="FHX23"/>
      <c r="FHY23"/>
      <c r="FHZ23"/>
      <c r="FIA23"/>
      <c r="FIB23"/>
      <c r="FIC23"/>
      <c r="FID23"/>
      <c r="FIE23"/>
      <c r="FIF23"/>
      <c r="FIG23"/>
      <c r="FIH23"/>
      <c r="FII23"/>
      <c r="FIJ23"/>
      <c r="FIK23"/>
      <c r="FIL23"/>
      <c r="FIM23"/>
      <c r="FIN23"/>
      <c r="FIO23"/>
      <c r="FIP23"/>
      <c r="FIQ23"/>
      <c r="FIR23"/>
      <c r="FIS23"/>
      <c r="FIT23"/>
      <c r="FIU23"/>
      <c r="FIV23"/>
      <c r="FIW23"/>
      <c r="FIX23"/>
      <c r="FIY23"/>
      <c r="FIZ23"/>
      <c r="FJA23"/>
      <c r="FJB23"/>
      <c r="FJC23"/>
      <c r="FJD23"/>
      <c r="FJE23"/>
      <c r="FJF23"/>
      <c r="FJG23"/>
      <c r="FJH23"/>
      <c r="FJI23"/>
      <c r="FJJ23"/>
      <c r="FJK23"/>
      <c r="FJL23"/>
      <c r="FJM23"/>
      <c r="FJN23"/>
      <c r="FJO23"/>
      <c r="FJP23"/>
      <c r="FJQ23"/>
      <c r="FJR23"/>
      <c r="FJS23"/>
      <c r="FJT23"/>
      <c r="FJU23"/>
      <c r="FJV23"/>
      <c r="FJW23"/>
      <c r="FJX23"/>
      <c r="FJY23"/>
      <c r="FJZ23"/>
      <c r="FKA23"/>
      <c r="FKB23"/>
      <c r="FKC23"/>
      <c r="FKD23"/>
      <c r="FKE23"/>
      <c r="FKF23"/>
      <c r="FKG23"/>
      <c r="FKH23"/>
      <c r="FKI23"/>
      <c r="FKJ23"/>
      <c r="FKK23"/>
      <c r="FKL23"/>
      <c r="FKM23"/>
      <c r="FKN23"/>
      <c r="FKO23"/>
      <c r="FKP23"/>
      <c r="FKQ23"/>
      <c r="FKR23"/>
      <c r="FKS23"/>
      <c r="FKT23"/>
      <c r="FKU23"/>
      <c r="FKV23"/>
      <c r="FKW23"/>
      <c r="FKX23"/>
      <c r="FKY23"/>
      <c r="FKZ23"/>
      <c r="FLA23"/>
      <c r="FLB23"/>
      <c r="FLC23"/>
      <c r="FLD23"/>
      <c r="FLE23"/>
      <c r="FLF23"/>
      <c r="FLG23"/>
      <c r="FLH23"/>
      <c r="FLI23"/>
      <c r="FLJ23"/>
      <c r="FLK23"/>
      <c r="FLL23"/>
      <c r="FLM23"/>
      <c r="FLN23"/>
      <c r="FLO23"/>
      <c r="FLP23"/>
      <c r="FLQ23"/>
      <c r="FLR23"/>
      <c r="FLS23"/>
      <c r="FLT23"/>
      <c r="FLU23"/>
      <c r="FLV23"/>
      <c r="FLW23"/>
      <c r="FLX23"/>
      <c r="FLY23"/>
      <c r="FLZ23"/>
      <c r="FMA23"/>
      <c r="FMB23"/>
      <c r="FMC23"/>
      <c r="FMD23"/>
      <c r="FME23"/>
      <c r="FMF23"/>
      <c r="FMG23"/>
      <c r="FMH23"/>
      <c r="FMI23"/>
      <c r="FMJ23"/>
      <c r="FMK23"/>
      <c r="FML23"/>
      <c r="FMM23"/>
      <c r="FMN23"/>
      <c r="FMO23"/>
      <c r="FMP23"/>
      <c r="FMQ23"/>
      <c r="FMR23"/>
      <c r="FMS23"/>
      <c r="FMT23"/>
      <c r="FMU23"/>
      <c r="FMV23"/>
      <c r="FMW23"/>
      <c r="FMX23"/>
      <c r="FMY23"/>
      <c r="FMZ23"/>
      <c r="FNA23"/>
      <c r="FNB23"/>
      <c r="FNC23"/>
      <c r="FND23"/>
      <c r="FNE23"/>
      <c r="FNF23"/>
      <c r="FNG23"/>
      <c r="FNH23"/>
      <c r="FNI23"/>
      <c r="FNJ23"/>
      <c r="FNK23"/>
      <c r="FNL23"/>
      <c r="FNM23"/>
      <c r="FNN23"/>
      <c r="FNO23"/>
      <c r="FNP23"/>
      <c r="FNQ23"/>
      <c r="FNR23"/>
      <c r="FNS23"/>
      <c r="FNT23"/>
      <c r="FNU23"/>
      <c r="FNV23"/>
      <c r="FNW23"/>
      <c r="FNX23"/>
      <c r="FNY23"/>
      <c r="FNZ23"/>
      <c r="FOA23"/>
      <c r="FOB23"/>
      <c r="FOC23"/>
      <c r="FOD23"/>
      <c r="FOE23"/>
      <c r="FOF23"/>
      <c r="FOG23"/>
      <c r="FOH23"/>
      <c r="FOI23"/>
      <c r="FOJ23"/>
      <c r="FOK23"/>
      <c r="FOL23"/>
      <c r="FOM23"/>
      <c r="FON23"/>
      <c r="FOO23"/>
      <c r="FOP23"/>
      <c r="FOQ23"/>
      <c r="FOR23"/>
      <c r="FOS23"/>
      <c r="FOT23"/>
      <c r="FOU23"/>
      <c r="FOV23"/>
      <c r="FOW23"/>
      <c r="FOX23"/>
      <c r="FOY23"/>
      <c r="FOZ23"/>
      <c r="FPA23"/>
      <c r="FPB23"/>
      <c r="FPC23"/>
      <c r="FPD23"/>
      <c r="FPE23"/>
      <c r="FPF23"/>
      <c r="FPG23"/>
      <c r="FPH23"/>
      <c r="FPI23"/>
      <c r="FPJ23"/>
      <c r="FPK23"/>
      <c r="FPL23"/>
      <c r="FPM23"/>
      <c r="FPN23"/>
      <c r="FPO23"/>
      <c r="FPP23"/>
      <c r="FPQ23"/>
      <c r="FPR23"/>
      <c r="FPS23"/>
      <c r="FPT23"/>
      <c r="FPU23"/>
      <c r="FPV23"/>
      <c r="FPW23"/>
      <c r="FPX23"/>
      <c r="FPY23"/>
      <c r="FPZ23"/>
      <c r="FQA23"/>
      <c r="FQB23"/>
      <c r="FQC23"/>
      <c r="FQD23"/>
      <c r="FQE23"/>
      <c r="FQF23"/>
      <c r="FQG23"/>
      <c r="FQH23"/>
      <c r="FQI23"/>
      <c r="FQJ23"/>
      <c r="FQK23"/>
      <c r="FQL23"/>
      <c r="FQM23"/>
      <c r="FQN23"/>
      <c r="FQO23"/>
      <c r="FQP23"/>
      <c r="FQQ23"/>
      <c r="FQR23"/>
      <c r="FQS23"/>
      <c r="FQT23"/>
      <c r="FQU23"/>
      <c r="FQV23"/>
      <c r="FQW23"/>
      <c r="FQX23"/>
      <c r="FQY23"/>
      <c r="FQZ23"/>
      <c r="FRA23"/>
      <c r="FRB23"/>
      <c r="FRC23"/>
      <c r="FRD23"/>
      <c r="FRE23"/>
      <c r="FRF23"/>
      <c r="FRG23"/>
      <c r="FRH23"/>
      <c r="FRI23"/>
      <c r="FRJ23"/>
      <c r="FRK23"/>
      <c r="FRL23"/>
      <c r="FRM23"/>
      <c r="FRN23"/>
      <c r="FRO23"/>
      <c r="FRP23"/>
      <c r="FRQ23"/>
      <c r="FRR23"/>
      <c r="FRS23"/>
      <c r="FRT23"/>
      <c r="FRU23"/>
      <c r="FRV23"/>
      <c r="FRW23"/>
      <c r="FRX23"/>
      <c r="FRY23"/>
      <c r="FRZ23"/>
      <c r="FSA23"/>
      <c r="FSB23"/>
      <c r="FSC23"/>
      <c r="FSD23"/>
      <c r="FSE23"/>
      <c r="FSF23"/>
      <c r="FSG23"/>
      <c r="FSH23"/>
      <c r="FSI23"/>
      <c r="FSJ23"/>
      <c r="FSK23"/>
      <c r="FSL23"/>
      <c r="FSM23"/>
      <c r="FSN23"/>
      <c r="FSO23"/>
      <c r="FSP23"/>
      <c r="FSQ23"/>
      <c r="FSR23"/>
      <c r="FSS23"/>
      <c r="FST23"/>
      <c r="FSU23"/>
      <c r="FSV23"/>
      <c r="FSW23"/>
      <c r="FSX23"/>
      <c r="FSY23"/>
      <c r="FSZ23"/>
      <c r="FTA23"/>
      <c r="FTB23"/>
      <c r="FTC23"/>
      <c r="FTD23"/>
      <c r="FTE23"/>
      <c r="FTF23"/>
      <c r="FTG23"/>
      <c r="FTH23"/>
      <c r="FTI23"/>
      <c r="FTJ23"/>
      <c r="FTK23"/>
      <c r="FTL23"/>
      <c r="FTM23"/>
      <c r="FTN23"/>
      <c r="FTO23"/>
      <c r="FTP23"/>
      <c r="FTQ23"/>
      <c r="FTR23"/>
      <c r="FTS23"/>
      <c r="FTT23"/>
      <c r="FTU23"/>
      <c r="FTV23"/>
      <c r="FTW23"/>
      <c r="FTX23"/>
      <c r="FTY23"/>
      <c r="FTZ23"/>
      <c r="FUA23"/>
      <c r="FUB23"/>
      <c r="FUC23"/>
      <c r="FUD23"/>
      <c r="FUE23"/>
      <c r="FUF23"/>
      <c r="FUG23"/>
      <c r="FUH23"/>
      <c r="FUI23"/>
      <c r="FUJ23"/>
      <c r="FUK23"/>
      <c r="FUL23"/>
      <c r="FUM23"/>
      <c r="FUN23"/>
      <c r="FUO23"/>
      <c r="FUP23"/>
      <c r="FUQ23"/>
      <c r="FUR23"/>
      <c r="FUS23"/>
      <c r="FUT23"/>
      <c r="FUU23"/>
      <c r="FUV23"/>
      <c r="FUW23"/>
      <c r="FUX23"/>
      <c r="FUY23"/>
      <c r="FUZ23"/>
      <c r="FVA23"/>
      <c r="FVB23"/>
      <c r="FVC23"/>
      <c r="FVD23"/>
      <c r="FVE23"/>
      <c r="FVF23"/>
      <c r="FVG23"/>
      <c r="FVH23"/>
      <c r="FVI23"/>
      <c r="FVJ23"/>
      <c r="FVK23"/>
      <c r="FVL23"/>
      <c r="FVM23"/>
      <c r="FVN23"/>
      <c r="FVO23"/>
      <c r="FVP23"/>
      <c r="FVQ23"/>
      <c r="FVR23"/>
      <c r="FVS23"/>
      <c r="FVT23"/>
      <c r="FVU23"/>
      <c r="FVV23"/>
      <c r="FVW23"/>
      <c r="FVX23"/>
      <c r="FVY23"/>
      <c r="FVZ23"/>
      <c r="FWA23"/>
      <c r="FWB23"/>
      <c r="FWC23"/>
      <c r="FWD23"/>
      <c r="FWE23"/>
      <c r="FWF23"/>
      <c r="FWG23"/>
      <c r="FWH23"/>
      <c r="FWI23"/>
      <c r="FWJ23"/>
      <c r="FWK23"/>
      <c r="FWL23"/>
      <c r="FWM23"/>
      <c r="FWN23"/>
      <c r="FWO23"/>
      <c r="FWP23"/>
      <c r="FWQ23"/>
      <c r="FWR23"/>
      <c r="FWS23"/>
      <c r="FWT23"/>
      <c r="FWU23"/>
      <c r="FWV23"/>
      <c r="FWW23"/>
      <c r="FWX23"/>
      <c r="FWY23"/>
      <c r="FWZ23"/>
      <c r="FXA23"/>
      <c r="FXB23"/>
      <c r="FXC23"/>
      <c r="FXD23"/>
      <c r="FXE23"/>
      <c r="FXF23"/>
      <c r="FXG23"/>
      <c r="FXH23"/>
      <c r="FXI23"/>
      <c r="FXJ23"/>
      <c r="FXK23"/>
      <c r="FXL23"/>
      <c r="FXM23"/>
      <c r="FXN23"/>
      <c r="FXO23"/>
      <c r="FXP23"/>
      <c r="FXQ23"/>
      <c r="FXR23"/>
      <c r="FXS23"/>
      <c r="FXT23"/>
      <c r="FXU23"/>
      <c r="FXV23"/>
      <c r="FXW23"/>
      <c r="FXX23"/>
      <c r="FXY23"/>
      <c r="FXZ23"/>
      <c r="FYA23"/>
      <c r="FYB23"/>
      <c r="FYC23"/>
      <c r="FYD23"/>
      <c r="FYE23"/>
      <c r="FYF23"/>
      <c r="FYG23"/>
      <c r="FYH23"/>
      <c r="FYI23"/>
      <c r="FYJ23"/>
      <c r="FYK23"/>
      <c r="FYL23"/>
      <c r="FYM23"/>
      <c r="FYN23"/>
      <c r="FYO23"/>
      <c r="FYP23"/>
      <c r="FYQ23"/>
      <c r="FYR23"/>
      <c r="FYS23"/>
      <c r="FYT23"/>
      <c r="FYU23"/>
      <c r="FYV23"/>
      <c r="FYW23"/>
      <c r="FYX23"/>
      <c r="FYY23"/>
      <c r="FYZ23"/>
      <c r="FZA23"/>
      <c r="FZB23"/>
      <c r="FZC23"/>
      <c r="FZD23"/>
      <c r="FZE23"/>
      <c r="FZF23"/>
      <c r="FZG23"/>
      <c r="FZH23"/>
      <c r="FZI23"/>
      <c r="FZJ23"/>
      <c r="FZK23"/>
      <c r="FZL23"/>
      <c r="FZM23"/>
      <c r="FZN23"/>
      <c r="FZO23"/>
      <c r="FZP23"/>
      <c r="FZQ23"/>
      <c r="FZR23"/>
      <c r="FZS23"/>
      <c r="FZT23"/>
      <c r="FZU23"/>
      <c r="FZV23"/>
      <c r="FZW23"/>
      <c r="FZX23"/>
      <c r="FZY23"/>
      <c r="FZZ23"/>
      <c r="GAA23"/>
      <c r="GAB23"/>
      <c r="GAC23"/>
      <c r="GAD23"/>
      <c r="GAE23"/>
      <c r="GAF23"/>
      <c r="GAG23"/>
      <c r="GAH23"/>
      <c r="GAI23"/>
      <c r="GAJ23"/>
      <c r="GAK23"/>
      <c r="GAL23"/>
      <c r="GAM23"/>
      <c r="GAN23"/>
      <c r="GAO23"/>
      <c r="GAP23"/>
      <c r="GAQ23"/>
      <c r="GAR23"/>
      <c r="GAS23"/>
      <c r="GAT23"/>
      <c r="GAU23"/>
      <c r="GAV23"/>
      <c r="GAW23"/>
      <c r="GAX23"/>
      <c r="GAY23"/>
      <c r="GAZ23"/>
      <c r="GBA23"/>
      <c r="GBB23"/>
      <c r="GBC23"/>
      <c r="GBD23"/>
      <c r="GBE23"/>
      <c r="GBF23"/>
      <c r="GBG23"/>
      <c r="GBH23"/>
      <c r="GBI23"/>
      <c r="GBJ23"/>
      <c r="GBK23"/>
      <c r="GBL23"/>
      <c r="GBM23"/>
      <c r="GBN23"/>
      <c r="GBO23"/>
      <c r="GBP23"/>
      <c r="GBQ23"/>
      <c r="GBR23"/>
      <c r="GBS23"/>
      <c r="GBT23"/>
      <c r="GBU23"/>
      <c r="GBV23"/>
      <c r="GBW23"/>
      <c r="GBX23"/>
      <c r="GBY23"/>
      <c r="GBZ23"/>
      <c r="GCA23"/>
      <c r="GCB23"/>
      <c r="GCC23"/>
      <c r="GCD23"/>
      <c r="GCE23"/>
      <c r="GCF23"/>
      <c r="GCG23"/>
      <c r="GCH23"/>
      <c r="GCI23"/>
      <c r="GCJ23"/>
      <c r="GCK23"/>
      <c r="GCL23"/>
      <c r="GCM23"/>
      <c r="GCN23"/>
      <c r="GCO23"/>
      <c r="GCP23"/>
      <c r="GCQ23"/>
      <c r="GCR23"/>
      <c r="GCS23"/>
      <c r="GCT23"/>
      <c r="GCU23"/>
      <c r="GCV23"/>
      <c r="GCW23"/>
      <c r="GCX23"/>
      <c r="GCY23"/>
      <c r="GCZ23"/>
      <c r="GDA23"/>
      <c r="GDB23"/>
      <c r="GDC23"/>
      <c r="GDD23"/>
      <c r="GDE23"/>
      <c r="GDF23"/>
      <c r="GDG23"/>
      <c r="GDH23"/>
      <c r="GDI23"/>
      <c r="GDJ23"/>
      <c r="GDK23"/>
      <c r="GDL23"/>
      <c r="GDM23"/>
      <c r="GDN23"/>
      <c r="GDO23"/>
      <c r="GDP23"/>
      <c r="GDQ23"/>
      <c r="GDR23"/>
      <c r="GDS23"/>
      <c r="GDT23"/>
      <c r="GDU23"/>
      <c r="GDV23"/>
      <c r="GDW23"/>
      <c r="GDX23"/>
      <c r="GDY23"/>
      <c r="GDZ23"/>
      <c r="GEA23"/>
      <c r="GEB23"/>
      <c r="GEC23"/>
      <c r="GED23"/>
      <c r="GEE23"/>
      <c r="GEF23"/>
      <c r="GEG23"/>
      <c r="GEH23"/>
      <c r="GEI23"/>
      <c r="GEJ23"/>
      <c r="GEK23"/>
      <c r="GEL23"/>
      <c r="GEM23"/>
      <c r="GEN23"/>
      <c r="GEO23"/>
      <c r="GEP23"/>
      <c r="GEQ23"/>
      <c r="GER23"/>
      <c r="GES23"/>
      <c r="GET23"/>
      <c r="GEU23"/>
      <c r="GEV23"/>
      <c r="GEW23"/>
      <c r="GEX23"/>
      <c r="GEY23"/>
      <c r="GEZ23"/>
      <c r="GFA23"/>
      <c r="GFB23"/>
      <c r="GFC23"/>
      <c r="GFD23"/>
      <c r="GFE23"/>
      <c r="GFF23"/>
      <c r="GFG23"/>
      <c r="GFH23"/>
      <c r="GFI23"/>
      <c r="GFJ23"/>
      <c r="GFK23"/>
      <c r="GFL23"/>
      <c r="GFM23"/>
      <c r="GFN23"/>
      <c r="GFO23"/>
      <c r="GFP23"/>
      <c r="GFQ23"/>
      <c r="GFR23"/>
      <c r="GFS23"/>
      <c r="GFT23"/>
      <c r="GFU23"/>
      <c r="GFV23"/>
      <c r="GFW23"/>
      <c r="GFX23"/>
      <c r="GFY23"/>
      <c r="GFZ23"/>
      <c r="GGA23"/>
      <c r="GGB23"/>
      <c r="GGC23"/>
      <c r="GGD23"/>
      <c r="GGE23"/>
      <c r="GGF23"/>
      <c r="GGG23"/>
      <c r="GGH23"/>
      <c r="GGI23"/>
      <c r="GGJ23"/>
      <c r="GGK23"/>
      <c r="GGL23"/>
      <c r="GGM23"/>
      <c r="GGN23"/>
      <c r="GGO23"/>
      <c r="GGP23"/>
      <c r="GGQ23"/>
      <c r="GGR23"/>
      <c r="GGS23"/>
      <c r="GGT23"/>
      <c r="GGU23"/>
      <c r="GGV23"/>
      <c r="GGW23"/>
      <c r="GGX23"/>
      <c r="GGY23"/>
      <c r="GGZ23"/>
      <c r="GHA23"/>
      <c r="GHB23"/>
      <c r="GHC23"/>
      <c r="GHD23"/>
      <c r="GHE23"/>
      <c r="GHF23"/>
      <c r="GHG23"/>
      <c r="GHH23"/>
      <c r="GHI23"/>
      <c r="GHJ23"/>
      <c r="GHK23"/>
      <c r="GHL23"/>
      <c r="GHM23"/>
      <c r="GHN23"/>
      <c r="GHO23"/>
      <c r="GHP23"/>
      <c r="GHQ23"/>
      <c r="GHR23"/>
      <c r="GHS23"/>
      <c r="GHT23"/>
      <c r="GHU23"/>
      <c r="GHV23"/>
      <c r="GHW23"/>
      <c r="GHX23"/>
      <c r="GHY23"/>
      <c r="GHZ23"/>
      <c r="GIA23"/>
      <c r="GIB23"/>
      <c r="GIC23"/>
      <c r="GID23"/>
      <c r="GIE23"/>
      <c r="GIF23"/>
      <c r="GIG23"/>
      <c r="GIH23"/>
      <c r="GII23"/>
      <c r="GIJ23"/>
      <c r="GIK23"/>
      <c r="GIL23"/>
      <c r="GIM23"/>
      <c r="GIN23"/>
      <c r="GIO23"/>
      <c r="GIP23"/>
      <c r="GIQ23"/>
      <c r="GIR23"/>
      <c r="GIS23"/>
      <c r="GIT23"/>
      <c r="GIU23"/>
      <c r="GIV23"/>
      <c r="GIW23"/>
      <c r="GIX23"/>
      <c r="GIY23"/>
      <c r="GIZ23"/>
      <c r="GJA23"/>
      <c r="GJB23"/>
      <c r="GJC23"/>
      <c r="GJD23"/>
      <c r="GJE23"/>
      <c r="GJF23"/>
      <c r="GJG23"/>
      <c r="GJH23"/>
      <c r="GJI23"/>
      <c r="GJJ23"/>
      <c r="GJK23"/>
      <c r="GJL23"/>
      <c r="GJM23"/>
      <c r="GJN23"/>
      <c r="GJO23"/>
      <c r="GJP23"/>
      <c r="GJQ23"/>
      <c r="GJR23"/>
      <c r="GJS23"/>
      <c r="GJT23"/>
      <c r="GJU23"/>
      <c r="GJV23"/>
      <c r="GJW23"/>
      <c r="GJX23"/>
      <c r="GJY23"/>
      <c r="GJZ23"/>
      <c r="GKA23"/>
      <c r="GKB23"/>
      <c r="GKC23"/>
      <c r="GKD23"/>
      <c r="GKE23"/>
      <c r="GKF23"/>
      <c r="GKG23"/>
      <c r="GKH23"/>
      <c r="GKI23"/>
      <c r="GKJ23"/>
      <c r="GKK23"/>
      <c r="GKL23"/>
      <c r="GKM23"/>
      <c r="GKN23"/>
      <c r="GKO23"/>
      <c r="GKP23"/>
      <c r="GKQ23"/>
      <c r="GKR23"/>
      <c r="GKS23"/>
      <c r="GKT23"/>
      <c r="GKU23"/>
      <c r="GKV23"/>
      <c r="GKW23"/>
      <c r="GKX23"/>
      <c r="GKY23"/>
      <c r="GKZ23"/>
      <c r="GLA23"/>
      <c r="GLB23"/>
      <c r="GLC23"/>
      <c r="GLD23"/>
      <c r="GLE23"/>
      <c r="GLF23"/>
      <c r="GLG23"/>
      <c r="GLH23"/>
      <c r="GLI23"/>
      <c r="GLJ23"/>
      <c r="GLK23"/>
      <c r="GLL23"/>
      <c r="GLM23"/>
      <c r="GLN23"/>
      <c r="GLO23"/>
      <c r="GLP23"/>
      <c r="GLQ23"/>
      <c r="GLR23"/>
      <c r="GLS23"/>
      <c r="GLT23"/>
      <c r="GLU23"/>
      <c r="GLV23"/>
      <c r="GLW23"/>
      <c r="GLX23"/>
      <c r="GLY23"/>
      <c r="GLZ23"/>
      <c r="GMA23"/>
      <c r="GMB23"/>
      <c r="GMC23"/>
      <c r="GMD23"/>
      <c r="GME23"/>
      <c r="GMF23"/>
      <c r="GMG23"/>
      <c r="GMH23"/>
      <c r="GMI23"/>
      <c r="GMJ23"/>
      <c r="GMK23"/>
      <c r="GML23"/>
      <c r="GMM23"/>
      <c r="GMN23"/>
      <c r="GMO23"/>
      <c r="GMP23"/>
      <c r="GMQ23"/>
      <c r="GMR23"/>
      <c r="GMS23"/>
      <c r="GMT23"/>
      <c r="GMU23"/>
      <c r="GMV23"/>
      <c r="GMW23"/>
      <c r="GMX23"/>
      <c r="GMY23"/>
      <c r="GMZ23"/>
      <c r="GNA23"/>
      <c r="GNB23"/>
      <c r="GNC23"/>
      <c r="GND23"/>
      <c r="GNE23"/>
      <c r="GNF23"/>
      <c r="GNG23"/>
      <c r="GNH23"/>
      <c r="GNI23"/>
      <c r="GNJ23"/>
      <c r="GNK23"/>
      <c r="GNL23"/>
      <c r="GNM23"/>
      <c r="GNN23"/>
      <c r="GNO23"/>
      <c r="GNP23"/>
      <c r="GNQ23"/>
      <c r="GNR23"/>
      <c r="GNS23"/>
      <c r="GNT23"/>
      <c r="GNU23"/>
      <c r="GNV23"/>
      <c r="GNW23"/>
      <c r="GNX23"/>
      <c r="GNY23"/>
      <c r="GNZ23"/>
      <c r="GOA23"/>
      <c r="GOB23"/>
      <c r="GOC23"/>
      <c r="GOD23"/>
      <c r="GOE23"/>
      <c r="GOF23"/>
      <c r="GOG23"/>
      <c r="GOH23"/>
      <c r="GOI23"/>
      <c r="GOJ23"/>
      <c r="GOK23"/>
      <c r="GOL23"/>
      <c r="GOM23"/>
      <c r="GON23"/>
      <c r="GOO23"/>
      <c r="GOP23"/>
      <c r="GOQ23"/>
      <c r="GOR23"/>
      <c r="GOS23"/>
      <c r="GOT23"/>
      <c r="GOU23"/>
      <c r="GOV23"/>
      <c r="GOW23"/>
      <c r="GOX23"/>
      <c r="GOY23"/>
      <c r="GOZ23"/>
      <c r="GPA23"/>
      <c r="GPB23"/>
      <c r="GPC23"/>
      <c r="GPD23"/>
      <c r="GPE23"/>
      <c r="GPF23"/>
      <c r="GPG23"/>
      <c r="GPH23"/>
      <c r="GPI23"/>
      <c r="GPJ23"/>
      <c r="GPK23"/>
      <c r="GPL23"/>
      <c r="GPM23"/>
      <c r="GPN23"/>
      <c r="GPO23"/>
      <c r="GPP23"/>
      <c r="GPQ23"/>
      <c r="GPR23"/>
      <c r="GPS23"/>
      <c r="GPT23"/>
      <c r="GPU23"/>
      <c r="GPV23"/>
      <c r="GPW23"/>
      <c r="GPX23"/>
      <c r="GPY23"/>
      <c r="GPZ23"/>
      <c r="GQA23"/>
      <c r="GQB23"/>
      <c r="GQC23"/>
      <c r="GQD23"/>
      <c r="GQE23"/>
      <c r="GQF23"/>
      <c r="GQG23"/>
      <c r="GQH23"/>
      <c r="GQI23"/>
      <c r="GQJ23"/>
      <c r="GQK23"/>
      <c r="GQL23"/>
      <c r="GQM23"/>
      <c r="GQN23"/>
      <c r="GQO23"/>
      <c r="GQP23"/>
      <c r="GQQ23"/>
      <c r="GQR23"/>
      <c r="GQS23"/>
      <c r="GQT23"/>
      <c r="GQU23"/>
      <c r="GQV23"/>
      <c r="GQW23"/>
      <c r="GQX23"/>
      <c r="GQY23"/>
      <c r="GQZ23"/>
      <c r="GRA23"/>
      <c r="GRB23"/>
      <c r="GRC23"/>
      <c r="GRD23"/>
      <c r="GRE23"/>
      <c r="GRF23"/>
      <c r="GRG23"/>
      <c r="GRH23"/>
      <c r="GRI23"/>
      <c r="GRJ23"/>
      <c r="GRK23"/>
      <c r="GRL23"/>
      <c r="GRM23"/>
      <c r="GRN23"/>
      <c r="GRO23"/>
      <c r="GRP23"/>
      <c r="GRQ23"/>
      <c r="GRR23"/>
      <c r="GRS23"/>
      <c r="GRT23"/>
      <c r="GRU23"/>
      <c r="GRV23"/>
      <c r="GRW23"/>
      <c r="GRX23"/>
      <c r="GRY23"/>
      <c r="GRZ23"/>
      <c r="GSA23"/>
      <c r="GSB23"/>
      <c r="GSC23"/>
      <c r="GSD23"/>
      <c r="GSE23"/>
      <c r="GSF23"/>
      <c r="GSG23"/>
      <c r="GSH23"/>
      <c r="GSI23"/>
      <c r="GSJ23"/>
      <c r="GSK23"/>
      <c r="GSL23"/>
      <c r="GSM23"/>
      <c r="GSN23"/>
      <c r="GSO23"/>
      <c r="GSP23"/>
      <c r="GSQ23"/>
      <c r="GSR23"/>
      <c r="GSS23"/>
      <c r="GST23"/>
      <c r="GSU23"/>
      <c r="GSV23"/>
      <c r="GSW23"/>
      <c r="GSX23"/>
      <c r="GSY23"/>
      <c r="GSZ23"/>
      <c r="GTA23"/>
      <c r="GTB23"/>
      <c r="GTC23"/>
      <c r="GTD23"/>
      <c r="GTE23"/>
      <c r="GTF23"/>
      <c r="GTG23"/>
      <c r="GTH23"/>
      <c r="GTI23"/>
      <c r="GTJ23"/>
      <c r="GTK23"/>
      <c r="GTL23"/>
      <c r="GTM23"/>
      <c r="GTN23"/>
      <c r="GTO23"/>
      <c r="GTP23"/>
      <c r="GTQ23"/>
      <c r="GTR23"/>
      <c r="GTS23"/>
      <c r="GTT23"/>
      <c r="GTU23"/>
      <c r="GTV23"/>
      <c r="GTW23"/>
      <c r="GTX23"/>
      <c r="GTY23"/>
      <c r="GTZ23"/>
      <c r="GUA23"/>
      <c r="GUB23"/>
      <c r="GUC23"/>
      <c r="GUD23"/>
      <c r="GUE23"/>
      <c r="GUF23"/>
      <c r="GUG23"/>
      <c r="GUH23"/>
      <c r="GUI23"/>
      <c r="GUJ23"/>
      <c r="GUK23"/>
      <c r="GUL23"/>
      <c r="GUM23"/>
      <c r="GUN23"/>
      <c r="GUO23"/>
      <c r="GUP23"/>
      <c r="GUQ23"/>
      <c r="GUR23"/>
      <c r="GUS23"/>
      <c r="GUT23"/>
      <c r="GUU23"/>
      <c r="GUV23"/>
      <c r="GUW23"/>
      <c r="GUX23"/>
      <c r="GUY23"/>
      <c r="GUZ23"/>
      <c r="GVA23"/>
      <c r="GVB23"/>
      <c r="GVC23"/>
      <c r="GVD23"/>
      <c r="GVE23"/>
      <c r="GVF23"/>
      <c r="GVG23"/>
      <c r="GVH23"/>
      <c r="GVI23"/>
      <c r="GVJ23"/>
      <c r="GVK23"/>
      <c r="GVL23"/>
      <c r="GVM23"/>
      <c r="GVN23"/>
      <c r="GVO23"/>
      <c r="GVP23"/>
      <c r="GVQ23"/>
      <c r="GVR23"/>
      <c r="GVS23"/>
      <c r="GVT23"/>
      <c r="GVU23"/>
      <c r="GVV23"/>
      <c r="GVW23"/>
      <c r="GVX23"/>
      <c r="GVY23"/>
      <c r="GVZ23"/>
      <c r="GWA23"/>
      <c r="GWB23"/>
      <c r="GWC23"/>
      <c r="GWD23"/>
      <c r="GWE23"/>
      <c r="GWF23"/>
      <c r="GWG23"/>
      <c r="GWH23"/>
      <c r="GWI23"/>
      <c r="GWJ23"/>
      <c r="GWK23"/>
      <c r="GWL23"/>
      <c r="GWM23"/>
      <c r="GWN23"/>
      <c r="GWO23"/>
      <c r="GWP23"/>
      <c r="GWQ23"/>
      <c r="GWR23"/>
      <c r="GWS23"/>
      <c r="GWT23"/>
      <c r="GWU23"/>
      <c r="GWV23"/>
      <c r="GWW23"/>
      <c r="GWX23"/>
      <c r="GWY23"/>
      <c r="GWZ23"/>
      <c r="GXA23"/>
      <c r="GXB23"/>
      <c r="GXC23"/>
      <c r="GXD23"/>
      <c r="GXE23"/>
      <c r="GXF23"/>
      <c r="GXG23"/>
      <c r="GXH23"/>
      <c r="GXI23"/>
      <c r="GXJ23"/>
      <c r="GXK23"/>
      <c r="GXL23"/>
      <c r="GXM23"/>
      <c r="GXN23"/>
      <c r="GXO23"/>
      <c r="GXP23"/>
      <c r="GXQ23"/>
      <c r="GXR23"/>
      <c r="GXS23"/>
      <c r="GXT23"/>
      <c r="GXU23"/>
      <c r="GXV23"/>
      <c r="GXW23"/>
      <c r="GXX23"/>
      <c r="GXY23"/>
      <c r="GXZ23"/>
      <c r="GYA23"/>
      <c r="GYB23"/>
      <c r="GYC23"/>
      <c r="GYD23"/>
      <c r="GYE23"/>
      <c r="GYF23"/>
      <c r="GYG23"/>
      <c r="GYH23"/>
      <c r="GYI23"/>
      <c r="GYJ23"/>
      <c r="GYK23"/>
      <c r="GYL23"/>
      <c r="GYM23"/>
      <c r="GYN23"/>
      <c r="GYO23"/>
      <c r="GYP23"/>
      <c r="GYQ23"/>
      <c r="GYR23"/>
      <c r="GYS23"/>
      <c r="GYT23"/>
      <c r="GYU23"/>
      <c r="GYV23"/>
      <c r="GYW23"/>
      <c r="GYX23"/>
      <c r="GYY23"/>
      <c r="GYZ23"/>
      <c r="GZA23"/>
      <c r="GZB23"/>
      <c r="GZC23"/>
      <c r="GZD23"/>
      <c r="GZE23"/>
      <c r="GZF23"/>
      <c r="GZG23"/>
      <c r="GZH23"/>
      <c r="GZI23"/>
      <c r="GZJ23"/>
      <c r="GZK23"/>
      <c r="GZL23"/>
      <c r="GZM23"/>
      <c r="GZN23"/>
      <c r="GZO23"/>
      <c r="GZP23"/>
      <c r="GZQ23"/>
      <c r="GZR23"/>
      <c r="GZS23"/>
      <c r="GZT23"/>
      <c r="GZU23"/>
      <c r="GZV23"/>
      <c r="GZW23"/>
      <c r="GZX23"/>
      <c r="GZY23"/>
      <c r="GZZ23"/>
      <c r="HAA23"/>
      <c r="HAB23"/>
      <c r="HAC23"/>
      <c r="HAD23"/>
      <c r="HAE23"/>
      <c r="HAF23"/>
      <c r="HAG23"/>
      <c r="HAH23"/>
      <c r="HAI23"/>
      <c r="HAJ23"/>
      <c r="HAK23"/>
      <c r="HAL23"/>
      <c r="HAM23"/>
      <c r="HAN23"/>
      <c r="HAO23"/>
      <c r="HAP23"/>
      <c r="HAQ23"/>
      <c r="HAR23"/>
      <c r="HAS23"/>
      <c r="HAT23"/>
      <c r="HAU23"/>
      <c r="HAV23"/>
      <c r="HAW23"/>
      <c r="HAX23"/>
      <c r="HAY23"/>
      <c r="HAZ23"/>
      <c r="HBA23"/>
      <c r="HBB23"/>
      <c r="HBC23"/>
      <c r="HBD23"/>
      <c r="HBE23"/>
      <c r="HBF23"/>
      <c r="HBG23"/>
      <c r="HBH23"/>
      <c r="HBI23"/>
      <c r="HBJ23"/>
      <c r="HBK23"/>
      <c r="HBL23"/>
      <c r="HBM23"/>
      <c r="HBN23"/>
      <c r="HBO23"/>
      <c r="HBP23"/>
      <c r="HBQ23"/>
      <c r="HBR23"/>
      <c r="HBS23"/>
      <c r="HBT23"/>
      <c r="HBU23"/>
      <c r="HBV23"/>
      <c r="HBW23"/>
      <c r="HBX23"/>
      <c r="HBY23"/>
      <c r="HBZ23"/>
      <c r="HCA23"/>
      <c r="HCB23"/>
      <c r="HCC23"/>
      <c r="HCD23"/>
      <c r="HCE23"/>
      <c r="HCF23"/>
      <c r="HCG23"/>
      <c r="HCH23"/>
      <c r="HCI23"/>
      <c r="HCJ23"/>
      <c r="HCK23"/>
      <c r="HCL23"/>
      <c r="HCM23"/>
      <c r="HCN23"/>
      <c r="HCO23"/>
      <c r="HCP23"/>
      <c r="HCQ23"/>
      <c r="HCR23"/>
      <c r="HCS23"/>
      <c r="HCT23"/>
      <c r="HCU23"/>
      <c r="HCV23"/>
      <c r="HCW23"/>
      <c r="HCX23"/>
      <c r="HCY23"/>
      <c r="HCZ23"/>
      <c r="HDA23"/>
      <c r="HDB23"/>
      <c r="HDC23"/>
      <c r="HDD23"/>
      <c r="HDE23"/>
      <c r="HDF23"/>
      <c r="HDG23"/>
      <c r="HDH23"/>
      <c r="HDI23"/>
      <c r="HDJ23"/>
      <c r="HDK23"/>
      <c r="HDL23"/>
      <c r="HDM23"/>
      <c r="HDN23"/>
      <c r="HDO23"/>
      <c r="HDP23"/>
      <c r="HDQ23"/>
      <c r="HDR23"/>
      <c r="HDS23"/>
      <c r="HDT23"/>
      <c r="HDU23"/>
      <c r="HDV23"/>
      <c r="HDW23"/>
      <c r="HDX23"/>
      <c r="HDY23"/>
      <c r="HDZ23"/>
      <c r="HEA23"/>
      <c r="HEB23"/>
      <c r="HEC23"/>
      <c r="HED23"/>
      <c r="HEE23"/>
      <c r="HEF23"/>
      <c r="HEG23"/>
      <c r="HEH23"/>
      <c r="HEI23"/>
      <c r="HEJ23"/>
      <c r="HEK23"/>
      <c r="HEL23"/>
      <c r="HEM23"/>
      <c r="HEN23"/>
      <c r="HEO23"/>
      <c r="HEP23"/>
      <c r="HEQ23"/>
      <c r="HER23"/>
      <c r="HES23"/>
      <c r="HET23"/>
      <c r="HEU23"/>
      <c r="HEV23"/>
      <c r="HEW23"/>
      <c r="HEX23"/>
      <c r="HEY23"/>
      <c r="HEZ23"/>
      <c r="HFA23"/>
      <c r="HFB23"/>
      <c r="HFC23"/>
      <c r="HFD23"/>
      <c r="HFE23"/>
      <c r="HFF23"/>
      <c r="HFG23"/>
      <c r="HFH23"/>
      <c r="HFI23"/>
      <c r="HFJ23"/>
      <c r="HFK23"/>
      <c r="HFL23"/>
      <c r="HFM23"/>
      <c r="HFN23"/>
      <c r="HFO23"/>
      <c r="HFP23"/>
      <c r="HFQ23"/>
      <c r="HFR23"/>
      <c r="HFS23"/>
      <c r="HFT23"/>
      <c r="HFU23"/>
      <c r="HFV23"/>
      <c r="HFW23"/>
      <c r="HFX23"/>
      <c r="HFY23"/>
      <c r="HFZ23"/>
      <c r="HGA23"/>
      <c r="HGB23"/>
      <c r="HGC23"/>
      <c r="HGD23"/>
      <c r="HGE23"/>
      <c r="HGF23"/>
      <c r="HGG23"/>
      <c r="HGH23"/>
      <c r="HGI23"/>
      <c r="HGJ23"/>
      <c r="HGK23"/>
      <c r="HGL23"/>
      <c r="HGM23"/>
      <c r="HGN23"/>
      <c r="HGO23"/>
      <c r="HGP23"/>
      <c r="HGQ23"/>
      <c r="HGR23"/>
      <c r="HGS23"/>
      <c r="HGT23"/>
      <c r="HGU23"/>
      <c r="HGV23"/>
      <c r="HGW23"/>
      <c r="HGX23"/>
      <c r="HGY23"/>
      <c r="HGZ23"/>
      <c r="HHA23"/>
      <c r="HHB23"/>
      <c r="HHC23"/>
      <c r="HHD23"/>
      <c r="HHE23"/>
      <c r="HHF23"/>
      <c r="HHG23"/>
      <c r="HHH23"/>
      <c r="HHI23"/>
      <c r="HHJ23"/>
      <c r="HHK23"/>
      <c r="HHL23"/>
      <c r="HHM23"/>
      <c r="HHN23"/>
      <c r="HHO23"/>
      <c r="HHP23"/>
      <c r="HHQ23"/>
      <c r="HHR23"/>
      <c r="HHS23"/>
      <c r="HHT23"/>
      <c r="HHU23"/>
      <c r="HHV23"/>
      <c r="HHW23"/>
      <c r="HHX23"/>
      <c r="HHY23"/>
      <c r="HHZ23"/>
      <c r="HIA23"/>
      <c r="HIB23"/>
      <c r="HIC23"/>
      <c r="HID23"/>
      <c r="HIE23"/>
      <c r="HIF23"/>
      <c r="HIG23"/>
      <c r="HIH23"/>
      <c r="HII23"/>
      <c r="HIJ23"/>
      <c r="HIK23"/>
      <c r="HIL23"/>
      <c r="HIM23"/>
      <c r="HIN23"/>
      <c r="HIO23"/>
      <c r="HIP23"/>
      <c r="HIQ23"/>
      <c r="HIR23"/>
      <c r="HIS23"/>
      <c r="HIT23"/>
      <c r="HIU23"/>
      <c r="HIV23"/>
      <c r="HIW23"/>
      <c r="HIX23"/>
      <c r="HIY23"/>
      <c r="HIZ23"/>
      <c r="HJA23"/>
      <c r="HJB23"/>
      <c r="HJC23"/>
      <c r="HJD23"/>
      <c r="HJE23"/>
      <c r="HJF23"/>
      <c r="HJG23"/>
      <c r="HJH23"/>
      <c r="HJI23"/>
      <c r="HJJ23"/>
      <c r="HJK23"/>
      <c r="HJL23"/>
      <c r="HJM23"/>
      <c r="HJN23"/>
      <c r="HJO23"/>
      <c r="HJP23"/>
      <c r="HJQ23"/>
      <c r="HJR23"/>
      <c r="HJS23"/>
      <c r="HJT23"/>
      <c r="HJU23"/>
      <c r="HJV23"/>
      <c r="HJW23"/>
      <c r="HJX23"/>
      <c r="HJY23"/>
      <c r="HJZ23"/>
      <c r="HKA23"/>
      <c r="HKB23"/>
      <c r="HKC23"/>
      <c r="HKD23"/>
      <c r="HKE23"/>
      <c r="HKF23"/>
      <c r="HKG23"/>
      <c r="HKH23"/>
      <c r="HKI23"/>
      <c r="HKJ23"/>
      <c r="HKK23"/>
      <c r="HKL23"/>
      <c r="HKM23"/>
      <c r="HKN23"/>
      <c r="HKO23"/>
      <c r="HKP23"/>
      <c r="HKQ23"/>
      <c r="HKR23"/>
      <c r="HKS23"/>
      <c r="HKT23"/>
      <c r="HKU23"/>
      <c r="HKV23"/>
      <c r="HKW23"/>
      <c r="HKX23"/>
      <c r="HKY23"/>
      <c r="HKZ23"/>
      <c r="HLA23"/>
      <c r="HLB23"/>
      <c r="HLC23"/>
      <c r="HLD23"/>
      <c r="HLE23"/>
      <c r="HLF23"/>
      <c r="HLG23"/>
      <c r="HLH23"/>
      <c r="HLI23"/>
      <c r="HLJ23"/>
      <c r="HLK23"/>
      <c r="HLL23"/>
      <c r="HLM23"/>
      <c r="HLN23"/>
      <c r="HLO23"/>
      <c r="HLP23"/>
      <c r="HLQ23"/>
      <c r="HLR23"/>
      <c r="HLS23"/>
      <c r="HLT23"/>
      <c r="HLU23"/>
      <c r="HLV23"/>
      <c r="HLW23"/>
      <c r="HLX23"/>
      <c r="HLY23"/>
      <c r="HLZ23"/>
      <c r="HMA23"/>
      <c r="HMB23"/>
      <c r="HMC23"/>
      <c r="HMD23"/>
      <c r="HME23"/>
      <c r="HMF23"/>
      <c r="HMG23"/>
      <c r="HMH23"/>
      <c r="HMI23"/>
      <c r="HMJ23"/>
      <c r="HMK23"/>
      <c r="HML23"/>
      <c r="HMM23"/>
      <c r="HMN23"/>
      <c r="HMO23"/>
      <c r="HMP23"/>
      <c r="HMQ23"/>
      <c r="HMR23"/>
      <c r="HMS23"/>
      <c r="HMT23"/>
      <c r="HMU23"/>
      <c r="HMV23"/>
      <c r="HMW23"/>
      <c r="HMX23"/>
      <c r="HMY23"/>
      <c r="HMZ23"/>
      <c r="HNA23"/>
      <c r="HNB23"/>
      <c r="HNC23"/>
      <c r="HND23"/>
      <c r="HNE23"/>
      <c r="HNF23"/>
      <c r="HNG23"/>
      <c r="HNH23"/>
      <c r="HNI23"/>
      <c r="HNJ23"/>
      <c r="HNK23"/>
      <c r="HNL23"/>
      <c r="HNM23"/>
      <c r="HNN23"/>
      <c r="HNO23"/>
      <c r="HNP23"/>
      <c r="HNQ23"/>
      <c r="HNR23"/>
      <c r="HNS23"/>
      <c r="HNT23"/>
      <c r="HNU23"/>
      <c r="HNV23"/>
      <c r="HNW23"/>
      <c r="HNX23"/>
      <c r="HNY23"/>
      <c r="HNZ23"/>
      <c r="HOA23"/>
      <c r="HOB23"/>
      <c r="HOC23"/>
      <c r="HOD23"/>
      <c r="HOE23"/>
      <c r="HOF23"/>
      <c r="HOG23"/>
      <c r="HOH23"/>
      <c r="HOI23"/>
      <c r="HOJ23"/>
      <c r="HOK23"/>
      <c r="HOL23"/>
      <c r="HOM23"/>
      <c r="HON23"/>
      <c r="HOO23"/>
      <c r="HOP23"/>
      <c r="HOQ23"/>
      <c r="HOR23"/>
      <c r="HOS23"/>
      <c r="HOT23"/>
      <c r="HOU23"/>
      <c r="HOV23"/>
      <c r="HOW23"/>
      <c r="HOX23"/>
      <c r="HOY23"/>
      <c r="HOZ23"/>
      <c r="HPA23"/>
      <c r="HPB23"/>
      <c r="HPC23"/>
      <c r="HPD23"/>
      <c r="HPE23"/>
      <c r="HPF23"/>
      <c r="HPG23"/>
      <c r="HPH23"/>
      <c r="HPI23"/>
      <c r="HPJ23"/>
      <c r="HPK23"/>
      <c r="HPL23"/>
      <c r="HPM23"/>
      <c r="HPN23"/>
      <c r="HPO23"/>
      <c r="HPP23"/>
      <c r="HPQ23"/>
      <c r="HPR23"/>
      <c r="HPS23"/>
      <c r="HPT23"/>
      <c r="HPU23"/>
      <c r="HPV23"/>
      <c r="HPW23"/>
      <c r="HPX23"/>
      <c r="HPY23"/>
      <c r="HPZ23"/>
      <c r="HQA23"/>
      <c r="HQB23"/>
      <c r="HQC23"/>
      <c r="HQD23"/>
      <c r="HQE23"/>
      <c r="HQF23"/>
      <c r="HQG23"/>
      <c r="HQH23"/>
      <c r="HQI23"/>
      <c r="HQJ23"/>
      <c r="HQK23"/>
      <c r="HQL23"/>
      <c r="HQM23"/>
      <c r="HQN23"/>
      <c r="HQO23"/>
      <c r="HQP23"/>
      <c r="HQQ23"/>
      <c r="HQR23"/>
      <c r="HQS23"/>
      <c r="HQT23"/>
      <c r="HQU23"/>
      <c r="HQV23"/>
      <c r="HQW23"/>
      <c r="HQX23"/>
      <c r="HQY23"/>
      <c r="HQZ23"/>
      <c r="HRA23"/>
      <c r="HRB23"/>
      <c r="HRC23"/>
      <c r="HRD23"/>
      <c r="HRE23"/>
      <c r="HRF23"/>
      <c r="HRG23"/>
      <c r="HRH23"/>
      <c r="HRI23"/>
      <c r="HRJ23"/>
      <c r="HRK23"/>
      <c r="HRL23"/>
      <c r="HRM23"/>
      <c r="HRN23"/>
      <c r="HRO23"/>
      <c r="HRP23"/>
      <c r="HRQ23"/>
      <c r="HRR23"/>
      <c r="HRS23"/>
      <c r="HRT23"/>
      <c r="HRU23"/>
      <c r="HRV23"/>
      <c r="HRW23"/>
      <c r="HRX23"/>
      <c r="HRY23"/>
      <c r="HRZ23"/>
      <c r="HSA23"/>
      <c r="HSB23"/>
      <c r="HSC23"/>
      <c r="HSD23"/>
      <c r="HSE23"/>
      <c r="HSF23"/>
      <c r="HSG23"/>
      <c r="HSH23"/>
      <c r="HSI23"/>
      <c r="HSJ23"/>
      <c r="HSK23"/>
      <c r="HSL23"/>
      <c r="HSM23"/>
      <c r="HSN23"/>
      <c r="HSO23"/>
      <c r="HSP23"/>
      <c r="HSQ23"/>
      <c r="HSR23"/>
      <c r="HSS23"/>
      <c r="HST23"/>
      <c r="HSU23"/>
      <c r="HSV23"/>
      <c r="HSW23"/>
      <c r="HSX23"/>
      <c r="HSY23"/>
      <c r="HSZ23"/>
      <c r="HTA23"/>
      <c r="HTB23"/>
      <c r="HTC23"/>
      <c r="HTD23"/>
      <c r="HTE23"/>
      <c r="HTF23"/>
      <c r="HTG23"/>
      <c r="HTH23"/>
      <c r="HTI23"/>
      <c r="HTJ23"/>
      <c r="HTK23"/>
      <c r="HTL23"/>
      <c r="HTM23"/>
      <c r="HTN23"/>
      <c r="HTO23"/>
      <c r="HTP23"/>
      <c r="HTQ23"/>
      <c r="HTR23"/>
      <c r="HTS23"/>
      <c r="HTT23"/>
      <c r="HTU23"/>
      <c r="HTV23"/>
      <c r="HTW23"/>
      <c r="HTX23"/>
      <c r="HTY23"/>
      <c r="HTZ23"/>
      <c r="HUA23"/>
      <c r="HUB23"/>
      <c r="HUC23"/>
      <c r="HUD23"/>
      <c r="HUE23"/>
      <c r="HUF23"/>
      <c r="HUG23"/>
      <c r="HUH23"/>
      <c r="HUI23"/>
      <c r="HUJ23"/>
      <c r="HUK23"/>
      <c r="HUL23"/>
      <c r="HUM23"/>
      <c r="HUN23"/>
      <c r="HUO23"/>
      <c r="HUP23"/>
      <c r="HUQ23"/>
      <c r="HUR23"/>
      <c r="HUS23"/>
      <c r="HUT23"/>
      <c r="HUU23"/>
      <c r="HUV23"/>
      <c r="HUW23"/>
      <c r="HUX23"/>
      <c r="HUY23"/>
      <c r="HUZ23"/>
      <c r="HVA23"/>
      <c r="HVB23"/>
      <c r="HVC23"/>
      <c r="HVD23"/>
      <c r="HVE23"/>
      <c r="HVF23"/>
      <c r="HVG23"/>
      <c r="HVH23"/>
      <c r="HVI23"/>
      <c r="HVJ23"/>
      <c r="HVK23"/>
      <c r="HVL23"/>
      <c r="HVM23"/>
      <c r="HVN23"/>
      <c r="HVO23"/>
      <c r="HVP23"/>
      <c r="HVQ23"/>
      <c r="HVR23"/>
      <c r="HVS23"/>
      <c r="HVT23"/>
      <c r="HVU23"/>
      <c r="HVV23"/>
      <c r="HVW23"/>
      <c r="HVX23"/>
      <c r="HVY23"/>
      <c r="HVZ23"/>
      <c r="HWA23"/>
      <c r="HWB23"/>
      <c r="HWC23"/>
      <c r="HWD23"/>
      <c r="HWE23"/>
      <c r="HWF23"/>
      <c r="HWG23"/>
      <c r="HWH23"/>
      <c r="HWI23"/>
      <c r="HWJ23"/>
      <c r="HWK23"/>
      <c r="HWL23"/>
      <c r="HWM23"/>
      <c r="HWN23"/>
      <c r="HWO23"/>
      <c r="HWP23"/>
      <c r="HWQ23"/>
      <c r="HWR23"/>
      <c r="HWS23"/>
      <c r="HWT23"/>
      <c r="HWU23"/>
      <c r="HWV23"/>
      <c r="HWW23"/>
      <c r="HWX23"/>
      <c r="HWY23"/>
      <c r="HWZ23"/>
      <c r="HXA23"/>
      <c r="HXB23"/>
      <c r="HXC23"/>
      <c r="HXD23"/>
      <c r="HXE23"/>
      <c r="HXF23"/>
      <c r="HXG23"/>
      <c r="HXH23"/>
      <c r="HXI23"/>
      <c r="HXJ23"/>
      <c r="HXK23"/>
      <c r="HXL23"/>
      <c r="HXM23"/>
      <c r="HXN23"/>
      <c r="HXO23"/>
      <c r="HXP23"/>
      <c r="HXQ23"/>
      <c r="HXR23"/>
      <c r="HXS23"/>
      <c r="HXT23"/>
      <c r="HXU23"/>
      <c r="HXV23"/>
      <c r="HXW23"/>
      <c r="HXX23"/>
      <c r="HXY23"/>
      <c r="HXZ23"/>
      <c r="HYA23"/>
      <c r="HYB23"/>
      <c r="HYC23"/>
      <c r="HYD23"/>
      <c r="HYE23"/>
      <c r="HYF23"/>
      <c r="HYG23"/>
      <c r="HYH23"/>
      <c r="HYI23"/>
      <c r="HYJ23"/>
      <c r="HYK23"/>
      <c r="HYL23"/>
      <c r="HYM23"/>
      <c r="HYN23"/>
      <c r="HYO23"/>
      <c r="HYP23"/>
      <c r="HYQ23"/>
      <c r="HYR23"/>
      <c r="HYS23"/>
      <c r="HYT23"/>
      <c r="HYU23"/>
      <c r="HYV23"/>
      <c r="HYW23"/>
      <c r="HYX23"/>
      <c r="HYY23"/>
      <c r="HYZ23"/>
      <c r="HZA23"/>
      <c r="HZB23"/>
      <c r="HZC23"/>
      <c r="HZD23"/>
      <c r="HZE23"/>
      <c r="HZF23"/>
      <c r="HZG23"/>
      <c r="HZH23"/>
      <c r="HZI23"/>
      <c r="HZJ23"/>
      <c r="HZK23"/>
      <c r="HZL23"/>
      <c r="HZM23"/>
      <c r="HZN23"/>
      <c r="HZO23"/>
      <c r="HZP23"/>
      <c r="HZQ23"/>
      <c r="HZR23"/>
      <c r="HZS23"/>
      <c r="HZT23"/>
      <c r="HZU23"/>
      <c r="HZV23"/>
      <c r="HZW23"/>
      <c r="HZX23"/>
      <c r="HZY23"/>
      <c r="HZZ23"/>
      <c r="IAA23"/>
      <c r="IAB23"/>
      <c r="IAC23"/>
      <c r="IAD23"/>
      <c r="IAE23"/>
      <c r="IAF23"/>
      <c r="IAG23"/>
      <c r="IAH23"/>
      <c r="IAI23"/>
      <c r="IAJ23"/>
      <c r="IAK23"/>
      <c r="IAL23"/>
      <c r="IAM23"/>
      <c r="IAN23"/>
      <c r="IAO23"/>
      <c r="IAP23"/>
      <c r="IAQ23"/>
      <c r="IAR23"/>
      <c r="IAS23"/>
      <c r="IAT23"/>
      <c r="IAU23"/>
      <c r="IAV23"/>
      <c r="IAW23"/>
      <c r="IAX23"/>
      <c r="IAY23"/>
      <c r="IAZ23"/>
      <c r="IBA23"/>
      <c r="IBB23"/>
      <c r="IBC23"/>
      <c r="IBD23"/>
      <c r="IBE23"/>
      <c r="IBF23"/>
      <c r="IBG23"/>
      <c r="IBH23"/>
      <c r="IBI23"/>
      <c r="IBJ23"/>
      <c r="IBK23"/>
      <c r="IBL23"/>
      <c r="IBM23"/>
      <c r="IBN23"/>
      <c r="IBO23"/>
      <c r="IBP23"/>
      <c r="IBQ23"/>
      <c r="IBR23"/>
      <c r="IBS23"/>
      <c r="IBT23"/>
      <c r="IBU23"/>
      <c r="IBV23"/>
      <c r="IBW23"/>
      <c r="IBX23"/>
      <c r="IBY23"/>
      <c r="IBZ23"/>
      <c r="ICA23"/>
      <c r="ICB23"/>
      <c r="ICC23"/>
      <c r="ICD23"/>
      <c r="ICE23"/>
      <c r="ICF23"/>
      <c r="ICG23"/>
      <c r="ICH23"/>
      <c r="ICI23"/>
      <c r="ICJ23"/>
      <c r="ICK23"/>
      <c r="ICL23"/>
      <c r="ICM23"/>
      <c r="ICN23"/>
      <c r="ICO23"/>
      <c r="ICP23"/>
      <c r="ICQ23"/>
      <c r="ICR23"/>
      <c r="ICS23"/>
      <c r="ICT23"/>
      <c r="ICU23"/>
      <c r="ICV23"/>
      <c r="ICW23"/>
      <c r="ICX23"/>
      <c r="ICY23"/>
      <c r="ICZ23"/>
      <c r="IDA23"/>
      <c r="IDB23"/>
      <c r="IDC23"/>
      <c r="IDD23"/>
      <c r="IDE23"/>
      <c r="IDF23"/>
      <c r="IDG23"/>
      <c r="IDH23"/>
      <c r="IDI23"/>
      <c r="IDJ23"/>
      <c r="IDK23"/>
      <c r="IDL23"/>
      <c r="IDM23"/>
      <c r="IDN23"/>
      <c r="IDO23"/>
      <c r="IDP23"/>
      <c r="IDQ23"/>
      <c r="IDR23"/>
      <c r="IDS23"/>
      <c r="IDT23"/>
      <c r="IDU23"/>
      <c r="IDV23"/>
      <c r="IDW23"/>
      <c r="IDX23"/>
      <c r="IDY23"/>
      <c r="IDZ23"/>
      <c r="IEA23"/>
      <c r="IEB23"/>
      <c r="IEC23"/>
      <c r="IED23"/>
      <c r="IEE23"/>
      <c r="IEF23"/>
      <c r="IEG23"/>
      <c r="IEH23"/>
      <c r="IEI23"/>
      <c r="IEJ23"/>
      <c r="IEK23"/>
      <c r="IEL23"/>
      <c r="IEM23"/>
      <c r="IEN23"/>
      <c r="IEO23"/>
      <c r="IEP23"/>
      <c r="IEQ23"/>
      <c r="IER23"/>
      <c r="IES23"/>
      <c r="IET23"/>
      <c r="IEU23"/>
      <c r="IEV23"/>
      <c r="IEW23"/>
      <c r="IEX23"/>
      <c r="IEY23"/>
      <c r="IEZ23"/>
      <c r="IFA23"/>
      <c r="IFB23"/>
      <c r="IFC23"/>
      <c r="IFD23"/>
      <c r="IFE23"/>
      <c r="IFF23"/>
      <c r="IFG23"/>
      <c r="IFH23"/>
      <c r="IFI23"/>
      <c r="IFJ23"/>
      <c r="IFK23"/>
      <c r="IFL23"/>
      <c r="IFM23"/>
      <c r="IFN23"/>
      <c r="IFO23"/>
      <c r="IFP23"/>
      <c r="IFQ23"/>
      <c r="IFR23"/>
      <c r="IFS23"/>
      <c r="IFT23"/>
      <c r="IFU23"/>
      <c r="IFV23"/>
      <c r="IFW23"/>
      <c r="IFX23"/>
      <c r="IFY23"/>
      <c r="IFZ23"/>
      <c r="IGA23"/>
      <c r="IGB23"/>
      <c r="IGC23"/>
      <c r="IGD23"/>
      <c r="IGE23"/>
      <c r="IGF23"/>
      <c r="IGG23"/>
      <c r="IGH23"/>
      <c r="IGI23"/>
      <c r="IGJ23"/>
      <c r="IGK23"/>
      <c r="IGL23"/>
      <c r="IGM23"/>
      <c r="IGN23"/>
      <c r="IGO23"/>
      <c r="IGP23"/>
      <c r="IGQ23"/>
      <c r="IGR23"/>
      <c r="IGS23"/>
      <c r="IGT23"/>
      <c r="IGU23"/>
      <c r="IGV23"/>
      <c r="IGW23"/>
      <c r="IGX23"/>
      <c r="IGY23"/>
      <c r="IGZ23"/>
      <c r="IHA23"/>
      <c r="IHB23"/>
      <c r="IHC23"/>
      <c r="IHD23"/>
      <c r="IHE23"/>
      <c r="IHF23"/>
      <c r="IHG23"/>
      <c r="IHH23"/>
      <c r="IHI23"/>
      <c r="IHJ23"/>
      <c r="IHK23"/>
      <c r="IHL23"/>
      <c r="IHM23"/>
      <c r="IHN23"/>
      <c r="IHO23"/>
      <c r="IHP23"/>
      <c r="IHQ23"/>
      <c r="IHR23"/>
      <c r="IHS23"/>
      <c r="IHT23"/>
      <c r="IHU23"/>
      <c r="IHV23"/>
      <c r="IHW23"/>
      <c r="IHX23"/>
      <c r="IHY23"/>
      <c r="IHZ23"/>
      <c r="IIA23"/>
      <c r="IIB23"/>
      <c r="IIC23"/>
      <c r="IID23"/>
      <c r="IIE23"/>
      <c r="IIF23"/>
      <c r="IIG23"/>
      <c r="IIH23"/>
      <c r="III23"/>
      <c r="IIJ23"/>
      <c r="IIK23"/>
      <c r="IIL23"/>
      <c r="IIM23"/>
      <c r="IIN23"/>
      <c r="IIO23"/>
      <c r="IIP23"/>
      <c r="IIQ23"/>
      <c r="IIR23"/>
      <c r="IIS23"/>
      <c r="IIT23"/>
      <c r="IIU23"/>
      <c r="IIV23"/>
      <c r="IIW23"/>
      <c r="IIX23"/>
      <c r="IIY23"/>
      <c r="IIZ23"/>
      <c r="IJA23"/>
      <c r="IJB23"/>
      <c r="IJC23"/>
      <c r="IJD23"/>
      <c r="IJE23"/>
      <c r="IJF23"/>
      <c r="IJG23"/>
      <c r="IJH23"/>
      <c r="IJI23"/>
      <c r="IJJ23"/>
      <c r="IJK23"/>
      <c r="IJL23"/>
      <c r="IJM23"/>
      <c r="IJN23"/>
      <c r="IJO23"/>
      <c r="IJP23"/>
      <c r="IJQ23"/>
      <c r="IJR23"/>
      <c r="IJS23"/>
      <c r="IJT23"/>
      <c r="IJU23"/>
      <c r="IJV23"/>
      <c r="IJW23"/>
      <c r="IJX23"/>
      <c r="IJY23"/>
      <c r="IJZ23"/>
      <c r="IKA23"/>
      <c r="IKB23"/>
      <c r="IKC23"/>
      <c r="IKD23"/>
      <c r="IKE23"/>
      <c r="IKF23"/>
      <c r="IKG23"/>
      <c r="IKH23"/>
      <c r="IKI23"/>
      <c r="IKJ23"/>
      <c r="IKK23"/>
      <c r="IKL23"/>
      <c r="IKM23"/>
      <c r="IKN23"/>
      <c r="IKO23"/>
      <c r="IKP23"/>
      <c r="IKQ23"/>
      <c r="IKR23"/>
      <c r="IKS23"/>
      <c r="IKT23"/>
      <c r="IKU23"/>
      <c r="IKV23"/>
      <c r="IKW23"/>
      <c r="IKX23"/>
      <c r="IKY23"/>
      <c r="IKZ23"/>
      <c r="ILA23"/>
      <c r="ILB23"/>
      <c r="ILC23"/>
      <c r="ILD23"/>
      <c r="ILE23"/>
      <c r="ILF23"/>
      <c r="ILG23"/>
      <c r="ILH23"/>
      <c r="ILI23"/>
      <c r="ILJ23"/>
      <c r="ILK23"/>
      <c r="ILL23"/>
      <c r="ILM23"/>
      <c r="ILN23"/>
      <c r="ILO23"/>
      <c r="ILP23"/>
      <c r="ILQ23"/>
      <c r="ILR23"/>
      <c r="ILS23"/>
      <c r="ILT23"/>
      <c r="ILU23"/>
      <c r="ILV23"/>
      <c r="ILW23"/>
      <c r="ILX23"/>
      <c r="ILY23"/>
      <c r="ILZ23"/>
      <c r="IMA23"/>
      <c r="IMB23"/>
      <c r="IMC23"/>
      <c r="IMD23"/>
      <c r="IME23"/>
      <c r="IMF23"/>
      <c r="IMG23"/>
      <c r="IMH23"/>
      <c r="IMI23"/>
      <c r="IMJ23"/>
      <c r="IMK23"/>
      <c r="IML23"/>
      <c r="IMM23"/>
      <c r="IMN23"/>
      <c r="IMO23"/>
      <c r="IMP23"/>
      <c r="IMQ23"/>
      <c r="IMR23"/>
      <c r="IMS23"/>
      <c r="IMT23"/>
      <c r="IMU23"/>
      <c r="IMV23"/>
      <c r="IMW23"/>
      <c r="IMX23"/>
      <c r="IMY23"/>
      <c r="IMZ23"/>
      <c r="INA23"/>
      <c r="INB23"/>
      <c r="INC23"/>
      <c r="IND23"/>
      <c r="INE23"/>
      <c r="INF23"/>
      <c r="ING23"/>
      <c r="INH23"/>
      <c r="INI23"/>
      <c r="INJ23"/>
      <c r="INK23"/>
      <c r="INL23"/>
      <c r="INM23"/>
      <c r="INN23"/>
      <c r="INO23"/>
      <c r="INP23"/>
      <c r="INQ23"/>
      <c r="INR23"/>
      <c r="INS23"/>
      <c r="INT23"/>
      <c r="INU23"/>
      <c r="INV23"/>
      <c r="INW23"/>
      <c r="INX23"/>
      <c r="INY23"/>
      <c r="INZ23"/>
      <c r="IOA23"/>
      <c r="IOB23"/>
      <c r="IOC23"/>
      <c r="IOD23"/>
      <c r="IOE23"/>
      <c r="IOF23"/>
      <c r="IOG23"/>
      <c r="IOH23"/>
      <c r="IOI23"/>
      <c r="IOJ23"/>
      <c r="IOK23"/>
      <c r="IOL23"/>
      <c r="IOM23"/>
      <c r="ION23"/>
      <c r="IOO23"/>
      <c r="IOP23"/>
      <c r="IOQ23"/>
      <c r="IOR23"/>
      <c r="IOS23"/>
      <c r="IOT23"/>
      <c r="IOU23"/>
      <c r="IOV23"/>
      <c r="IOW23"/>
      <c r="IOX23"/>
      <c r="IOY23"/>
      <c r="IOZ23"/>
      <c r="IPA23"/>
      <c r="IPB23"/>
      <c r="IPC23"/>
      <c r="IPD23"/>
      <c r="IPE23"/>
      <c r="IPF23"/>
      <c r="IPG23"/>
      <c r="IPH23"/>
      <c r="IPI23"/>
      <c r="IPJ23"/>
      <c r="IPK23"/>
      <c r="IPL23"/>
      <c r="IPM23"/>
      <c r="IPN23"/>
      <c r="IPO23"/>
      <c r="IPP23"/>
      <c r="IPQ23"/>
      <c r="IPR23"/>
      <c r="IPS23"/>
      <c r="IPT23"/>
      <c r="IPU23"/>
      <c r="IPV23"/>
      <c r="IPW23"/>
      <c r="IPX23"/>
      <c r="IPY23"/>
      <c r="IPZ23"/>
      <c r="IQA23"/>
      <c r="IQB23"/>
      <c r="IQC23"/>
      <c r="IQD23"/>
      <c r="IQE23"/>
      <c r="IQF23"/>
      <c r="IQG23"/>
      <c r="IQH23"/>
      <c r="IQI23"/>
      <c r="IQJ23"/>
      <c r="IQK23"/>
      <c r="IQL23"/>
      <c r="IQM23"/>
      <c r="IQN23"/>
      <c r="IQO23"/>
      <c r="IQP23"/>
      <c r="IQQ23"/>
      <c r="IQR23"/>
      <c r="IQS23"/>
      <c r="IQT23"/>
      <c r="IQU23"/>
      <c r="IQV23"/>
      <c r="IQW23"/>
      <c r="IQX23"/>
      <c r="IQY23"/>
      <c r="IQZ23"/>
      <c r="IRA23"/>
      <c r="IRB23"/>
      <c r="IRC23"/>
      <c r="IRD23"/>
      <c r="IRE23"/>
      <c r="IRF23"/>
      <c r="IRG23"/>
      <c r="IRH23"/>
      <c r="IRI23"/>
      <c r="IRJ23"/>
      <c r="IRK23"/>
      <c r="IRL23"/>
      <c r="IRM23"/>
      <c r="IRN23"/>
      <c r="IRO23"/>
      <c r="IRP23"/>
      <c r="IRQ23"/>
      <c r="IRR23"/>
      <c r="IRS23"/>
      <c r="IRT23"/>
      <c r="IRU23"/>
      <c r="IRV23"/>
      <c r="IRW23"/>
      <c r="IRX23"/>
      <c r="IRY23"/>
      <c r="IRZ23"/>
      <c r="ISA23"/>
      <c r="ISB23"/>
      <c r="ISC23"/>
      <c r="ISD23"/>
      <c r="ISE23"/>
      <c r="ISF23"/>
      <c r="ISG23"/>
      <c r="ISH23"/>
      <c r="ISI23"/>
      <c r="ISJ23"/>
      <c r="ISK23"/>
      <c r="ISL23"/>
      <c r="ISM23"/>
      <c r="ISN23"/>
      <c r="ISO23"/>
      <c r="ISP23"/>
      <c r="ISQ23"/>
      <c r="ISR23"/>
      <c r="ISS23"/>
      <c r="IST23"/>
      <c r="ISU23"/>
      <c r="ISV23"/>
      <c r="ISW23"/>
      <c r="ISX23"/>
      <c r="ISY23"/>
      <c r="ISZ23"/>
      <c r="ITA23"/>
      <c r="ITB23"/>
      <c r="ITC23"/>
      <c r="ITD23"/>
      <c r="ITE23"/>
      <c r="ITF23"/>
      <c r="ITG23"/>
      <c r="ITH23"/>
      <c r="ITI23"/>
      <c r="ITJ23"/>
      <c r="ITK23"/>
      <c r="ITL23"/>
      <c r="ITM23"/>
      <c r="ITN23"/>
      <c r="ITO23"/>
      <c r="ITP23"/>
      <c r="ITQ23"/>
      <c r="ITR23"/>
      <c r="ITS23"/>
      <c r="ITT23"/>
      <c r="ITU23"/>
      <c r="ITV23"/>
      <c r="ITW23"/>
      <c r="ITX23"/>
      <c r="ITY23"/>
      <c r="ITZ23"/>
      <c r="IUA23"/>
      <c r="IUB23"/>
      <c r="IUC23"/>
      <c r="IUD23"/>
      <c r="IUE23"/>
      <c r="IUF23"/>
      <c r="IUG23"/>
      <c r="IUH23"/>
      <c r="IUI23"/>
      <c r="IUJ23"/>
      <c r="IUK23"/>
      <c r="IUL23"/>
      <c r="IUM23"/>
      <c r="IUN23"/>
      <c r="IUO23"/>
      <c r="IUP23"/>
      <c r="IUQ23"/>
      <c r="IUR23"/>
      <c r="IUS23"/>
      <c r="IUT23"/>
      <c r="IUU23"/>
      <c r="IUV23"/>
      <c r="IUW23"/>
      <c r="IUX23"/>
      <c r="IUY23"/>
      <c r="IUZ23"/>
      <c r="IVA23"/>
      <c r="IVB23"/>
      <c r="IVC23"/>
      <c r="IVD23"/>
      <c r="IVE23"/>
      <c r="IVF23"/>
      <c r="IVG23"/>
      <c r="IVH23"/>
      <c r="IVI23"/>
      <c r="IVJ23"/>
      <c r="IVK23"/>
      <c r="IVL23"/>
      <c r="IVM23"/>
      <c r="IVN23"/>
      <c r="IVO23"/>
      <c r="IVP23"/>
      <c r="IVQ23"/>
      <c r="IVR23"/>
      <c r="IVS23"/>
      <c r="IVT23"/>
      <c r="IVU23"/>
      <c r="IVV23"/>
      <c r="IVW23"/>
      <c r="IVX23"/>
      <c r="IVY23"/>
      <c r="IVZ23"/>
      <c r="IWA23"/>
      <c r="IWB23"/>
      <c r="IWC23"/>
      <c r="IWD23"/>
      <c r="IWE23"/>
      <c r="IWF23"/>
      <c r="IWG23"/>
      <c r="IWH23"/>
      <c r="IWI23"/>
      <c r="IWJ23"/>
      <c r="IWK23"/>
      <c r="IWL23"/>
      <c r="IWM23"/>
      <c r="IWN23"/>
      <c r="IWO23"/>
      <c r="IWP23"/>
      <c r="IWQ23"/>
      <c r="IWR23"/>
      <c r="IWS23"/>
      <c r="IWT23"/>
      <c r="IWU23"/>
      <c r="IWV23"/>
      <c r="IWW23"/>
      <c r="IWX23"/>
      <c r="IWY23"/>
      <c r="IWZ23"/>
      <c r="IXA23"/>
      <c r="IXB23"/>
      <c r="IXC23"/>
      <c r="IXD23"/>
      <c r="IXE23"/>
      <c r="IXF23"/>
      <c r="IXG23"/>
      <c r="IXH23"/>
      <c r="IXI23"/>
      <c r="IXJ23"/>
      <c r="IXK23"/>
      <c r="IXL23"/>
      <c r="IXM23"/>
      <c r="IXN23"/>
      <c r="IXO23"/>
      <c r="IXP23"/>
      <c r="IXQ23"/>
      <c r="IXR23"/>
      <c r="IXS23"/>
      <c r="IXT23"/>
      <c r="IXU23"/>
      <c r="IXV23"/>
      <c r="IXW23"/>
      <c r="IXX23"/>
      <c r="IXY23"/>
      <c r="IXZ23"/>
      <c r="IYA23"/>
      <c r="IYB23"/>
      <c r="IYC23"/>
      <c r="IYD23"/>
      <c r="IYE23"/>
      <c r="IYF23"/>
      <c r="IYG23"/>
      <c r="IYH23"/>
      <c r="IYI23"/>
      <c r="IYJ23"/>
      <c r="IYK23"/>
      <c r="IYL23"/>
      <c r="IYM23"/>
      <c r="IYN23"/>
      <c r="IYO23"/>
      <c r="IYP23"/>
      <c r="IYQ23"/>
      <c r="IYR23"/>
      <c r="IYS23"/>
      <c r="IYT23"/>
      <c r="IYU23"/>
      <c r="IYV23"/>
      <c r="IYW23"/>
      <c r="IYX23"/>
      <c r="IYY23"/>
      <c r="IYZ23"/>
      <c r="IZA23"/>
      <c r="IZB23"/>
      <c r="IZC23"/>
      <c r="IZD23"/>
      <c r="IZE23"/>
      <c r="IZF23"/>
      <c r="IZG23"/>
      <c r="IZH23"/>
      <c r="IZI23"/>
      <c r="IZJ23"/>
      <c r="IZK23"/>
      <c r="IZL23"/>
      <c r="IZM23"/>
      <c r="IZN23"/>
      <c r="IZO23"/>
      <c r="IZP23"/>
      <c r="IZQ23"/>
      <c r="IZR23"/>
      <c r="IZS23"/>
      <c r="IZT23"/>
      <c r="IZU23"/>
      <c r="IZV23"/>
      <c r="IZW23"/>
      <c r="IZX23"/>
      <c r="IZY23"/>
      <c r="IZZ23"/>
      <c r="JAA23"/>
      <c r="JAB23"/>
      <c r="JAC23"/>
      <c r="JAD23"/>
      <c r="JAE23"/>
      <c r="JAF23"/>
      <c r="JAG23"/>
      <c r="JAH23"/>
      <c r="JAI23"/>
      <c r="JAJ23"/>
      <c r="JAK23"/>
      <c r="JAL23"/>
      <c r="JAM23"/>
      <c r="JAN23"/>
      <c r="JAO23"/>
      <c r="JAP23"/>
      <c r="JAQ23"/>
      <c r="JAR23"/>
      <c r="JAS23"/>
      <c r="JAT23"/>
      <c r="JAU23"/>
      <c r="JAV23"/>
      <c r="JAW23"/>
      <c r="JAX23"/>
      <c r="JAY23"/>
      <c r="JAZ23"/>
      <c r="JBA23"/>
      <c r="JBB23"/>
      <c r="JBC23"/>
      <c r="JBD23"/>
      <c r="JBE23"/>
      <c r="JBF23"/>
      <c r="JBG23"/>
      <c r="JBH23"/>
      <c r="JBI23"/>
      <c r="JBJ23"/>
      <c r="JBK23"/>
      <c r="JBL23"/>
      <c r="JBM23"/>
      <c r="JBN23"/>
      <c r="JBO23"/>
      <c r="JBP23"/>
      <c r="JBQ23"/>
      <c r="JBR23"/>
      <c r="JBS23"/>
      <c r="JBT23"/>
      <c r="JBU23"/>
      <c r="JBV23"/>
      <c r="JBW23"/>
      <c r="JBX23"/>
      <c r="JBY23"/>
      <c r="JBZ23"/>
      <c r="JCA23"/>
      <c r="JCB23"/>
      <c r="JCC23"/>
      <c r="JCD23"/>
      <c r="JCE23"/>
      <c r="JCF23"/>
      <c r="JCG23"/>
      <c r="JCH23"/>
      <c r="JCI23"/>
      <c r="JCJ23"/>
      <c r="JCK23"/>
      <c r="JCL23"/>
      <c r="JCM23"/>
      <c r="JCN23"/>
      <c r="JCO23"/>
      <c r="JCP23"/>
      <c r="JCQ23"/>
      <c r="JCR23"/>
      <c r="JCS23"/>
      <c r="JCT23"/>
      <c r="JCU23"/>
      <c r="JCV23"/>
      <c r="JCW23"/>
      <c r="JCX23"/>
      <c r="JCY23"/>
      <c r="JCZ23"/>
      <c r="JDA23"/>
      <c r="JDB23"/>
      <c r="JDC23"/>
      <c r="JDD23"/>
      <c r="JDE23"/>
      <c r="JDF23"/>
      <c r="JDG23"/>
      <c r="JDH23"/>
      <c r="JDI23"/>
      <c r="JDJ23"/>
      <c r="JDK23"/>
      <c r="JDL23"/>
      <c r="JDM23"/>
      <c r="JDN23"/>
      <c r="JDO23"/>
      <c r="JDP23"/>
      <c r="JDQ23"/>
      <c r="JDR23"/>
      <c r="JDS23"/>
      <c r="JDT23"/>
      <c r="JDU23"/>
      <c r="JDV23"/>
      <c r="JDW23"/>
      <c r="JDX23"/>
      <c r="JDY23"/>
      <c r="JDZ23"/>
      <c r="JEA23"/>
      <c r="JEB23"/>
      <c r="JEC23"/>
      <c r="JED23"/>
      <c r="JEE23"/>
      <c r="JEF23"/>
      <c r="JEG23"/>
      <c r="JEH23"/>
      <c r="JEI23"/>
      <c r="JEJ23"/>
      <c r="JEK23"/>
      <c r="JEL23"/>
      <c r="JEM23"/>
      <c r="JEN23"/>
      <c r="JEO23"/>
      <c r="JEP23"/>
      <c r="JEQ23"/>
      <c r="JER23"/>
      <c r="JES23"/>
      <c r="JET23"/>
      <c r="JEU23"/>
      <c r="JEV23"/>
      <c r="JEW23"/>
      <c r="JEX23"/>
      <c r="JEY23"/>
      <c r="JEZ23"/>
      <c r="JFA23"/>
      <c r="JFB23"/>
      <c r="JFC23"/>
      <c r="JFD23"/>
      <c r="JFE23"/>
      <c r="JFF23"/>
      <c r="JFG23"/>
      <c r="JFH23"/>
      <c r="JFI23"/>
      <c r="JFJ23"/>
      <c r="JFK23"/>
      <c r="JFL23"/>
      <c r="JFM23"/>
      <c r="JFN23"/>
      <c r="JFO23"/>
      <c r="JFP23"/>
      <c r="JFQ23"/>
      <c r="JFR23"/>
      <c r="JFS23"/>
      <c r="JFT23"/>
      <c r="JFU23"/>
      <c r="JFV23"/>
      <c r="JFW23"/>
      <c r="JFX23"/>
      <c r="JFY23"/>
      <c r="JFZ23"/>
      <c r="JGA23"/>
      <c r="JGB23"/>
      <c r="JGC23"/>
      <c r="JGD23"/>
      <c r="JGE23"/>
      <c r="JGF23"/>
      <c r="JGG23"/>
      <c r="JGH23"/>
      <c r="JGI23"/>
      <c r="JGJ23"/>
      <c r="JGK23"/>
      <c r="JGL23"/>
      <c r="JGM23"/>
      <c r="JGN23"/>
      <c r="JGO23"/>
      <c r="JGP23"/>
      <c r="JGQ23"/>
      <c r="JGR23"/>
      <c r="JGS23"/>
      <c r="JGT23"/>
      <c r="JGU23"/>
      <c r="JGV23"/>
      <c r="JGW23"/>
      <c r="JGX23"/>
      <c r="JGY23"/>
      <c r="JGZ23"/>
      <c r="JHA23"/>
      <c r="JHB23"/>
      <c r="JHC23"/>
      <c r="JHD23"/>
      <c r="JHE23"/>
      <c r="JHF23"/>
      <c r="JHG23"/>
      <c r="JHH23"/>
      <c r="JHI23"/>
      <c r="JHJ23"/>
      <c r="JHK23"/>
      <c r="JHL23"/>
      <c r="JHM23"/>
      <c r="JHN23"/>
      <c r="JHO23"/>
      <c r="JHP23"/>
      <c r="JHQ23"/>
      <c r="JHR23"/>
      <c r="JHS23"/>
      <c r="JHT23"/>
      <c r="JHU23"/>
      <c r="JHV23"/>
      <c r="JHW23"/>
      <c r="JHX23"/>
      <c r="JHY23"/>
      <c r="JHZ23"/>
      <c r="JIA23"/>
      <c r="JIB23"/>
      <c r="JIC23"/>
      <c r="JID23"/>
      <c r="JIE23"/>
      <c r="JIF23"/>
      <c r="JIG23"/>
      <c r="JIH23"/>
      <c r="JII23"/>
      <c r="JIJ23"/>
      <c r="JIK23"/>
      <c r="JIL23"/>
      <c r="JIM23"/>
      <c r="JIN23"/>
      <c r="JIO23"/>
      <c r="JIP23"/>
      <c r="JIQ23"/>
      <c r="JIR23"/>
      <c r="JIS23"/>
      <c r="JIT23"/>
      <c r="JIU23"/>
      <c r="JIV23"/>
      <c r="JIW23"/>
      <c r="JIX23"/>
      <c r="JIY23"/>
      <c r="JIZ23"/>
      <c r="JJA23"/>
      <c r="JJB23"/>
      <c r="JJC23"/>
      <c r="JJD23"/>
      <c r="JJE23"/>
      <c r="JJF23"/>
      <c r="JJG23"/>
      <c r="JJH23"/>
      <c r="JJI23"/>
      <c r="JJJ23"/>
      <c r="JJK23"/>
      <c r="JJL23"/>
      <c r="JJM23"/>
      <c r="JJN23"/>
      <c r="JJO23"/>
      <c r="JJP23"/>
      <c r="JJQ23"/>
      <c r="JJR23"/>
      <c r="JJS23"/>
      <c r="JJT23"/>
      <c r="JJU23"/>
      <c r="JJV23"/>
      <c r="JJW23"/>
      <c r="JJX23"/>
      <c r="JJY23"/>
      <c r="JJZ23"/>
      <c r="JKA23"/>
      <c r="JKB23"/>
      <c r="JKC23"/>
      <c r="JKD23"/>
      <c r="JKE23"/>
      <c r="JKF23"/>
      <c r="JKG23"/>
      <c r="JKH23"/>
      <c r="JKI23"/>
      <c r="JKJ23"/>
      <c r="JKK23"/>
      <c r="JKL23"/>
      <c r="JKM23"/>
      <c r="JKN23"/>
      <c r="JKO23"/>
      <c r="JKP23"/>
      <c r="JKQ23"/>
      <c r="JKR23"/>
      <c r="JKS23"/>
      <c r="JKT23"/>
      <c r="JKU23"/>
      <c r="JKV23"/>
      <c r="JKW23"/>
      <c r="JKX23"/>
      <c r="JKY23"/>
      <c r="JKZ23"/>
      <c r="JLA23"/>
      <c r="JLB23"/>
      <c r="JLC23"/>
      <c r="JLD23"/>
      <c r="JLE23"/>
      <c r="JLF23"/>
      <c r="JLG23"/>
      <c r="JLH23"/>
      <c r="JLI23"/>
      <c r="JLJ23"/>
      <c r="JLK23"/>
      <c r="JLL23"/>
      <c r="JLM23"/>
      <c r="JLN23"/>
      <c r="JLO23"/>
      <c r="JLP23"/>
      <c r="JLQ23"/>
      <c r="JLR23"/>
      <c r="JLS23"/>
      <c r="JLT23"/>
      <c r="JLU23"/>
      <c r="JLV23"/>
      <c r="JLW23"/>
      <c r="JLX23"/>
      <c r="JLY23"/>
      <c r="JLZ23"/>
      <c r="JMA23"/>
      <c r="JMB23"/>
      <c r="JMC23"/>
      <c r="JMD23"/>
      <c r="JME23"/>
      <c r="JMF23"/>
      <c r="JMG23"/>
      <c r="JMH23"/>
      <c r="JMI23"/>
      <c r="JMJ23"/>
      <c r="JMK23"/>
      <c r="JML23"/>
      <c r="JMM23"/>
      <c r="JMN23"/>
      <c r="JMO23"/>
      <c r="JMP23"/>
      <c r="JMQ23"/>
      <c r="JMR23"/>
      <c r="JMS23"/>
      <c r="JMT23"/>
      <c r="JMU23"/>
      <c r="JMV23"/>
      <c r="JMW23"/>
      <c r="JMX23"/>
      <c r="JMY23"/>
      <c r="JMZ23"/>
      <c r="JNA23"/>
      <c r="JNB23"/>
      <c r="JNC23"/>
      <c r="JND23"/>
      <c r="JNE23"/>
      <c r="JNF23"/>
      <c r="JNG23"/>
      <c r="JNH23"/>
      <c r="JNI23"/>
      <c r="JNJ23"/>
      <c r="JNK23"/>
      <c r="JNL23"/>
      <c r="JNM23"/>
      <c r="JNN23"/>
      <c r="JNO23"/>
      <c r="JNP23"/>
      <c r="JNQ23"/>
      <c r="JNR23"/>
      <c r="JNS23"/>
      <c r="JNT23"/>
      <c r="JNU23"/>
      <c r="JNV23"/>
      <c r="JNW23"/>
      <c r="JNX23"/>
      <c r="JNY23"/>
      <c r="JNZ23"/>
      <c r="JOA23"/>
      <c r="JOB23"/>
      <c r="JOC23"/>
      <c r="JOD23"/>
      <c r="JOE23"/>
      <c r="JOF23"/>
      <c r="JOG23"/>
      <c r="JOH23"/>
      <c r="JOI23"/>
      <c r="JOJ23"/>
      <c r="JOK23"/>
      <c r="JOL23"/>
      <c r="JOM23"/>
      <c r="JON23"/>
      <c r="JOO23"/>
      <c r="JOP23"/>
      <c r="JOQ23"/>
      <c r="JOR23"/>
      <c r="JOS23"/>
      <c r="JOT23"/>
      <c r="JOU23"/>
      <c r="JOV23"/>
      <c r="JOW23"/>
      <c r="JOX23"/>
      <c r="JOY23"/>
      <c r="JOZ23"/>
      <c r="JPA23"/>
      <c r="JPB23"/>
      <c r="JPC23"/>
      <c r="JPD23"/>
      <c r="JPE23"/>
      <c r="JPF23"/>
      <c r="JPG23"/>
      <c r="JPH23"/>
      <c r="JPI23"/>
      <c r="JPJ23"/>
      <c r="JPK23"/>
      <c r="JPL23"/>
      <c r="JPM23"/>
      <c r="JPN23"/>
      <c r="JPO23"/>
      <c r="JPP23"/>
      <c r="JPQ23"/>
      <c r="JPR23"/>
      <c r="JPS23"/>
      <c r="JPT23"/>
      <c r="JPU23"/>
      <c r="JPV23"/>
      <c r="JPW23"/>
      <c r="JPX23"/>
      <c r="JPY23"/>
      <c r="JPZ23"/>
      <c r="JQA23"/>
      <c r="JQB23"/>
      <c r="JQC23"/>
      <c r="JQD23"/>
      <c r="JQE23"/>
      <c r="JQF23"/>
      <c r="JQG23"/>
      <c r="JQH23"/>
      <c r="JQI23"/>
      <c r="JQJ23"/>
      <c r="JQK23"/>
      <c r="JQL23"/>
      <c r="JQM23"/>
      <c r="JQN23"/>
      <c r="JQO23"/>
      <c r="JQP23"/>
      <c r="JQQ23"/>
      <c r="JQR23"/>
      <c r="JQS23"/>
      <c r="JQT23"/>
      <c r="JQU23"/>
      <c r="JQV23"/>
      <c r="JQW23"/>
      <c r="JQX23"/>
      <c r="JQY23"/>
      <c r="JQZ23"/>
      <c r="JRA23"/>
      <c r="JRB23"/>
      <c r="JRC23"/>
      <c r="JRD23"/>
      <c r="JRE23"/>
      <c r="JRF23"/>
      <c r="JRG23"/>
      <c r="JRH23"/>
      <c r="JRI23"/>
      <c r="JRJ23"/>
      <c r="JRK23"/>
      <c r="JRL23"/>
      <c r="JRM23"/>
      <c r="JRN23"/>
      <c r="JRO23"/>
      <c r="JRP23"/>
      <c r="JRQ23"/>
      <c r="JRR23"/>
      <c r="JRS23"/>
      <c r="JRT23"/>
      <c r="JRU23"/>
      <c r="JRV23"/>
      <c r="JRW23"/>
      <c r="JRX23"/>
      <c r="JRY23"/>
      <c r="JRZ23"/>
      <c r="JSA23"/>
      <c r="JSB23"/>
      <c r="JSC23"/>
      <c r="JSD23"/>
      <c r="JSE23"/>
      <c r="JSF23"/>
      <c r="JSG23"/>
      <c r="JSH23"/>
      <c r="JSI23"/>
      <c r="JSJ23"/>
      <c r="JSK23"/>
      <c r="JSL23"/>
      <c r="JSM23"/>
      <c r="JSN23"/>
      <c r="JSO23"/>
      <c r="JSP23"/>
      <c r="JSQ23"/>
      <c r="JSR23"/>
      <c r="JSS23"/>
      <c r="JST23"/>
      <c r="JSU23"/>
      <c r="JSV23"/>
      <c r="JSW23"/>
      <c r="JSX23"/>
      <c r="JSY23"/>
      <c r="JSZ23"/>
      <c r="JTA23"/>
      <c r="JTB23"/>
      <c r="JTC23"/>
      <c r="JTD23"/>
      <c r="JTE23"/>
      <c r="JTF23"/>
      <c r="JTG23"/>
      <c r="JTH23"/>
      <c r="JTI23"/>
      <c r="JTJ23"/>
      <c r="JTK23"/>
      <c r="JTL23"/>
      <c r="JTM23"/>
      <c r="JTN23"/>
      <c r="JTO23"/>
      <c r="JTP23"/>
      <c r="JTQ23"/>
      <c r="JTR23"/>
      <c r="JTS23"/>
      <c r="JTT23"/>
      <c r="JTU23"/>
      <c r="JTV23"/>
      <c r="JTW23"/>
      <c r="JTX23"/>
      <c r="JTY23"/>
      <c r="JTZ23"/>
      <c r="JUA23"/>
      <c r="JUB23"/>
      <c r="JUC23"/>
      <c r="JUD23"/>
      <c r="JUE23"/>
      <c r="JUF23"/>
      <c r="JUG23"/>
      <c r="JUH23"/>
      <c r="JUI23"/>
      <c r="JUJ23"/>
      <c r="JUK23"/>
      <c r="JUL23"/>
      <c r="JUM23"/>
      <c r="JUN23"/>
      <c r="JUO23"/>
      <c r="JUP23"/>
      <c r="JUQ23"/>
      <c r="JUR23"/>
      <c r="JUS23"/>
      <c r="JUT23"/>
      <c r="JUU23"/>
      <c r="JUV23"/>
      <c r="JUW23"/>
      <c r="JUX23"/>
      <c r="JUY23"/>
      <c r="JUZ23"/>
      <c r="JVA23"/>
      <c r="JVB23"/>
      <c r="JVC23"/>
      <c r="JVD23"/>
      <c r="JVE23"/>
      <c r="JVF23"/>
      <c r="JVG23"/>
      <c r="JVH23"/>
      <c r="JVI23"/>
      <c r="JVJ23"/>
      <c r="JVK23"/>
      <c r="JVL23"/>
      <c r="JVM23"/>
      <c r="JVN23"/>
      <c r="JVO23"/>
      <c r="JVP23"/>
      <c r="JVQ23"/>
      <c r="JVR23"/>
      <c r="JVS23"/>
      <c r="JVT23"/>
      <c r="JVU23"/>
      <c r="JVV23"/>
      <c r="JVW23"/>
      <c r="JVX23"/>
      <c r="JVY23"/>
      <c r="JVZ23"/>
      <c r="JWA23"/>
      <c r="JWB23"/>
      <c r="JWC23"/>
      <c r="JWD23"/>
      <c r="JWE23"/>
      <c r="JWF23"/>
      <c r="JWG23"/>
      <c r="JWH23"/>
      <c r="JWI23"/>
      <c r="JWJ23"/>
      <c r="JWK23"/>
      <c r="JWL23"/>
      <c r="JWM23"/>
      <c r="JWN23"/>
      <c r="JWO23"/>
      <c r="JWP23"/>
      <c r="JWQ23"/>
      <c r="JWR23"/>
      <c r="JWS23"/>
      <c r="JWT23"/>
      <c r="JWU23"/>
      <c r="JWV23"/>
      <c r="JWW23"/>
      <c r="JWX23"/>
      <c r="JWY23"/>
      <c r="JWZ23"/>
      <c r="JXA23"/>
      <c r="JXB23"/>
      <c r="JXC23"/>
      <c r="JXD23"/>
      <c r="JXE23"/>
      <c r="JXF23"/>
      <c r="JXG23"/>
      <c r="JXH23"/>
      <c r="JXI23"/>
      <c r="JXJ23"/>
      <c r="JXK23"/>
      <c r="JXL23"/>
      <c r="JXM23"/>
      <c r="JXN23"/>
      <c r="JXO23"/>
      <c r="JXP23"/>
      <c r="JXQ23"/>
      <c r="JXR23"/>
      <c r="JXS23"/>
      <c r="JXT23"/>
      <c r="JXU23"/>
      <c r="JXV23"/>
      <c r="JXW23"/>
      <c r="JXX23"/>
      <c r="JXY23"/>
      <c r="JXZ23"/>
      <c r="JYA23"/>
      <c r="JYB23"/>
      <c r="JYC23"/>
      <c r="JYD23"/>
      <c r="JYE23"/>
      <c r="JYF23"/>
      <c r="JYG23"/>
      <c r="JYH23"/>
      <c r="JYI23"/>
      <c r="JYJ23"/>
      <c r="JYK23"/>
      <c r="JYL23"/>
      <c r="JYM23"/>
      <c r="JYN23"/>
      <c r="JYO23"/>
      <c r="JYP23"/>
      <c r="JYQ23"/>
      <c r="JYR23"/>
      <c r="JYS23"/>
      <c r="JYT23"/>
      <c r="JYU23"/>
      <c r="JYV23"/>
      <c r="JYW23"/>
      <c r="JYX23"/>
      <c r="JYY23"/>
      <c r="JYZ23"/>
      <c r="JZA23"/>
      <c r="JZB23"/>
      <c r="JZC23"/>
      <c r="JZD23"/>
      <c r="JZE23"/>
      <c r="JZF23"/>
      <c r="JZG23"/>
      <c r="JZH23"/>
      <c r="JZI23"/>
      <c r="JZJ23"/>
      <c r="JZK23"/>
      <c r="JZL23"/>
      <c r="JZM23"/>
      <c r="JZN23"/>
      <c r="JZO23"/>
      <c r="JZP23"/>
      <c r="JZQ23"/>
      <c r="JZR23"/>
      <c r="JZS23"/>
      <c r="JZT23"/>
      <c r="JZU23"/>
      <c r="JZV23"/>
      <c r="JZW23"/>
      <c r="JZX23"/>
      <c r="JZY23"/>
      <c r="JZZ23"/>
      <c r="KAA23"/>
      <c r="KAB23"/>
      <c r="KAC23"/>
      <c r="KAD23"/>
      <c r="KAE23"/>
      <c r="KAF23"/>
      <c r="KAG23"/>
      <c r="KAH23"/>
      <c r="KAI23"/>
      <c r="KAJ23"/>
      <c r="KAK23"/>
      <c r="KAL23"/>
      <c r="KAM23"/>
      <c r="KAN23"/>
      <c r="KAO23"/>
      <c r="KAP23"/>
      <c r="KAQ23"/>
      <c r="KAR23"/>
      <c r="KAS23"/>
      <c r="KAT23"/>
      <c r="KAU23"/>
      <c r="KAV23"/>
      <c r="KAW23"/>
      <c r="KAX23"/>
      <c r="KAY23"/>
      <c r="KAZ23"/>
      <c r="KBA23"/>
      <c r="KBB23"/>
      <c r="KBC23"/>
      <c r="KBD23"/>
      <c r="KBE23"/>
      <c r="KBF23"/>
      <c r="KBG23"/>
      <c r="KBH23"/>
      <c r="KBI23"/>
      <c r="KBJ23"/>
      <c r="KBK23"/>
      <c r="KBL23"/>
      <c r="KBM23"/>
      <c r="KBN23"/>
      <c r="KBO23"/>
      <c r="KBP23"/>
      <c r="KBQ23"/>
      <c r="KBR23"/>
      <c r="KBS23"/>
      <c r="KBT23"/>
      <c r="KBU23"/>
      <c r="KBV23"/>
      <c r="KBW23"/>
      <c r="KBX23"/>
      <c r="KBY23"/>
      <c r="KBZ23"/>
      <c r="KCA23"/>
      <c r="KCB23"/>
      <c r="KCC23"/>
      <c r="KCD23"/>
      <c r="KCE23"/>
      <c r="KCF23"/>
      <c r="KCG23"/>
      <c r="KCH23"/>
      <c r="KCI23"/>
      <c r="KCJ23"/>
      <c r="KCK23"/>
      <c r="KCL23"/>
      <c r="KCM23"/>
      <c r="KCN23"/>
      <c r="KCO23"/>
      <c r="KCP23"/>
      <c r="KCQ23"/>
      <c r="KCR23"/>
      <c r="KCS23"/>
      <c r="KCT23"/>
      <c r="KCU23"/>
      <c r="KCV23"/>
      <c r="KCW23"/>
      <c r="KCX23"/>
      <c r="KCY23"/>
      <c r="KCZ23"/>
      <c r="KDA23"/>
      <c r="KDB23"/>
      <c r="KDC23"/>
      <c r="KDD23"/>
      <c r="KDE23"/>
      <c r="KDF23"/>
      <c r="KDG23"/>
      <c r="KDH23"/>
      <c r="KDI23"/>
      <c r="KDJ23"/>
      <c r="KDK23"/>
      <c r="KDL23"/>
      <c r="KDM23"/>
      <c r="KDN23"/>
      <c r="KDO23"/>
      <c r="KDP23"/>
      <c r="KDQ23"/>
      <c r="KDR23"/>
      <c r="KDS23"/>
      <c r="KDT23"/>
      <c r="KDU23"/>
      <c r="KDV23"/>
      <c r="KDW23"/>
      <c r="KDX23"/>
      <c r="KDY23"/>
      <c r="KDZ23"/>
      <c r="KEA23"/>
      <c r="KEB23"/>
      <c r="KEC23"/>
      <c r="KED23"/>
      <c r="KEE23"/>
      <c r="KEF23"/>
      <c r="KEG23"/>
      <c r="KEH23"/>
      <c r="KEI23"/>
      <c r="KEJ23"/>
      <c r="KEK23"/>
      <c r="KEL23"/>
      <c r="KEM23"/>
      <c r="KEN23"/>
      <c r="KEO23"/>
      <c r="KEP23"/>
      <c r="KEQ23"/>
      <c r="KER23"/>
      <c r="KES23"/>
      <c r="KET23"/>
      <c r="KEU23"/>
      <c r="KEV23"/>
      <c r="KEW23"/>
      <c r="KEX23"/>
      <c r="KEY23"/>
      <c r="KEZ23"/>
      <c r="KFA23"/>
      <c r="KFB23"/>
      <c r="KFC23"/>
      <c r="KFD23"/>
      <c r="KFE23"/>
      <c r="KFF23"/>
      <c r="KFG23"/>
      <c r="KFH23"/>
      <c r="KFI23"/>
      <c r="KFJ23"/>
      <c r="KFK23"/>
      <c r="KFL23"/>
      <c r="KFM23"/>
      <c r="KFN23"/>
      <c r="KFO23"/>
      <c r="KFP23"/>
      <c r="KFQ23"/>
      <c r="KFR23"/>
      <c r="KFS23"/>
      <c r="KFT23"/>
      <c r="KFU23"/>
      <c r="KFV23"/>
      <c r="KFW23"/>
      <c r="KFX23"/>
      <c r="KFY23"/>
      <c r="KFZ23"/>
      <c r="KGA23"/>
      <c r="KGB23"/>
      <c r="KGC23"/>
      <c r="KGD23"/>
      <c r="KGE23"/>
      <c r="KGF23"/>
      <c r="KGG23"/>
      <c r="KGH23"/>
      <c r="KGI23"/>
      <c r="KGJ23"/>
      <c r="KGK23"/>
      <c r="KGL23"/>
      <c r="KGM23"/>
      <c r="KGN23"/>
      <c r="KGO23"/>
      <c r="KGP23"/>
      <c r="KGQ23"/>
      <c r="KGR23"/>
      <c r="KGS23"/>
      <c r="KGT23"/>
      <c r="KGU23"/>
      <c r="KGV23"/>
      <c r="KGW23"/>
      <c r="KGX23"/>
      <c r="KGY23"/>
      <c r="KGZ23"/>
      <c r="KHA23"/>
      <c r="KHB23"/>
      <c r="KHC23"/>
      <c r="KHD23"/>
      <c r="KHE23"/>
      <c r="KHF23"/>
      <c r="KHG23"/>
      <c r="KHH23"/>
      <c r="KHI23"/>
      <c r="KHJ23"/>
      <c r="KHK23"/>
      <c r="KHL23"/>
      <c r="KHM23"/>
      <c r="KHN23"/>
      <c r="KHO23"/>
      <c r="KHP23"/>
      <c r="KHQ23"/>
      <c r="KHR23"/>
      <c r="KHS23"/>
      <c r="KHT23"/>
      <c r="KHU23"/>
      <c r="KHV23"/>
      <c r="KHW23"/>
      <c r="KHX23"/>
      <c r="KHY23"/>
      <c r="KHZ23"/>
      <c r="KIA23"/>
      <c r="KIB23"/>
      <c r="KIC23"/>
      <c r="KID23"/>
      <c r="KIE23"/>
      <c r="KIF23"/>
      <c r="KIG23"/>
      <c r="KIH23"/>
      <c r="KII23"/>
      <c r="KIJ23"/>
      <c r="KIK23"/>
      <c r="KIL23"/>
      <c r="KIM23"/>
      <c r="KIN23"/>
      <c r="KIO23"/>
      <c r="KIP23"/>
      <c r="KIQ23"/>
      <c r="KIR23"/>
      <c r="KIS23"/>
      <c r="KIT23"/>
      <c r="KIU23"/>
      <c r="KIV23"/>
      <c r="KIW23"/>
      <c r="KIX23"/>
      <c r="KIY23"/>
      <c r="KIZ23"/>
      <c r="KJA23"/>
      <c r="KJB23"/>
      <c r="KJC23"/>
      <c r="KJD23"/>
      <c r="KJE23"/>
      <c r="KJF23"/>
      <c r="KJG23"/>
      <c r="KJH23"/>
      <c r="KJI23"/>
      <c r="KJJ23"/>
      <c r="KJK23"/>
      <c r="KJL23"/>
      <c r="KJM23"/>
      <c r="KJN23"/>
      <c r="KJO23"/>
      <c r="KJP23"/>
      <c r="KJQ23"/>
      <c r="KJR23"/>
      <c r="KJS23"/>
      <c r="KJT23"/>
      <c r="KJU23"/>
      <c r="KJV23"/>
      <c r="KJW23"/>
      <c r="KJX23"/>
      <c r="KJY23"/>
      <c r="KJZ23"/>
      <c r="KKA23"/>
      <c r="KKB23"/>
      <c r="KKC23"/>
      <c r="KKD23"/>
      <c r="KKE23"/>
      <c r="KKF23"/>
      <c r="KKG23"/>
      <c r="KKH23"/>
      <c r="KKI23"/>
      <c r="KKJ23"/>
      <c r="KKK23"/>
      <c r="KKL23"/>
      <c r="KKM23"/>
      <c r="KKN23"/>
      <c r="KKO23"/>
      <c r="KKP23"/>
      <c r="KKQ23"/>
      <c r="KKR23"/>
      <c r="KKS23"/>
      <c r="KKT23"/>
      <c r="KKU23"/>
      <c r="KKV23"/>
      <c r="KKW23"/>
      <c r="KKX23"/>
      <c r="KKY23"/>
      <c r="KKZ23"/>
      <c r="KLA23"/>
      <c r="KLB23"/>
      <c r="KLC23"/>
      <c r="KLD23"/>
      <c r="KLE23"/>
      <c r="KLF23"/>
      <c r="KLG23"/>
      <c r="KLH23"/>
      <c r="KLI23"/>
      <c r="KLJ23"/>
      <c r="KLK23"/>
      <c r="KLL23"/>
      <c r="KLM23"/>
      <c r="KLN23"/>
      <c r="KLO23"/>
      <c r="KLP23"/>
      <c r="KLQ23"/>
      <c r="KLR23"/>
      <c r="KLS23"/>
      <c r="KLT23"/>
      <c r="KLU23"/>
      <c r="KLV23"/>
      <c r="KLW23"/>
      <c r="KLX23"/>
      <c r="KLY23"/>
      <c r="KLZ23"/>
      <c r="KMA23"/>
      <c r="KMB23"/>
      <c r="KMC23"/>
      <c r="KMD23"/>
      <c r="KME23"/>
      <c r="KMF23"/>
      <c r="KMG23"/>
      <c r="KMH23"/>
      <c r="KMI23"/>
      <c r="KMJ23"/>
      <c r="KMK23"/>
      <c r="KML23"/>
      <c r="KMM23"/>
      <c r="KMN23"/>
      <c r="KMO23"/>
      <c r="KMP23"/>
      <c r="KMQ23"/>
      <c r="KMR23"/>
      <c r="KMS23"/>
      <c r="KMT23"/>
      <c r="KMU23"/>
      <c r="KMV23"/>
      <c r="KMW23"/>
      <c r="KMX23"/>
      <c r="KMY23"/>
      <c r="KMZ23"/>
      <c r="KNA23"/>
      <c r="KNB23"/>
      <c r="KNC23"/>
      <c r="KND23"/>
      <c r="KNE23"/>
      <c r="KNF23"/>
      <c r="KNG23"/>
      <c r="KNH23"/>
      <c r="KNI23"/>
      <c r="KNJ23"/>
      <c r="KNK23"/>
      <c r="KNL23"/>
      <c r="KNM23"/>
      <c r="KNN23"/>
      <c r="KNO23"/>
      <c r="KNP23"/>
      <c r="KNQ23"/>
      <c r="KNR23"/>
      <c r="KNS23"/>
      <c r="KNT23"/>
      <c r="KNU23"/>
      <c r="KNV23"/>
      <c r="KNW23"/>
      <c r="KNX23"/>
      <c r="KNY23"/>
      <c r="KNZ23"/>
      <c r="KOA23"/>
      <c r="KOB23"/>
      <c r="KOC23"/>
      <c r="KOD23"/>
      <c r="KOE23"/>
      <c r="KOF23"/>
      <c r="KOG23"/>
      <c r="KOH23"/>
      <c r="KOI23"/>
      <c r="KOJ23"/>
      <c r="KOK23"/>
      <c r="KOL23"/>
      <c r="KOM23"/>
      <c r="KON23"/>
      <c r="KOO23"/>
      <c r="KOP23"/>
      <c r="KOQ23"/>
      <c r="KOR23"/>
      <c r="KOS23"/>
      <c r="KOT23"/>
      <c r="KOU23"/>
      <c r="KOV23"/>
      <c r="KOW23"/>
      <c r="KOX23"/>
      <c r="KOY23"/>
      <c r="KOZ23"/>
      <c r="KPA23"/>
      <c r="KPB23"/>
      <c r="KPC23"/>
      <c r="KPD23"/>
      <c r="KPE23"/>
      <c r="KPF23"/>
      <c r="KPG23"/>
      <c r="KPH23"/>
      <c r="KPI23"/>
      <c r="KPJ23"/>
      <c r="KPK23"/>
      <c r="KPL23"/>
      <c r="KPM23"/>
      <c r="KPN23"/>
      <c r="KPO23"/>
      <c r="KPP23"/>
      <c r="KPQ23"/>
      <c r="KPR23"/>
      <c r="KPS23"/>
      <c r="KPT23"/>
      <c r="KPU23"/>
      <c r="KPV23"/>
      <c r="KPW23"/>
      <c r="KPX23"/>
      <c r="KPY23"/>
      <c r="KPZ23"/>
      <c r="KQA23"/>
      <c r="KQB23"/>
      <c r="KQC23"/>
      <c r="KQD23"/>
      <c r="KQE23"/>
      <c r="KQF23"/>
      <c r="KQG23"/>
      <c r="KQH23"/>
      <c r="KQI23"/>
      <c r="KQJ23"/>
      <c r="KQK23"/>
      <c r="KQL23"/>
      <c r="KQM23"/>
      <c r="KQN23"/>
      <c r="KQO23"/>
      <c r="KQP23"/>
      <c r="KQQ23"/>
      <c r="KQR23"/>
      <c r="KQS23"/>
      <c r="KQT23"/>
      <c r="KQU23"/>
      <c r="KQV23"/>
      <c r="KQW23"/>
      <c r="KQX23"/>
      <c r="KQY23"/>
      <c r="KQZ23"/>
      <c r="KRA23"/>
      <c r="KRB23"/>
      <c r="KRC23"/>
      <c r="KRD23"/>
      <c r="KRE23"/>
      <c r="KRF23"/>
      <c r="KRG23"/>
      <c r="KRH23"/>
      <c r="KRI23"/>
      <c r="KRJ23"/>
      <c r="KRK23"/>
      <c r="KRL23"/>
      <c r="KRM23"/>
      <c r="KRN23"/>
      <c r="KRO23"/>
      <c r="KRP23"/>
      <c r="KRQ23"/>
      <c r="KRR23"/>
      <c r="KRS23"/>
      <c r="KRT23"/>
      <c r="KRU23"/>
      <c r="KRV23"/>
      <c r="KRW23"/>
      <c r="KRX23"/>
      <c r="KRY23"/>
      <c r="KRZ23"/>
      <c r="KSA23"/>
      <c r="KSB23"/>
      <c r="KSC23"/>
      <c r="KSD23"/>
      <c r="KSE23"/>
      <c r="KSF23"/>
      <c r="KSG23"/>
      <c r="KSH23"/>
      <c r="KSI23"/>
      <c r="KSJ23"/>
      <c r="KSK23"/>
      <c r="KSL23"/>
      <c r="KSM23"/>
      <c r="KSN23"/>
      <c r="KSO23"/>
      <c r="KSP23"/>
      <c r="KSQ23"/>
      <c r="KSR23"/>
      <c r="KSS23"/>
      <c r="KST23"/>
      <c r="KSU23"/>
      <c r="KSV23"/>
      <c r="KSW23"/>
      <c r="KSX23"/>
      <c r="KSY23"/>
      <c r="KSZ23"/>
      <c r="KTA23"/>
      <c r="KTB23"/>
      <c r="KTC23"/>
      <c r="KTD23"/>
      <c r="KTE23"/>
      <c r="KTF23"/>
      <c r="KTG23"/>
      <c r="KTH23"/>
      <c r="KTI23"/>
      <c r="KTJ23"/>
      <c r="KTK23"/>
      <c r="KTL23"/>
      <c r="KTM23"/>
      <c r="KTN23"/>
      <c r="KTO23"/>
      <c r="KTP23"/>
      <c r="KTQ23"/>
      <c r="KTR23"/>
      <c r="KTS23"/>
      <c r="KTT23"/>
      <c r="KTU23"/>
      <c r="KTV23"/>
      <c r="KTW23"/>
      <c r="KTX23"/>
      <c r="KTY23"/>
      <c r="KTZ23"/>
      <c r="KUA23"/>
      <c r="KUB23"/>
      <c r="KUC23"/>
      <c r="KUD23"/>
      <c r="KUE23"/>
      <c r="KUF23"/>
      <c r="KUG23"/>
      <c r="KUH23"/>
      <c r="KUI23"/>
      <c r="KUJ23"/>
      <c r="KUK23"/>
      <c r="KUL23"/>
      <c r="KUM23"/>
      <c r="KUN23"/>
      <c r="KUO23"/>
      <c r="KUP23"/>
      <c r="KUQ23"/>
      <c r="KUR23"/>
      <c r="KUS23"/>
      <c r="KUT23"/>
      <c r="KUU23"/>
      <c r="KUV23"/>
      <c r="KUW23"/>
      <c r="KUX23"/>
      <c r="KUY23"/>
      <c r="KUZ23"/>
      <c r="KVA23"/>
      <c r="KVB23"/>
      <c r="KVC23"/>
      <c r="KVD23"/>
      <c r="KVE23"/>
      <c r="KVF23"/>
      <c r="KVG23"/>
      <c r="KVH23"/>
      <c r="KVI23"/>
      <c r="KVJ23"/>
      <c r="KVK23"/>
      <c r="KVL23"/>
      <c r="KVM23"/>
      <c r="KVN23"/>
      <c r="KVO23"/>
      <c r="KVP23"/>
      <c r="KVQ23"/>
      <c r="KVR23"/>
      <c r="KVS23"/>
      <c r="KVT23"/>
      <c r="KVU23"/>
      <c r="KVV23"/>
      <c r="KVW23"/>
      <c r="KVX23"/>
      <c r="KVY23"/>
      <c r="KVZ23"/>
      <c r="KWA23"/>
      <c r="KWB23"/>
      <c r="KWC23"/>
      <c r="KWD23"/>
      <c r="KWE23"/>
      <c r="KWF23"/>
      <c r="KWG23"/>
      <c r="KWH23"/>
      <c r="KWI23"/>
      <c r="KWJ23"/>
      <c r="KWK23"/>
      <c r="KWL23"/>
      <c r="KWM23"/>
      <c r="KWN23"/>
      <c r="KWO23"/>
      <c r="KWP23"/>
      <c r="KWQ23"/>
      <c r="KWR23"/>
      <c r="KWS23"/>
      <c r="KWT23"/>
      <c r="KWU23"/>
      <c r="KWV23"/>
      <c r="KWW23"/>
      <c r="KWX23"/>
      <c r="KWY23"/>
      <c r="KWZ23"/>
      <c r="KXA23"/>
      <c r="KXB23"/>
      <c r="KXC23"/>
      <c r="KXD23"/>
      <c r="KXE23"/>
      <c r="KXF23"/>
      <c r="KXG23"/>
      <c r="KXH23"/>
      <c r="KXI23"/>
      <c r="KXJ23"/>
      <c r="KXK23"/>
      <c r="KXL23"/>
      <c r="KXM23"/>
      <c r="KXN23"/>
      <c r="KXO23"/>
      <c r="KXP23"/>
      <c r="KXQ23"/>
      <c r="KXR23"/>
      <c r="KXS23"/>
      <c r="KXT23"/>
      <c r="KXU23"/>
      <c r="KXV23"/>
      <c r="KXW23"/>
      <c r="KXX23"/>
      <c r="KXY23"/>
      <c r="KXZ23"/>
      <c r="KYA23"/>
      <c r="KYB23"/>
      <c r="KYC23"/>
      <c r="KYD23"/>
      <c r="KYE23"/>
      <c r="KYF23"/>
      <c r="KYG23"/>
      <c r="KYH23"/>
      <c r="KYI23"/>
      <c r="KYJ23"/>
      <c r="KYK23"/>
      <c r="KYL23"/>
      <c r="KYM23"/>
      <c r="KYN23"/>
      <c r="KYO23"/>
      <c r="KYP23"/>
      <c r="KYQ23"/>
      <c r="KYR23"/>
      <c r="KYS23"/>
      <c r="KYT23"/>
      <c r="KYU23"/>
      <c r="KYV23"/>
      <c r="KYW23"/>
      <c r="KYX23"/>
      <c r="KYY23"/>
      <c r="KYZ23"/>
      <c r="KZA23"/>
      <c r="KZB23"/>
      <c r="KZC23"/>
      <c r="KZD23"/>
      <c r="KZE23"/>
      <c r="KZF23"/>
      <c r="KZG23"/>
      <c r="KZH23"/>
      <c r="KZI23"/>
      <c r="KZJ23"/>
      <c r="KZK23"/>
      <c r="KZL23"/>
      <c r="KZM23"/>
      <c r="KZN23"/>
      <c r="KZO23"/>
      <c r="KZP23"/>
      <c r="KZQ23"/>
      <c r="KZR23"/>
      <c r="KZS23"/>
      <c r="KZT23"/>
      <c r="KZU23"/>
      <c r="KZV23"/>
      <c r="KZW23"/>
      <c r="KZX23"/>
      <c r="KZY23"/>
      <c r="KZZ23"/>
      <c r="LAA23"/>
      <c r="LAB23"/>
      <c r="LAC23"/>
      <c r="LAD23"/>
      <c r="LAE23"/>
      <c r="LAF23"/>
      <c r="LAG23"/>
      <c r="LAH23"/>
      <c r="LAI23"/>
      <c r="LAJ23"/>
      <c r="LAK23"/>
      <c r="LAL23"/>
      <c r="LAM23"/>
      <c r="LAN23"/>
      <c r="LAO23"/>
      <c r="LAP23"/>
      <c r="LAQ23"/>
      <c r="LAR23"/>
      <c r="LAS23"/>
      <c r="LAT23"/>
      <c r="LAU23"/>
      <c r="LAV23"/>
      <c r="LAW23"/>
      <c r="LAX23"/>
      <c r="LAY23"/>
      <c r="LAZ23"/>
      <c r="LBA23"/>
      <c r="LBB23"/>
      <c r="LBC23"/>
      <c r="LBD23"/>
      <c r="LBE23"/>
      <c r="LBF23"/>
      <c r="LBG23"/>
      <c r="LBH23"/>
      <c r="LBI23"/>
      <c r="LBJ23"/>
      <c r="LBK23"/>
      <c r="LBL23"/>
      <c r="LBM23"/>
      <c r="LBN23"/>
      <c r="LBO23"/>
      <c r="LBP23"/>
      <c r="LBQ23"/>
      <c r="LBR23"/>
      <c r="LBS23"/>
      <c r="LBT23"/>
      <c r="LBU23"/>
      <c r="LBV23"/>
      <c r="LBW23"/>
      <c r="LBX23"/>
      <c r="LBY23"/>
      <c r="LBZ23"/>
      <c r="LCA23"/>
      <c r="LCB23"/>
      <c r="LCC23"/>
      <c r="LCD23"/>
      <c r="LCE23"/>
      <c r="LCF23"/>
      <c r="LCG23"/>
      <c r="LCH23"/>
      <c r="LCI23"/>
      <c r="LCJ23"/>
      <c r="LCK23"/>
      <c r="LCL23"/>
      <c r="LCM23"/>
      <c r="LCN23"/>
      <c r="LCO23"/>
      <c r="LCP23"/>
      <c r="LCQ23"/>
      <c r="LCR23"/>
      <c r="LCS23"/>
      <c r="LCT23"/>
      <c r="LCU23"/>
      <c r="LCV23"/>
      <c r="LCW23"/>
      <c r="LCX23"/>
      <c r="LCY23"/>
      <c r="LCZ23"/>
      <c r="LDA23"/>
      <c r="LDB23"/>
      <c r="LDC23"/>
      <c r="LDD23"/>
      <c r="LDE23"/>
      <c r="LDF23"/>
      <c r="LDG23"/>
      <c r="LDH23"/>
      <c r="LDI23"/>
      <c r="LDJ23"/>
      <c r="LDK23"/>
      <c r="LDL23"/>
      <c r="LDM23"/>
      <c r="LDN23"/>
      <c r="LDO23"/>
      <c r="LDP23"/>
      <c r="LDQ23"/>
      <c r="LDR23"/>
      <c r="LDS23"/>
      <c r="LDT23"/>
      <c r="LDU23"/>
      <c r="LDV23"/>
      <c r="LDW23"/>
      <c r="LDX23"/>
      <c r="LDY23"/>
      <c r="LDZ23"/>
      <c r="LEA23"/>
      <c r="LEB23"/>
      <c r="LEC23"/>
      <c r="LED23"/>
      <c r="LEE23"/>
      <c r="LEF23"/>
      <c r="LEG23"/>
      <c r="LEH23"/>
      <c r="LEI23"/>
      <c r="LEJ23"/>
      <c r="LEK23"/>
      <c r="LEL23"/>
      <c r="LEM23"/>
      <c r="LEN23"/>
      <c r="LEO23"/>
      <c r="LEP23"/>
      <c r="LEQ23"/>
      <c r="LER23"/>
      <c r="LES23"/>
      <c r="LET23"/>
      <c r="LEU23"/>
      <c r="LEV23"/>
      <c r="LEW23"/>
      <c r="LEX23"/>
      <c r="LEY23"/>
      <c r="LEZ23"/>
      <c r="LFA23"/>
      <c r="LFB23"/>
      <c r="LFC23"/>
      <c r="LFD23"/>
      <c r="LFE23"/>
      <c r="LFF23"/>
      <c r="LFG23"/>
      <c r="LFH23"/>
      <c r="LFI23"/>
      <c r="LFJ23"/>
      <c r="LFK23"/>
      <c r="LFL23"/>
      <c r="LFM23"/>
      <c r="LFN23"/>
      <c r="LFO23"/>
      <c r="LFP23"/>
      <c r="LFQ23"/>
      <c r="LFR23"/>
      <c r="LFS23"/>
      <c r="LFT23"/>
      <c r="LFU23"/>
      <c r="LFV23"/>
      <c r="LFW23"/>
      <c r="LFX23"/>
      <c r="LFY23"/>
      <c r="LFZ23"/>
      <c r="LGA23"/>
      <c r="LGB23"/>
      <c r="LGC23"/>
      <c r="LGD23"/>
      <c r="LGE23"/>
      <c r="LGF23"/>
      <c r="LGG23"/>
      <c r="LGH23"/>
      <c r="LGI23"/>
      <c r="LGJ23"/>
      <c r="LGK23"/>
      <c r="LGL23"/>
      <c r="LGM23"/>
      <c r="LGN23"/>
      <c r="LGO23"/>
      <c r="LGP23"/>
      <c r="LGQ23"/>
      <c r="LGR23"/>
      <c r="LGS23"/>
      <c r="LGT23"/>
      <c r="LGU23"/>
      <c r="LGV23"/>
      <c r="LGW23"/>
      <c r="LGX23"/>
      <c r="LGY23"/>
      <c r="LGZ23"/>
      <c r="LHA23"/>
      <c r="LHB23"/>
      <c r="LHC23"/>
      <c r="LHD23"/>
      <c r="LHE23"/>
      <c r="LHF23"/>
      <c r="LHG23"/>
      <c r="LHH23"/>
      <c r="LHI23"/>
      <c r="LHJ23"/>
      <c r="LHK23"/>
      <c r="LHL23"/>
      <c r="LHM23"/>
      <c r="LHN23"/>
      <c r="LHO23"/>
      <c r="LHP23"/>
      <c r="LHQ23"/>
      <c r="LHR23"/>
      <c r="LHS23"/>
      <c r="LHT23"/>
      <c r="LHU23"/>
      <c r="LHV23"/>
      <c r="LHW23"/>
      <c r="LHX23"/>
      <c r="LHY23"/>
      <c r="LHZ23"/>
      <c r="LIA23"/>
      <c r="LIB23"/>
      <c r="LIC23"/>
      <c r="LID23"/>
      <c r="LIE23"/>
      <c r="LIF23"/>
      <c r="LIG23"/>
      <c r="LIH23"/>
      <c r="LII23"/>
      <c r="LIJ23"/>
      <c r="LIK23"/>
      <c r="LIL23"/>
      <c r="LIM23"/>
      <c r="LIN23"/>
      <c r="LIO23"/>
      <c r="LIP23"/>
      <c r="LIQ23"/>
      <c r="LIR23"/>
      <c r="LIS23"/>
      <c r="LIT23"/>
      <c r="LIU23"/>
      <c r="LIV23"/>
      <c r="LIW23"/>
      <c r="LIX23"/>
      <c r="LIY23"/>
      <c r="LIZ23"/>
      <c r="LJA23"/>
      <c r="LJB23"/>
      <c r="LJC23"/>
      <c r="LJD23"/>
      <c r="LJE23"/>
      <c r="LJF23"/>
      <c r="LJG23"/>
      <c r="LJH23"/>
      <c r="LJI23"/>
      <c r="LJJ23"/>
      <c r="LJK23"/>
      <c r="LJL23"/>
      <c r="LJM23"/>
      <c r="LJN23"/>
      <c r="LJO23"/>
      <c r="LJP23"/>
      <c r="LJQ23"/>
      <c r="LJR23"/>
      <c r="LJS23"/>
      <c r="LJT23"/>
      <c r="LJU23"/>
      <c r="LJV23"/>
      <c r="LJW23"/>
      <c r="LJX23"/>
      <c r="LJY23"/>
      <c r="LJZ23"/>
      <c r="LKA23"/>
      <c r="LKB23"/>
      <c r="LKC23"/>
      <c r="LKD23"/>
      <c r="LKE23"/>
      <c r="LKF23"/>
      <c r="LKG23"/>
      <c r="LKH23"/>
      <c r="LKI23"/>
      <c r="LKJ23"/>
      <c r="LKK23"/>
      <c r="LKL23"/>
      <c r="LKM23"/>
      <c r="LKN23"/>
      <c r="LKO23"/>
      <c r="LKP23"/>
      <c r="LKQ23"/>
      <c r="LKR23"/>
      <c r="LKS23"/>
      <c r="LKT23"/>
      <c r="LKU23"/>
      <c r="LKV23"/>
      <c r="LKW23"/>
      <c r="LKX23"/>
      <c r="LKY23"/>
      <c r="LKZ23"/>
      <c r="LLA23"/>
      <c r="LLB23"/>
      <c r="LLC23"/>
      <c r="LLD23"/>
      <c r="LLE23"/>
      <c r="LLF23"/>
      <c r="LLG23"/>
      <c r="LLH23"/>
      <c r="LLI23"/>
      <c r="LLJ23"/>
      <c r="LLK23"/>
      <c r="LLL23"/>
      <c r="LLM23"/>
      <c r="LLN23"/>
      <c r="LLO23"/>
      <c r="LLP23"/>
      <c r="LLQ23"/>
      <c r="LLR23"/>
      <c r="LLS23"/>
      <c r="LLT23"/>
      <c r="LLU23"/>
      <c r="LLV23"/>
      <c r="LLW23"/>
      <c r="LLX23"/>
      <c r="LLY23"/>
      <c r="LLZ23"/>
      <c r="LMA23"/>
      <c r="LMB23"/>
      <c r="LMC23"/>
      <c r="LMD23"/>
      <c r="LME23"/>
      <c r="LMF23"/>
      <c r="LMG23"/>
      <c r="LMH23"/>
      <c r="LMI23"/>
      <c r="LMJ23"/>
      <c r="LMK23"/>
      <c r="LML23"/>
      <c r="LMM23"/>
      <c r="LMN23"/>
      <c r="LMO23"/>
      <c r="LMP23"/>
      <c r="LMQ23"/>
      <c r="LMR23"/>
      <c r="LMS23"/>
      <c r="LMT23"/>
      <c r="LMU23"/>
      <c r="LMV23"/>
      <c r="LMW23"/>
      <c r="LMX23"/>
      <c r="LMY23"/>
      <c r="LMZ23"/>
      <c r="LNA23"/>
      <c r="LNB23"/>
      <c r="LNC23"/>
      <c r="LND23"/>
      <c r="LNE23"/>
      <c r="LNF23"/>
      <c r="LNG23"/>
      <c r="LNH23"/>
      <c r="LNI23"/>
      <c r="LNJ23"/>
      <c r="LNK23"/>
      <c r="LNL23"/>
      <c r="LNM23"/>
      <c r="LNN23"/>
      <c r="LNO23"/>
      <c r="LNP23"/>
      <c r="LNQ23"/>
      <c r="LNR23"/>
      <c r="LNS23"/>
      <c r="LNT23"/>
      <c r="LNU23"/>
      <c r="LNV23"/>
      <c r="LNW23"/>
      <c r="LNX23"/>
      <c r="LNY23"/>
      <c r="LNZ23"/>
      <c r="LOA23"/>
      <c r="LOB23"/>
      <c r="LOC23"/>
      <c r="LOD23"/>
      <c r="LOE23"/>
      <c r="LOF23"/>
      <c r="LOG23"/>
      <c r="LOH23"/>
      <c r="LOI23"/>
      <c r="LOJ23"/>
      <c r="LOK23"/>
      <c r="LOL23"/>
      <c r="LOM23"/>
      <c r="LON23"/>
      <c r="LOO23"/>
      <c r="LOP23"/>
      <c r="LOQ23"/>
      <c r="LOR23"/>
      <c r="LOS23"/>
      <c r="LOT23"/>
      <c r="LOU23"/>
      <c r="LOV23"/>
      <c r="LOW23"/>
      <c r="LOX23"/>
      <c r="LOY23"/>
      <c r="LOZ23"/>
      <c r="LPA23"/>
      <c r="LPB23"/>
      <c r="LPC23"/>
      <c r="LPD23"/>
      <c r="LPE23"/>
      <c r="LPF23"/>
      <c r="LPG23"/>
      <c r="LPH23"/>
      <c r="LPI23"/>
      <c r="LPJ23"/>
      <c r="LPK23"/>
      <c r="LPL23"/>
      <c r="LPM23"/>
      <c r="LPN23"/>
      <c r="LPO23"/>
      <c r="LPP23"/>
      <c r="LPQ23"/>
      <c r="LPR23"/>
      <c r="LPS23"/>
      <c r="LPT23"/>
      <c r="LPU23"/>
      <c r="LPV23"/>
      <c r="LPW23"/>
      <c r="LPX23"/>
      <c r="LPY23"/>
      <c r="LPZ23"/>
      <c r="LQA23"/>
      <c r="LQB23"/>
      <c r="LQC23"/>
      <c r="LQD23"/>
      <c r="LQE23"/>
      <c r="LQF23"/>
      <c r="LQG23"/>
      <c r="LQH23"/>
      <c r="LQI23"/>
      <c r="LQJ23"/>
      <c r="LQK23"/>
      <c r="LQL23"/>
      <c r="LQM23"/>
      <c r="LQN23"/>
      <c r="LQO23"/>
      <c r="LQP23"/>
      <c r="LQQ23"/>
      <c r="LQR23"/>
      <c r="LQS23"/>
      <c r="LQT23"/>
      <c r="LQU23"/>
      <c r="LQV23"/>
      <c r="LQW23"/>
      <c r="LQX23"/>
      <c r="LQY23"/>
      <c r="LQZ23"/>
      <c r="LRA23"/>
      <c r="LRB23"/>
      <c r="LRC23"/>
      <c r="LRD23"/>
      <c r="LRE23"/>
      <c r="LRF23"/>
      <c r="LRG23"/>
      <c r="LRH23"/>
      <c r="LRI23"/>
      <c r="LRJ23"/>
      <c r="LRK23"/>
      <c r="LRL23"/>
      <c r="LRM23"/>
      <c r="LRN23"/>
      <c r="LRO23"/>
      <c r="LRP23"/>
      <c r="LRQ23"/>
      <c r="LRR23"/>
      <c r="LRS23"/>
      <c r="LRT23"/>
      <c r="LRU23"/>
      <c r="LRV23"/>
      <c r="LRW23"/>
      <c r="LRX23"/>
      <c r="LRY23"/>
      <c r="LRZ23"/>
      <c r="LSA23"/>
      <c r="LSB23"/>
      <c r="LSC23"/>
      <c r="LSD23"/>
      <c r="LSE23"/>
      <c r="LSF23"/>
      <c r="LSG23"/>
      <c r="LSH23"/>
      <c r="LSI23"/>
      <c r="LSJ23"/>
      <c r="LSK23"/>
      <c r="LSL23"/>
      <c r="LSM23"/>
      <c r="LSN23"/>
      <c r="LSO23"/>
      <c r="LSP23"/>
      <c r="LSQ23"/>
      <c r="LSR23"/>
      <c r="LSS23"/>
      <c r="LST23"/>
      <c r="LSU23"/>
      <c r="LSV23"/>
      <c r="LSW23"/>
      <c r="LSX23"/>
      <c r="LSY23"/>
      <c r="LSZ23"/>
      <c r="LTA23"/>
      <c r="LTB23"/>
      <c r="LTC23"/>
      <c r="LTD23"/>
      <c r="LTE23"/>
      <c r="LTF23"/>
      <c r="LTG23"/>
      <c r="LTH23"/>
      <c r="LTI23"/>
      <c r="LTJ23"/>
      <c r="LTK23"/>
      <c r="LTL23"/>
      <c r="LTM23"/>
      <c r="LTN23"/>
      <c r="LTO23"/>
      <c r="LTP23"/>
      <c r="LTQ23"/>
      <c r="LTR23"/>
      <c r="LTS23"/>
      <c r="LTT23"/>
      <c r="LTU23"/>
      <c r="LTV23"/>
      <c r="LTW23"/>
      <c r="LTX23"/>
      <c r="LTY23"/>
      <c r="LTZ23"/>
      <c r="LUA23"/>
      <c r="LUB23"/>
      <c r="LUC23"/>
      <c r="LUD23"/>
      <c r="LUE23"/>
      <c r="LUF23"/>
      <c r="LUG23"/>
      <c r="LUH23"/>
      <c r="LUI23"/>
      <c r="LUJ23"/>
      <c r="LUK23"/>
      <c r="LUL23"/>
      <c r="LUM23"/>
      <c r="LUN23"/>
      <c r="LUO23"/>
      <c r="LUP23"/>
      <c r="LUQ23"/>
      <c r="LUR23"/>
      <c r="LUS23"/>
      <c r="LUT23"/>
      <c r="LUU23"/>
      <c r="LUV23"/>
      <c r="LUW23"/>
      <c r="LUX23"/>
      <c r="LUY23"/>
      <c r="LUZ23"/>
      <c r="LVA23"/>
      <c r="LVB23"/>
      <c r="LVC23"/>
      <c r="LVD23"/>
      <c r="LVE23"/>
      <c r="LVF23"/>
      <c r="LVG23"/>
      <c r="LVH23"/>
      <c r="LVI23"/>
      <c r="LVJ23"/>
      <c r="LVK23"/>
      <c r="LVL23"/>
      <c r="LVM23"/>
      <c r="LVN23"/>
      <c r="LVO23"/>
      <c r="LVP23"/>
      <c r="LVQ23"/>
      <c r="LVR23"/>
      <c r="LVS23"/>
      <c r="LVT23"/>
      <c r="LVU23"/>
      <c r="LVV23"/>
      <c r="LVW23"/>
      <c r="LVX23"/>
      <c r="LVY23"/>
      <c r="LVZ23"/>
      <c r="LWA23"/>
      <c r="LWB23"/>
      <c r="LWC23"/>
      <c r="LWD23"/>
      <c r="LWE23"/>
      <c r="LWF23"/>
      <c r="LWG23"/>
      <c r="LWH23"/>
      <c r="LWI23"/>
      <c r="LWJ23"/>
      <c r="LWK23"/>
      <c r="LWL23"/>
      <c r="LWM23"/>
      <c r="LWN23"/>
      <c r="LWO23"/>
      <c r="LWP23"/>
      <c r="LWQ23"/>
      <c r="LWR23"/>
      <c r="LWS23"/>
      <c r="LWT23"/>
      <c r="LWU23"/>
      <c r="LWV23"/>
      <c r="LWW23"/>
      <c r="LWX23"/>
      <c r="LWY23"/>
      <c r="LWZ23"/>
      <c r="LXA23"/>
      <c r="LXB23"/>
      <c r="LXC23"/>
      <c r="LXD23"/>
      <c r="LXE23"/>
      <c r="LXF23"/>
      <c r="LXG23"/>
      <c r="LXH23"/>
      <c r="LXI23"/>
      <c r="LXJ23"/>
      <c r="LXK23"/>
      <c r="LXL23"/>
      <c r="LXM23"/>
      <c r="LXN23"/>
      <c r="LXO23"/>
      <c r="LXP23"/>
      <c r="LXQ23"/>
      <c r="LXR23"/>
      <c r="LXS23"/>
      <c r="LXT23"/>
      <c r="LXU23"/>
      <c r="LXV23"/>
      <c r="LXW23"/>
      <c r="LXX23"/>
      <c r="LXY23"/>
      <c r="LXZ23"/>
      <c r="LYA23"/>
      <c r="LYB23"/>
      <c r="LYC23"/>
      <c r="LYD23"/>
      <c r="LYE23"/>
      <c r="LYF23"/>
      <c r="LYG23"/>
      <c r="LYH23"/>
      <c r="LYI23"/>
      <c r="LYJ23"/>
      <c r="LYK23"/>
      <c r="LYL23"/>
      <c r="LYM23"/>
      <c r="LYN23"/>
      <c r="LYO23"/>
      <c r="LYP23"/>
      <c r="LYQ23"/>
      <c r="LYR23"/>
      <c r="LYS23"/>
      <c r="LYT23"/>
      <c r="LYU23"/>
      <c r="LYV23"/>
      <c r="LYW23"/>
      <c r="LYX23"/>
      <c r="LYY23"/>
      <c r="LYZ23"/>
      <c r="LZA23"/>
      <c r="LZB23"/>
      <c r="LZC23"/>
      <c r="LZD23"/>
      <c r="LZE23"/>
      <c r="LZF23"/>
      <c r="LZG23"/>
      <c r="LZH23"/>
      <c r="LZI23"/>
      <c r="LZJ23"/>
      <c r="LZK23"/>
      <c r="LZL23"/>
      <c r="LZM23"/>
      <c r="LZN23"/>
      <c r="LZO23"/>
      <c r="LZP23"/>
      <c r="LZQ23"/>
      <c r="LZR23"/>
      <c r="LZS23"/>
      <c r="LZT23"/>
      <c r="LZU23"/>
      <c r="LZV23"/>
      <c r="LZW23"/>
      <c r="LZX23"/>
      <c r="LZY23"/>
      <c r="LZZ23"/>
      <c r="MAA23"/>
      <c r="MAB23"/>
      <c r="MAC23"/>
      <c r="MAD23"/>
      <c r="MAE23"/>
      <c r="MAF23"/>
      <c r="MAG23"/>
      <c r="MAH23"/>
      <c r="MAI23"/>
      <c r="MAJ23"/>
      <c r="MAK23"/>
      <c r="MAL23"/>
      <c r="MAM23"/>
      <c r="MAN23"/>
      <c r="MAO23"/>
      <c r="MAP23"/>
      <c r="MAQ23"/>
      <c r="MAR23"/>
      <c r="MAS23"/>
      <c r="MAT23"/>
      <c r="MAU23"/>
      <c r="MAV23"/>
      <c r="MAW23"/>
      <c r="MAX23"/>
      <c r="MAY23"/>
      <c r="MAZ23"/>
      <c r="MBA23"/>
      <c r="MBB23"/>
      <c r="MBC23"/>
      <c r="MBD23"/>
      <c r="MBE23"/>
      <c r="MBF23"/>
      <c r="MBG23"/>
      <c r="MBH23"/>
      <c r="MBI23"/>
      <c r="MBJ23"/>
      <c r="MBK23"/>
      <c r="MBL23"/>
      <c r="MBM23"/>
      <c r="MBN23"/>
      <c r="MBO23"/>
      <c r="MBP23"/>
      <c r="MBQ23"/>
      <c r="MBR23"/>
      <c r="MBS23"/>
      <c r="MBT23"/>
      <c r="MBU23"/>
      <c r="MBV23"/>
      <c r="MBW23"/>
      <c r="MBX23"/>
      <c r="MBY23"/>
      <c r="MBZ23"/>
      <c r="MCA23"/>
      <c r="MCB23"/>
      <c r="MCC23"/>
      <c r="MCD23"/>
      <c r="MCE23"/>
      <c r="MCF23"/>
      <c r="MCG23"/>
      <c r="MCH23"/>
      <c r="MCI23"/>
      <c r="MCJ23"/>
      <c r="MCK23"/>
      <c r="MCL23"/>
      <c r="MCM23"/>
      <c r="MCN23"/>
      <c r="MCO23"/>
      <c r="MCP23"/>
      <c r="MCQ23"/>
      <c r="MCR23"/>
      <c r="MCS23"/>
      <c r="MCT23"/>
      <c r="MCU23"/>
      <c r="MCV23"/>
      <c r="MCW23"/>
      <c r="MCX23"/>
      <c r="MCY23"/>
      <c r="MCZ23"/>
      <c r="MDA23"/>
      <c r="MDB23"/>
      <c r="MDC23"/>
      <c r="MDD23"/>
      <c r="MDE23"/>
      <c r="MDF23"/>
      <c r="MDG23"/>
      <c r="MDH23"/>
      <c r="MDI23"/>
      <c r="MDJ23"/>
      <c r="MDK23"/>
      <c r="MDL23"/>
      <c r="MDM23"/>
      <c r="MDN23"/>
      <c r="MDO23"/>
      <c r="MDP23"/>
      <c r="MDQ23"/>
      <c r="MDR23"/>
      <c r="MDS23"/>
      <c r="MDT23"/>
      <c r="MDU23"/>
      <c r="MDV23"/>
      <c r="MDW23"/>
      <c r="MDX23"/>
      <c r="MDY23"/>
      <c r="MDZ23"/>
      <c r="MEA23"/>
      <c r="MEB23"/>
      <c r="MEC23"/>
      <c r="MED23"/>
      <c r="MEE23"/>
      <c r="MEF23"/>
      <c r="MEG23"/>
      <c r="MEH23"/>
      <c r="MEI23"/>
      <c r="MEJ23"/>
      <c r="MEK23"/>
      <c r="MEL23"/>
      <c r="MEM23"/>
      <c r="MEN23"/>
      <c r="MEO23"/>
      <c r="MEP23"/>
      <c r="MEQ23"/>
      <c r="MER23"/>
      <c r="MES23"/>
      <c r="MET23"/>
      <c r="MEU23"/>
      <c r="MEV23"/>
      <c r="MEW23"/>
      <c r="MEX23"/>
      <c r="MEY23"/>
      <c r="MEZ23"/>
      <c r="MFA23"/>
      <c r="MFB23"/>
      <c r="MFC23"/>
      <c r="MFD23"/>
      <c r="MFE23"/>
      <c r="MFF23"/>
      <c r="MFG23"/>
      <c r="MFH23"/>
      <c r="MFI23"/>
      <c r="MFJ23"/>
      <c r="MFK23"/>
      <c r="MFL23"/>
      <c r="MFM23"/>
      <c r="MFN23"/>
      <c r="MFO23"/>
      <c r="MFP23"/>
      <c r="MFQ23"/>
      <c r="MFR23"/>
      <c r="MFS23"/>
      <c r="MFT23"/>
      <c r="MFU23"/>
      <c r="MFV23"/>
      <c r="MFW23"/>
      <c r="MFX23"/>
      <c r="MFY23"/>
      <c r="MFZ23"/>
      <c r="MGA23"/>
      <c r="MGB23"/>
      <c r="MGC23"/>
      <c r="MGD23"/>
      <c r="MGE23"/>
      <c r="MGF23"/>
      <c r="MGG23"/>
      <c r="MGH23"/>
      <c r="MGI23"/>
      <c r="MGJ23"/>
      <c r="MGK23"/>
      <c r="MGL23"/>
      <c r="MGM23"/>
      <c r="MGN23"/>
      <c r="MGO23"/>
      <c r="MGP23"/>
      <c r="MGQ23"/>
      <c r="MGR23"/>
      <c r="MGS23"/>
      <c r="MGT23"/>
      <c r="MGU23"/>
      <c r="MGV23"/>
      <c r="MGW23"/>
      <c r="MGX23"/>
      <c r="MGY23"/>
      <c r="MGZ23"/>
      <c r="MHA23"/>
      <c r="MHB23"/>
      <c r="MHC23"/>
      <c r="MHD23"/>
      <c r="MHE23"/>
      <c r="MHF23"/>
      <c r="MHG23"/>
      <c r="MHH23"/>
      <c r="MHI23"/>
      <c r="MHJ23"/>
      <c r="MHK23"/>
      <c r="MHL23"/>
      <c r="MHM23"/>
      <c r="MHN23"/>
      <c r="MHO23"/>
      <c r="MHP23"/>
      <c r="MHQ23"/>
      <c r="MHR23"/>
      <c r="MHS23"/>
      <c r="MHT23"/>
      <c r="MHU23"/>
      <c r="MHV23"/>
      <c r="MHW23"/>
      <c r="MHX23"/>
      <c r="MHY23"/>
      <c r="MHZ23"/>
      <c r="MIA23"/>
      <c r="MIB23"/>
      <c r="MIC23"/>
      <c r="MID23"/>
      <c r="MIE23"/>
      <c r="MIF23"/>
      <c r="MIG23"/>
      <c r="MIH23"/>
      <c r="MII23"/>
      <c r="MIJ23"/>
      <c r="MIK23"/>
      <c r="MIL23"/>
      <c r="MIM23"/>
      <c r="MIN23"/>
      <c r="MIO23"/>
      <c r="MIP23"/>
      <c r="MIQ23"/>
      <c r="MIR23"/>
      <c r="MIS23"/>
      <c r="MIT23"/>
      <c r="MIU23"/>
      <c r="MIV23"/>
      <c r="MIW23"/>
      <c r="MIX23"/>
      <c r="MIY23"/>
      <c r="MIZ23"/>
      <c r="MJA23"/>
      <c r="MJB23"/>
      <c r="MJC23"/>
      <c r="MJD23"/>
      <c r="MJE23"/>
      <c r="MJF23"/>
      <c r="MJG23"/>
      <c r="MJH23"/>
      <c r="MJI23"/>
      <c r="MJJ23"/>
      <c r="MJK23"/>
      <c r="MJL23"/>
      <c r="MJM23"/>
      <c r="MJN23"/>
      <c r="MJO23"/>
      <c r="MJP23"/>
      <c r="MJQ23"/>
      <c r="MJR23"/>
      <c r="MJS23"/>
      <c r="MJT23"/>
      <c r="MJU23"/>
      <c r="MJV23"/>
      <c r="MJW23"/>
      <c r="MJX23"/>
      <c r="MJY23"/>
      <c r="MJZ23"/>
      <c r="MKA23"/>
      <c r="MKB23"/>
      <c r="MKC23"/>
      <c r="MKD23"/>
      <c r="MKE23"/>
      <c r="MKF23"/>
      <c r="MKG23"/>
      <c r="MKH23"/>
      <c r="MKI23"/>
      <c r="MKJ23"/>
      <c r="MKK23"/>
      <c r="MKL23"/>
      <c r="MKM23"/>
      <c r="MKN23"/>
      <c r="MKO23"/>
      <c r="MKP23"/>
      <c r="MKQ23"/>
      <c r="MKR23"/>
      <c r="MKS23"/>
      <c r="MKT23"/>
      <c r="MKU23"/>
      <c r="MKV23"/>
      <c r="MKW23"/>
      <c r="MKX23"/>
      <c r="MKY23"/>
      <c r="MKZ23"/>
      <c r="MLA23"/>
      <c r="MLB23"/>
      <c r="MLC23"/>
      <c r="MLD23"/>
      <c r="MLE23"/>
      <c r="MLF23"/>
      <c r="MLG23"/>
      <c r="MLH23"/>
      <c r="MLI23"/>
      <c r="MLJ23"/>
      <c r="MLK23"/>
      <c r="MLL23"/>
      <c r="MLM23"/>
      <c r="MLN23"/>
      <c r="MLO23"/>
      <c r="MLP23"/>
      <c r="MLQ23"/>
      <c r="MLR23"/>
      <c r="MLS23"/>
      <c r="MLT23"/>
      <c r="MLU23"/>
      <c r="MLV23"/>
      <c r="MLW23"/>
      <c r="MLX23"/>
      <c r="MLY23"/>
      <c r="MLZ23"/>
      <c r="MMA23"/>
      <c r="MMB23"/>
      <c r="MMC23"/>
      <c r="MMD23"/>
      <c r="MME23"/>
      <c r="MMF23"/>
      <c r="MMG23"/>
      <c r="MMH23"/>
      <c r="MMI23"/>
      <c r="MMJ23"/>
      <c r="MMK23"/>
      <c r="MML23"/>
      <c r="MMM23"/>
      <c r="MMN23"/>
      <c r="MMO23"/>
      <c r="MMP23"/>
      <c r="MMQ23"/>
      <c r="MMR23"/>
      <c r="MMS23"/>
      <c r="MMT23"/>
      <c r="MMU23"/>
      <c r="MMV23"/>
      <c r="MMW23"/>
      <c r="MMX23"/>
      <c r="MMY23"/>
      <c r="MMZ23"/>
      <c r="MNA23"/>
      <c r="MNB23"/>
      <c r="MNC23"/>
      <c r="MND23"/>
      <c r="MNE23"/>
      <c r="MNF23"/>
      <c r="MNG23"/>
      <c r="MNH23"/>
      <c r="MNI23"/>
      <c r="MNJ23"/>
      <c r="MNK23"/>
      <c r="MNL23"/>
      <c r="MNM23"/>
      <c r="MNN23"/>
      <c r="MNO23"/>
      <c r="MNP23"/>
      <c r="MNQ23"/>
      <c r="MNR23"/>
      <c r="MNS23"/>
      <c r="MNT23"/>
      <c r="MNU23"/>
      <c r="MNV23"/>
      <c r="MNW23"/>
      <c r="MNX23"/>
      <c r="MNY23"/>
      <c r="MNZ23"/>
      <c r="MOA23"/>
      <c r="MOB23"/>
      <c r="MOC23"/>
      <c r="MOD23"/>
      <c r="MOE23"/>
      <c r="MOF23"/>
      <c r="MOG23"/>
      <c r="MOH23"/>
      <c r="MOI23"/>
      <c r="MOJ23"/>
      <c r="MOK23"/>
      <c r="MOL23"/>
      <c r="MOM23"/>
      <c r="MON23"/>
      <c r="MOO23"/>
      <c r="MOP23"/>
      <c r="MOQ23"/>
      <c r="MOR23"/>
      <c r="MOS23"/>
      <c r="MOT23"/>
      <c r="MOU23"/>
      <c r="MOV23"/>
      <c r="MOW23"/>
      <c r="MOX23"/>
      <c r="MOY23"/>
      <c r="MOZ23"/>
      <c r="MPA23"/>
      <c r="MPB23"/>
      <c r="MPC23"/>
      <c r="MPD23"/>
      <c r="MPE23"/>
      <c r="MPF23"/>
      <c r="MPG23"/>
      <c r="MPH23"/>
      <c r="MPI23"/>
      <c r="MPJ23"/>
      <c r="MPK23"/>
      <c r="MPL23"/>
      <c r="MPM23"/>
      <c r="MPN23"/>
      <c r="MPO23"/>
      <c r="MPP23"/>
      <c r="MPQ23"/>
      <c r="MPR23"/>
      <c r="MPS23"/>
      <c r="MPT23"/>
      <c r="MPU23"/>
      <c r="MPV23"/>
      <c r="MPW23"/>
      <c r="MPX23"/>
      <c r="MPY23"/>
      <c r="MPZ23"/>
      <c r="MQA23"/>
      <c r="MQB23"/>
      <c r="MQC23"/>
      <c r="MQD23"/>
      <c r="MQE23"/>
      <c r="MQF23"/>
      <c r="MQG23"/>
      <c r="MQH23"/>
      <c r="MQI23"/>
      <c r="MQJ23"/>
      <c r="MQK23"/>
      <c r="MQL23"/>
      <c r="MQM23"/>
      <c r="MQN23"/>
      <c r="MQO23"/>
      <c r="MQP23"/>
      <c r="MQQ23"/>
      <c r="MQR23"/>
      <c r="MQS23"/>
      <c r="MQT23"/>
      <c r="MQU23"/>
      <c r="MQV23"/>
      <c r="MQW23"/>
      <c r="MQX23"/>
      <c r="MQY23"/>
      <c r="MQZ23"/>
      <c r="MRA23"/>
      <c r="MRB23"/>
      <c r="MRC23"/>
      <c r="MRD23"/>
      <c r="MRE23"/>
      <c r="MRF23"/>
      <c r="MRG23"/>
      <c r="MRH23"/>
      <c r="MRI23"/>
      <c r="MRJ23"/>
      <c r="MRK23"/>
      <c r="MRL23"/>
      <c r="MRM23"/>
      <c r="MRN23"/>
      <c r="MRO23"/>
      <c r="MRP23"/>
      <c r="MRQ23"/>
      <c r="MRR23"/>
      <c r="MRS23"/>
      <c r="MRT23"/>
      <c r="MRU23"/>
      <c r="MRV23"/>
      <c r="MRW23"/>
      <c r="MRX23"/>
      <c r="MRY23"/>
      <c r="MRZ23"/>
      <c r="MSA23"/>
      <c r="MSB23"/>
      <c r="MSC23"/>
      <c r="MSD23"/>
      <c r="MSE23"/>
      <c r="MSF23"/>
      <c r="MSG23"/>
      <c r="MSH23"/>
      <c r="MSI23"/>
      <c r="MSJ23"/>
      <c r="MSK23"/>
      <c r="MSL23"/>
      <c r="MSM23"/>
      <c r="MSN23"/>
      <c r="MSO23"/>
      <c r="MSP23"/>
      <c r="MSQ23"/>
      <c r="MSR23"/>
      <c r="MSS23"/>
      <c r="MST23"/>
      <c r="MSU23"/>
      <c r="MSV23"/>
      <c r="MSW23"/>
      <c r="MSX23"/>
      <c r="MSY23"/>
      <c r="MSZ23"/>
      <c r="MTA23"/>
      <c r="MTB23"/>
      <c r="MTC23"/>
      <c r="MTD23"/>
      <c r="MTE23"/>
      <c r="MTF23"/>
      <c r="MTG23"/>
      <c r="MTH23"/>
      <c r="MTI23"/>
      <c r="MTJ23"/>
      <c r="MTK23"/>
      <c r="MTL23"/>
      <c r="MTM23"/>
      <c r="MTN23"/>
      <c r="MTO23"/>
      <c r="MTP23"/>
      <c r="MTQ23"/>
      <c r="MTR23"/>
      <c r="MTS23"/>
      <c r="MTT23"/>
      <c r="MTU23"/>
      <c r="MTV23"/>
      <c r="MTW23"/>
      <c r="MTX23"/>
      <c r="MTY23"/>
      <c r="MTZ23"/>
      <c r="MUA23"/>
      <c r="MUB23"/>
      <c r="MUC23"/>
      <c r="MUD23"/>
      <c r="MUE23"/>
      <c r="MUF23"/>
      <c r="MUG23"/>
      <c r="MUH23"/>
      <c r="MUI23"/>
      <c r="MUJ23"/>
      <c r="MUK23"/>
      <c r="MUL23"/>
      <c r="MUM23"/>
      <c r="MUN23"/>
      <c r="MUO23"/>
      <c r="MUP23"/>
      <c r="MUQ23"/>
      <c r="MUR23"/>
      <c r="MUS23"/>
      <c r="MUT23"/>
      <c r="MUU23"/>
      <c r="MUV23"/>
      <c r="MUW23"/>
      <c r="MUX23"/>
      <c r="MUY23"/>
      <c r="MUZ23"/>
      <c r="MVA23"/>
      <c r="MVB23"/>
      <c r="MVC23"/>
      <c r="MVD23"/>
      <c r="MVE23"/>
      <c r="MVF23"/>
      <c r="MVG23"/>
      <c r="MVH23"/>
      <c r="MVI23"/>
      <c r="MVJ23"/>
      <c r="MVK23"/>
      <c r="MVL23"/>
      <c r="MVM23"/>
      <c r="MVN23"/>
      <c r="MVO23"/>
      <c r="MVP23"/>
      <c r="MVQ23"/>
      <c r="MVR23"/>
      <c r="MVS23"/>
      <c r="MVT23"/>
      <c r="MVU23"/>
      <c r="MVV23"/>
      <c r="MVW23"/>
      <c r="MVX23"/>
      <c r="MVY23"/>
      <c r="MVZ23"/>
      <c r="MWA23"/>
      <c r="MWB23"/>
      <c r="MWC23"/>
      <c r="MWD23"/>
      <c r="MWE23"/>
      <c r="MWF23"/>
      <c r="MWG23"/>
      <c r="MWH23"/>
      <c r="MWI23"/>
      <c r="MWJ23"/>
      <c r="MWK23"/>
      <c r="MWL23"/>
      <c r="MWM23"/>
      <c r="MWN23"/>
      <c r="MWO23"/>
      <c r="MWP23"/>
      <c r="MWQ23"/>
      <c r="MWR23"/>
      <c r="MWS23"/>
      <c r="MWT23"/>
      <c r="MWU23"/>
      <c r="MWV23"/>
      <c r="MWW23"/>
      <c r="MWX23"/>
      <c r="MWY23"/>
      <c r="MWZ23"/>
      <c r="MXA23"/>
      <c r="MXB23"/>
      <c r="MXC23"/>
      <c r="MXD23"/>
      <c r="MXE23"/>
      <c r="MXF23"/>
      <c r="MXG23"/>
      <c r="MXH23"/>
      <c r="MXI23"/>
      <c r="MXJ23"/>
      <c r="MXK23"/>
      <c r="MXL23"/>
      <c r="MXM23"/>
      <c r="MXN23"/>
      <c r="MXO23"/>
      <c r="MXP23"/>
      <c r="MXQ23"/>
      <c r="MXR23"/>
      <c r="MXS23"/>
      <c r="MXT23"/>
      <c r="MXU23"/>
      <c r="MXV23"/>
      <c r="MXW23"/>
      <c r="MXX23"/>
      <c r="MXY23"/>
      <c r="MXZ23"/>
      <c r="MYA23"/>
      <c r="MYB23"/>
      <c r="MYC23"/>
      <c r="MYD23"/>
      <c r="MYE23"/>
      <c r="MYF23"/>
      <c r="MYG23"/>
      <c r="MYH23"/>
      <c r="MYI23"/>
      <c r="MYJ23"/>
      <c r="MYK23"/>
      <c r="MYL23"/>
      <c r="MYM23"/>
      <c r="MYN23"/>
      <c r="MYO23"/>
      <c r="MYP23"/>
      <c r="MYQ23"/>
      <c r="MYR23"/>
      <c r="MYS23"/>
      <c r="MYT23"/>
      <c r="MYU23"/>
      <c r="MYV23"/>
      <c r="MYW23"/>
      <c r="MYX23"/>
      <c r="MYY23"/>
      <c r="MYZ23"/>
      <c r="MZA23"/>
      <c r="MZB23"/>
      <c r="MZC23"/>
      <c r="MZD23"/>
      <c r="MZE23"/>
      <c r="MZF23"/>
      <c r="MZG23"/>
      <c r="MZH23"/>
      <c r="MZI23"/>
      <c r="MZJ23"/>
      <c r="MZK23"/>
      <c r="MZL23"/>
      <c r="MZM23"/>
      <c r="MZN23"/>
      <c r="MZO23"/>
      <c r="MZP23"/>
      <c r="MZQ23"/>
      <c r="MZR23"/>
      <c r="MZS23"/>
      <c r="MZT23"/>
      <c r="MZU23"/>
      <c r="MZV23"/>
      <c r="MZW23"/>
      <c r="MZX23"/>
      <c r="MZY23"/>
      <c r="MZZ23"/>
      <c r="NAA23"/>
      <c r="NAB23"/>
      <c r="NAC23"/>
      <c r="NAD23"/>
      <c r="NAE23"/>
      <c r="NAF23"/>
      <c r="NAG23"/>
      <c r="NAH23"/>
      <c r="NAI23"/>
      <c r="NAJ23"/>
      <c r="NAK23"/>
      <c r="NAL23"/>
      <c r="NAM23"/>
      <c r="NAN23"/>
      <c r="NAO23"/>
      <c r="NAP23"/>
      <c r="NAQ23"/>
      <c r="NAR23"/>
      <c r="NAS23"/>
      <c r="NAT23"/>
      <c r="NAU23"/>
      <c r="NAV23"/>
      <c r="NAW23"/>
      <c r="NAX23"/>
      <c r="NAY23"/>
      <c r="NAZ23"/>
      <c r="NBA23"/>
      <c r="NBB23"/>
      <c r="NBC23"/>
      <c r="NBD23"/>
      <c r="NBE23"/>
      <c r="NBF23"/>
      <c r="NBG23"/>
      <c r="NBH23"/>
      <c r="NBI23"/>
      <c r="NBJ23"/>
      <c r="NBK23"/>
      <c r="NBL23"/>
      <c r="NBM23"/>
      <c r="NBN23"/>
      <c r="NBO23"/>
      <c r="NBP23"/>
      <c r="NBQ23"/>
      <c r="NBR23"/>
      <c r="NBS23"/>
      <c r="NBT23"/>
      <c r="NBU23"/>
      <c r="NBV23"/>
      <c r="NBW23"/>
      <c r="NBX23"/>
      <c r="NBY23"/>
      <c r="NBZ23"/>
      <c r="NCA23"/>
      <c r="NCB23"/>
      <c r="NCC23"/>
      <c r="NCD23"/>
      <c r="NCE23"/>
      <c r="NCF23"/>
      <c r="NCG23"/>
      <c r="NCH23"/>
      <c r="NCI23"/>
      <c r="NCJ23"/>
      <c r="NCK23"/>
      <c r="NCL23"/>
      <c r="NCM23"/>
      <c r="NCN23"/>
      <c r="NCO23"/>
      <c r="NCP23"/>
      <c r="NCQ23"/>
      <c r="NCR23"/>
      <c r="NCS23"/>
      <c r="NCT23"/>
      <c r="NCU23"/>
      <c r="NCV23"/>
      <c r="NCW23"/>
      <c r="NCX23"/>
      <c r="NCY23"/>
      <c r="NCZ23"/>
      <c r="NDA23"/>
      <c r="NDB23"/>
      <c r="NDC23"/>
      <c r="NDD23"/>
      <c r="NDE23"/>
      <c r="NDF23"/>
      <c r="NDG23"/>
      <c r="NDH23"/>
      <c r="NDI23"/>
      <c r="NDJ23"/>
      <c r="NDK23"/>
      <c r="NDL23"/>
      <c r="NDM23"/>
      <c r="NDN23"/>
      <c r="NDO23"/>
      <c r="NDP23"/>
      <c r="NDQ23"/>
      <c r="NDR23"/>
      <c r="NDS23"/>
      <c r="NDT23"/>
      <c r="NDU23"/>
      <c r="NDV23"/>
      <c r="NDW23"/>
      <c r="NDX23"/>
      <c r="NDY23"/>
      <c r="NDZ23"/>
      <c r="NEA23"/>
      <c r="NEB23"/>
      <c r="NEC23"/>
      <c r="NED23"/>
      <c r="NEE23"/>
      <c r="NEF23"/>
      <c r="NEG23"/>
      <c r="NEH23"/>
      <c r="NEI23"/>
      <c r="NEJ23"/>
      <c r="NEK23"/>
      <c r="NEL23"/>
      <c r="NEM23"/>
      <c r="NEN23"/>
      <c r="NEO23"/>
      <c r="NEP23"/>
      <c r="NEQ23"/>
      <c r="NER23"/>
      <c r="NES23"/>
      <c r="NET23"/>
      <c r="NEU23"/>
      <c r="NEV23"/>
      <c r="NEW23"/>
      <c r="NEX23"/>
      <c r="NEY23"/>
      <c r="NEZ23"/>
      <c r="NFA23"/>
      <c r="NFB23"/>
      <c r="NFC23"/>
      <c r="NFD23"/>
      <c r="NFE23"/>
      <c r="NFF23"/>
      <c r="NFG23"/>
      <c r="NFH23"/>
      <c r="NFI23"/>
      <c r="NFJ23"/>
      <c r="NFK23"/>
      <c r="NFL23"/>
      <c r="NFM23"/>
      <c r="NFN23"/>
      <c r="NFO23"/>
      <c r="NFP23"/>
      <c r="NFQ23"/>
      <c r="NFR23"/>
      <c r="NFS23"/>
      <c r="NFT23"/>
      <c r="NFU23"/>
      <c r="NFV23"/>
      <c r="NFW23"/>
      <c r="NFX23"/>
      <c r="NFY23"/>
      <c r="NFZ23"/>
      <c r="NGA23"/>
      <c r="NGB23"/>
      <c r="NGC23"/>
      <c r="NGD23"/>
      <c r="NGE23"/>
      <c r="NGF23"/>
      <c r="NGG23"/>
      <c r="NGH23"/>
      <c r="NGI23"/>
      <c r="NGJ23"/>
      <c r="NGK23"/>
      <c r="NGL23"/>
      <c r="NGM23"/>
      <c r="NGN23"/>
      <c r="NGO23"/>
      <c r="NGP23"/>
      <c r="NGQ23"/>
      <c r="NGR23"/>
      <c r="NGS23"/>
      <c r="NGT23"/>
      <c r="NGU23"/>
      <c r="NGV23"/>
      <c r="NGW23"/>
      <c r="NGX23"/>
      <c r="NGY23"/>
      <c r="NGZ23"/>
      <c r="NHA23"/>
      <c r="NHB23"/>
      <c r="NHC23"/>
      <c r="NHD23"/>
      <c r="NHE23"/>
      <c r="NHF23"/>
      <c r="NHG23"/>
      <c r="NHH23"/>
      <c r="NHI23"/>
      <c r="NHJ23"/>
      <c r="NHK23"/>
      <c r="NHL23"/>
      <c r="NHM23"/>
      <c r="NHN23"/>
      <c r="NHO23"/>
      <c r="NHP23"/>
      <c r="NHQ23"/>
      <c r="NHR23"/>
      <c r="NHS23"/>
      <c r="NHT23"/>
      <c r="NHU23"/>
      <c r="NHV23"/>
      <c r="NHW23"/>
      <c r="NHX23"/>
      <c r="NHY23"/>
      <c r="NHZ23"/>
      <c r="NIA23"/>
      <c r="NIB23"/>
      <c r="NIC23"/>
      <c r="NID23"/>
      <c r="NIE23"/>
      <c r="NIF23"/>
      <c r="NIG23"/>
      <c r="NIH23"/>
      <c r="NII23"/>
      <c r="NIJ23"/>
      <c r="NIK23"/>
      <c r="NIL23"/>
      <c r="NIM23"/>
      <c r="NIN23"/>
      <c r="NIO23"/>
      <c r="NIP23"/>
      <c r="NIQ23"/>
      <c r="NIR23"/>
      <c r="NIS23"/>
      <c r="NIT23"/>
      <c r="NIU23"/>
      <c r="NIV23"/>
      <c r="NIW23"/>
      <c r="NIX23"/>
      <c r="NIY23"/>
      <c r="NIZ23"/>
      <c r="NJA23"/>
      <c r="NJB23"/>
      <c r="NJC23"/>
      <c r="NJD23"/>
      <c r="NJE23"/>
      <c r="NJF23"/>
      <c r="NJG23"/>
      <c r="NJH23"/>
      <c r="NJI23"/>
      <c r="NJJ23"/>
      <c r="NJK23"/>
      <c r="NJL23"/>
      <c r="NJM23"/>
      <c r="NJN23"/>
      <c r="NJO23"/>
      <c r="NJP23"/>
      <c r="NJQ23"/>
      <c r="NJR23"/>
      <c r="NJS23"/>
      <c r="NJT23"/>
      <c r="NJU23"/>
      <c r="NJV23"/>
      <c r="NJW23"/>
      <c r="NJX23"/>
      <c r="NJY23"/>
      <c r="NJZ23"/>
      <c r="NKA23"/>
      <c r="NKB23"/>
      <c r="NKC23"/>
      <c r="NKD23"/>
      <c r="NKE23"/>
      <c r="NKF23"/>
      <c r="NKG23"/>
      <c r="NKH23"/>
      <c r="NKI23"/>
      <c r="NKJ23"/>
      <c r="NKK23"/>
      <c r="NKL23"/>
      <c r="NKM23"/>
      <c r="NKN23"/>
      <c r="NKO23"/>
      <c r="NKP23"/>
      <c r="NKQ23"/>
      <c r="NKR23"/>
      <c r="NKS23"/>
      <c r="NKT23"/>
      <c r="NKU23"/>
      <c r="NKV23"/>
      <c r="NKW23"/>
      <c r="NKX23"/>
      <c r="NKY23"/>
      <c r="NKZ23"/>
      <c r="NLA23"/>
      <c r="NLB23"/>
      <c r="NLC23"/>
      <c r="NLD23"/>
      <c r="NLE23"/>
      <c r="NLF23"/>
      <c r="NLG23"/>
      <c r="NLH23"/>
      <c r="NLI23"/>
      <c r="NLJ23"/>
      <c r="NLK23"/>
      <c r="NLL23"/>
      <c r="NLM23"/>
      <c r="NLN23"/>
      <c r="NLO23"/>
      <c r="NLP23"/>
      <c r="NLQ23"/>
      <c r="NLR23"/>
      <c r="NLS23"/>
      <c r="NLT23"/>
      <c r="NLU23"/>
      <c r="NLV23"/>
      <c r="NLW23"/>
      <c r="NLX23"/>
      <c r="NLY23"/>
      <c r="NLZ23"/>
      <c r="NMA23"/>
      <c r="NMB23"/>
      <c r="NMC23"/>
      <c r="NMD23"/>
      <c r="NME23"/>
      <c r="NMF23"/>
      <c r="NMG23"/>
      <c r="NMH23"/>
      <c r="NMI23"/>
      <c r="NMJ23"/>
      <c r="NMK23"/>
      <c r="NML23"/>
      <c r="NMM23"/>
      <c r="NMN23"/>
      <c r="NMO23"/>
      <c r="NMP23"/>
      <c r="NMQ23"/>
      <c r="NMR23"/>
      <c r="NMS23"/>
      <c r="NMT23"/>
      <c r="NMU23"/>
      <c r="NMV23"/>
      <c r="NMW23"/>
      <c r="NMX23"/>
      <c r="NMY23"/>
      <c r="NMZ23"/>
      <c r="NNA23"/>
      <c r="NNB23"/>
      <c r="NNC23"/>
      <c r="NND23"/>
      <c r="NNE23"/>
      <c r="NNF23"/>
      <c r="NNG23"/>
      <c r="NNH23"/>
      <c r="NNI23"/>
      <c r="NNJ23"/>
      <c r="NNK23"/>
      <c r="NNL23"/>
      <c r="NNM23"/>
      <c r="NNN23"/>
      <c r="NNO23"/>
      <c r="NNP23"/>
      <c r="NNQ23"/>
      <c r="NNR23"/>
      <c r="NNS23"/>
      <c r="NNT23"/>
      <c r="NNU23"/>
      <c r="NNV23"/>
      <c r="NNW23"/>
      <c r="NNX23"/>
      <c r="NNY23"/>
      <c r="NNZ23"/>
      <c r="NOA23"/>
      <c r="NOB23"/>
      <c r="NOC23"/>
      <c r="NOD23"/>
      <c r="NOE23"/>
      <c r="NOF23"/>
      <c r="NOG23"/>
      <c r="NOH23"/>
      <c r="NOI23"/>
      <c r="NOJ23"/>
      <c r="NOK23"/>
      <c r="NOL23"/>
      <c r="NOM23"/>
      <c r="NON23"/>
      <c r="NOO23"/>
      <c r="NOP23"/>
      <c r="NOQ23"/>
      <c r="NOR23"/>
      <c r="NOS23"/>
      <c r="NOT23"/>
      <c r="NOU23"/>
      <c r="NOV23"/>
      <c r="NOW23"/>
      <c r="NOX23"/>
      <c r="NOY23"/>
      <c r="NOZ23"/>
      <c r="NPA23"/>
      <c r="NPB23"/>
      <c r="NPC23"/>
      <c r="NPD23"/>
      <c r="NPE23"/>
      <c r="NPF23"/>
      <c r="NPG23"/>
      <c r="NPH23"/>
      <c r="NPI23"/>
      <c r="NPJ23"/>
      <c r="NPK23"/>
      <c r="NPL23"/>
      <c r="NPM23"/>
      <c r="NPN23"/>
      <c r="NPO23"/>
      <c r="NPP23"/>
      <c r="NPQ23"/>
      <c r="NPR23"/>
      <c r="NPS23"/>
      <c r="NPT23"/>
      <c r="NPU23"/>
      <c r="NPV23"/>
      <c r="NPW23"/>
      <c r="NPX23"/>
      <c r="NPY23"/>
      <c r="NPZ23"/>
      <c r="NQA23"/>
      <c r="NQB23"/>
      <c r="NQC23"/>
      <c r="NQD23"/>
      <c r="NQE23"/>
      <c r="NQF23"/>
      <c r="NQG23"/>
      <c r="NQH23"/>
      <c r="NQI23"/>
      <c r="NQJ23"/>
      <c r="NQK23"/>
      <c r="NQL23"/>
      <c r="NQM23"/>
      <c r="NQN23"/>
      <c r="NQO23"/>
      <c r="NQP23"/>
      <c r="NQQ23"/>
      <c r="NQR23"/>
      <c r="NQS23"/>
      <c r="NQT23"/>
      <c r="NQU23"/>
      <c r="NQV23"/>
      <c r="NQW23"/>
      <c r="NQX23"/>
      <c r="NQY23"/>
      <c r="NQZ23"/>
      <c r="NRA23"/>
      <c r="NRB23"/>
      <c r="NRC23"/>
      <c r="NRD23"/>
      <c r="NRE23"/>
      <c r="NRF23"/>
      <c r="NRG23"/>
      <c r="NRH23"/>
      <c r="NRI23"/>
      <c r="NRJ23"/>
      <c r="NRK23"/>
      <c r="NRL23"/>
      <c r="NRM23"/>
      <c r="NRN23"/>
      <c r="NRO23"/>
      <c r="NRP23"/>
      <c r="NRQ23"/>
      <c r="NRR23"/>
      <c r="NRS23"/>
      <c r="NRT23"/>
      <c r="NRU23"/>
      <c r="NRV23"/>
      <c r="NRW23"/>
      <c r="NRX23"/>
      <c r="NRY23"/>
      <c r="NRZ23"/>
      <c r="NSA23"/>
      <c r="NSB23"/>
      <c r="NSC23"/>
      <c r="NSD23"/>
      <c r="NSE23"/>
      <c r="NSF23"/>
      <c r="NSG23"/>
      <c r="NSH23"/>
      <c r="NSI23"/>
      <c r="NSJ23"/>
      <c r="NSK23"/>
      <c r="NSL23"/>
      <c r="NSM23"/>
      <c r="NSN23"/>
      <c r="NSO23"/>
      <c r="NSP23"/>
      <c r="NSQ23"/>
      <c r="NSR23"/>
      <c r="NSS23"/>
      <c r="NST23"/>
      <c r="NSU23"/>
      <c r="NSV23"/>
      <c r="NSW23"/>
      <c r="NSX23"/>
      <c r="NSY23"/>
      <c r="NSZ23"/>
      <c r="NTA23"/>
      <c r="NTB23"/>
      <c r="NTC23"/>
      <c r="NTD23"/>
      <c r="NTE23"/>
      <c r="NTF23"/>
      <c r="NTG23"/>
      <c r="NTH23"/>
      <c r="NTI23"/>
      <c r="NTJ23"/>
      <c r="NTK23"/>
      <c r="NTL23"/>
      <c r="NTM23"/>
      <c r="NTN23"/>
      <c r="NTO23"/>
      <c r="NTP23"/>
      <c r="NTQ23"/>
      <c r="NTR23"/>
      <c r="NTS23"/>
      <c r="NTT23"/>
      <c r="NTU23"/>
      <c r="NTV23"/>
      <c r="NTW23"/>
      <c r="NTX23"/>
      <c r="NTY23"/>
      <c r="NTZ23"/>
      <c r="NUA23"/>
      <c r="NUB23"/>
      <c r="NUC23"/>
      <c r="NUD23"/>
      <c r="NUE23"/>
      <c r="NUF23"/>
      <c r="NUG23"/>
      <c r="NUH23"/>
      <c r="NUI23"/>
      <c r="NUJ23"/>
      <c r="NUK23"/>
      <c r="NUL23"/>
      <c r="NUM23"/>
      <c r="NUN23"/>
      <c r="NUO23"/>
      <c r="NUP23"/>
      <c r="NUQ23"/>
      <c r="NUR23"/>
      <c r="NUS23"/>
      <c r="NUT23"/>
      <c r="NUU23"/>
      <c r="NUV23"/>
      <c r="NUW23"/>
      <c r="NUX23"/>
      <c r="NUY23"/>
      <c r="NUZ23"/>
      <c r="NVA23"/>
      <c r="NVB23"/>
      <c r="NVC23"/>
      <c r="NVD23"/>
      <c r="NVE23"/>
      <c r="NVF23"/>
      <c r="NVG23"/>
      <c r="NVH23"/>
      <c r="NVI23"/>
      <c r="NVJ23"/>
      <c r="NVK23"/>
      <c r="NVL23"/>
      <c r="NVM23"/>
      <c r="NVN23"/>
      <c r="NVO23"/>
      <c r="NVP23"/>
      <c r="NVQ23"/>
      <c r="NVR23"/>
      <c r="NVS23"/>
      <c r="NVT23"/>
      <c r="NVU23"/>
      <c r="NVV23"/>
      <c r="NVW23"/>
      <c r="NVX23"/>
      <c r="NVY23"/>
      <c r="NVZ23"/>
      <c r="NWA23"/>
      <c r="NWB23"/>
      <c r="NWC23"/>
      <c r="NWD23"/>
      <c r="NWE23"/>
      <c r="NWF23"/>
      <c r="NWG23"/>
      <c r="NWH23"/>
      <c r="NWI23"/>
      <c r="NWJ23"/>
      <c r="NWK23"/>
      <c r="NWL23"/>
      <c r="NWM23"/>
      <c r="NWN23"/>
      <c r="NWO23"/>
      <c r="NWP23"/>
      <c r="NWQ23"/>
      <c r="NWR23"/>
      <c r="NWS23"/>
      <c r="NWT23"/>
      <c r="NWU23"/>
      <c r="NWV23"/>
      <c r="NWW23"/>
      <c r="NWX23"/>
      <c r="NWY23"/>
      <c r="NWZ23"/>
      <c r="NXA23"/>
      <c r="NXB23"/>
      <c r="NXC23"/>
      <c r="NXD23"/>
      <c r="NXE23"/>
      <c r="NXF23"/>
      <c r="NXG23"/>
      <c r="NXH23"/>
      <c r="NXI23"/>
      <c r="NXJ23"/>
      <c r="NXK23"/>
      <c r="NXL23"/>
      <c r="NXM23"/>
      <c r="NXN23"/>
      <c r="NXO23"/>
      <c r="NXP23"/>
      <c r="NXQ23"/>
      <c r="NXR23"/>
      <c r="NXS23"/>
      <c r="NXT23"/>
      <c r="NXU23"/>
      <c r="NXV23"/>
      <c r="NXW23"/>
      <c r="NXX23"/>
      <c r="NXY23"/>
      <c r="NXZ23"/>
      <c r="NYA23"/>
      <c r="NYB23"/>
      <c r="NYC23"/>
      <c r="NYD23"/>
      <c r="NYE23"/>
      <c r="NYF23"/>
      <c r="NYG23"/>
      <c r="NYH23"/>
      <c r="NYI23"/>
      <c r="NYJ23"/>
      <c r="NYK23"/>
      <c r="NYL23"/>
      <c r="NYM23"/>
      <c r="NYN23"/>
      <c r="NYO23"/>
      <c r="NYP23"/>
      <c r="NYQ23"/>
      <c r="NYR23"/>
      <c r="NYS23"/>
      <c r="NYT23"/>
      <c r="NYU23"/>
      <c r="NYV23"/>
      <c r="NYW23"/>
      <c r="NYX23"/>
      <c r="NYY23"/>
      <c r="NYZ23"/>
      <c r="NZA23"/>
      <c r="NZB23"/>
      <c r="NZC23"/>
      <c r="NZD23"/>
      <c r="NZE23"/>
      <c r="NZF23"/>
      <c r="NZG23"/>
      <c r="NZH23"/>
      <c r="NZI23"/>
      <c r="NZJ23"/>
      <c r="NZK23"/>
      <c r="NZL23"/>
      <c r="NZM23"/>
      <c r="NZN23"/>
      <c r="NZO23"/>
      <c r="NZP23"/>
      <c r="NZQ23"/>
      <c r="NZR23"/>
      <c r="NZS23"/>
      <c r="NZT23"/>
      <c r="NZU23"/>
      <c r="NZV23"/>
      <c r="NZW23"/>
      <c r="NZX23"/>
      <c r="NZY23"/>
      <c r="NZZ23"/>
      <c r="OAA23"/>
      <c r="OAB23"/>
      <c r="OAC23"/>
      <c r="OAD23"/>
      <c r="OAE23"/>
      <c r="OAF23"/>
      <c r="OAG23"/>
      <c r="OAH23"/>
      <c r="OAI23"/>
      <c r="OAJ23"/>
      <c r="OAK23"/>
      <c r="OAL23"/>
      <c r="OAM23"/>
      <c r="OAN23"/>
      <c r="OAO23"/>
      <c r="OAP23"/>
      <c r="OAQ23"/>
      <c r="OAR23"/>
      <c r="OAS23"/>
      <c r="OAT23"/>
      <c r="OAU23"/>
      <c r="OAV23"/>
      <c r="OAW23"/>
      <c r="OAX23"/>
      <c r="OAY23"/>
      <c r="OAZ23"/>
      <c r="OBA23"/>
      <c r="OBB23"/>
      <c r="OBC23"/>
      <c r="OBD23"/>
      <c r="OBE23"/>
      <c r="OBF23"/>
      <c r="OBG23"/>
      <c r="OBH23"/>
      <c r="OBI23"/>
      <c r="OBJ23"/>
      <c r="OBK23"/>
      <c r="OBL23"/>
      <c r="OBM23"/>
      <c r="OBN23"/>
      <c r="OBO23"/>
      <c r="OBP23"/>
      <c r="OBQ23"/>
      <c r="OBR23"/>
      <c r="OBS23"/>
      <c r="OBT23"/>
      <c r="OBU23"/>
      <c r="OBV23"/>
      <c r="OBW23"/>
      <c r="OBX23"/>
      <c r="OBY23"/>
      <c r="OBZ23"/>
      <c r="OCA23"/>
      <c r="OCB23"/>
      <c r="OCC23"/>
      <c r="OCD23"/>
      <c r="OCE23"/>
      <c r="OCF23"/>
      <c r="OCG23"/>
      <c r="OCH23"/>
      <c r="OCI23"/>
      <c r="OCJ23"/>
      <c r="OCK23"/>
      <c r="OCL23"/>
      <c r="OCM23"/>
      <c r="OCN23"/>
      <c r="OCO23"/>
      <c r="OCP23"/>
      <c r="OCQ23"/>
      <c r="OCR23"/>
      <c r="OCS23"/>
      <c r="OCT23"/>
      <c r="OCU23"/>
      <c r="OCV23"/>
      <c r="OCW23"/>
      <c r="OCX23"/>
      <c r="OCY23"/>
      <c r="OCZ23"/>
      <c r="ODA23"/>
      <c r="ODB23"/>
      <c r="ODC23"/>
      <c r="ODD23"/>
      <c r="ODE23"/>
      <c r="ODF23"/>
      <c r="ODG23"/>
      <c r="ODH23"/>
      <c r="ODI23"/>
      <c r="ODJ23"/>
      <c r="ODK23"/>
      <c r="ODL23"/>
      <c r="ODM23"/>
      <c r="ODN23"/>
      <c r="ODO23"/>
      <c r="ODP23"/>
      <c r="ODQ23"/>
      <c r="ODR23"/>
      <c r="ODS23"/>
      <c r="ODT23"/>
      <c r="ODU23"/>
      <c r="ODV23"/>
      <c r="ODW23"/>
      <c r="ODX23"/>
      <c r="ODY23"/>
      <c r="ODZ23"/>
      <c r="OEA23"/>
      <c r="OEB23"/>
      <c r="OEC23"/>
      <c r="OED23"/>
      <c r="OEE23"/>
      <c r="OEF23"/>
      <c r="OEG23"/>
      <c r="OEH23"/>
      <c r="OEI23"/>
      <c r="OEJ23"/>
      <c r="OEK23"/>
      <c r="OEL23"/>
      <c r="OEM23"/>
      <c r="OEN23"/>
      <c r="OEO23"/>
      <c r="OEP23"/>
      <c r="OEQ23"/>
      <c r="OER23"/>
      <c r="OES23"/>
      <c r="OET23"/>
      <c r="OEU23"/>
      <c r="OEV23"/>
      <c r="OEW23"/>
      <c r="OEX23"/>
      <c r="OEY23"/>
      <c r="OEZ23"/>
      <c r="OFA23"/>
      <c r="OFB23"/>
      <c r="OFC23"/>
      <c r="OFD23"/>
      <c r="OFE23"/>
      <c r="OFF23"/>
      <c r="OFG23"/>
      <c r="OFH23"/>
      <c r="OFI23"/>
      <c r="OFJ23"/>
      <c r="OFK23"/>
      <c r="OFL23"/>
      <c r="OFM23"/>
      <c r="OFN23"/>
      <c r="OFO23"/>
      <c r="OFP23"/>
      <c r="OFQ23"/>
      <c r="OFR23"/>
      <c r="OFS23"/>
      <c r="OFT23"/>
      <c r="OFU23"/>
      <c r="OFV23"/>
      <c r="OFW23"/>
      <c r="OFX23"/>
      <c r="OFY23"/>
      <c r="OFZ23"/>
      <c r="OGA23"/>
      <c r="OGB23"/>
      <c r="OGC23"/>
      <c r="OGD23"/>
      <c r="OGE23"/>
      <c r="OGF23"/>
      <c r="OGG23"/>
      <c r="OGH23"/>
      <c r="OGI23"/>
      <c r="OGJ23"/>
      <c r="OGK23"/>
      <c r="OGL23"/>
      <c r="OGM23"/>
      <c r="OGN23"/>
      <c r="OGO23"/>
      <c r="OGP23"/>
      <c r="OGQ23"/>
      <c r="OGR23"/>
      <c r="OGS23"/>
      <c r="OGT23"/>
      <c r="OGU23"/>
      <c r="OGV23"/>
      <c r="OGW23"/>
      <c r="OGX23"/>
      <c r="OGY23"/>
      <c r="OGZ23"/>
      <c r="OHA23"/>
      <c r="OHB23"/>
      <c r="OHC23"/>
      <c r="OHD23"/>
      <c r="OHE23"/>
      <c r="OHF23"/>
      <c r="OHG23"/>
      <c r="OHH23"/>
      <c r="OHI23"/>
      <c r="OHJ23"/>
      <c r="OHK23"/>
      <c r="OHL23"/>
      <c r="OHM23"/>
      <c r="OHN23"/>
      <c r="OHO23"/>
      <c r="OHP23"/>
      <c r="OHQ23"/>
      <c r="OHR23"/>
      <c r="OHS23"/>
      <c r="OHT23"/>
      <c r="OHU23"/>
      <c r="OHV23"/>
      <c r="OHW23"/>
      <c r="OHX23"/>
      <c r="OHY23"/>
      <c r="OHZ23"/>
      <c r="OIA23"/>
      <c r="OIB23"/>
      <c r="OIC23"/>
      <c r="OID23"/>
      <c r="OIE23"/>
      <c r="OIF23"/>
      <c r="OIG23"/>
      <c r="OIH23"/>
      <c r="OII23"/>
      <c r="OIJ23"/>
      <c r="OIK23"/>
      <c r="OIL23"/>
      <c r="OIM23"/>
      <c r="OIN23"/>
      <c r="OIO23"/>
      <c r="OIP23"/>
      <c r="OIQ23"/>
      <c r="OIR23"/>
      <c r="OIS23"/>
      <c r="OIT23"/>
      <c r="OIU23"/>
      <c r="OIV23"/>
      <c r="OIW23"/>
      <c r="OIX23"/>
      <c r="OIY23"/>
      <c r="OIZ23"/>
      <c r="OJA23"/>
      <c r="OJB23"/>
      <c r="OJC23"/>
      <c r="OJD23"/>
      <c r="OJE23"/>
      <c r="OJF23"/>
      <c r="OJG23"/>
      <c r="OJH23"/>
      <c r="OJI23"/>
      <c r="OJJ23"/>
      <c r="OJK23"/>
      <c r="OJL23"/>
      <c r="OJM23"/>
      <c r="OJN23"/>
      <c r="OJO23"/>
      <c r="OJP23"/>
      <c r="OJQ23"/>
      <c r="OJR23"/>
      <c r="OJS23"/>
      <c r="OJT23"/>
      <c r="OJU23"/>
      <c r="OJV23"/>
      <c r="OJW23"/>
      <c r="OJX23"/>
      <c r="OJY23"/>
      <c r="OJZ23"/>
      <c r="OKA23"/>
      <c r="OKB23"/>
      <c r="OKC23"/>
      <c r="OKD23"/>
      <c r="OKE23"/>
      <c r="OKF23"/>
      <c r="OKG23"/>
      <c r="OKH23"/>
      <c r="OKI23"/>
      <c r="OKJ23"/>
      <c r="OKK23"/>
      <c r="OKL23"/>
      <c r="OKM23"/>
      <c r="OKN23"/>
      <c r="OKO23"/>
      <c r="OKP23"/>
      <c r="OKQ23"/>
      <c r="OKR23"/>
      <c r="OKS23"/>
      <c r="OKT23"/>
      <c r="OKU23"/>
      <c r="OKV23"/>
      <c r="OKW23"/>
      <c r="OKX23"/>
      <c r="OKY23"/>
      <c r="OKZ23"/>
      <c r="OLA23"/>
      <c r="OLB23"/>
      <c r="OLC23"/>
      <c r="OLD23"/>
      <c r="OLE23"/>
      <c r="OLF23"/>
      <c r="OLG23"/>
      <c r="OLH23"/>
      <c r="OLI23"/>
      <c r="OLJ23"/>
      <c r="OLK23"/>
      <c r="OLL23"/>
      <c r="OLM23"/>
      <c r="OLN23"/>
      <c r="OLO23"/>
      <c r="OLP23"/>
      <c r="OLQ23"/>
      <c r="OLR23"/>
      <c r="OLS23"/>
      <c r="OLT23"/>
      <c r="OLU23"/>
      <c r="OLV23"/>
      <c r="OLW23"/>
      <c r="OLX23"/>
      <c r="OLY23"/>
      <c r="OLZ23"/>
      <c r="OMA23"/>
      <c r="OMB23"/>
      <c r="OMC23"/>
      <c r="OMD23"/>
      <c r="OME23"/>
      <c r="OMF23"/>
      <c r="OMG23"/>
      <c r="OMH23"/>
      <c r="OMI23"/>
      <c r="OMJ23"/>
      <c r="OMK23"/>
      <c r="OML23"/>
      <c r="OMM23"/>
      <c r="OMN23"/>
      <c r="OMO23"/>
      <c r="OMP23"/>
      <c r="OMQ23"/>
      <c r="OMR23"/>
      <c r="OMS23"/>
      <c r="OMT23"/>
      <c r="OMU23"/>
      <c r="OMV23"/>
      <c r="OMW23"/>
      <c r="OMX23"/>
      <c r="OMY23"/>
      <c r="OMZ23"/>
      <c r="ONA23"/>
      <c r="ONB23"/>
      <c r="ONC23"/>
      <c r="OND23"/>
      <c r="ONE23"/>
      <c r="ONF23"/>
      <c r="ONG23"/>
      <c r="ONH23"/>
      <c r="ONI23"/>
      <c r="ONJ23"/>
      <c r="ONK23"/>
      <c r="ONL23"/>
      <c r="ONM23"/>
      <c r="ONN23"/>
      <c r="ONO23"/>
      <c r="ONP23"/>
      <c r="ONQ23"/>
      <c r="ONR23"/>
      <c r="ONS23"/>
      <c r="ONT23"/>
      <c r="ONU23"/>
      <c r="ONV23"/>
      <c r="ONW23"/>
      <c r="ONX23"/>
      <c r="ONY23"/>
      <c r="ONZ23"/>
      <c r="OOA23"/>
      <c r="OOB23"/>
      <c r="OOC23"/>
      <c r="OOD23"/>
      <c r="OOE23"/>
      <c r="OOF23"/>
      <c r="OOG23"/>
      <c r="OOH23"/>
      <c r="OOI23"/>
      <c r="OOJ23"/>
      <c r="OOK23"/>
      <c r="OOL23"/>
      <c r="OOM23"/>
      <c r="OON23"/>
      <c r="OOO23"/>
      <c r="OOP23"/>
      <c r="OOQ23"/>
      <c r="OOR23"/>
      <c r="OOS23"/>
      <c r="OOT23"/>
      <c r="OOU23"/>
      <c r="OOV23"/>
      <c r="OOW23"/>
      <c r="OOX23"/>
      <c r="OOY23"/>
      <c r="OOZ23"/>
      <c r="OPA23"/>
      <c r="OPB23"/>
      <c r="OPC23"/>
      <c r="OPD23"/>
      <c r="OPE23"/>
      <c r="OPF23"/>
      <c r="OPG23"/>
      <c r="OPH23"/>
      <c r="OPI23"/>
      <c r="OPJ23"/>
      <c r="OPK23"/>
      <c r="OPL23"/>
      <c r="OPM23"/>
      <c r="OPN23"/>
      <c r="OPO23"/>
      <c r="OPP23"/>
      <c r="OPQ23"/>
      <c r="OPR23"/>
      <c r="OPS23"/>
      <c r="OPT23"/>
      <c r="OPU23"/>
      <c r="OPV23"/>
      <c r="OPW23"/>
      <c r="OPX23"/>
      <c r="OPY23"/>
      <c r="OPZ23"/>
      <c r="OQA23"/>
      <c r="OQB23"/>
      <c r="OQC23"/>
      <c r="OQD23"/>
      <c r="OQE23"/>
      <c r="OQF23"/>
      <c r="OQG23"/>
      <c r="OQH23"/>
      <c r="OQI23"/>
      <c r="OQJ23"/>
      <c r="OQK23"/>
      <c r="OQL23"/>
      <c r="OQM23"/>
      <c r="OQN23"/>
      <c r="OQO23"/>
      <c r="OQP23"/>
      <c r="OQQ23"/>
      <c r="OQR23"/>
      <c r="OQS23"/>
      <c r="OQT23"/>
      <c r="OQU23"/>
      <c r="OQV23"/>
      <c r="OQW23"/>
      <c r="OQX23"/>
      <c r="OQY23"/>
      <c r="OQZ23"/>
      <c r="ORA23"/>
      <c r="ORB23"/>
      <c r="ORC23"/>
      <c r="ORD23"/>
      <c r="ORE23"/>
      <c r="ORF23"/>
      <c r="ORG23"/>
      <c r="ORH23"/>
      <c r="ORI23"/>
      <c r="ORJ23"/>
      <c r="ORK23"/>
      <c r="ORL23"/>
      <c r="ORM23"/>
      <c r="ORN23"/>
      <c r="ORO23"/>
      <c r="ORP23"/>
      <c r="ORQ23"/>
      <c r="ORR23"/>
      <c r="ORS23"/>
      <c r="ORT23"/>
      <c r="ORU23"/>
      <c r="ORV23"/>
      <c r="ORW23"/>
      <c r="ORX23"/>
      <c r="ORY23"/>
      <c r="ORZ23"/>
      <c r="OSA23"/>
      <c r="OSB23"/>
      <c r="OSC23"/>
      <c r="OSD23"/>
      <c r="OSE23"/>
      <c r="OSF23"/>
      <c r="OSG23"/>
      <c r="OSH23"/>
      <c r="OSI23"/>
      <c r="OSJ23"/>
      <c r="OSK23"/>
      <c r="OSL23"/>
      <c r="OSM23"/>
      <c r="OSN23"/>
      <c r="OSO23"/>
      <c r="OSP23"/>
      <c r="OSQ23"/>
      <c r="OSR23"/>
      <c r="OSS23"/>
      <c r="OST23"/>
      <c r="OSU23"/>
      <c r="OSV23"/>
      <c r="OSW23"/>
      <c r="OSX23"/>
      <c r="OSY23"/>
      <c r="OSZ23"/>
      <c r="OTA23"/>
      <c r="OTB23"/>
      <c r="OTC23"/>
      <c r="OTD23"/>
      <c r="OTE23"/>
      <c r="OTF23"/>
      <c r="OTG23"/>
      <c r="OTH23"/>
      <c r="OTI23"/>
      <c r="OTJ23"/>
      <c r="OTK23"/>
      <c r="OTL23"/>
      <c r="OTM23"/>
      <c r="OTN23"/>
      <c r="OTO23"/>
      <c r="OTP23"/>
      <c r="OTQ23"/>
      <c r="OTR23"/>
      <c r="OTS23"/>
      <c r="OTT23"/>
      <c r="OTU23"/>
      <c r="OTV23"/>
      <c r="OTW23"/>
      <c r="OTX23"/>
      <c r="OTY23"/>
      <c r="OTZ23"/>
      <c r="OUA23"/>
      <c r="OUB23"/>
      <c r="OUC23"/>
      <c r="OUD23"/>
      <c r="OUE23"/>
      <c r="OUF23"/>
      <c r="OUG23"/>
      <c r="OUH23"/>
      <c r="OUI23"/>
      <c r="OUJ23"/>
      <c r="OUK23"/>
      <c r="OUL23"/>
      <c r="OUM23"/>
      <c r="OUN23"/>
      <c r="OUO23"/>
      <c r="OUP23"/>
      <c r="OUQ23"/>
      <c r="OUR23"/>
      <c r="OUS23"/>
      <c r="OUT23"/>
      <c r="OUU23"/>
      <c r="OUV23"/>
      <c r="OUW23"/>
      <c r="OUX23"/>
      <c r="OUY23"/>
      <c r="OUZ23"/>
      <c r="OVA23"/>
      <c r="OVB23"/>
      <c r="OVC23"/>
      <c r="OVD23"/>
      <c r="OVE23"/>
      <c r="OVF23"/>
      <c r="OVG23"/>
      <c r="OVH23"/>
      <c r="OVI23"/>
      <c r="OVJ23"/>
      <c r="OVK23"/>
      <c r="OVL23"/>
      <c r="OVM23"/>
      <c r="OVN23"/>
      <c r="OVO23"/>
      <c r="OVP23"/>
      <c r="OVQ23"/>
      <c r="OVR23"/>
      <c r="OVS23"/>
      <c r="OVT23"/>
      <c r="OVU23"/>
      <c r="OVV23"/>
      <c r="OVW23"/>
      <c r="OVX23"/>
      <c r="OVY23"/>
      <c r="OVZ23"/>
      <c r="OWA23"/>
      <c r="OWB23"/>
      <c r="OWC23"/>
      <c r="OWD23"/>
      <c r="OWE23"/>
      <c r="OWF23"/>
      <c r="OWG23"/>
      <c r="OWH23"/>
      <c r="OWI23"/>
      <c r="OWJ23"/>
      <c r="OWK23"/>
      <c r="OWL23"/>
      <c r="OWM23"/>
      <c r="OWN23"/>
      <c r="OWO23"/>
      <c r="OWP23"/>
      <c r="OWQ23"/>
      <c r="OWR23"/>
      <c r="OWS23"/>
      <c r="OWT23"/>
      <c r="OWU23"/>
      <c r="OWV23"/>
      <c r="OWW23"/>
      <c r="OWX23"/>
      <c r="OWY23"/>
      <c r="OWZ23"/>
      <c r="OXA23"/>
      <c r="OXB23"/>
      <c r="OXC23"/>
      <c r="OXD23"/>
      <c r="OXE23"/>
      <c r="OXF23"/>
      <c r="OXG23"/>
      <c r="OXH23"/>
      <c r="OXI23"/>
      <c r="OXJ23"/>
      <c r="OXK23"/>
      <c r="OXL23"/>
      <c r="OXM23"/>
      <c r="OXN23"/>
      <c r="OXO23"/>
      <c r="OXP23"/>
      <c r="OXQ23"/>
      <c r="OXR23"/>
      <c r="OXS23"/>
      <c r="OXT23"/>
      <c r="OXU23"/>
      <c r="OXV23"/>
      <c r="OXW23"/>
      <c r="OXX23"/>
      <c r="OXY23"/>
      <c r="OXZ23"/>
      <c r="OYA23"/>
      <c r="OYB23"/>
      <c r="OYC23"/>
      <c r="OYD23"/>
      <c r="OYE23"/>
      <c r="OYF23"/>
      <c r="OYG23"/>
      <c r="OYH23"/>
      <c r="OYI23"/>
      <c r="OYJ23"/>
      <c r="OYK23"/>
      <c r="OYL23"/>
      <c r="OYM23"/>
      <c r="OYN23"/>
      <c r="OYO23"/>
      <c r="OYP23"/>
      <c r="OYQ23"/>
      <c r="OYR23"/>
      <c r="OYS23"/>
      <c r="OYT23"/>
      <c r="OYU23"/>
      <c r="OYV23"/>
      <c r="OYW23"/>
      <c r="OYX23"/>
      <c r="OYY23"/>
      <c r="OYZ23"/>
      <c r="OZA23"/>
      <c r="OZB23"/>
      <c r="OZC23"/>
      <c r="OZD23"/>
      <c r="OZE23"/>
      <c r="OZF23"/>
      <c r="OZG23"/>
      <c r="OZH23"/>
      <c r="OZI23"/>
      <c r="OZJ23"/>
      <c r="OZK23"/>
      <c r="OZL23"/>
      <c r="OZM23"/>
      <c r="OZN23"/>
      <c r="OZO23"/>
      <c r="OZP23"/>
      <c r="OZQ23"/>
      <c r="OZR23"/>
      <c r="OZS23"/>
      <c r="OZT23"/>
      <c r="OZU23"/>
      <c r="OZV23"/>
      <c r="OZW23"/>
      <c r="OZX23"/>
      <c r="OZY23"/>
      <c r="OZZ23"/>
      <c r="PAA23"/>
      <c r="PAB23"/>
      <c r="PAC23"/>
      <c r="PAD23"/>
      <c r="PAE23"/>
      <c r="PAF23"/>
      <c r="PAG23"/>
      <c r="PAH23"/>
      <c r="PAI23"/>
      <c r="PAJ23"/>
      <c r="PAK23"/>
      <c r="PAL23"/>
      <c r="PAM23"/>
      <c r="PAN23"/>
      <c r="PAO23"/>
      <c r="PAP23"/>
      <c r="PAQ23"/>
      <c r="PAR23"/>
      <c r="PAS23"/>
      <c r="PAT23"/>
      <c r="PAU23"/>
      <c r="PAV23"/>
      <c r="PAW23"/>
      <c r="PAX23"/>
      <c r="PAY23"/>
      <c r="PAZ23"/>
      <c r="PBA23"/>
      <c r="PBB23"/>
      <c r="PBC23"/>
      <c r="PBD23"/>
      <c r="PBE23"/>
      <c r="PBF23"/>
      <c r="PBG23"/>
      <c r="PBH23"/>
      <c r="PBI23"/>
      <c r="PBJ23"/>
      <c r="PBK23"/>
      <c r="PBL23"/>
      <c r="PBM23"/>
      <c r="PBN23"/>
      <c r="PBO23"/>
      <c r="PBP23"/>
      <c r="PBQ23"/>
      <c r="PBR23"/>
      <c r="PBS23"/>
      <c r="PBT23"/>
      <c r="PBU23"/>
      <c r="PBV23"/>
      <c r="PBW23"/>
      <c r="PBX23"/>
      <c r="PBY23"/>
      <c r="PBZ23"/>
      <c r="PCA23"/>
      <c r="PCB23"/>
      <c r="PCC23"/>
      <c r="PCD23"/>
      <c r="PCE23"/>
      <c r="PCF23"/>
      <c r="PCG23"/>
      <c r="PCH23"/>
      <c r="PCI23"/>
      <c r="PCJ23"/>
      <c r="PCK23"/>
      <c r="PCL23"/>
      <c r="PCM23"/>
      <c r="PCN23"/>
      <c r="PCO23"/>
      <c r="PCP23"/>
      <c r="PCQ23"/>
      <c r="PCR23"/>
      <c r="PCS23"/>
      <c r="PCT23"/>
      <c r="PCU23"/>
      <c r="PCV23"/>
      <c r="PCW23"/>
      <c r="PCX23"/>
      <c r="PCY23"/>
      <c r="PCZ23"/>
      <c r="PDA23"/>
      <c r="PDB23"/>
      <c r="PDC23"/>
      <c r="PDD23"/>
      <c r="PDE23"/>
      <c r="PDF23"/>
      <c r="PDG23"/>
      <c r="PDH23"/>
      <c r="PDI23"/>
      <c r="PDJ23"/>
      <c r="PDK23"/>
      <c r="PDL23"/>
      <c r="PDM23"/>
      <c r="PDN23"/>
      <c r="PDO23"/>
      <c r="PDP23"/>
      <c r="PDQ23"/>
      <c r="PDR23"/>
      <c r="PDS23"/>
      <c r="PDT23"/>
      <c r="PDU23"/>
      <c r="PDV23"/>
      <c r="PDW23"/>
      <c r="PDX23"/>
      <c r="PDY23"/>
      <c r="PDZ23"/>
      <c r="PEA23"/>
      <c r="PEB23"/>
      <c r="PEC23"/>
      <c r="PED23"/>
      <c r="PEE23"/>
      <c r="PEF23"/>
      <c r="PEG23"/>
      <c r="PEH23"/>
      <c r="PEI23"/>
      <c r="PEJ23"/>
      <c r="PEK23"/>
      <c r="PEL23"/>
      <c r="PEM23"/>
      <c r="PEN23"/>
      <c r="PEO23"/>
      <c r="PEP23"/>
      <c r="PEQ23"/>
      <c r="PER23"/>
      <c r="PES23"/>
      <c r="PET23"/>
      <c r="PEU23"/>
      <c r="PEV23"/>
      <c r="PEW23"/>
      <c r="PEX23"/>
      <c r="PEY23"/>
      <c r="PEZ23"/>
      <c r="PFA23"/>
      <c r="PFB23"/>
      <c r="PFC23"/>
      <c r="PFD23"/>
      <c r="PFE23"/>
      <c r="PFF23"/>
      <c r="PFG23"/>
      <c r="PFH23"/>
      <c r="PFI23"/>
      <c r="PFJ23"/>
      <c r="PFK23"/>
      <c r="PFL23"/>
      <c r="PFM23"/>
      <c r="PFN23"/>
      <c r="PFO23"/>
      <c r="PFP23"/>
      <c r="PFQ23"/>
      <c r="PFR23"/>
      <c r="PFS23"/>
      <c r="PFT23"/>
      <c r="PFU23"/>
      <c r="PFV23"/>
      <c r="PFW23"/>
      <c r="PFX23"/>
      <c r="PFY23"/>
      <c r="PFZ23"/>
      <c r="PGA23"/>
      <c r="PGB23"/>
      <c r="PGC23"/>
      <c r="PGD23"/>
      <c r="PGE23"/>
      <c r="PGF23"/>
      <c r="PGG23"/>
      <c r="PGH23"/>
      <c r="PGI23"/>
      <c r="PGJ23"/>
      <c r="PGK23"/>
      <c r="PGL23"/>
      <c r="PGM23"/>
      <c r="PGN23"/>
      <c r="PGO23"/>
      <c r="PGP23"/>
      <c r="PGQ23"/>
      <c r="PGR23"/>
      <c r="PGS23"/>
      <c r="PGT23"/>
      <c r="PGU23"/>
      <c r="PGV23"/>
      <c r="PGW23"/>
      <c r="PGX23"/>
      <c r="PGY23"/>
      <c r="PGZ23"/>
      <c r="PHA23"/>
      <c r="PHB23"/>
      <c r="PHC23"/>
      <c r="PHD23"/>
      <c r="PHE23"/>
      <c r="PHF23"/>
      <c r="PHG23"/>
      <c r="PHH23"/>
      <c r="PHI23"/>
      <c r="PHJ23"/>
      <c r="PHK23"/>
      <c r="PHL23"/>
      <c r="PHM23"/>
      <c r="PHN23"/>
      <c r="PHO23"/>
      <c r="PHP23"/>
      <c r="PHQ23"/>
      <c r="PHR23"/>
      <c r="PHS23"/>
      <c r="PHT23"/>
      <c r="PHU23"/>
      <c r="PHV23"/>
      <c r="PHW23"/>
      <c r="PHX23"/>
      <c r="PHY23"/>
      <c r="PHZ23"/>
      <c r="PIA23"/>
      <c r="PIB23"/>
      <c r="PIC23"/>
      <c r="PID23"/>
      <c r="PIE23"/>
      <c r="PIF23"/>
      <c r="PIG23"/>
      <c r="PIH23"/>
      <c r="PII23"/>
      <c r="PIJ23"/>
      <c r="PIK23"/>
      <c r="PIL23"/>
      <c r="PIM23"/>
      <c r="PIN23"/>
      <c r="PIO23"/>
      <c r="PIP23"/>
      <c r="PIQ23"/>
      <c r="PIR23"/>
      <c r="PIS23"/>
      <c r="PIT23"/>
      <c r="PIU23"/>
      <c r="PIV23"/>
      <c r="PIW23"/>
      <c r="PIX23"/>
      <c r="PIY23"/>
      <c r="PIZ23"/>
      <c r="PJA23"/>
      <c r="PJB23"/>
      <c r="PJC23"/>
      <c r="PJD23"/>
      <c r="PJE23"/>
      <c r="PJF23"/>
      <c r="PJG23"/>
      <c r="PJH23"/>
      <c r="PJI23"/>
      <c r="PJJ23"/>
      <c r="PJK23"/>
      <c r="PJL23"/>
      <c r="PJM23"/>
      <c r="PJN23"/>
      <c r="PJO23"/>
      <c r="PJP23"/>
      <c r="PJQ23"/>
      <c r="PJR23"/>
      <c r="PJS23"/>
      <c r="PJT23"/>
      <c r="PJU23"/>
      <c r="PJV23"/>
      <c r="PJW23"/>
      <c r="PJX23"/>
      <c r="PJY23"/>
      <c r="PJZ23"/>
      <c r="PKA23"/>
      <c r="PKB23"/>
      <c r="PKC23"/>
      <c r="PKD23"/>
      <c r="PKE23"/>
      <c r="PKF23"/>
      <c r="PKG23"/>
      <c r="PKH23"/>
      <c r="PKI23"/>
      <c r="PKJ23"/>
      <c r="PKK23"/>
      <c r="PKL23"/>
      <c r="PKM23"/>
      <c r="PKN23"/>
      <c r="PKO23"/>
      <c r="PKP23"/>
      <c r="PKQ23"/>
      <c r="PKR23"/>
      <c r="PKS23"/>
      <c r="PKT23"/>
      <c r="PKU23"/>
      <c r="PKV23"/>
      <c r="PKW23"/>
      <c r="PKX23"/>
      <c r="PKY23"/>
      <c r="PKZ23"/>
      <c r="PLA23"/>
      <c r="PLB23"/>
      <c r="PLC23"/>
      <c r="PLD23"/>
      <c r="PLE23"/>
      <c r="PLF23"/>
      <c r="PLG23"/>
      <c r="PLH23"/>
      <c r="PLI23"/>
      <c r="PLJ23"/>
      <c r="PLK23"/>
      <c r="PLL23"/>
      <c r="PLM23"/>
      <c r="PLN23"/>
      <c r="PLO23"/>
      <c r="PLP23"/>
      <c r="PLQ23"/>
      <c r="PLR23"/>
      <c r="PLS23"/>
      <c r="PLT23"/>
      <c r="PLU23"/>
      <c r="PLV23"/>
      <c r="PLW23"/>
      <c r="PLX23"/>
      <c r="PLY23"/>
      <c r="PLZ23"/>
      <c r="PMA23"/>
      <c r="PMB23"/>
      <c r="PMC23"/>
      <c r="PMD23"/>
      <c r="PME23"/>
      <c r="PMF23"/>
      <c r="PMG23"/>
      <c r="PMH23"/>
      <c r="PMI23"/>
      <c r="PMJ23"/>
      <c r="PMK23"/>
      <c r="PML23"/>
      <c r="PMM23"/>
      <c r="PMN23"/>
      <c r="PMO23"/>
      <c r="PMP23"/>
      <c r="PMQ23"/>
      <c r="PMR23"/>
      <c r="PMS23"/>
      <c r="PMT23"/>
      <c r="PMU23"/>
      <c r="PMV23"/>
      <c r="PMW23"/>
      <c r="PMX23"/>
      <c r="PMY23"/>
      <c r="PMZ23"/>
      <c r="PNA23"/>
      <c r="PNB23"/>
      <c r="PNC23"/>
      <c r="PND23"/>
      <c r="PNE23"/>
      <c r="PNF23"/>
      <c r="PNG23"/>
      <c r="PNH23"/>
      <c r="PNI23"/>
      <c r="PNJ23"/>
      <c r="PNK23"/>
      <c r="PNL23"/>
      <c r="PNM23"/>
      <c r="PNN23"/>
      <c r="PNO23"/>
      <c r="PNP23"/>
      <c r="PNQ23"/>
      <c r="PNR23"/>
      <c r="PNS23"/>
      <c r="PNT23"/>
      <c r="PNU23"/>
      <c r="PNV23"/>
      <c r="PNW23"/>
      <c r="PNX23"/>
      <c r="PNY23"/>
      <c r="PNZ23"/>
      <c r="POA23"/>
      <c r="POB23"/>
      <c r="POC23"/>
      <c r="POD23"/>
      <c r="POE23"/>
      <c r="POF23"/>
      <c r="POG23"/>
      <c r="POH23"/>
      <c r="POI23"/>
      <c r="POJ23"/>
      <c r="POK23"/>
      <c r="POL23"/>
      <c r="POM23"/>
      <c r="PON23"/>
      <c r="POO23"/>
      <c r="POP23"/>
      <c r="POQ23"/>
      <c r="POR23"/>
      <c r="POS23"/>
      <c r="POT23"/>
      <c r="POU23"/>
      <c r="POV23"/>
      <c r="POW23"/>
      <c r="POX23"/>
      <c r="POY23"/>
      <c r="POZ23"/>
      <c r="PPA23"/>
      <c r="PPB23"/>
      <c r="PPC23"/>
      <c r="PPD23"/>
      <c r="PPE23"/>
      <c r="PPF23"/>
      <c r="PPG23"/>
      <c r="PPH23"/>
      <c r="PPI23"/>
      <c r="PPJ23"/>
      <c r="PPK23"/>
      <c r="PPL23"/>
      <c r="PPM23"/>
      <c r="PPN23"/>
      <c r="PPO23"/>
      <c r="PPP23"/>
      <c r="PPQ23"/>
      <c r="PPR23"/>
      <c r="PPS23"/>
      <c r="PPT23"/>
      <c r="PPU23"/>
      <c r="PPV23"/>
      <c r="PPW23"/>
      <c r="PPX23"/>
      <c r="PPY23"/>
      <c r="PPZ23"/>
      <c r="PQA23"/>
      <c r="PQB23"/>
      <c r="PQC23"/>
      <c r="PQD23"/>
      <c r="PQE23"/>
      <c r="PQF23"/>
      <c r="PQG23"/>
      <c r="PQH23"/>
      <c r="PQI23"/>
      <c r="PQJ23"/>
      <c r="PQK23"/>
      <c r="PQL23"/>
      <c r="PQM23"/>
      <c r="PQN23"/>
      <c r="PQO23"/>
      <c r="PQP23"/>
      <c r="PQQ23"/>
      <c r="PQR23"/>
      <c r="PQS23"/>
      <c r="PQT23"/>
      <c r="PQU23"/>
      <c r="PQV23"/>
      <c r="PQW23"/>
      <c r="PQX23"/>
      <c r="PQY23"/>
      <c r="PQZ23"/>
      <c r="PRA23"/>
      <c r="PRB23"/>
      <c r="PRC23"/>
      <c r="PRD23"/>
      <c r="PRE23"/>
      <c r="PRF23"/>
      <c r="PRG23"/>
      <c r="PRH23"/>
      <c r="PRI23"/>
      <c r="PRJ23"/>
      <c r="PRK23"/>
      <c r="PRL23"/>
      <c r="PRM23"/>
      <c r="PRN23"/>
      <c r="PRO23"/>
      <c r="PRP23"/>
      <c r="PRQ23"/>
      <c r="PRR23"/>
      <c r="PRS23"/>
      <c r="PRT23"/>
      <c r="PRU23"/>
      <c r="PRV23"/>
      <c r="PRW23"/>
      <c r="PRX23"/>
      <c r="PRY23"/>
      <c r="PRZ23"/>
      <c r="PSA23"/>
      <c r="PSB23"/>
      <c r="PSC23"/>
      <c r="PSD23"/>
      <c r="PSE23"/>
      <c r="PSF23"/>
      <c r="PSG23"/>
      <c r="PSH23"/>
      <c r="PSI23"/>
      <c r="PSJ23"/>
      <c r="PSK23"/>
      <c r="PSL23"/>
      <c r="PSM23"/>
      <c r="PSN23"/>
      <c r="PSO23"/>
      <c r="PSP23"/>
      <c r="PSQ23"/>
      <c r="PSR23"/>
      <c r="PSS23"/>
      <c r="PST23"/>
      <c r="PSU23"/>
      <c r="PSV23"/>
      <c r="PSW23"/>
      <c r="PSX23"/>
      <c r="PSY23"/>
      <c r="PSZ23"/>
      <c r="PTA23"/>
      <c r="PTB23"/>
      <c r="PTC23"/>
      <c r="PTD23"/>
      <c r="PTE23"/>
      <c r="PTF23"/>
      <c r="PTG23"/>
      <c r="PTH23"/>
      <c r="PTI23"/>
      <c r="PTJ23"/>
      <c r="PTK23"/>
      <c r="PTL23"/>
      <c r="PTM23"/>
      <c r="PTN23"/>
      <c r="PTO23"/>
      <c r="PTP23"/>
      <c r="PTQ23"/>
      <c r="PTR23"/>
      <c r="PTS23"/>
      <c r="PTT23"/>
      <c r="PTU23"/>
      <c r="PTV23"/>
      <c r="PTW23"/>
      <c r="PTX23"/>
      <c r="PTY23"/>
      <c r="PTZ23"/>
      <c r="PUA23"/>
      <c r="PUB23"/>
      <c r="PUC23"/>
      <c r="PUD23"/>
      <c r="PUE23"/>
      <c r="PUF23"/>
      <c r="PUG23"/>
      <c r="PUH23"/>
      <c r="PUI23"/>
      <c r="PUJ23"/>
      <c r="PUK23"/>
      <c r="PUL23"/>
      <c r="PUM23"/>
      <c r="PUN23"/>
      <c r="PUO23"/>
      <c r="PUP23"/>
      <c r="PUQ23"/>
      <c r="PUR23"/>
      <c r="PUS23"/>
      <c r="PUT23"/>
      <c r="PUU23"/>
      <c r="PUV23"/>
      <c r="PUW23"/>
      <c r="PUX23"/>
      <c r="PUY23"/>
      <c r="PUZ23"/>
      <c r="PVA23"/>
      <c r="PVB23"/>
      <c r="PVC23"/>
      <c r="PVD23"/>
      <c r="PVE23"/>
      <c r="PVF23"/>
      <c r="PVG23"/>
      <c r="PVH23"/>
      <c r="PVI23"/>
      <c r="PVJ23"/>
      <c r="PVK23"/>
      <c r="PVL23"/>
      <c r="PVM23"/>
      <c r="PVN23"/>
      <c r="PVO23"/>
      <c r="PVP23"/>
      <c r="PVQ23"/>
      <c r="PVR23"/>
      <c r="PVS23"/>
      <c r="PVT23"/>
      <c r="PVU23"/>
      <c r="PVV23"/>
      <c r="PVW23"/>
      <c r="PVX23"/>
      <c r="PVY23"/>
      <c r="PVZ23"/>
      <c r="PWA23"/>
      <c r="PWB23"/>
      <c r="PWC23"/>
      <c r="PWD23"/>
      <c r="PWE23"/>
      <c r="PWF23"/>
      <c r="PWG23"/>
      <c r="PWH23"/>
      <c r="PWI23"/>
      <c r="PWJ23"/>
      <c r="PWK23"/>
      <c r="PWL23"/>
      <c r="PWM23"/>
      <c r="PWN23"/>
      <c r="PWO23"/>
      <c r="PWP23"/>
      <c r="PWQ23"/>
      <c r="PWR23"/>
      <c r="PWS23"/>
      <c r="PWT23"/>
      <c r="PWU23"/>
      <c r="PWV23"/>
      <c r="PWW23"/>
      <c r="PWX23"/>
      <c r="PWY23"/>
      <c r="PWZ23"/>
      <c r="PXA23"/>
      <c r="PXB23"/>
      <c r="PXC23"/>
      <c r="PXD23"/>
      <c r="PXE23"/>
      <c r="PXF23"/>
      <c r="PXG23"/>
      <c r="PXH23"/>
      <c r="PXI23"/>
      <c r="PXJ23"/>
      <c r="PXK23"/>
      <c r="PXL23"/>
      <c r="PXM23"/>
      <c r="PXN23"/>
      <c r="PXO23"/>
      <c r="PXP23"/>
      <c r="PXQ23"/>
      <c r="PXR23"/>
      <c r="PXS23"/>
      <c r="PXT23"/>
      <c r="PXU23"/>
      <c r="PXV23"/>
      <c r="PXW23"/>
      <c r="PXX23"/>
      <c r="PXY23"/>
      <c r="PXZ23"/>
      <c r="PYA23"/>
      <c r="PYB23"/>
      <c r="PYC23"/>
      <c r="PYD23"/>
      <c r="PYE23"/>
      <c r="PYF23"/>
      <c r="PYG23"/>
      <c r="PYH23"/>
      <c r="PYI23"/>
      <c r="PYJ23"/>
      <c r="PYK23"/>
      <c r="PYL23"/>
      <c r="PYM23"/>
      <c r="PYN23"/>
      <c r="PYO23"/>
      <c r="PYP23"/>
      <c r="PYQ23"/>
      <c r="PYR23"/>
      <c r="PYS23"/>
      <c r="PYT23"/>
      <c r="PYU23"/>
      <c r="PYV23"/>
      <c r="PYW23"/>
      <c r="PYX23"/>
      <c r="PYY23"/>
      <c r="PYZ23"/>
      <c r="PZA23"/>
      <c r="PZB23"/>
      <c r="PZC23"/>
      <c r="PZD23"/>
      <c r="PZE23"/>
      <c r="PZF23"/>
      <c r="PZG23"/>
      <c r="PZH23"/>
      <c r="PZI23"/>
      <c r="PZJ23"/>
      <c r="PZK23"/>
      <c r="PZL23"/>
      <c r="PZM23"/>
      <c r="PZN23"/>
      <c r="PZO23"/>
      <c r="PZP23"/>
      <c r="PZQ23"/>
      <c r="PZR23"/>
      <c r="PZS23"/>
      <c r="PZT23"/>
      <c r="PZU23"/>
      <c r="PZV23"/>
      <c r="PZW23"/>
      <c r="PZX23"/>
      <c r="PZY23"/>
      <c r="PZZ23"/>
      <c r="QAA23"/>
      <c r="QAB23"/>
      <c r="QAC23"/>
      <c r="QAD23"/>
      <c r="QAE23"/>
      <c r="QAF23"/>
      <c r="QAG23"/>
      <c r="QAH23"/>
      <c r="QAI23"/>
      <c r="QAJ23"/>
      <c r="QAK23"/>
      <c r="QAL23"/>
      <c r="QAM23"/>
      <c r="QAN23"/>
      <c r="QAO23"/>
      <c r="QAP23"/>
      <c r="QAQ23"/>
      <c r="QAR23"/>
      <c r="QAS23"/>
      <c r="QAT23"/>
      <c r="QAU23"/>
      <c r="QAV23"/>
      <c r="QAW23"/>
      <c r="QAX23"/>
      <c r="QAY23"/>
      <c r="QAZ23"/>
      <c r="QBA23"/>
      <c r="QBB23"/>
      <c r="QBC23"/>
      <c r="QBD23"/>
      <c r="QBE23"/>
      <c r="QBF23"/>
      <c r="QBG23"/>
      <c r="QBH23"/>
      <c r="QBI23"/>
      <c r="QBJ23"/>
      <c r="QBK23"/>
      <c r="QBL23"/>
      <c r="QBM23"/>
      <c r="QBN23"/>
      <c r="QBO23"/>
      <c r="QBP23"/>
      <c r="QBQ23"/>
      <c r="QBR23"/>
      <c r="QBS23"/>
      <c r="QBT23"/>
      <c r="QBU23"/>
      <c r="QBV23"/>
      <c r="QBW23"/>
      <c r="QBX23"/>
      <c r="QBY23"/>
      <c r="QBZ23"/>
      <c r="QCA23"/>
      <c r="QCB23"/>
      <c r="QCC23"/>
      <c r="QCD23"/>
      <c r="QCE23"/>
      <c r="QCF23"/>
      <c r="QCG23"/>
      <c r="QCH23"/>
      <c r="QCI23"/>
      <c r="QCJ23"/>
      <c r="QCK23"/>
      <c r="QCL23"/>
      <c r="QCM23"/>
      <c r="QCN23"/>
      <c r="QCO23"/>
      <c r="QCP23"/>
      <c r="QCQ23"/>
      <c r="QCR23"/>
      <c r="QCS23"/>
      <c r="QCT23"/>
      <c r="QCU23"/>
      <c r="QCV23"/>
      <c r="QCW23"/>
      <c r="QCX23"/>
      <c r="QCY23"/>
      <c r="QCZ23"/>
      <c r="QDA23"/>
      <c r="QDB23"/>
      <c r="QDC23"/>
      <c r="QDD23"/>
      <c r="QDE23"/>
      <c r="QDF23"/>
      <c r="QDG23"/>
      <c r="QDH23"/>
      <c r="QDI23"/>
      <c r="QDJ23"/>
      <c r="QDK23"/>
      <c r="QDL23"/>
      <c r="QDM23"/>
      <c r="QDN23"/>
      <c r="QDO23"/>
      <c r="QDP23"/>
      <c r="QDQ23"/>
      <c r="QDR23"/>
      <c r="QDS23"/>
      <c r="QDT23"/>
      <c r="QDU23"/>
      <c r="QDV23"/>
      <c r="QDW23"/>
      <c r="QDX23"/>
      <c r="QDY23"/>
      <c r="QDZ23"/>
      <c r="QEA23"/>
      <c r="QEB23"/>
      <c r="QEC23"/>
      <c r="QED23"/>
      <c r="QEE23"/>
      <c r="QEF23"/>
      <c r="QEG23"/>
      <c r="QEH23"/>
      <c r="QEI23"/>
      <c r="QEJ23"/>
      <c r="QEK23"/>
      <c r="QEL23"/>
      <c r="QEM23"/>
      <c r="QEN23"/>
      <c r="QEO23"/>
      <c r="QEP23"/>
      <c r="QEQ23"/>
      <c r="QER23"/>
      <c r="QES23"/>
      <c r="QET23"/>
      <c r="QEU23"/>
      <c r="QEV23"/>
      <c r="QEW23"/>
      <c r="QEX23"/>
      <c r="QEY23"/>
      <c r="QEZ23"/>
      <c r="QFA23"/>
      <c r="QFB23"/>
      <c r="QFC23"/>
      <c r="QFD23"/>
      <c r="QFE23"/>
      <c r="QFF23"/>
      <c r="QFG23"/>
      <c r="QFH23"/>
      <c r="QFI23"/>
      <c r="QFJ23"/>
      <c r="QFK23"/>
      <c r="QFL23"/>
      <c r="QFM23"/>
      <c r="QFN23"/>
      <c r="QFO23"/>
      <c r="QFP23"/>
      <c r="QFQ23"/>
      <c r="QFR23"/>
      <c r="QFS23"/>
      <c r="QFT23"/>
      <c r="QFU23"/>
      <c r="QFV23"/>
      <c r="QFW23"/>
      <c r="QFX23"/>
      <c r="QFY23"/>
      <c r="QFZ23"/>
      <c r="QGA23"/>
      <c r="QGB23"/>
      <c r="QGC23"/>
      <c r="QGD23"/>
      <c r="QGE23"/>
      <c r="QGF23"/>
      <c r="QGG23"/>
      <c r="QGH23"/>
      <c r="QGI23"/>
      <c r="QGJ23"/>
      <c r="QGK23"/>
      <c r="QGL23"/>
      <c r="QGM23"/>
      <c r="QGN23"/>
      <c r="QGO23"/>
      <c r="QGP23"/>
      <c r="QGQ23"/>
      <c r="QGR23"/>
      <c r="QGS23"/>
      <c r="QGT23"/>
      <c r="QGU23"/>
      <c r="QGV23"/>
      <c r="QGW23"/>
      <c r="QGX23"/>
      <c r="QGY23"/>
      <c r="QGZ23"/>
      <c r="QHA23"/>
      <c r="QHB23"/>
      <c r="QHC23"/>
      <c r="QHD23"/>
      <c r="QHE23"/>
      <c r="QHF23"/>
      <c r="QHG23"/>
      <c r="QHH23"/>
      <c r="QHI23"/>
      <c r="QHJ23"/>
      <c r="QHK23"/>
      <c r="QHL23"/>
      <c r="QHM23"/>
      <c r="QHN23"/>
      <c r="QHO23"/>
      <c r="QHP23"/>
      <c r="QHQ23"/>
      <c r="QHR23"/>
      <c r="QHS23"/>
      <c r="QHT23"/>
      <c r="QHU23"/>
      <c r="QHV23"/>
      <c r="QHW23"/>
      <c r="QHX23"/>
      <c r="QHY23"/>
      <c r="QHZ23"/>
      <c r="QIA23"/>
      <c r="QIB23"/>
      <c r="QIC23"/>
      <c r="QID23"/>
      <c r="QIE23"/>
      <c r="QIF23"/>
      <c r="QIG23"/>
      <c r="QIH23"/>
      <c r="QII23"/>
      <c r="QIJ23"/>
      <c r="QIK23"/>
      <c r="QIL23"/>
      <c r="QIM23"/>
      <c r="QIN23"/>
      <c r="QIO23"/>
      <c r="QIP23"/>
      <c r="QIQ23"/>
      <c r="QIR23"/>
      <c r="QIS23"/>
      <c r="QIT23"/>
      <c r="QIU23"/>
      <c r="QIV23"/>
      <c r="QIW23"/>
      <c r="QIX23"/>
      <c r="QIY23"/>
      <c r="QIZ23"/>
      <c r="QJA23"/>
      <c r="QJB23"/>
      <c r="QJC23"/>
      <c r="QJD23"/>
      <c r="QJE23"/>
      <c r="QJF23"/>
      <c r="QJG23"/>
      <c r="QJH23"/>
      <c r="QJI23"/>
      <c r="QJJ23"/>
      <c r="QJK23"/>
      <c r="QJL23"/>
      <c r="QJM23"/>
      <c r="QJN23"/>
      <c r="QJO23"/>
      <c r="QJP23"/>
      <c r="QJQ23"/>
      <c r="QJR23"/>
      <c r="QJS23"/>
      <c r="QJT23"/>
      <c r="QJU23"/>
      <c r="QJV23"/>
      <c r="QJW23"/>
      <c r="QJX23"/>
      <c r="QJY23"/>
      <c r="QJZ23"/>
      <c r="QKA23"/>
      <c r="QKB23"/>
      <c r="QKC23"/>
      <c r="QKD23"/>
      <c r="QKE23"/>
      <c r="QKF23"/>
      <c r="QKG23"/>
      <c r="QKH23"/>
      <c r="QKI23"/>
      <c r="QKJ23"/>
      <c r="QKK23"/>
      <c r="QKL23"/>
      <c r="QKM23"/>
      <c r="QKN23"/>
      <c r="QKO23"/>
      <c r="QKP23"/>
      <c r="QKQ23"/>
      <c r="QKR23"/>
      <c r="QKS23"/>
      <c r="QKT23"/>
      <c r="QKU23"/>
      <c r="QKV23"/>
      <c r="QKW23"/>
      <c r="QKX23"/>
      <c r="QKY23"/>
      <c r="QKZ23"/>
      <c r="QLA23"/>
      <c r="QLB23"/>
      <c r="QLC23"/>
      <c r="QLD23"/>
      <c r="QLE23"/>
      <c r="QLF23"/>
      <c r="QLG23"/>
      <c r="QLH23"/>
      <c r="QLI23"/>
      <c r="QLJ23"/>
      <c r="QLK23"/>
      <c r="QLL23"/>
      <c r="QLM23"/>
      <c r="QLN23"/>
      <c r="QLO23"/>
      <c r="QLP23"/>
      <c r="QLQ23"/>
      <c r="QLR23"/>
      <c r="QLS23"/>
      <c r="QLT23"/>
      <c r="QLU23"/>
      <c r="QLV23"/>
      <c r="QLW23"/>
      <c r="QLX23"/>
      <c r="QLY23"/>
      <c r="QLZ23"/>
      <c r="QMA23"/>
      <c r="QMB23"/>
      <c r="QMC23"/>
      <c r="QMD23"/>
      <c r="QME23"/>
      <c r="QMF23"/>
      <c r="QMG23"/>
      <c r="QMH23"/>
      <c r="QMI23"/>
      <c r="QMJ23"/>
      <c r="QMK23"/>
      <c r="QML23"/>
      <c r="QMM23"/>
      <c r="QMN23"/>
      <c r="QMO23"/>
      <c r="QMP23"/>
      <c r="QMQ23"/>
      <c r="QMR23"/>
      <c r="QMS23"/>
      <c r="QMT23"/>
      <c r="QMU23"/>
      <c r="QMV23"/>
      <c r="QMW23"/>
      <c r="QMX23"/>
      <c r="QMY23"/>
      <c r="QMZ23"/>
      <c r="QNA23"/>
      <c r="QNB23"/>
      <c r="QNC23"/>
      <c r="QND23"/>
      <c r="QNE23"/>
      <c r="QNF23"/>
      <c r="QNG23"/>
      <c r="QNH23"/>
      <c r="QNI23"/>
      <c r="QNJ23"/>
      <c r="QNK23"/>
      <c r="QNL23"/>
      <c r="QNM23"/>
      <c r="QNN23"/>
      <c r="QNO23"/>
      <c r="QNP23"/>
      <c r="QNQ23"/>
      <c r="QNR23"/>
      <c r="QNS23"/>
      <c r="QNT23"/>
      <c r="QNU23"/>
      <c r="QNV23"/>
      <c r="QNW23"/>
      <c r="QNX23"/>
      <c r="QNY23"/>
      <c r="QNZ23"/>
      <c r="QOA23"/>
      <c r="QOB23"/>
      <c r="QOC23"/>
      <c r="QOD23"/>
      <c r="QOE23"/>
      <c r="QOF23"/>
      <c r="QOG23"/>
      <c r="QOH23"/>
      <c r="QOI23"/>
      <c r="QOJ23"/>
      <c r="QOK23"/>
      <c r="QOL23"/>
      <c r="QOM23"/>
      <c r="QON23"/>
      <c r="QOO23"/>
      <c r="QOP23"/>
      <c r="QOQ23"/>
      <c r="QOR23"/>
      <c r="QOS23"/>
      <c r="QOT23"/>
      <c r="QOU23"/>
      <c r="QOV23"/>
      <c r="QOW23"/>
      <c r="QOX23"/>
      <c r="QOY23"/>
      <c r="QOZ23"/>
      <c r="QPA23"/>
      <c r="QPB23"/>
      <c r="QPC23"/>
      <c r="QPD23"/>
      <c r="QPE23"/>
      <c r="QPF23"/>
      <c r="QPG23"/>
      <c r="QPH23"/>
      <c r="QPI23"/>
      <c r="QPJ23"/>
      <c r="QPK23"/>
      <c r="QPL23"/>
      <c r="QPM23"/>
      <c r="QPN23"/>
      <c r="QPO23"/>
      <c r="QPP23"/>
      <c r="QPQ23"/>
      <c r="QPR23"/>
      <c r="QPS23"/>
      <c r="QPT23"/>
      <c r="QPU23"/>
      <c r="QPV23"/>
      <c r="QPW23"/>
      <c r="QPX23"/>
      <c r="QPY23"/>
      <c r="QPZ23"/>
      <c r="QQA23"/>
      <c r="QQB23"/>
      <c r="QQC23"/>
      <c r="QQD23"/>
      <c r="QQE23"/>
      <c r="QQF23"/>
      <c r="QQG23"/>
      <c r="QQH23"/>
      <c r="QQI23"/>
      <c r="QQJ23"/>
      <c r="QQK23"/>
      <c r="QQL23"/>
      <c r="QQM23"/>
      <c r="QQN23"/>
      <c r="QQO23"/>
      <c r="QQP23"/>
      <c r="QQQ23"/>
      <c r="QQR23"/>
      <c r="QQS23"/>
      <c r="QQT23"/>
      <c r="QQU23"/>
      <c r="QQV23"/>
      <c r="QQW23"/>
      <c r="QQX23"/>
      <c r="QQY23"/>
      <c r="QQZ23"/>
      <c r="QRA23"/>
      <c r="QRB23"/>
      <c r="QRC23"/>
      <c r="QRD23"/>
      <c r="QRE23"/>
      <c r="QRF23"/>
      <c r="QRG23"/>
      <c r="QRH23"/>
      <c r="QRI23"/>
      <c r="QRJ23"/>
      <c r="QRK23"/>
      <c r="QRL23"/>
      <c r="QRM23"/>
      <c r="QRN23"/>
      <c r="QRO23"/>
      <c r="QRP23"/>
      <c r="QRQ23"/>
      <c r="QRR23"/>
      <c r="QRS23"/>
      <c r="QRT23"/>
      <c r="QRU23"/>
      <c r="QRV23"/>
      <c r="QRW23"/>
      <c r="QRX23"/>
      <c r="QRY23"/>
      <c r="QRZ23"/>
      <c r="QSA23"/>
      <c r="QSB23"/>
      <c r="QSC23"/>
      <c r="QSD23"/>
      <c r="QSE23"/>
      <c r="QSF23"/>
      <c r="QSG23"/>
      <c r="QSH23"/>
      <c r="QSI23"/>
      <c r="QSJ23"/>
      <c r="QSK23"/>
      <c r="QSL23"/>
      <c r="QSM23"/>
      <c r="QSN23"/>
      <c r="QSO23"/>
      <c r="QSP23"/>
      <c r="QSQ23"/>
      <c r="QSR23"/>
      <c r="QSS23"/>
      <c r="QST23"/>
      <c r="QSU23"/>
      <c r="QSV23"/>
      <c r="QSW23"/>
      <c r="QSX23"/>
      <c r="QSY23"/>
      <c r="QSZ23"/>
      <c r="QTA23"/>
      <c r="QTB23"/>
      <c r="QTC23"/>
      <c r="QTD23"/>
      <c r="QTE23"/>
      <c r="QTF23"/>
      <c r="QTG23"/>
      <c r="QTH23"/>
      <c r="QTI23"/>
      <c r="QTJ23"/>
      <c r="QTK23"/>
      <c r="QTL23"/>
      <c r="QTM23"/>
      <c r="QTN23"/>
      <c r="QTO23"/>
      <c r="QTP23"/>
      <c r="QTQ23"/>
      <c r="QTR23"/>
      <c r="QTS23"/>
      <c r="QTT23"/>
      <c r="QTU23"/>
      <c r="QTV23"/>
      <c r="QTW23"/>
      <c r="QTX23"/>
      <c r="QTY23"/>
      <c r="QTZ23"/>
      <c r="QUA23"/>
      <c r="QUB23"/>
      <c r="QUC23"/>
      <c r="QUD23"/>
      <c r="QUE23"/>
      <c r="QUF23"/>
      <c r="QUG23"/>
      <c r="QUH23"/>
      <c r="QUI23"/>
      <c r="QUJ23"/>
      <c r="QUK23"/>
      <c r="QUL23"/>
      <c r="QUM23"/>
      <c r="QUN23"/>
      <c r="QUO23"/>
      <c r="QUP23"/>
      <c r="QUQ23"/>
      <c r="QUR23"/>
      <c r="QUS23"/>
      <c r="QUT23"/>
      <c r="QUU23"/>
      <c r="QUV23"/>
      <c r="QUW23"/>
      <c r="QUX23"/>
      <c r="QUY23"/>
      <c r="QUZ23"/>
      <c r="QVA23"/>
      <c r="QVB23"/>
      <c r="QVC23"/>
      <c r="QVD23"/>
      <c r="QVE23"/>
      <c r="QVF23"/>
      <c r="QVG23"/>
      <c r="QVH23"/>
      <c r="QVI23"/>
      <c r="QVJ23"/>
      <c r="QVK23"/>
      <c r="QVL23"/>
      <c r="QVM23"/>
      <c r="QVN23"/>
      <c r="QVO23"/>
      <c r="QVP23"/>
      <c r="QVQ23"/>
      <c r="QVR23"/>
      <c r="QVS23"/>
      <c r="QVT23"/>
      <c r="QVU23"/>
      <c r="QVV23"/>
      <c r="QVW23"/>
      <c r="QVX23"/>
      <c r="QVY23"/>
      <c r="QVZ23"/>
      <c r="QWA23"/>
      <c r="QWB23"/>
      <c r="QWC23"/>
      <c r="QWD23"/>
      <c r="QWE23"/>
      <c r="QWF23"/>
      <c r="QWG23"/>
      <c r="QWH23"/>
      <c r="QWI23"/>
      <c r="QWJ23"/>
      <c r="QWK23"/>
      <c r="QWL23"/>
      <c r="QWM23"/>
      <c r="QWN23"/>
      <c r="QWO23"/>
      <c r="QWP23"/>
      <c r="QWQ23"/>
      <c r="QWR23"/>
      <c r="QWS23"/>
      <c r="QWT23"/>
      <c r="QWU23"/>
      <c r="QWV23"/>
      <c r="QWW23"/>
      <c r="QWX23"/>
      <c r="QWY23"/>
      <c r="QWZ23"/>
      <c r="QXA23"/>
      <c r="QXB23"/>
      <c r="QXC23"/>
      <c r="QXD23"/>
      <c r="QXE23"/>
      <c r="QXF23"/>
      <c r="QXG23"/>
      <c r="QXH23"/>
      <c r="QXI23"/>
      <c r="QXJ23"/>
      <c r="QXK23"/>
      <c r="QXL23"/>
      <c r="QXM23"/>
      <c r="QXN23"/>
      <c r="QXO23"/>
      <c r="QXP23"/>
      <c r="QXQ23"/>
      <c r="QXR23"/>
      <c r="QXS23"/>
      <c r="QXT23"/>
      <c r="QXU23"/>
      <c r="QXV23"/>
      <c r="QXW23"/>
      <c r="QXX23"/>
      <c r="QXY23"/>
      <c r="QXZ23"/>
      <c r="QYA23"/>
      <c r="QYB23"/>
      <c r="QYC23"/>
      <c r="QYD23"/>
      <c r="QYE23"/>
      <c r="QYF23"/>
      <c r="QYG23"/>
      <c r="QYH23"/>
      <c r="QYI23"/>
      <c r="QYJ23"/>
      <c r="QYK23"/>
      <c r="QYL23"/>
      <c r="QYM23"/>
      <c r="QYN23"/>
      <c r="QYO23"/>
      <c r="QYP23"/>
      <c r="QYQ23"/>
      <c r="QYR23"/>
      <c r="QYS23"/>
      <c r="QYT23"/>
      <c r="QYU23"/>
      <c r="QYV23"/>
      <c r="QYW23"/>
      <c r="QYX23"/>
      <c r="QYY23"/>
      <c r="QYZ23"/>
      <c r="QZA23"/>
      <c r="QZB23"/>
      <c r="QZC23"/>
      <c r="QZD23"/>
      <c r="QZE23"/>
      <c r="QZF23"/>
      <c r="QZG23"/>
      <c r="QZH23"/>
      <c r="QZI23"/>
      <c r="QZJ23"/>
      <c r="QZK23"/>
      <c r="QZL23"/>
      <c r="QZM23"/>
      <c r="QZN23"/>
      <c r="QZO23"/>
      <c r="QZP23"/>
      <c r="QZQ23"/>
      <c r="QZR23"/>
      <c r="QZS23"/>
      <c r="QZT23"/>
      <c r="QZU23"/>
      <c r="QZV23"/>
      <c r="QZW23"/>
      <c r="QZX23"/>
      <c r="QZY23"/>
      <c r="QZZ23"/>
      <c r="RAA23"/>
      <c r="RAB23"/>
      <c r="RAC23"/>
      <c r="RAD23"/>
      <c r="RAE23"/>
      <c r="RAF23"/>
      <c r="RAG23"/>
      <c r="RAH23"/>
      <c r="RAI23"/>
      <c r="RAJ23"/>
      <c r="RAK23"/>
      <c r="RAL23"/>
      <c r="RAM23"/>
      <c r="RAN23"/>
      <c r="RAO23"/>
      <c r="RAP23"/>
      <c r="RAQ23"/>
      <c r="RAR23"/>
      <c r="RAS23"/>
      <c r="RAT23"/>
      <c r="RAU23"/>
      <c r="RAV23"/>
      <c r="RAW23"/>
      <c r="RAX23"/>
      <c r="RAY23"/>
      <c r="RAZ23"/>
      <c r="RBA23"/>
      <c r="RBB23"/>
      <c r="RBC23"/>
      <c r="RBD23"/>
      <c r="RBE23"/>
      <c r="RBF23"/>
      <c r="RBG23"/>
      <c r="RBH23"/>
      <c r="RBI23"/>
      <c r="RBJ23"/>
      <c r="RBK23"/>
      <c r="RBL23"/>
      <c r="RBM23"/>
      <c r="RBN23"/>
      <c r="RBO23"/>
      <c r="RBP23"/>
      <c r="RBQ23"/>
      <c r="RBR23"/>
      <c r="RBS23"/>
      <c r="RBT23"/>
      <c r="RBU23"/>
      <c r="RBV23"/>
      <c r="RBW23"/>
      <c r="RBX23"/>
      <c r="RBY23"/>
      <c r="RBZ23"/>
      <c r="RCA23"/>
      <c r="RCB23"/>
      <c r="RCC23"/>
      <c r="RCD23"/>
      <c r="RCE23"/>
      <c r="RCF23"/>
      <c r="RCG23"/>
      <c r="RCH23"/>
      <c r="RCI23"/>
      <c r="RCJ23"/>
      <c r="RCK23"/>
      <c r="RCL23"/>
      <c r="RCM23"/>
      <c r="RCN23"/>
      <c r="RCO23"/>
      <c r="RCP23"/>
      <c r="RCQ23"/>
      <c r="RCR23"/>
      <c r="RCS23"/>
      <c r="RCT23"/>
      <c r="RCU23"/>
      <c r="RCV23"/>
      <c r="RCW23"/>
      <c r="RCX23"/>
      <c r="RCY23"/>
      <c r="RCZ23"/>
      <c r="RDA23"/>
      <c r="RDB23"/>
      <c r="RDC23"/>
      <c r="RDD23"/>
      <c r="RDE23"/>
      <c r="RDF23"/>
      <c r="RDG23"/>
      <c r="RDH23"/>
      <c r="RDI23"/>
      <c r="RDJ23"/>
      <c r="RDK23"/>
      <c r="RDL23"/>
      <c r="RDM23"/>
      <c r="RDN23"/>
      <c r="RDO23"/>
      <c r="RDP23"/>
      <c r="RDQ23"/>
      <c r="RDR23"/>
      <c r="RDS23"/>
      <c r="RDT23"/>
      <c r="RDU23"/>
      <c r="RDV23"/>
      <c r="RDW23"/>
      <c r="RDX23"/>
      <c r="RDY23"/>
      <c r="RDZ23"/>
      <c r="REA23"/>
      <c r="REB23"/>
      <c r="REC23"/>
      <c r="RED23"/>
      <c r="REE23"/>
      <c r="REF23"/>
      <c r="REG23"/>
      <c r="REH23"/>
      <c r="REI23"/>
      <c r="REJ23"/>
      <c r="REK23"/>
      <c r="REL23"/>
      <c r="REM23"/>
      <c r="REN23"/>
      <c r="REO23"/>
      <c r="REP23"/>
      <c r="REQ23"/>
      <c r="RER23"/>
      <c r="RES23"/>
      <c r="RET23"/>
      <c r="REU23"/>
      <c r="REV23"/>
      <c r="REW23"/>
      <c r="REX23"/>
      <c r="REY23"/>
      <c r="REZ23"/>
      <c r="RFA23"/>
      <c r="RFB23"/>
      <c r="RFC23"/>
      <c r="RFD23"/>
      <c r="RFE23"/>
      <c r="RFF23"/>
      <c r="RFG23"/>
      <c r="RFH23"/>
      <c r="RFI23"/>
      <c r="RFJ23"/>
      <c r="RFK23"/>
      <c r="RFL23"/>
      <c r="RFM23"/>
      <c r="RFN23"/>
      <c r="RFO23"/>
      <c r="RFP23"/>
      <c r="RFQ23"/>
      <c r="RFR23"/>
      <c r="RFS23"/>
      <c r="RFT23"/>
      <c r="RFU23"/>
      <c r="RFV23"/>
      <c r="RFW23"/>
      <c r="RFX23"/>
      <c r="RFY23"/>
      <c r="RFZ23"/>
      <c r="RGA23"/>
      <c r="RGB23"/>
      <c r="RGC23"/>
      <c r="RGD23"/>
      <c r="RGE23"/>
      <c r="RGF23"/>
      <c r="RGG23"/>
      <c r="RGH23"/>
      <c r="RGI23"/>
      <c r="RGJ23"/>
      <c r="RGK23"/>
      <c r="RGL23"/>
      <c r="RGM23"/>
      <c r="RGN23"/>
      <c r="RGO23"/>
      <c r="RGP23"/>
      <c r="RGQ23"/>
      <c r="RGR23"/>
      <c r="RGS23"/>
      <c r="RGT23"/>
      <c r="RGU23"/>
      <c r="RGV23"/>
      <c r="RGW23"/>
      <c r="RGX23"/>
      <c r="RGY23"/>
      <c r="RGZ23"/>
      <c r="RHA23"/>
      <c r="RHB23"/>
      <c r="RHC23"/>
      <c r="RHD23"/>
      <c r="RHE23"/>
      <c r="RHF23"/>
      <c r="RHG23"/>
      <c r="RHH23"/>
      <c r="RHI23"/>
      <c r="RHJ23"/>
      <c r="RHK23"/>
      <c r="RHL23"/>
      <c r="RHM23"/>
      <c r="RHN23"/>
      <c r="RHO23"/>
      <c r="RHP23"/>
      <c r="RHQ23"/>
      <c r="RHR23"/>
      <c r="RHS23"/>
      <c r="RHT23"/>
      <c r="RHU23"/>
      <c r="RHV23"/>
      <c r="RHW23"/>
      <c r="RHX23"/>
      <c r="RHY23"/>
      <c r="RHZ23"/>
      <c r="RIA23"/>
      <c r="RIB23"/>
      <c r="RIC23"/>
      <c r="RID23"/>
      <c r="RIE23"/>
      <c r="RIF23"/>
      <c r="RIG23"/>
      <c r="RIH23"/>
      <c r="RII23"/>
      <c r="RIJ23"/>
      <c r="RIK23"/>
      <c r="RIL23"/>
      <c r="RIM23"/>
      <c r="RIN23"/>
      <c r="RIO23"/>
      <c r="RIP23"/>
      <c r="RIQ23"/>
      <c r="RIR23"/>
      <c r="RIS23"/>
      <c r="RIT23"/>
      <c r="RIU23"/>
      <c r="RIV23"/>
      <c r="RIW23"/>
      <c r="RIX23"/>
      <c r="RIY23"/>
      <c r="RIZ23"/>
      <c r="RJA23"/>
      <c r="RJB23"/>
      <c r="RJC23"/>
      <c r="RJD23"/>
      <c r="RJE23"/>
      <c r="RJF23"/>
      <c r="RJG23"/>
      <c r="RJH23"/>
      <c r="RJI23"/>
      <c r="RJJ23"/>
      <c r="RJK23"/>
      <c r="RJL23"/>
      <c r="RJM23"/>
      <c r="RJN23"/>
      <c r="RJO23"/>
      <c r="RJP23"/>
      <c r="RJQ23"/>
      <c r="RJR23"/>
      <c r="RJS23"/>
      <c r="RJT23"/>
      <c r="RJU23"/>
      <c r="RJV23"/>
      <c r="RJW23"/>
      <c r="RJX23"/>
      <c r="RJY23"/>
      <c r="RJZ23"/>
      <c r="RKA23"/>
      <c r="RKB23"/>
      <c r="RKC23"/>
      <c r="RKD23"/>
      <c r="RKE23"/>
      <c r="RKF23"/>
      <c r="RKG23"/>
      <c r="RKH23"/>
      <c r="RKI23"/>
      <c r="RKJ23"/>
      <c r="RKK23"/>
      <c r="RKL23"/>
      <c r="RKM23"/>
      <c r="RKN23"/>
      <c r="RKO23"/>
      <c r="RKP23"/>
      <c r="RKQ23"/>
      <c r="RKR23"/>
      <c r="RKS23"/>
      <c r="RKT23"/>
      <c r="RKU23"/>
      <c r="RKV23"/>
      <c r="RKW23"/>
      <c r="RKX23"/>
      <c r="RKY23"/>
      <c r="RKZ23"/>
      <c r="RLA23"/>
      <c r="RLB23"/>
      <c r="RLC23"/>
      <c r="RLD23"/>
      <c r="RLE23"/>
      <c r="RLF23"/>
      <c r="RLG23"/>
      <c r="RLH23"/>
      <c r="RLI23"/>
      <c r="RLJ23"/>
      <c r="RLK23"/>
      <c r="RLL23"/>
      <c r="RLM23"/>
      <c r="RLN23"/>
      <c r="RLO23"/>
      <c r="RLP23"/>
      <c r="RLQ23"/>
      <c r="RLR23"/>
      <c r="RLS23"/>
      <c r="RLT23"/>
      <c r="RLU23"/>
      <c r="RLV23"/>
      <c r="RLW23"/>
      <c r="RLX23"/>
      <c r="RLY23"/>
      <c r="RLZ23"/>
      <c r="RMA23"/>
      <c r="RMB23"/>
      <c r="RMC23"/>
      <c r="RMD23"/>
      <c r="RME23"/>
      <c r="RMF23"/>
      <c r="RMG23"/>
      <c r="RMH23"/>
      <c r="RMI23"/>
      <c r="RMJ23"/>
      <c r="RMK23"/>
      <c r="RML23"/>
      <c r="RMM23"/>
      <c r="RMN23"/>
      <c r="RMO23"/>
      <c r="RMP23"/>
      <c r="RMQ23"/>
      <c r="RMR23"/>
      <c r="RMS23"/>
      <c r="RMT23"/>
      <c r="RMU23"/>
      <c r="RMV23"/>
      <c r="RMW23"/>
      <c r="RMX23"/>
      <c r="RMY23"/>
      <c r="RMZ23"/>
      <c r="RNA23"/>
      <c r="RNB23"/>
      <c r="RNC23"/>
      <c r="RND23"/>
      <c r="RNE23"/>
      <c r="RNF23"/>
      <c r="RNG23"/>
      <c r="RNH23"/>
      <c r="RNI23"/>
      <c r="RNJ23"/>
      <c r="RNK23"/>
      <c r="RNL23"/>
      <c r="RNM23"/>
      <c r="RNN23"/>
      <c r="RNO23"/>
      <c r="RNP23"/>
      <c r="RNQ23"/>
      <c r="RNR23"/>
      <c r="RNS23"/>
      <c r="RNT23"/>
      <c r="RNU23"/>
      <c r="RNV23"/>
      <c r="RNW23"/>
      <c r="RNX23"/>
      <c r="RNY23"/>
      <c r="RNZ23"/>
      <c r="ROA23"/>
      <c r="ROB23"/>
      <c r="ROC23"/>
      <c r="ROD23"/>
      <c r="ROE23"/>
      <c r="ROF23"/>
      <c r="ROG23"/>
      <c r="ROH23"/>
      <c r="ROI23"/>
      <c r="ROJ23"/>
      <c r="ROK23"/>
      <c r="ROL23"/>
      <c r="ROM23"/>
      <c r="RON23"/>
      <c r="ROO23"/>
      <c r="ROP23"/>
      <c r="ROQ23"/>
      <c r="ROR23"/>
      <c r="ROS23"/>
      <c r="ROT23"/>
      <c r="ROU23"/>
      <c r="ROV23"/>
      <c r="ROW23"/>
      <c r="ROX23"/>
      <c r="ROY23"/>
      <c r="ROZ23"/>
      <c r="RPA23"/>
      <c r="RPB23"/>
      <c r="RPC23"/>
      <c r="RPD23"/>
      <c r="RPE23"/>
      <c r="RPF23"/>
      <c r="RPG23"/>
      <c r="RPH23"/>
      <c r="RPI23"/>
      <c r="RPJ23"/>
      <c r="RPK23"/>
      <c r="RPL23"/>
      <c r="RPM23"/>
      <c r="RPN23"/>
      <c r="RPO23"/>
      <c r="RPP23"/>
      <c r="RPQ23"/>
      <c r="RPR23"/>
      <c r="RPS23"/>
      <c r="RPT23"/>
      <c r="RPU23"/>
      <c r="RPV23"/>
      <c r="RPW23"/>
      <c r="RPX23"/>
      <c r="RPY23"/>
      <c r="RPZ23"/>
      <c r="RQA23"/>
      <c r="RQB23"/>
      <c r="RQC23"/>
      <c r="RQD23"/>
      <c r="RQE23"/>
      <c r="RQF23"/>
      <c r="RQG23"/>
      <c r="RQH23"/>
      <c r="RQI23"/>
      <c r="RQJ23"/>
      <c r="RQK23"/>
      <c r="RQL23"/>
      <c r="RQM23"/>
      <c r="RQN23"/>
      <c r="RQO23"/>
      <c r="RQP23"/>
      <c r="RQQ23"/>
      <c r="RQR23"/>
      <c r="RQS23"/>
      <c r="RQT23"/>
      <c r="RQU23"/>
      <c r="RQV23"/>
      <c r="RQW23"/>
      <c r="RQX23"/>
      <c r="RQY23"/>
      <c r="RQZ23"/>
      <c r="RRA23"/>
      <c r="RRB23"/>
      <c r="RRC23"/>
      <c r="RRD23"/>
      <c r="RRE23"/>
      <c r="RRF23"/>
      <c r="RRG23"/>
      <c r="RRH23"/>
      <c r="RRI23"/>
      <c r="RRJ23"/>
      <c r="RRK23"/>
      <c r="RRL23"/>
      <c r="RRM23"/>
      <c r="RRN23"/>
      <c r="RRO23"/>
      <c r="RRP23"/>
      <c r="RRQ23"/>
      <c r="RRR23"/>
      <c r="RRS23"/>
      <c r="RRT23"/>
      <c r="RRU23"/>
      <c r="RRV23"/>
      <c r="RRW23"/>
      <c r="RRX23"/>
      <c r="RRY23"/>
      <c r="RRZ23"/>
      <c r="RSA23"/>
      <c r="RSB23"/>
      <c r="RSC23"/>
      <c r="RSD23"/>
      <c r="RSE23"/>
      <c r="RSF23"/>
      <c r="RSG23"/>
      <c r="RSH23"/>
      <c r="RSI23"/>
      <c r="RSJ23"/>
      <c r="RSK23"/>
      <c r="RSL23"/>
      <c r="RSM23"/>
      <c r="RSN23"/>
      <c r="RSO23"/>
      <c r="RSP23"/>
      <c r="RSQ23"/>
      <c r="RSR23"/>
      <c r="RSS23"/>
      <c r="RST23"/>
      <c r="RSU23"/>
      <c r="RSV23"/>
      <c r="RSW23"/>
      <c r="RSX23"/>
      <c r="RSY23"/>
      <c r="RSZ23"/>
      <c r="RTA23"/>
      <c r="RTB23"/>
      <c r="RTC23"/>
      <c r="RTD23"/>
      <c r="RTE23"/>
      <c r="RTF23"/>
      <c r="RTG23"/>
      <c r="RTH23"/>
      <c r="RTI23"/>
      <c r="RTJ23"/>
      <c r="RTK23"/>
      <c r="RTL23"/>
      <c r="RTM23"/>
      <c r="RTN23"/>
      <c r="RTO23"/>
      <c r="RTP23"/>
      <c r="RTQ23"/>
      <c r="RTR23"/>
      <c r="RTS23"/>
      <c r="RTT23"/>
      <c r="RTU23"/>
      <c r="RTV23"/>
      <c r="RTW23"/>
      <c r="RTX23"/>
      <c r="RTY23"/>
      <c r="RTZ23"/>
      <c r="RUA23"/>
      <c r="RUB23"/>
      <c r="RUC23"/>
      <c r="RUD23"/>
      <c r="RUE23"/>
      <c r="RUF23"/>
      <c r="RUG23"/>
      <c r="RUH23"/>
      <c r="RUI23"/>
      <c r="RUJ23"/>
      <c r="RUK23"/>
      <c r="RUL23"/>
      <c r="RUM23"/>
      <c r="RUN23"/>
      <c r="RUO23"/>
      <c r="RUP23"/>
      <c r="RUQ23"/>
      <c r="RUR23"/>
      <c r="RUS23"/>
      <c r="RUT23"/>
      <c r="RUU23"/>
      <c r="RUV23"/>
      <c r="RUW23"/>
      <c r="RUX23"/>
      <c r="RUY23"/>
      <c r="RUZ23"/>
      <c r="RVA23"/>
      <c r="RVB23"/>
      <c r="RVC23"/>
      <c r="RVD23"/>
      <c r="RVE23"/>
      <c r="RVF23"/>
      <c r="RVG23"/>
      <c r="RVH23"/>
      <c r="RVI23"/>
      <c r="RVJ23"/>
      <c r="RVK23"/>
      <c r="RVL23"/>
      <c r="RVM23"/>
      <c r="RVN23"/>
      <c r="RVO23"/>
      <c r="RVP23"/>
      <c r="RVQ23"/>
      <c r="RVR23"/>
      <c r="RVS23"/>
      <c r="RVT23"/>
      <c r="RVU23"/>
      <c r="RVV23"/>
      <c r="RVW23"/>
      <c r="RVX23"/>
      <c r="RVY23"/>
      <c r="RVZ23"/>
      <c r="RWA23"/>
      <c r="RWB23"/>
      <c r="RWC23"/>
      <c r="RWD23"/>
      <c r="RWE23"/>
      <c r="RWF23"/>
      <c r="RWG23"/>
      <c r="RWH23"/>
      <c r="RWI23"/>
      <c r="RWJ23"/>
      <c r="RWK23"/>
      <c r="RWL23"/>
      <c r="RWM23"/>
      <c r="RWN23"/>
      <c r="RWO23"/>
      <c r="RWP23"/>
      <c r="RWQ23"/>
      <c r="RWR23"/>
      <c r="RWS23"/>
      <c r="RWT23"/>
      <c r="RWU23"/>
      <c r="RWV23"/>
      <c r="RWW23"/>
      <c r="RWX23"/>
      <c r="RWY23"/>
      <c r="RWZ23"/>
      <c r="RXA23"/>
      <c r="RXB23"/>
      <c r="RXC23"/>
      <c r="RXD23"/>
      <c r="RXE23"/>
      <c r="RXF23"/>
      <c r="RXG23"/>
      <c r="RXH23"/>
      <c r="RXI23"/>
      <c r="RXJ23"/>
      <c r="RXK23"/>
      <c r="RXL23"/>
      <c r="RXM23"/>
      <c r="RXN23"/>
      <c r="RXO23"/>
      <c r="RXP23"/>
      <c r="RXQ23"/>
      <c r="RXR23"/>
      <c r="RXS23"/>
      <c r="RXT23"/>
      <c r="RXU23"/>
      <c r="RXV23"/>
      <c r="RXW23"/>
      <c r="RXX23"/>
      <c r="RXY23"/>
      <c r="RXZ23"/>
      <c r="RYA23"/>
      <c r="RYB23"/>
      <c r="RYC23"/>
      <c r="RYD23"/>
      <c r="RYE23"/>
      <c r="RYF23"/>
      <c r="RYG23"/>
      <c r="RYH23"/>
      <c r="RYI23"/>
      <c r="RYJ23"/>
      <c r="RYK23"/>
      <c r="RYL23"/>
      <c r="RYM23"/>
      <c r="RYN23"/>
      <c r="RYO23"/>
      <c r="RYP23"/>
      <c r="RYQ23"/>
      <c r="RYR23"/>
      <c r="RYS23"/>
      <c r="RYT23"/>
      <c r="RYU23"/>
      <c r="RYV23"/>
      <c r="RYW23"/>
      <c r="RYX23"/>
      <c r="RYY23"/>
      <c r="RYZ23"/>
      <c r="RZA23"/>
      <c r="RZB23"/>
      <c r="RZC23"/>
      <c r="RZD23"/>
      <c r="RZE23"/>
      <c r="RZF23"/>
      <c r="RZG23"/>
      <c r="RZH23"/>
      <c r="RZI23"/>
      <c r="RZJ23"/>
      <c r="RZK23"/>
      <c r="RZL23"/>
      <c r="RZM23"/>
      <c r="RZN23"/>
      <c r="RZO23"/>
      <c r="RZP23"/>
      <c r="RZQ23"/>
      <c r="RZR23"/>
      <c r="RZS23"/>
      <c r="RZT23"/>
      <c r="RZU23"/>
      <c r="RZV23"/>
      <c r="RZW23"/>
      <c r="RZX23"/>
      <c r="RZY23"/>
      <c r="RZZ23"/>
      <c r="SAA23"/>
      <c r="SAB23"/>
      <c r="SAC23"/>
      <c r="SAD23"/>
      <c r="SAE23"/>
      <c r="SAF23"/>
      <c r="SAG23"/>
      <c r="SAH23"/>
      <c r="SAI23"/>
      <c r="SAJ23"/>
      <c r="SAK23"/>
      <c r="SAL23"/>
      <c r="SAM23"/>
      <c r="SAN23"/>
      <c r="SAO23"/>
      <c r="SAP23"/>
      <c r="SAQ23"/>
      <c r="SAR23"/>
      <c r="SAS23"/>
      <c r="SAT23"/>
      <c r="SAU23"/>
      <c r="SAV23"/>
      <c r="SAW23"/>
      <c r="SAX23"/>
      <c r="SAY23"/>
      <c r="SAZ23"/>
      <c r="SBA23"/>
      <c r="SBB23"/>
      <c r="SBC23"/>
      <c r="SBD23"/>
      <c r="SBE23"/>
      <c r="SBF23"/>
      <c r="SBG23"/>
      <c r="SBH23"/>
      <c r="SBI23"/>
      <c r="SBJ23"/>
      <c r="SBK23"/>
      <c r="SBL23"/>
      <c r="SBM23"/>
      <c r="SBN23"/>
      <c r="SBO23"/>
      <c r="SBP23"/>
      <c r="SBQ23"/>
      <c r="SBR23"/>
      <c r="SBS23"/>
      <c r="SBT23"/>
      <c r="SBU23"/>
      <c r="SBV23"/>
      <c r="SBW23"/>
      <c r="SBX23"/>
      <c r="SBY23"/>
      <c r="SBZ23"/>
      <c r="SCA23"/>
      <c r="SCB23"/>
      <c r="SCC23"/>
      <c r="SCD23"/>
      <c r="SCE23"/>
      <c r="SCF23"/>
      <c r="SCG23"/>
      <c r="SCH23"/>
      <c r="SCI23"/>
      <c r="SCJ23"/>
      <c r="SCK23"/>
      <c r="SCL23"/>
      <c r="SCM23"/>
      <c r="SCN23"/>
      <c r="SCO23"/>
      <c r="SCP23"/>
      <c r="SCQ23"/>
      <c r="SCR23"/>
      <c r="SCS23"/>
      <c r="SCT23"/>
      <c r="SCU23"/>
      <c r="SCV23"/>
      <c r="SCW23"/>
      <c r="SCX23"/>
      <c r="SCY23"/>
      <c r="SCZ23"/>
      <c r="SDA23"/>
      <c r="SDB23"/>
      <c r="SDC23"/>
      <c r="SDD23"/>
      <c r="SDE23"/>
      <c r="SDF23"/>
      <c r="SDG23"/>
      <c r="SDH23"/>
      <c r="SDI23"/>
      <c r="SDJ23"/>
      <c r="SDK23"/>
      <c r="SDL23"/>
      <c r="SDM23"/>
      <c r="SDN23"/>
      <c r="SDO23"/>
      <c r="SDP23"/>
      <c r="SDQ23"/>
      <c r="SDR23"/>
      <c r="SDS23"/>
      <c r="SDT23"/>
      <c r="SDU23"/>
      <c r="SDV23"/>
      <c r="SDW23"/>
      <c r="SDX23"/>
      <c r="SDY23"/>
      <c r="SDZ23"/>
      <c r="SEA23"/>
      <c r="SEB23"/>
      <c r="SEC23"/>
      <c r="SED23"/>
      <c r="SEE23"/>
      <c r="SEF23"/>
      <c r="SEG23"/>
      <c r="SEH23"/>
      <c r="SEI23"/>
      <c r="SEJ23"/>
      <c r="SEK23"/>
      <c r="SEL23"/>
      <c r="SEM23"/>
      <c r="SEN23"/>
      <c r="SEO23"/>
      <c r="SEP23"/>
      <c r="SEQ23"/>
      <c r="SER23"/>
      <c r="SES23"/>
      <c r="SET23"/>
      <c r="SEU23"/>
      <c r="SEV23"/>
      <c r="SEW23"/>
      <c r="SEX23"/>
      <c r="SEY23"/>
      <c r="SEZ23"/>
      <c r="SFA23"/>
      <c r="SFB23"/>
      <c r="SFC23"/>
      <c r="SFD23"/>
      <c r="SFE23"/>
      <c r="SFF23"/>
      <c r="SFG23"/>
      <c r="SFH23"/>
      <c r="SFI23"/>
      <c r="SFJ23"/>
      <c r="SFK23"/>
      <c r="SFL23"/>
      <c r="SFM23"/>
      <c r="SFN23"/>
      <c r="SFO23"/>
      <c r="SFP23"/>
      <c r="SFQ23"/>
      <c r="SFR23"/>
      <c r="SFS23"/>
      <c r="SFT23"/>
      <c r="SFU23"/>
      <c r="SFV23"/>
      <c r="SFW23"/>
      <c r="SFX23"/>
      <c r="SFY23"/>
      <c r="SFZ23"/>
      <c r="SGA23"/>
      <c r="SGB23"/>
      <c r="SGC23"/>
      <c r="SGD23"/>
      <c r="SGE23"/>
      <c r="SGF23"/>
      <c r="SGG23"/>
      <c r="SGH23"/>
      <c r="SGI23"/>
      <c r="SGJ23"/>
      <c r="SGK23"/>
      <c r="SGL23"/>
      <c r="SGM23"/>
      <c r="SGN23"/>
      <c r="SGO23"/>
      <c r="SGP23"/>
      <c r="SGQ23"/>
      <c r="SGR23"/>
      <c r="SGS23"/>
      <c r="SGT23"/>
      <c r="SGU23"/>
      <c r="SGV23"/>
      <c r="SGW23"/>
      <c r="SGX23"/>
      <c r="SGY23"/>
      <c r="SGZ23"/>
      <c r="SHA23"/>
      <c r="SHB23"/>
      <c r="SHC23"/>
      <c r="SHD23"/>
      <c r="SHE23"/>
      <c r="SHF23"/>
      <c r="SHG23"/>
      <c r="SHH23"/>
      <c r="SHI23"/>
      <c r="SHJ23"/>
      <c r="SHK23"/>
      <c r="SHL23"/>
      <c r="SHM23"/>
      <c r="SHN23"/>
      <c r="SHO23"/>
      <c r="SHP23"/>
      <c r="SHQ23"/>
      <c r="SHR23"/>
      <c r="SHS23"/>
      <c r="SHT23"/>
      <c r="SHU23"/>
      <c r="SHV23"/>
      <c r="SHW23"/>
      <c r="SHX23"/>
      <c r="SHY23"/>
      <c r="SHZ23"/>
      <c r="SIA23"/>
      <c r="SIB23"/>
      <c r="SIC23"/>
      <c r="SID23"/>
      <c r="SIE23"/>
      <c r="SIF23"/>
      <c r="SIG23"/>
      <c r="SIH23"/>
      <c r="SII23"/>
      <c r="SIJ23"/>
      <c r="SIK23"/>
      <c r="SIL23"/>
      <c r="SIM23"/>
      <c r="SIN23"/>
      <c r="SIO23"/>
      <c r="SIP23"/>
      <c r="SIQ23"/>
      <c r="SIR23"/>
      <c r="SIS23"/>
      <c r="SIT23"/>
      <c r="SIU23"/>
      <c r="SIV23"/>
      <c r="SIW23"/>
      <c r="SIX23"/>
      <c r="SIY23"/>
      <c r="SIZ23"/>
      <c r="SJA23"/>
      <c r="SJB23"/>
      <c r="SJC23"/>
      <c r="SJD23"/>
      <c r="SJE23"/>
      <c r="SJF23"/>
      <c r="SJG23"/>
      <c r="SJH23"/>
      <c r="SJI23"/>
      <c r="SJJ23"/>
      <c r="SJK23"/>
      <c r="SJL23"/>
      <c r="SJM23"/>
      <c r="SJN23"/>
      <c r="SJO23"/>
      <c r="SJP23"/>
      <c r="SJQ23"/>
      <c r="SJR23"/>
      <c r="SJS23"/>
      <c r="SJT23"/>
      <c r="SJU23"/>
      <c r="SJV23"/>
      <c r="SJW23"/>
      <c r="SJX23"/>
      <c r="SJY23"/>
      <c r="SJZ23"/>
      <c r="SKA23"/>
      <c r="SKB23"/>
      <c r="SKC23"/>
      <c r="SKD23"/>
      <c r="SKE23"/>
      <c r="SKF23"/>
      <c r="SKG23"/>
      <c r="SKH23"/>
      <c r="SKI23"/>
      <c r="SKJ23"/>
      <c r="SKK23"/>
      <c r="SKL23"/>
      <c r="SKM23"/>
      <c r="SKN23"/>
      <c r="SKO23"/>
      <c r="SKP23"/>
      <c r="SKQ23"/>
      <c r="SKR23"/>
      <c r="SKS23"/>
      <c r="SKT23"/>
      <c r="SKU23"/>
      <c r="SKV23"/>
      <c r="SKW23"/>
      <c r="SKX23"/>
      <c r="SKY23"/>
      <c r="SKZ23"/>
      <c r="SLA23"/>
      <c r="SLB23"/>
      <c r="SLC23"/>
      <c r="SLD23"/>
      <c r="SLE23"/>
      <c r="SLF23"/>
      <c r="SLG23"/>
      <c r="SLH23"/>
      <c r="SLI23"/>
      <c r="SLJ23"/>
      <c r="SLK23"/>
      <c r="SLL23"/>
      <c r="SLM23"/>
      <c r="SLN23"/>
      <c r="SLO23"/>
      <c r="SLP23"/>
      <c r="SLQ23"/>
      <c r="SLR23"/>
      <c r="SLS23"/>
      <c r="SLT23"/>
      <c r="SLU23"/>
      <c r="SLV23"/>
      <c r="SLW23"/>
      <c r="SLX23"/>
      <c r="SLY23"/>
      <c r="SLZ23"/>
      <c r="SMA23"/>
      <c r="SMB23"/>
      <c r="SMC23"/>
      <c r="SMD23"/>
      <c r="SME23"/>
      <c r="SMF23"/>
      <c r="SMG23"/>
      <c r="SMH23"/>
      <c r="SMI23"/>
      <c r="SMJ23"/>
      <c r="SMK23"/>
      <c r="SML23"/>
      <c r="SMM23"/>
      <c r="SMN23"/>
      <c r="SMO23"/>
      <c r="SMP23"/>
      <c r="SMQ23"/>
      <c r="SMR23"/>
      <c r="SMS23"/>
      <c r="SMT23"/>
      <c r="SMU23"/>
      <c r="SMV23"/>
      <c r="SMW23"/>
      <c r="SMX23"/>
      <c r="SMY23"/>
      <c r="SMZ23"/>
      <c r="SNA23"/>
      <c r="SNB23"/>
      <c r="SNC23"/>
      <c r="SND23"/>
      <c r="SNE23"/>
      <c r="SNF23"/>
      <c r="SNG23"/>
      <c r="SNH23"/>
      <c r="SNI23"/>
      <c r="SNJ23"/>
      <c r="SNK23"/>
      <c r="SNL23"/>
      <c r="SNM23"/>
      <c r="SNN23"/>
      <c r="SNO23"/>
      <c r="SNP23"/>
      <c r="SNQ23"/>
      <c r="SNR23"/>
      <c r="SNS23"/>
      <c r="SNT23"/>
      <c r="SNU23"/>
      <c r="SNV23"/>
      <c r="SNW23"/>
      <c r="SNX23"/>
      <c r="SNY23"/>
      <c r="SNZ23"/>
      <c r="SOA23"/>
      <c r="SOB23"/>
      <c r="SOC23"/>
      <c r="SOD23"/>
      <c r="SOE23"/>
      <c r="SOF23"/>
      <c r="SOG23"/>
      <c r="SOH23"/>
      <c r="SOI23"/>
      <c r="SOJ23"/>
      <c r="SOK23"/>
      <c r="SOL23"/>
      <c r="SOM23"/>
      <c r="SON23"/>
      <c r="SOO23"/>
      <c r="SOP23"/>
      <c r="SOQ23"/>
      <c r="SOR23"/>
      <c r="SOS23"/>
      <c r="SOT23"/>
      <c r="SOU23"/>
      <c r="SOV23"/>
      <c r="SOW23"/>
      <c r="SOX23"/>
      <c r="SOY23"/>
      <c r="SOZ23"/>
      <c r="SPA23"/>
      <c r="SPB23"/>
      <c r="SPC23"/>
      <c r="SPD23"/>
      <c r="SPE23"/>
      <c r="SPF23"/>
      <c r="SPG23"/>
      <c r="SPH23"/>
      <c r="SPI23"/>
      <c r="SPJ23"/>
      <c r="SPK23"/>
      <c r="SPL23"/>
      <c r="SPM23"/>
      <c r="SPN23"/>
      <c r="SPO23"/>
      <c r="SPP23"/>
      <c r="SPQ23"/>
      <c r="SPR23"/>
      <c r="SPS23"/>
      <c r="SPT23"/>
      <c r="SPU23"/>
      <c r="SPV23"/>
      <c r="SPW23"/>
      <c r="SPX23"/>
      <c r="SPY23"/>
      <c r="SPZ23"/>
      <c r="SQA23"/>
      <c r="SQB23"/>
      <c r="SQC23"/>
      <c r="SQD23"/>
      <c r="SQE23"/>
      <c r="SQF23"/>
      <c r="SQG23"/>
      <c r="SQH23"/>
      <c r="SQI23"/>
      <c r="SQJ23"/>
      <c r="SQK23"/>
      <c r="SQL23"/>
      <c r="SQM23"/>
      <c r="SQN23"/>
      <c r="SQO23"/>
      <c r="SQP23"/>
      <c r="SQQ23"/>
      <c r="SQR23"/>
      <c r="SQS23"/>
      <c r="SQT23"/>
      <c r="SQU23"/>
      <c r="SQV23"/>
      <c r="SQW23"/>
      <c r="SQX23"/>
      <c r="SQY23"/>
      <c r="SQZ23"/>
      <c r="SRA23"/>
      <c r="SRB23"/>
      <c r="SRC23"/>
      <c r="SRD23"/>
      <c r="SRE23"/>
      <c r="SRF23"/>
      <c r="SRG23"/>
      <c r="SRH23"/>
      <c r="SRI23"/>
      <c r="SRJ23"/>
      <c r="SRK23"/>
      <c r="SRL23"/>
      <c r="SRM23"/>
      <c r="SRN23"/>
      <c r="SRO23"/>
      <c r="SRP23"/>
      <c r="SRQ23"/>
      <c r="SRR23"/>
      <c r="SRS23"/>
      <c r="SRT23"/>
      <c r="SRU23"/>
      <c r="SRV23"/>
      <c r="SRW23"/>
      <c r="SRX23"/>
      <c r="SRY23"/>
      <c r="SRZ23"/>
      <c r="SSA23"/>
      <c r="SSB23"/>
      <c r="SSC23"/>
      <c r="SSD23"/>
      <c r="SSE23"/>
      <c r="SSF23"/>
      <c r="SSG23"/>
      <c r="SSH23"/>
      <c r="SSI23"/>
      <c r="SSJ23"/>
      <c r="SSK23"/>
      <c r="SSL23"/>
      <c r="SSM23"/>
      <c r="SSN23"/>
      <c r="SSO23"/>
      <c r="SSP23"/>
      <c r="SSQ23"/>
      <c r="SSR23"/>
      <c r="SSS23"/>
      <c r="SST23"/>
      <c r="SSU23"/>
      <c r="SSV23"/>
      <c r="SSW23"/>
      <c r="SSX23"/>
      <c r="SSY23"/>
      <c r="SSZ23"/>
      <c r="STA23"/>
      <c r="STB23"/>
      <c r="STC23"/>
      <c r="STD23"/>
      <c r="STE23"/>
      <c r="STF23"/>
      <c r="STG23"/>
      <c r="STH23"/>
      <c r="STI23"/>
      <c r="STJ23"/>
      <c r="STK23"/>
      <c r="STL23"/>
      <c r="STM23"/>
      <c r="STN23"/>
      <c r="STO23"/>
      <c r="STP23"/>
      <c r="STQ23"/>
      <c r="STR23"/>
      <c r="STS23"/>
      <c r="STT23"/>
      <c r="STU23"/>
      <c r="STV23"/>
      <c r="STW23"/>
      <c r="STX23"/>
      <c r="STY23"/>
      <c r="STZ23"/>
      <c r="SUA23"/>
      <c r="SUB23"/>
      <c r="SUC23"/>
      <c r="SUD23"/>
      <c r="SUE23"/>
      <c r="SUF23"/>
      <c r="SUG23"/>
      <c r="SUH23"/>
      <c r="SUI23"/>
      <c r="SUJ23"/>
      <c r="SUK23"/>
      <c r="SUL23"/>
      <c r="SUM23"/>
      <c r="SUN23"/>
      <c r="SUO23"/>
      <c r="SUP23"/>
      <c r="SUQ23"/>
      <c r="SUR23"/>
      <c r="SUS23"/>
      <c r="SUT23"/>
      <c r="SUU23"/>
      <c r="SUV23"/>
      <c r="SUW23"/>
      <c r="SUX23"/>
      <c r="SUY23"/>
      <c r="SUZ23"/>
      <c r="SVA23"/>
      <c r="SVB23"/>
      <c r="SVC23"/>
      <c r="SVD23"/>
      <c r="SVE23"/>
      <c r="SVF23"/>
      <c r="SVG23"/>
      <c r="SVH23"/>
      <c r="SVI23"/>
      <c r="SVJ23"/>
      <c r="SVK23"/>
      <c r="SVL23"/>
      <c r="SVM23"/>
      <c r="SVN23"/>
      <c r="SVO23"/>
      <c r="SVP23"/>
      <c r="SVQ23"/>
      <c r="SVR23"/>
      <c r="SVS23"/>
      <c r="SVT23"/>
      <c r="SVU23"/>
      <c r="SVV23"/>
      <c r="SVW23"/>
      <c r="SVX23"/>
      <c r="SVY23"/>
      <c r="SVZ23"/>
      <c r="SWA23"/>
      <c r="SWB23"/>
      <c r="SWC23"/>
      <c r="SWD23"/>
      <c r="SWE23"/>
      <c r="SWF23"/>
      <c r="SWG23"/>
      <c r="SWH23"/>
      <c r="SWI23"/>
      <c r="SWJ23"/>
      <c r="SWK23"/>
      <c r="SWL23"/>
      <c r="SWM23"/>
      <c r="SWN23"/>
      <c r="SWO23"/>
      <c r="SWP23"/>
      <c r="SWQ23"/>
      <c r="SWR23"/>
      <c r="SWS23"/>
      <c r="SWT23"/>
      <c r="SWU23"/>
      <c r="SWV23"/>
      <c r="SWW23"/>
      <c r="SWX23"/>
      <c r="SWY23"/>
      <c r="SWZ23"/>
      <c r="SXA23"/>
      <c r="SXB23"/>
      <c r="SXC23"/>
      <c r="SXD23"/>
      <c r="SXE23"/>
      <c r="SXF23"/>
      <c r="SXG23"/>
      <c r="SXH23"/>
      <c r="SXI23"/>
      <c r="SXJ23"/>
      <c r="SXK23"/>
      <c r="SXL23"/>
      <c r="SXM23"/>
      <c r="SXN23"/>
      <c r="SXO23"/>
      <c r="SXP23"/>
      <c r="SXQ23"/>
      <c r="SXR23"/>
      <c r="SXS23"/>
      <c r="SXT23"/>
      <c r="SXU23"/>
      <c r="SXV23"/>
      <c r="SXW23"/>
      <c r="SXX23"/>
      <c r="SXY23"/>
      <c r="SXZ23"/>
      <c r="SYA23"/>
      <c r="SYB23"/>
      <c r="SYC23"/>
      <c r="SYD23"/>
      <c r="SYE23"/>
      <c r="SYF23"/>
      <c r="SYG23"/>
      <c r="SYH23"/>
      <c r="SYI23"/>
      <c r="SYJ23"/>
      <c r="SYK23"/>
      <c r="SYL23"/>
      <c r="SYM23"/>
      <c r="SYN23"/>
      <c r="SYO23"/>
      <c r="SYP23"/>
      <c r="SYQ23"/>
      <c r="SYR23"/>
      <c r="SYS23"/>
      <c r="SYT23"/>
      <c r="SYU23"/>
      <c r="SYV23"/>
      <c r="SYW23"/>
      <c r="SYX23"/>
      <c r="SYY23"/>
      <c r="SYZ23"/>
      <c r="SZA23"/>
      <c r="SZB23"/>
      <c r="SZC23"/>
      <c r="SZD23"/>
      <c r="SZE23"/>
      <c r="SZF23"/>
      <c r="SZG23"/>
      <c r="SZH23"/>
      <c r="SZI23"/>
      <c r="SZJ23"/>
      <c r="SZK23"/>
      <c r="SZL23"/>
      <c r="SZM23"/>
      <c r="SZN23"/>
      <c r="SZO23"/>
      <c r="SZP23"/>
      <c r="SZQ23"/>
      <c r="SZR23"/>
      <c r="SZS23"/>
      <c r="SZT23"/>
      <c r="SZU23"/>
      <c r="SZV23"/>
      <c r="SZW23"/>
      <c r="SZX23"/>
      <c r="SZY23"/>
      <c r="SZZ23"/>
      <c r="TAA23"/>
      <c r="TAB23"/>
      <c r="TAC23"/>
      <c r="TAD23"/>
      <c r="TAE23"/>
      <c r="TAF23"/>
      <c r="TAG23"/>
      <c r="TAH23"/>
      <c r="TAI23"/>
      <c r="TAJ23"/>
      <c r="TAK23"/>
      <c r="TAL23"/>
      <c r="TAM23"/>
      <c r="TAN23"/>
      <c r="TAO23"/>
      <c r="TAP23"/>
      <c r="TAQ23"/>
      <c r="TAR23"/>
      <c r="TAS23"/>
      <c r="TAT23"/>
      <c r="TAU23"/>
      <c r="TAV23"/>
      <c r="TAW23"/>
      <c r="TAX23"/>
      <c r="TAY23"/>
      <c r="TAZ23"/>
      <c r="TBA23"/>
      <c r="TBB23"/>
      <c r="TBC23"/>
      <c r="TBD23"/>
      <c r="TBE23"/>
      <c r="TBF23"/>
      <c r="TBG23"/>
      <c r="TBH23"/>
      <c r="TBI23"/>
      <c r="TBJ23"/>
      <c r="TBK23"/>
      <c r="TBL23"/>
      <c r="TBM23"/>
      <c r="TBN23"/>
      <c r="TBO23"/>
      <c r="TBP23"/>
      <c r="TBQ23"/>
      <c r="TBR23"/>
      <c r="TBS23"/>
      <c r="TBT23"/>
      <c r="TBU23"/>
      <c r="TBV23"/>
      <c r="TBW23"/>
      <c r="TBX23"/>
      <c r="TBY23"/>
      <c r="TBZ23"/>
      <c r="TCA23"/>
      <c r="TCB23"/>
      <c r="TCC23"/>
      <c r="TCD23"/>
      <c r="TCE23"/>
      <c r="TCF23"/>
      <c r="TCG23"/>
      <c r="TCH23"/>
      <c r="TCI23"/>
      <c r="TCJ23"/>
      <c r="TCK23"/>
      <c r="TCL23"/>
      <c r="TCM23"/>
      <c r="TCN23"/>
      <c r="TCO23"/>
      <c r="TCP23"/>
      <c r="TCQ23"/>
      <c r="TCR23"/>
      <c r="TCS23"/>
      <c r="TCT23"/>
      <c r="TCU23"/>
      <c r="TCV23"/>
      <c r="TCW23"/>
      <c r="TCX23"/>
      <c r="TCY23"/>
      <c r="TCZ23"/>
      <c r="TDA23"/>
      <c r="TDB23"/>
      <c r="TDC23"/>
      <c r="TDD23"/>
      <c r="TDE23"/>
      <c r="TDF23"/>
      <c r="TDG23"/>
      <c r="TDH23"/>
      <c r="TDI23"/>
      <c r="TDJ23"/>
      <c r="TDK23"/>
      <c r="TDL23"/>
      <c r="TDM23"/>
      <c r="TDN23"/>
      <c r="TDO23"/>
      <c r="TDP23"/>
      <c r="TDQ23"/>
      <c r="TDR23"/>
      <c r="TDS23"/>
      <c r="TDT23"/>
      <c r="TDU23"/>
      <c r="TDV23"/>
      <c r="TDW23"/>
      <c r="TDX23"/>
      <c r="TDY23"/>
      <c r="TDZ23"/>
      <c r="TEA23"/>
      <c r="TEB23"/>
      <c r="TEC23"/>
      <c r="TED23"/>
      <c r="TEE23"/>
      <c r="TEF23"/>
      <c r="TEG23"/>
      <c r="TEH23"/>
      <c r="TEI23"/>
      <c r="TEJ23"/>
      <c r="TEK23"/>
      <c r="TEL23"/>
      <c r="TEM23"/>
      <c r="TEN23"/>
      <c r="TEO23"/>
      <c r="TEP23"/>
      <c r="TEQ23"/>
      <c r="TER23"/>
      <c r="TES23"/>
      <c r="TET23"/>
      <c r="TEU23"/>
      <c r="TEV23"/>
      <c r="TEW23"/>
      <c r="TEX23"/>
      <c r="TEY23"/>
      <c r="TEZ23"/>
      <c r="TFA23"/>
      <c r="TFB23"/>
      <c r="TFC23"/>
      <c r="TFD23"/>
      <c r="TFE23"/>
      <c r="TFF23"/>
      <c r="TFG23"/>
      <c r="TFH23"/>
      <c r="TFI23"/>
      <c r="TFJ23"/>
      <c r="TFK23"/>
      <c r="TFL23"/>
      <c r="TFM23"/>
      <c r="TFN23"/>
      <c r="TFO23"/>
      <c r="TFP23"/>
      <c r="TFQ23"/>
      <c r="TFR23"/>
      <c r="TFS23"/>
      <c r="TFT23"/>
      <c r="TFU23"/>
      <c r="TFV23"/>
      <c r="TFW23"/>
      <c r="TFX23"/>
      <c r="TFY23"/>
      <c r="TFZ23"/>
      <c r="TGA23"/>
      <c r="TGB23"/>
      <c r="TGC23"/>
      <c r="TGD23"/>
      <c r="TGE23"/>
      <c r="TGF23"/>
      <c r="TGG23"/>
      <c r="TGH23"/>
      <c r="TGI23"/>
      <c r="TGJ23"/>
      <c r="TGK23"/>
      <c r="TGL23"/>
      <c r="TGM23"/>
      <c r="TGN23"/>
      <c r="TGO23"/>
      <c r="TGP23"/>
      <c r="TGQ23"/>
      <c r="TGR23"/>
      <c r="TGS23"/>
      <c r="TGT23"/>
      <c r="TGU23"/>
      <c r="TGV23"/>
      <c r="TGW23"/>
      <c r="TGX23"/>
      <c r="TGY23"/>
      <c r="TGZ23"/>
      <c r="THA23"/>
      <c r="THB23"/>
      <c r="THC23"/>
      <c r="THD23"/>
      <c r="THE23"/>
      <c r="THF23"/>
      <c r="THG23"/>
      <c r="THH23"/>
      <c r="THI23"/>
      <c r="THJ23"/>
      <c r="THK23"/>
      <c r="THL23"/>
      <c r="THM23"/>
      <c r="THN23"/>
      <c r="THO23"/>
      <c r="THP23"/>
      <c r="THQ23"/>
      <c r="THR23"/>
      <c r="THS23"/>
      <c r="THT23"/>
      <c r="THU23"/>
      <c r="THV23"/>
      <c r="THW23"/>
      <c r="THX23"/>
      <c r="THY23"/>
      <c r="THZ23"/>
      <c r="TIA23"/>
      <c r="TIB23"/>
      <c r="TIC23"/>
      <c r="TID23"/>
      <c r="TIE23"/>
      <c r="TIF23"/>
      <c r="TIG23"/>
      <c r="TIH23"/>
      <c r="TII23"/>
      <c r="TIJ23"/>
      <c r="TIK23"/>
      <c r="TIL23"/>
      <c r="TIM23"/>
      <c r="TIN23"/>
      <c r="TIO23"/>
      <c r="TIP23"/>
      <c r="TIQ23"/>
      <c r="TIR23"/>
      <c r="TIS23"/>
      <c r="TIT23"/>
      <c r="TIU23"/>
      <c r="TIV23"/>
      <c r="TIW23"/>
      <c r="TIX23"/>
      <c r="TIY23"/>
      <c r="TIZ23"/>
      <c r="TJA23"/>
      <c r="TJB23"/>
      <c r="TJC23"/>
      <c r="TJD23"/>
      <c r="TJE23"/>
      <c r="TJF23"/>
      <c r="TJG23"/>
      <c r="TJH23"/>
      <c r="TJI23"/>
      <c r="TJJ23"/>
      <c r="TJK23"/>
      <c r="TJL23"/>
      <c r="TJM23"/>
      <c r="TJN23"/>
      <c r="TJO23"/>
      <c r="TJP23"/>
      <c r="TJQ23"/>
      <c r="TJR23"/>
      <c r="TJS23"/>
      <c r="TJT23"/>
      <c r="TJU23"/>
      <c r="TJV23"/>
      <c r="TJW23"/>
      <c r="TJX23"/>
      <c r="TJY23"/>
      <c r="TJZ23"/>
      <c r="TKA23"/>
      <c r="TKB23"/>
      <c r="TKC23"/>
      <c r="TKD23"/>
      <c r="TKE23"/>
      <c r="TKF23"/>
      <c r="TKG23"/>
      <c r="TKH23"/>
      <c r="TKI23"/>
      <c r="TKJ23"/>
      <c r="TKK23"/>
      <c r="TKL23"/>
      <c r="TKM23"/>
      <c r="TKN23"/>
      <c r="TKO23"/>
      <c r="TKP23"/>
      <c r="TKQ23"/>
      <c r="TKR23"/>
      <c r="TKS23"/>
      <c r="TKT23"/>
      <c r="TKU23"/>
      <c r="TKV23"/>
      <c r="TKW23"/>
      <c r="TKX23"/>
      <c r="TKY23"/>
      <c r="TKZ23"/>
      <c r="TLA23"/>
      <c r="TLB23"/>
      <c r="TLC23"/>
      <c r="TLD23"/>
      <c r="TLE23"/>
      <c r="TLF23"/>
      <c r="TLG23"/>
      <c r="TLH23"/>
      <c r="TLI23"/>
      <c r="TLJ23"/>
      <c r="TLK23"/>
      <c r="TLL23"/>
      <c r="TLM23"/>
      <c r="TLN23"/>
      <c r="TLO23"/>
      <c r="TLP23"/>
      <c r="TLQ23"/>
      <c r="TLR23"/>
      <c r="TLS23"/>
      <c r="TLT23"/>
      <c r="TLU23"/>
      <c r="TLV23"/>
      <c r="TLW23"/>
      <c r="TLX23"/>
      <c r="TLY23"/>
      <c r="TLZ23"/>
      <c r="TMA23"/>
      <c r="TMB23"/>
      <c r="TMC23"/>
      <c r="TMD23"/>
      <c r="TME23"/>
      <c r="TMF23"/>
      <c r="TMG23"/>
      <c r="TMH23"/>
      <c r="TMI23"/>
      <c r="TMJ23"/>
      <c r="TMK23"/>
      <c r="TML23"/>
      <c r="TMM23"/>
      <c r="TMN23"/>
      <c r="TMO23"/>
      <c r="TMP23"/>
      <c r="TMQ23"/>
      <c r="TMR23"/>
      <c r="TMS23"/>
      <c r="TMT23"/>
      <c r="TMU23"/>
      <c r="TMV23"/>
      <c r="TMW23"/>
      <c r="TMX23"/>
      <c r="TMY23"/>
      <c r="TMZ23"/>
      <c r="TNA23"/>
      <c r="TNB23"/>
      <c r="TNC23"/>
      <c r="TND23"/>
      <c r="TNE23"/>
      <c r="TNF23"/>
      <c r="TNG23"/>
      <c r="TNH23"/>
      <c r="TNI23"/>
      <c r="TNJ23"/>
      <c r="TNK23"/>
      <c r="TNL23"/>
      <c r="TNM23"/>
      <c r="TNN23"/>
      <c r="TNO23"/>
      <c r="TNP23"/>
      <c r="TNQ23"/>
      <c r="TNR23"/>
      <c r="TNS23"/>
      <c r="TNT23"/>
      <c r="TNU23"/>
      <c r="TNV23"/>
      <c r="TNW23"/>
      <c r="TNX23"/>
      <c r="TNY23"/>
      <c r="TNZ23"/>
      <c r="TOA23"/>
      <c r="TOB23"/>
      <c r="TOC23"/>
      <c r="TOD23"/>
      <c r="TOE23"/>
      <c r="TOF23"/>
      <c r="TOG23"/>
      <c r="TOH23"/>
      <c r="TOI23"/>
      <c r="TOJ23"/>
      <c r="TOK23"/>
      <c r="TOL23"/>
      <c r="TOM23"/>
      <c r="TON23"/>
      <c r="TOO23"/>
      <c r="TOP23"/>
      <c r="TOQ23"/>
      <c r="TOR23"/>
      <c r="TOS23"/>
      <c r="TOT23"/>
      <c r="TOU23"/>
      <c r="TOV23"/>
      <c r="TOW23"/>
      <c r="TOX23"/>
      <c r="TOY23"/>
      <c r="TOZ23"/>
      <c r="TPA23"/>
      <c r="TPB23"/>
      <c r="TPC23"/>
      <c r="TPD23"/>
      <c r="TPE23"/>
      <c r="TPF23"/>
      <c r="TPG23"/>
      <c r="TPH23"/>
      <c r="TPI23"/>
      <c r="TPJ23"/>
      <c r="TPK23"/>
      <c r="TPL23"/>
      <c r="TPM23"/>
      <c r="TPN23"/>
      <c r="TPO23"/>
      <c r="TPP23"/>
      <c r="TPQ23"/>
      <c r="TPR23"/>
      <c r="TPS23"/>
      <c r="TPT23"/>
      <c r="TPU23"/>
      <c r="TPV23"/>
      <c r="TPW23"/>
      <c r="TPX23"/>
      <c r="TPY23"/>
      <c r="TPZ23"/>
      <c r="TQA23"/>
      <c r="TQB23"/>
      <c r="TQC23"/>
      <c r="TQD23"/>
      <c r="TQE23"/>
      <c r="TQF23"/>
      <c r="TQG23"/>
      <c r="TQH23"/>
      <c r="TQI23"/>
      <c r="TQJ23"/>
      <c r="TQK23"/>
      <c r="TQL23"/>
      <c r="TQM23"/>
      <c r="TQN23"/>
      <c r="TQO23"/>
      <c r="TQP23"/>
      <c r="TQQ23"/>
      <c r="TQR23"/>
      <c r="TQS23"/>
      <c r="TQT23"/>
      <c r="TQU23"/>
      <c r="TQV23"/>
      <c r="TQW23"/>
      <c r="TQX23"/>
      <c r="TQY23"/>
      <c r="TQZ23"/>
      <c r="TRA23"/>
      <c r="TRB23"/>
      <c r="TRC23"/>
      <c r="TRD23"/>
      <c r="TRE23"/>
      <c r="TRF23"/>
      <c r="TRG23"/>
      <c r="TRH23"/>
      <c r="TRI23"/>
      <c r="TRJ23"/>
      <c r="TRK23"/>
      <c r="TRL23"/>
      <c r="TRM23"/>
      <c r="TRN23"/>
      <c r="TRO23"/>
      <c r="TRP23"/>
      <c r="TRQ23"/>
      <c r="TRR23"/>
      <c r="TRS23"/>
      <c r="TRT23"/>
      <c r="TRU23"/>
      <c r="TRV23"/>
      <c r="TRW23"/>
      <c r="TRX23"/>
      <c r="TRY23"/>
      <c r="TRZ23"/>
      <c r="TSA23"/>
      <c r="TSB23"/>
      <c r="TSC23"/>
      <c r="TSD23"/>
      <c r="TSE23"/>
      <c r="TSF23"/>
      <c r="TSG23"/>
      <c r="TSH23"/>
      <c r="TSI23"/>
      <c r="TSJ23"/>
      <c r="TSK23"/>
      <c r="TSL23"/>
      <c r="TSM23"/>
      <c r="TSN23"/>
      <c r="TSO23"/>
      <c r="TSP23"/>
      <c r="TSQ23"/>
      <c r="TSR23"/>
      <c r="TSS23"/>
      <c r="TST23"/>
      <c r="TSU23"/>
      <c r="TSV23"/>
      <c r="TSW23"/>
      <c r="TSX23"/>
      <c r="TSY23"/>
      <c r="TSZ23"/>
      <c r="TTA23"/>
      <c r="TTB23"/>
      <c r="TTC23"/>
      <c r="TTD23"/>
      <c r="TTE23"/>
      <c r="TTF23"/>
      <c r="TTG23"/>
      <c r="TTH23"/>
      <c r="TTI23"/>
      <c r="TTJ23"/>
      <c r="TTK23"/>
      <c r="TTL23"/>
      <c r="TTM23"/>
      <c r="TTN23"/>
      <c r="TTO23"/>
      <c r="TTP23"/>
      <c r="TTQ23"/>
      <c r="TTR23"/>
      <c r="TTS23"/>
      <c r="TTT23"/>
      <c r="TTU23"/>
      <c r="TTV23"/>
      <c r="TTW23"/>
      <c r="TTX23"/>
      <c r="TTY23"/>
      <c r="TTZ23"/>
      <c r="TUA23"/>
      <c r="TUB23"/>
      <c r="TUC23"/>
      <c r="TUD23"/>
      <c r="TUE23"/>
      <c r="TUF23"/>
      <c r="TUG23"/>
      <c r="TUH23"/>
      <c r="TUI23"/>
      <c r="TUJ23"/>
      <c r="TUK23"/>
      <c r="TUL23"/>
      <c r="TUM23"/>
      <c r="TUN23"/>
      <c r="TUO23"/>
      <c r="TUP23"/>
      <c r="TUQ23"/>
      <c r="TUR23"/>
      <c r="TUS23"/>
      <c r="TUT23"/>
      <c r="TUU23"/>
      <c r="TUV23"/>
      <c r="TUW23"/>
      <c r="TUX23"/>
      <c r="TUY23"/>
      <c r="TUZ23"/>
      <c r="TVA23"/>
      <c r="TVB23"/>
      <c r="TVC23"/>
      <c r="TVD23"/>
      <c r="TVE23"/>
      <c r="TVF23"/>
      <c r="TVG23"/>
      <c r="TVH23"/>
      <c r="TVI23"/>
      <c r="TVJ23"/>
      <c r="TVK23"/>
      <c r="TVL23"/>
      <c r="TVM23"/>
      <c r="TVN23"/>
      <c r="TVO23"/>
      <c r="TVP23"/>
      <c r="TVQ23"/>
      <c r="TVR23"/>
      <c r="TVS23"/>
      <c r="TVT23"/>
      <c r="TVU23"/>
      <c r="TVV23"/>
      <c r="TVW23"/>
      <c r="TVX23"/>
      <c r="TVY23"/>
      <c r="TVZ23"/>
      <c r="TWA23"/>
      <c r="TWB23"/>
      <c r="TWC23"/>
      <c r="TWD23"/>
      <c r="TWE23"/>
      <c r="TWF23"/>
      <c r="TWG23"/>
      <c r="TWH23"/>
      <c r="TWI23"/>
      <c r="TWJ23"/>
      <c r="TWK23"/>
      <c r="TWL23"/>
      <c r="TWM23"/>
      <c r="TWN23"/>
      <c r="TWO23"/>
      <c r="TWP23"/>
      <c r="TWQ23"/>
      <c r="TWR23"/>
      <c r="TWS23"/>
      <c r="TWT23"/>
      <c r="TWU23"/>
      <c r="TWV23"/>
      <c r="TWW23"/>
      <c r="TWX23"/>
      <c r="TWY23"/>
      <c r="TWZ23"/>
      <c r="TXA23"/>
      <c r="TXB23"/>
      <c r="TXC23"/>
      <c r="TXD23"/>
      <c r="TXE23"/>
      <c r="TXF23"/>
      <c r="TXG23"/>
      <c r="TXH23"/>
      <c r="TXI23"/>
      <c r="TXJ23"/>
      <c r="TXK23"/>
      <c r="TXL23"/>
      <c r="TXM23"/>
      <c r="TXN23"/>
      <c r="TXO23"/>
      <c r="TXP23"/>
      <c r="TXQ23"/>
      <c r="TXR23"/>
      <c r="TXS23"/>
      <c r="TXT23"/>
      <c r="TXU23"/>
      <c r="TXV23"/>
      <c r="TXW23"/>
      <c r="TXX23"/>
      <c r="TXY23"/>
      <c r="TXZ23"/>
      <c r="TYA23"/>
      <c r="TYB23"/>
      <c r="TYC23"/>
      <c r="TYD23"/>
      <c r="TYE23"/>
      <c r="TYF23"/>
      <c r="TYG23"/>
      <c r="TYH23"/>
      <c r="TYI23"/>
      <c r="TYJ23"/>
      <c r="TYK23"/>
      <c r="TYL23"/>
      <c r="TYM23"/>
      <c r="TYN23"/>
      <c r="TYO23"/>
      <c r="TYP23"/>
      <c r="TYQ23"/>
      <c r="TYR23"/>
      <c r="TYS23"/>
      <c r="TYT23"/>
      <c r="TYU23"/>
      <c r="TYV23"/>
      <c r="TYW23"/>
      <c r="TYX23"/>
      <c r="TYY23"/>
      <c r="TYZ23"/>
      <c r="TZA23"/>
      <c r="TZB23"/>
      <c r="TZC23"/>
      <c r="TZD23"/>
      <c r="TZE23"/>
      <c r="TZF23"/>
      <c r="TZG23"/>
      <c r="TZH23"/>
      <c r="TZI23"/>
      <c r="TZJ23"/>
      <c r="TZK23"/>
      <c r="TZL23"/>
      <c r="TZM23"/>
      <c r="TZN23"/>
      <c r="TZO23"/>
      <c r="TZP23"/>
      <c r="TZQ23"/>
      <c r="TZR23"/>
      <c r="TZS23"/>
      <c r="TZT23"/>
      <c r="TZU23"/>
      <c r="TZV23"/>
      <c r="TZW23"/>
      <c r="TZX23"/>
      <c r="TZY23"/>
      <c r="TZZ23"/>
      <c r="UAA23"/>
      <c r="UAB23"/>
      <c r="UAC23"/>
      <c r="UAD23"/>
      <c r="UAE23"/>
      <c r="UAF23"/>
      <c r="UAG23"/>
      <c r="UAH23"/>
      <c r="UAI23"/>
      <c r="UAJ23"/>
      <c r="UAK23"/>
      <c r="UAL23"/>
      <c r="UAM23"/>
      <c r="UAN23"/>
      <c r="UAO23"/>
      <c r="UAP23"/>
      <c r="UAQ23"/>
      <c r="UAR23"/>
      <c r="UAS23"/>
      <c r="UAT23"/>
      <c r="UAU23"/>
      <c r="UAV23"/>
      <c r="UAW23"/>
      <c r="UAX23"/>
      <c r="UAY23"/>
      <c r="UAZ23"/>
      <c r="UBA23"/>
      <c r="UBB23"/>
      <c r="UBC23"/>
      <c r="UBD23"/>
      <c r="UBE23"/>
      <c r="UBF23"/>
      <c r="UBG23"/>
      <c r="UBH23"/>
      <c r="UBI23"/>
      <c r="UBJ23"/>
      <c r="UBK23"/>
      <c r="UBL23"/>
      <c r="UBM23"/>
      <c r="UBN23"/>
      <c r="UBO23"/>
      <c r="UBP23"/>
      <c r="UBQ23"/>
      <c r="UBR23"/>
      <c r="UBS23"/>
      <c r="UBT23"/>
      <c r="UBU23"/>
      <c r="UBV23"/>
      <c r="UBW23"/>
      <c r="UBX23"/>
      <c r="UBY23"/>
      <c r="UBZ23"/>
      <c r="UCA23"/>
      <c r="UCB23"/>
      <c r="UCC23"/>
      <c r="UCD23"/>
      <c r="UCE23"/>
      <c r="UCF23"/>
      <c r="UCG23"/>
      <c r="UCH23"/>
      <c r="UCI23"/>
      <c r="UCJ23"/>
      <c r="UCK23"/>
      <c r="UCL23"/>
      <c r="UCM23"/>
      <c r="UCN23"/>
      <c r="UCO23"/>
      <c r="UCP23"/>
      <c r="UCQ23"/>
      <c r="UCR23"/>
      <c r="UCS23"/>
      <c r="UCT23"/>
      <c r="UCU23"/>
      <c r="UCV23"/>
      <c r="UCW23"/>
      <c r="UCX23"/>
      <c r="UCY23"/>
      <c r="UCZ23"/>
      <c r="UDA23"/>
      <c r="UDB23"/>
      <c r="UDC23"/>
      <c r="UDD23"/>
      <c r="UDE23"/>
      <c r="UDF23"/>
      <c r="UDG23"/>
      <c r="UDH23"/>
      <c r="UDI23"/>
      <c r="UDJ23"/>
      <c r="UDK23"/>
      <c r="UDL23"/>
      <c r="UDM23"/>
      <c r="UDN23"/>
      <c r="UDO23"/>
      <c r="UDP23"/>
      <c r="UDQ23"/>
      <c r="UDR23"/>
      <c r="UDS23"/>
      <c r="UDT23"/>
      <c r="UDU23"/>
      <c r="UDV23"/>
      <c r="UDW23"/>
      <c r="UDX23"/>
      <c r="UDY23"/>
      <c r="UDZ23"/>
      <c r="UEA23"/>
      <c r="UEB23"/>
      <c r="UEC23"/>
      <c r="UED23"/>
      <c r="UEE23"/>
      <c r="UEF23"/>
      <c r="UEG23"/>
      <c r="UEH23"/>
      <c r="UEI23"/>
      <c r="UEJ23"/>
      <c r="UEK23"/>
      <c r="UEL23"/>
      <c r="UEM23"/>
      <c r="UEN23"/>
      <c r="UEO23"/>
      <c r="UEP23"/>
      <c r="UEQ23"/>
      <c r="UER23"/>
      <c r="UES23"/>
      <c r="UET23"/>
      <c r="UEU23"/>
      <c r="UEV23"/>
      <c r="UEW23"/>
      <c r="UEX23"/>
      <c r="UEY23"/>
      <c r="UEZ23"/>
      <c r="UFA23"/>
      <c r="UFB23"/>
      <c r="UFC23"/>
      <c r="UFD23"/>
      <c r="UFE23"/>
      <c r="UFF23"/>
      <c r="UFG23"/>
      <c r="UFH23"/>
      <c r="UFI23"/>
      <c r="UFJ23"/>
      <c r="UFK23"/>
      <c r="UFL23"/>
      <c r="UFM23"/>
      <c r="UFN23"/>
      <c r="UFO23"/>
      <c r="UFP23"/>
      <c r="UFQ23"/>
      <c r="UFR23"/>
      <c r="UFS23"/>
      <c r="UFT23"/>
      <c r="UFU23"/>
      <c r="UFV23"/>
      <c r="UFW23"/>
      <c r="UFX23"/>
      <c r="UFY23"/>
      <c r="UFZ23"/>
      <c r="UGA23"/>
      <c r="UGB23"/>
      <c r="UGC23"/>
      <c r="UGD23"/>
      <c r="UGE23"/>
      <c r="UGF23"/>
      <c r="UGG23"/>
      <c r="UGH23"/>
      <c r="UGI23"/>
      <c r="UGJ23"/>
      <c r="UGK23"/>
      <c r="UGL23"/>
      <c r="UGM23"/>
      <c r="UGN23"/>
      <c r="UGO23"/>
      <c r="UGP23"/>
      <c r="UGQ23"/>
      <c r="UGR23"/>
      <c r="UGS23"/>
      <c r="UGT23"/>
      <c r="UGU23"/>
      <c r="UGV23"/>
      <c r="UGW23"/>
      <c r="UGX23"/>
      <c r="UGY23"/>
      <c r="UGZ23"/>
      <c r="UHA23"/>
      <c r="UHB23"/>
      <c r="UHC23"/>
      <c r="UHD23"/>
      <c r="UHE23"/>
      <c r="UHF23"/>
      <c r="UHG23"/>
      <c r="UHH23"/>
      <c r="UHI23"/>
      <c r="UHJ23"/>
      <c r="UHK23"/>
      <c r="UHL23"/>
      <c r="UHM23"/>
      <c r="UHN23"/>
      <c r="UHO23"/>
      <c r="UHP23"/>
      <c r="UHQ23"/>
      <c r="UHR23"/>
      <c r="UHS23"/>
      <c r="UHT23"/>
      <c r="UHU23"/>
      <c r="UHV23"/>
      <c r="UHW23"/>
      <c r="UHX23"/>
      <c r="UHY23"/>
      <c r="UHZ23"/>
      <c r="UIA23"/>
      <c r="UIB23"/>
      <c r="UIC23"/>
      <c r="UID23"/>
      <c r="UIE23"/>
      <c r="UIF23"/>
      <c r="UIG23"/>
      <c r="UIH23"/>
      <c r="UII23"/>
      <c r="UIJ23"/>
      <c r="UIK23"/>
      <c r="UIL23"/>
      <c r="UIM23"/>
      <c r="UIN23"/>
      <c r="UIO23"/>
      <c r="UIP23"/>
      <c r="UIQ23"/>
      <c r="UIR23"/>
      <c r="UIS23"/>
      <c r="UIT23"/>
      <c r="UIU23"/>
      <c r="UIV23"/>
      <c r="UIW23"/>
      <c r="UIX23"/>
      <c r="UIY23"/>
      <c r="UIZ23"/>
      <c r="UJA23"/>
      <c r="UJB23"/>
      <c r="UJC23"/>
      <c r="UJD23"/>
      <c r="UJE23"/>
      <c r="UJF23"/>
      <c r="UJG23"/>
      <c r="UJH23"/>
      <c r="UJI23"/>
      <c r="UJJ23"/>
      <c r="UJK23"/>
      <c r="UJL23"/>
      <c r="UJM23"/>
      <c r="UJN23"/>
      <c r="UJO23"/>
      <c r="UJP23"/>
      <c r="UJQ23"/>
      <c r="UJR23"/>
      <c r="UJS23"/>
      <c r="UJT23"/>
      <c r="UJU23"/>
      <c r="UJV23"/>
      <c r="UJW23"/>
      <c r="UJX23"/>
      <c r="UJY23"/>
      <c r="UJZ23"/>
      <c r="UKA23"/>
      <c r="UKB23"/>
      <c r="UKC23"/>
      <c r="UKD23"/>
      <c r="UKE23"/>
      <c r="UKF23"/>
      <c r="UKG23"/>
      <c r="UKH23"/>
      <c r="UKI23"/>
      <c r="UKJ23"/>
      <c r="UKK23"/>
      <c r="UKL23"/>
      <c r="UKM23"/>
      <c r="UKN23"/>
      <c r="UKO23"/>
      <c r="UKP23"/>
      <c r="UKQ23"/>
      <c r="UKR23"/>
      <c r="UKS23"/>
      <c r="UKT23"/>
      <c r="UKU23"/>
      <c r="UKV23"/>
      <c r="UKW23"/>
      <c r="UKX23"/>
      <c r="UKY23"/>
      <c r="UKZ23"/>
      <c r="ULA23"/>
      <c r="ULB23"/>
      <c r="ULC23"/>
      <c r="ULD23"/>
      <c r="ULE23"/>
      <c r="ULF23"/>
      <c r="ULG23"/>
      <c r="ULH23"/>
      <c r="ULI23"/>
      <c r="ULJ23"/>
      <c r="ULK23"/>
      <c r="ULL23"/>
      <c r="ULM23"/>
      <c r="ULN23"/>
      <c r="ULO23"/>
      <c r="ULP23"/>
      <c r="ULQ23"/>
      <c r="ULR23"/>
      <c r="ULS23"/>
      <c r="ULT23"/>
      <c r="ULU23"/>
      <c r="ULV23"/>
      <c r="ULW23"/>
      <c r="ULX23"/>
      <c r="ULY23"/>
      <c r="ULZ23"/>
      <c r="UMA23"/>
      <c r="UMB23"/>
      <c r="UMC23"/>
      <c r="UMD23"/>
      <c r="UME23"/>
      <c r="UMF23"/>
      <c r="UMG23"/>
      <c r="UMH23"/>
      <c r="UMI23"/>
      <c r="UMJ23"/>
      <c r="UMK23"/>
      <c r="UML23"/>
      <c r="UMM23"/>
      <c r="UMN23"/>
      <c r="UMO23"/>
      <c r="UMP23"/>
      <c r="UMQ23"/>
      <c r="UMR23"/>
      <c r="UMS23"/>
      <c r="UMT23"/>
      <c r="UMU23"/>
      <c r="UMV23"/>
      <c r="UMW23"/>
      <c r="UMX23"/>
      <c r="UMY23"/>
      <c r="UMZ23"/>
      <c r="UNA23"/>
      <c r="UNB23"/>
      <c r="UNC23"/>
      <c r="UND23"/>
      <c r="UNE23"/>
      <c r="UNF23"/>
      <c r="UNG23"/>
      <c r="UNH23"/>
      <c r="UNI23"/>
      <c r="UNJ23"/>
      <c r="UNK23"/>
      <c r="UNL23"/>
      <c r="UNM23"/>
      <c r="UNN23"/>
      <c r="UNO23"/>
      <c r="UNP23"/>
      <c r="UNQ23"/>
      <c r="UNR23"/>
      <c r="UNS23"/>
      <c r="UNT23"/>
      <c r="UNU23"/>
      <c r="UNV23"/>
      <c r="UNW23"/>
      <c r="UNX23"/>
      <c r="UNY23"/>
      <c r="UNZ23"/>
      <c r="UOA23"/>
      <c r="UOB23"/>
      <c r="UOC23"/>
      <c r="UOD23"/>
      <c r="UOE23"/>
      <c r="UOF23"/>
      <c r="UOG23"/>
      <c r="UOH23"/>
      <c r="UOI23"/>
      <c r="UOJ23"/>
      <c r="UOK23"/>
      <c r="UOL23"/>
      <c r="UOM23"/>
      <c r="UON23"/>
      <c r="UOO23"/>
      <c r="UOP23"/>
      <c r="UOQ23"/>
      <c r="UOR23"/>
      <c r="UOS23"/>
      <c r="UOT23"/>
      <c r="UOU23"/>
      <c r="UOV23"/>
      <c r="UOW23"/>
      <c r="UOX23"/>
      <c r="UOY23"/>
      <c r="UOZ23"/>
      <c r="UPA23"/>
      <c r="UPB23"/>
      <c r="UPC23"/>
      <c r="UPD23"/>
      <c r="UPE23"/>
      <c r="UPF23"/>
      <c r="UPG23"/>
      <c r="UPH23"/>
      <c r="UPI23"/>
      <c r="UPJ23"/>
      <c r="UPK23"/>
      <c r="UPL23"/>
      <c r="UPM23"/>
      <c r="UPN23"/>
      <c r="UPO23"/>
      <c r="UPP23"/>
      <c r="UPQ23"/>
      <c r="UPR23"/>
      <c r="UPS23"/>
      <c r="UPT23"/>
      <c r="UPU23"/>
      <c r="UPV23"/>
      <c r="UPW23"/>
      <c r="UPX23"/>
      <c r="UPY23"/>
      <c r="UPZ23"/>
      <c r="UQA23"/>
      <c r="UQB23"/>
      <c r="UQC23"/>
      <c r="UQD23"/>
      <c r="UQE23"/>
      <c r="UQF23"/>
      <c r="UQG23"/>
      <c r="UQH23"/>
      <c r="UQI23"/>
      <c r="UQJ23"/>
      <c r="UQK23"/>
      <c r="UQL23"/>
      <c r="UQM23"/>
      <c r="UQN23"/>
      <c r="UQO23"/>
      <c r="UQP23"/>
      <c r="UQQ23"/>
      <c r="UQR23"/>
      <c r="UQS23"/>
      <c r="UQT23"/>
      <c r="UQU23"/>
      <c r="UQV23"/>
      <c r="UQW23"/>
      <c r="UQX23"/>
      <c r="UQY23"/>
      <c r="UQZ23"/>
      <c r="URA23"/>
      <c r="URB23"/>
      <c r="URC23"/>
      <c r="URD23"/>
      <c r="URE23"/>
      <c r="URF23"/>
      <c r="URG23"/>
      <c r="URH23"/>
      <c r="URI23"/>
      <c r="URJ23"/>
      <c r="URK23"/>
      <c r="URL23"/>
      <c r="URM23"/>
      <c r="URN23"/>
      <c r="URO23"/>
      <c r="URP23"/>
      <c r="URQ23"/>
      <c r="URR23"/>
      <c r="URS23"/>
      <c r="URT23"/>
      <c r="URU23"/>
      <c r="URV23"/>
      <c r="URW23"/>
      <c r="URX23"/>
      <c r="URY23"/>
      <c r="URZ23"/>
      <c r="USA23"/>
      <c r="USB23"/>
      <c r="USC23"/>
      <c r="USD23"/>
      <c r="USE23"/>
      <c r="USF23"/>
      <c r="USG23"/>
      <c r="USH23"/>
      <c r="USI23"/>
      <c r="USJ23"/>
      <c r="USK23"/>
      <c r="USL23"/>
      <c r="USM23"/>
      <c r="USN23"/>
      <c r="USO23"/>
      <c r="USP23"/>
      <c r="USQ23"/>
      <c r="USR23"/>
      <c r="USS23"/>
      <c r="UST23"/>
      <c r="USU23"/>
      <c r="USV23"/>
      <c r="USW23"/>
      <c r="USX23"/>
      <c r="USY23"/>
      <c r="USZ23"/>
      <c r="UTA23"/>
      <c r="UTB23"/>
      <c r="UTC23"/>
      <c r="UTD23"/>
      <c r="UTE23"/>
      <c r="UTF23"/>
      <c r="UTG23"/>
      <c r="UTH23"/>
      <c r="UTI23"/>
      <c r="UTJ23"/>
      <c r="UTK23"/>
      <c r="UTL23"/>
      <c r="UTM23"/>
      <c r="UTN23"/>
      <c r="UTO23"/>
      <c r="UTP23"/>
      <c r="UTQ23"/>
      <c r="UTR23"/>
      <c r="UTS23"/>
      <c r="UTT23"/>
      <c r="UTU23"/>
      <c r="UTV23"/>
      <c r="UTW23"/>
      <c r="UTX23"/>
      <c r="UTY23"/>
      <c r="UTZ23"/>
      <c r="UUA23"/>
      <c r="UUB23"/>
      <c r="UUC23"/>
      <c r="UUD23"/>
      <c r="UUE23"/>
      <c r="UUF23"/>
      <c r="UUG23"/>
      <c r="UUH23"/>
      <c r="UUI23"/>
      <c r="UUJ23"/>
      <c r="UUK23"/>
      <c r="UUL23"/>
      <c r="UUM23"/>
      <c r="UUN23"/>
      <c r="UUO23"/>
      <c r="UUP23"/>
      <c r="UUQ23"/>
      <c r="UUR23"/>
      <c r="UUS23"/>
      <c r="UUT23"/>
      <c r="UUU23"/>
      <c r="UUV23"/>
      <c r="UUW23"/>
      <c r="UUX23"/>
      <c r="UUY23"/>
      <c r="UUZ23"/>
      <c r="UVA23"/>
      <c r="UVB23"/>
      <c r="UVC23"/>
      <c r="UVD23"/>
      <c r="UVE23"/>
      <c r="UVF23"/>
      <c r="UVG23"/>
      <c r="UVH23"/>
      <c r="UVI23"/>
      <c r="UVJ23"/>
      <c r="UVK23"/>
      <c r="UVL23"/>
      <c r="UVM23"/>
      <c r="UVN23"/>
      <c r="UVO23"/>
      <c r="UVP23"/>
      <c r="UVQ23"/>
      <c r="UVR23"/>
      <c r="UVS23"/>
      <c r="UVT23"/>
      <c r="UVU23"/>
      <c r="UVV23"/>
      <c r="UVW23"/>
      <c r="UVX23"/>
      <c r="UVY23"/>
      <c r="UVZ23"/>
      <c r="UWA23"/>
      <c r="UWB23"/>
      <c r="UWC23"/>
      <c r="UWD23"/>
      <c r="UWE23"/>
      <c r="UWF23"/>
      <c r="UWG23"/>
      <c r="UWH23"/>
      <c r="UWI23"/>
      <c r="UWJ23"/>
      <c r="UWK23"/>
      <c r="UWL23"/>
      <c r="UWM23"/>
      <c r="UWN23"/>
      <c r="UWO23"/>
      <c r="UWP23"/>
      <c r="UWQ23"/>
      <c r="UWR23"/>
      <c r="UWS23"/>
      <c r="UWT23"/>
      <c r="UWU23"/>
      <c r="UWV23"/>
      <c r="UWW23"/>
      <c r="UWX23"/>
      <c r="UWY23"/>
      <c r="UWZ23"/>
      <c r="UXA23"/>
      <c r="UXB23"/>
      <c r="UXC23"/>
      <c r="UXD23"/>
      <c r="UXE23"/>
      <c r="UXF23"/>
      <c r="UXG23"/>
      <c r="UXH23"/>
      <c r="UXI23"/>
      <c r="UXJ23"/>
      <c r="UXK23"/>
      <c r="UXL23"/>
      <c r="UXM23"/>
      <c r="UXN23"/>
      <c r="UXO23"/>
      <c r="UXP23"/>
      <c r="UXQ23"/>
      <c r="UXR23"/>
      <c r="UXS23"/>
      <c r="UXT23"/>
      <c r="UXU23"/>
      <c r="UXV23"/>
      <c r="UXW23"/>
      <c r="UXX23"/>
      <c r="UXY23"/>
      <c r="UXZ23"/>
      <c r="UYA23"/>
      <c r="UYB23"/>
      <c r="UYC23"/>
      <c r="UYD23"/>
      <c r="UYE23"/>
      <c r="UYF23"/>
      <c r="UYG23"/>
      <c r="UYH23"/>
      <c r="UYI23"/>
      <c r="UYJ23"/>
      <c r="UYK23"/>
      <c r="UYL23"/>
      <c r="UYM23"/>
      <c r="UYN23"/>
      <c r="UYO23"/>
      <c r="UYP23"/>
      <c r="UYQ23"/>
      <c r="UYR23"/>
      <c r="UYS23"/>
      <c r="UYT23"/>
      <c r="UYU23"/>
      <c r="UYV23"/>
      <c r="UYW23"/>
      <c r="UYX23"/>
      <c r="UYY23"/>
      <c r="UYZ23"/>
      <c r="UZA23"/>
      <c r="UZB23"/>
      <c r="UZC23"/>
      <c r="UZD23"/>
      <c r="UZE23"/>
      <c r="UZF23"/>
      <c r="UZG23"/>
      <c r="UZH23"/>
      <c r="UZI23"/>
      <c r="UZJ23"/>
      <c r="UZK23"/>
      <c r="UZL23"/>
      <c r="UZM23"/>
      <c r="UZN23"/>
      <c r="UZO23"/>
      <c r="UZP23"/>
      <c r="UZQ23"/>
      <c r="UZR23"/>
      <c r="UZS23"/>
      <c r="UZT23"/>
      <c r="UZU23"/>
      <c r="UZV23"/>
      <c r="UZW23"/>
      <c r="UZX23"/>
      <c r="UZY23"/>
      <c r="UZZ23"/>
      <c r="VAA23"/>
      <c r="VAB23"/>
      <c r="VAC23"/>
      <c r="VAD23"/>
      <c r="VAE23"/>
      <c r="VAF23"/>
      <c r="VAG23"/>
      <c r="VAH23"/>
      <c r="VAI23"/>
      <c r="VAJ23"/>
      <c r="VAK23"/>
      <c r="VAL23"/>
      <c r="VAM23"/>
      <c r="VAN23"/>
      <c r="VAO23"/>
      <c r="VAP23"/>
      <c r="VAQ23"/>
      <c r="VAR23"/>
      <c r="VAS23"/>
      <c r="VAT23"/>
      <c r="VAU23"/>
      <c r="VAV23"/>
      <c r="VAW23"/>
      <c r="VAX23"/>
      <c r="VAY23"/>
      <c r="VAZ23"/>
      <c r="VBA23"/>
      <c r="VBB23"/>
      <c r="VBC23"/>
      <c r="VBD23"/>
      <c r="VBE23"/>
      <c r="VBF23"/>
      <c r="VBG23"/>
      <c r="VBH23"/>
      <c r="VBI23"/>
      <c r="VBJ23"/>
      <c r="VBK23"/>
      <c r="VBL23"/>
      <c r="VBM23"/>
      <c r="VBN23"/>
      <c r="VBO23"/>
      <c r="VBP23"/>
      <c r="VBQ23"/>
      <c r="VBR23"/>
      <c r="VBS23"/>
      <c r="VBT23"/>
      <c r="VBU23"/>
      <c r="VBV23"/>
      <c r="VBW23"/>
      <c r="VBX23"/>
      <c r="VBY23"/>
      <c r="VBZ23"/>
      <c r="VCA23"/>
      <c r="VCB23"/>
      <c r="VCC23"/>
      <c r="VCD23"/>
      <c r="VCE23"/>
      <c r="VCF23"/>
      <c r="VCG23"/>
      <c r="VCH23"/>
      <c r="VCI23"/>
      <c r="VCJ23"/>
      <c r="VCK23"/>
      <c r="VCL23"/>
      <c r="VCM23"/>
      <c r="VCN23"/>
      <c r="VCO23"/>
      <c r="VCP23"/>
      <c r="VCQ23"/>
      <c r="VCR23"/>
      <c r="VCS23"/>
      <c r="VCT23"/>
      <c r="VCU23"/>
      <c r="VCV23"/>
      <c r="VCW23"/>
      <c r="VCX23"/>
      <c r="VCY23"/>
      <c r="VCZ23"/>
      <c r="VDA23"/>
      <c r="VDB23"/>
      <c r="VDC23"/>
      <c r="VDD23"/>
      <c r="VDE23"/>
      <c r="VDF23"/>
      <c r="VDG23"/>
      <c r="VDH23"/>
      <c r="VDI23"/>
      <c r="VDJ23"/>
      <c r="VDK23"/>
      <c r="VDL23"/>
      <c r="VDM23"/>
      <c r="VDN23"/>
      <c r="VDO23"/>
      <c r="VDP23"/>
      <c r="VDQ23"/>
      <c r="VDR23"/>
      <c r="VDS23"/>
      <c r="VDT23"/>
      <c r="VDU23"/>
      <c r="VDV23"/>
      <c r="VDW23"/>
      <c r="VDX23"/>
      <c r="VDY23"/>
      <c r="VDZ23"/>
      <c r="VEA23"/>
      <c r="VEB23"/>
      <c r="VEC23"/>
      <c r="VED23"/>
      <c r="VEE23"/>
      <c r="VEF23"/>
      <c r="VEG23"/>
      <c r="VEH23"/>
      <c r="VEI23"/>
      <c r="VEJ23"/>
      <c r="VEK23"/>
      <c r="VEL23"/>
      <c r="VEM23"/>
      <c r="VEN23"/>
      <c r="VEO23"/>
      <c r="VEP23"/>
      <c r="VEQ23"/>
      <c r="VER23"/>
      <c r="VES23"/>
      <c r="VET23"/>
      <c r="VEU23"/>
      <c r="VEV23"/>
      <c r="VEW23"/>
      <c r="VEX23"/>
      <c r="VEY23"/>
      <c r="VEZ23"/>
      <c r="VFA23"/>
      <c r="VFB23"/>
      <c r="VFC23"/>
      <c r="VFD23"/>
      <c r="VFE23"/>
      <c r="VFF23"/>
      <c r="VFG23"/>
      <c r="VFH23"/>
      <c r="VFI23"/>
      <c r="VFJ23"/>
      <c r="VFK23"/>
      <c r="VFL23"/>
      <c r="VFM23"/>
      <c r="VFN23"/>
      <c r="VFO23"/>
      <c r="VFP23"/>
      <c r="VFQ23"/>
      <c r="VFR23"/>
      <c r="VFS23"/>
      <c r="VFT23"/>
      <c r="VFU23"/>
      <c r="VFV23"/>
      <c r="VFW23"/>
      <c r="VFX23"/>
      <c r="VFY23"/>
      <c r="VFZ23"/>
      <c r="VGA23"/>
      <c r="VGB23"/>
      <c r="VGC23"/>
      <c r="VGD23"/>
      <c r="VGE23"/>
      <c r="VGF23"/>
      <c r="VGG23"/>
      <c r="VGH23"/>
      <c r="VGI23"/>
      <c r="VGJ23"/>
      <c r="VGK23"/>
      <c r="VGL23"/>
      <c r="VGM23"/>
      <c r="VGN23"/>
      <c r="VGO23"/>
      <c r="VGP23"/>
      <c r="VGQ23"/>
      <c r="VGR23"/>
      <c r="VGS23"/>
      <c r="VGT23"/>
      <c r="VGU23"/>
      <c r="VGV23"/>
      <c r="VGW23"/>
      <c r="VGX23"/>
      <c r="VGY23"/>
      <c r="VGZ23"/>
      <c r="VHA23"/>
      <c r="VHB23"/>
      <c r="VHC23"/>
      <c r="VHD23"/>
      <c r="VHE23"/>
      <c r="VHF23"/>
      <c r="VHG23"/>
      <c r="VHH23"/>
      <c r="VHI23"/>
      <c r="VHJ23"/>
      <c r="VHK23"/>
      <c r="VHL23"/>
      <c r="VHM23"/>
      <c r="VHN23"/>
      <c r="VHO23"/>
      <c r="VHP23"/>
      <c r="VHQ23"/>
      <c r="VHR23"/>
      <c r="VHS23"/>
      <c r="VHT23"/>
      <c r="VHU23"/>
      <c r="VHV23"/>
      <c r="VHW23"/>
      <c r="VHX23"/>
      <c r="VHY23"/>
      <c r="VHZ23"/>
      <c r="VIA23"/>
      <c r="VIB23"/>
      <c r="VIC23"/>
      <c r="VID23"/>
      <c r="VIE23"/>
      <c r="VIF23"/>
      <c r="VIG23"/>
      <c r="VIH23"/>
      <c r="VII23"/>
      <c r="VIJ23"/>
      <c r="VIK23"/>
      <c r="VIL23"/>
      <c r="VIM23"/>
      <c r="VIN23"/>
      <c r="VIO23"/>
      <c r="VIP23"/>
      <c r="VIQ23"/>
      <c r="VIR23"/>
      <c r="VIS23"/>
      <c r="VIT23"/>
      <c r="VIU23"/>
      <c r="VIV23"/>
      <c r="VIW23"/>
      <c r="VIX23"/>
      <c r="VIY23"/>
      <c r="VIZ23"/>
      <c r="VJA23"/>
      <c r="VJB23"/>
      <c r="VJC23"/>
      <c r="VJD23"/>
      <c r="VJE23"/>
      <c r="VJF23"/>
      <c r="VJG23"/>
      <c r="VJH23"/>
      <c r="VJI23"/>
      <c r="VJJ23"/>
      <c r="VJK23"/>
      <c r="VJL23"/>
      <c r="VJM23"/>
      <c r="VJN23"/>
      <c r="VJO23"/>
      <c r="VJP23"/>
      <c r="VJQ23"/>
      <c r="VJR23"/>
      <c r="VJS23"/>
      <c r="VJT23"/>
      <c r="VJU23"/>
      <c r="VJV23"/>
      <c r="VJW23"/>
      <c r="VJX23"/>
      <c r="VJY23"/>
      <c r="VJZ23"/>
      <c r="VKA23"/>
      <c r="VKB23"/>
      <c r="VKC23"/>
      <c r="VKD23"/>
      <c r="VKE23"/>
      <c r="VKF23"/>
      <c r="VKG23"/>
      <c r="VKH23"/>
      <c r="VKI23"/>
      <c r="VKJ23"/>
      <c r="VKK23"/>
      <c r="VKL23"/>
      <c r="VKM23"/>
      <c r="VKN23"/>
      <c r="VKO23"/>
      <c r="VKP23"/>
      <c r="VKQ23"/>
      <c r="VKR23"/>
      <c r="VKS23"/>
      <c r="VKT23"/>
      <c r="VKU23"/>
      <c r="VKV23"/>
      <c r="VKW23"/>
      <c r="VKX23"/>
      <c r="VKY23"/>
      <c r="VKZ23"/>
      <c r="VLA23"/>
      <c r="VLB23"/>
      <c r="VLC23"/>
      <c r="VLD23"/>
      <c r="VLE23"/>
      <c r="VLF23"/>
      <c r="VLG23"/>
      <c r="VLH23"/>
      <c r="VLI23"/>
      <c r="VLJ23"/>
      <c r="VLK23"/>
      <c r="VLL23"/>
      <c r="VLM23"/>
      <c r="VLN23"/>
      <c r="VLO23"/>
      <c r="VLP23"/>
      <c r="VLQ23"/>
      <c r="VLR23"/>
      <c r="VLS23"/>
      <c r="VLT23"/>
      <c r="VLU23"/>
      <c r="VLV23"/>
      <c r="VLW23"/>
      <c r="VLX23"/>
      <c r="VLY23"/>
      <c r="VLZ23"/>
      <c r="VMA23"/>
      <c r="VMB23"/>
      <c r="VMC23"/>
      <c r="VMD23"/>
      <c r="VME23"/>
      <c r="VMF23"/>
      <c r="VMG23"/>
      <c r="VMH23"/>
      <c r="VMI23"/>
      <c r="VMJ23"/>
      <c r="VMK23"/>
      <c r="VML23"/>
      <c r="VMM23"/>
      <c r="VMN23"/>
      <c r="VMO23"/>
      <c r="VMP23"/>
      <c r="VMQ23"/>
      <c r="VMR23"/>
      <c r="VMS23"/>
      <c r="VMT23"/>
      <c r="VMU23"/>
      <c r="VMV23"/>
      <c r="VMW23"/>
      <c r="VMX23"/>
      <c r="VMY23"/>
      <c r="VMZ23"/>
      <c r="VNA23"/>
      <c r="VNB23"/>
      <c r="VNC23"/>
      <c r="VND23"/>
      <c r="VNE23"/>
      <c r="VNF23"/>
      <c r="VNG23"/>
      <c r="VNH23"/>
      <c r="VNI23"/>
      <c r="VNJ23"/>
      <c r="VNK23"/>
      <c r="VNL23"/>
      <c r="VNM23"/>
      <c r="VNN23"/>
      <c r="VNO23"/>
      <c r="VNP23"/>
      <c r="VNQ23"/>
      <c r="VNR23"/>
      <c r="VNS23"/>
      <c r="VNT23"/>
      <c r="VNU23"/>
      <c r="VNV23"/>
      <c r="VNW23"/>
      <c r="VNX23"/>
      <c r="VNY23"/>
      <c r="VNZ23"/>
      <c r="VOA23"/>
      <c r="VOB23"/>
      <c r="VOC23"/>
      <c r="VOD23"/>
      <c r="VOE23"/>
      <c r="VOF23"/>
      <c r="VOG23"/>
      <c r="VOH23"/>
      <c r="VOI23"/>
      <c r="VOJ23"/>
      <c r="VOK23"/>
      <c r="VOL23"/>
      <c r="VOM23"/>
      <c r="VON23"/>
      <c r="VOO23"/>
      <c r="VOP23"/>
      <c r="VOQ23"/>
      <c r="VOR23"/>
      <c r="VOS23"/>
      <c r="VOT23"/>
      <c r="VOU23"/>
      <c r="VOV23"/>
      <c r="VOW23"/>
      <c r="VOX23"/>
      <c r="VOY23"/>
      <c r="VOZ23"/>
      <c r="VPA23"/>
      <c r="VPB23"/>
      <c r="VPC23"/>
      <c r="VPD23"/>
      <c r="VPE23"/>
      <c r="VPF23"/>
      <c r="VPG23"/>
      <c r="VPH23"/>
      <c r="VPI23"/>
      <c r="VPJ23"/>
      <c r="VPK23"/>
      <c r="VPL23"/>
      <c r="VPM23"/>
      <c r="VPN23"/>
      <c r="VPO23"/>
      <c r="VPP23"/>
      <c r="VPQ23"/>
      <c r="VPR23"/>
      <c r="VPS23"/>
      <c r="VPT23"/>
      <c r="VPU23"/>
      <c r="VPV23"/>
      <c r="VPW23"/>
      <c r="VPX23"/>
      <c r="VPY23"/>
      <c r="VPZ23"/>
      <c r="VQA23"/>
      <c r="VQB23"/>
      <c r="VQC23"/>
      <c r="VQD23"/>
      <c r="VQE23"/>
      <c r="VQF23"/>
      <c r="VQG23"/>
      <c r="VQH23"/>
      <c r="VQI23"/>
      <c r="VQJ23"/>
      <c r="VQK23"/>
      <c r="VQL23"/>
      <c r="VQM23"/>
      <c r="VQN23"/>
      <c r="VQO23"/>
      <c r="VQP23"/>
      <c r="VQQ23"/>
      <c r="VQR23"/>
      <c r="VQS23"/>
      <c r="VQT23"/>
      <c r="VQU23"/>
      <c r="VQV23"/>
      <c r="VQW23"/>
      <c r="VQX23"/>
      <c r="VQY23"/>
      <c r="VQZ23"/>
      <c r="VRA23"/>
      <c r="VRB23"/>
      <c r="VRC23"/>
      <c r="VRD23"/>
      <c r="VRE23"/>
      <c r="VRF23"/>
      <c r="VRG23"/>
      <c r="VRH23"/>
      <c r="VRI23"/>
      <c r="VRJ23"/>
      <c r="VRK23"/>
      <c r="VRL23"/>
      <c r="VRM23"/>
      <c r="VRN23"/>
      <c r="VRO23"/>
      <c r="VRP23"/>
      <c r="VRQ23"/>
      <c r="VRR23"/>
      <c r="VRS23"/>
      <c r="VRT23"/>
      <c r="VRU23"/>
      <c r="VRV23"/>
      <c r="VRW23"/>
      <c r="VRX23"/>
      <c r="VRY23"/>
      <c r="VRZ23"/>
      <c r="VSA23"/>
      <c r="VSB23"/>
      <c r="VSC23"/>
      <c r="VSD23"/>
      <c r="VSE23"/>
      <c r="VSF23"/>
      <c r="VSG23"/>
      <c r="VSH23"/>
      <c r="VSI23"/>
      <c r="VSJ23"/>
      <c r="VSK23"/>
      <c r="VSL23"/>
      <c r="VSM23"/>
      <c r="VSN23"/>
      <c r="VSO23"/>
      <c r="VSP23"/>
      <c r="VSQ23"/>
      <c r="VSR23"/>
      <c r="VSS23"/>
      <c r="VST23"/>
      <c r="VSU23"/>
      <c r="VSV23"/>
      <c r="VSW23"/>
      <c r="VSX23"/>
      <c r="VSY23"/>
      <c r="VSZ23"/>
      <c r="VTA23"/>
      <c r="VTB23"/>
      <c r="VTC23"/>
      <c r="VTD23"/>
      <c r="VTE23"/>
      <c r="VTF23"/>
      <c r="VTG23"/>
      <c r="VTH23"/>
      <c r="VTI23"/>
      <c r="VTJ23"/>
      <c r="VTK23"/>
      <c r="VTL23"/>
      <c r="VTM23"/>
      <c r="VTN23"/>
      <c r="VTO23"/>
      <c r="VTP23"/>
      <c r="VTQ23"/>
      <c r="VTR23"/>
      <c r="VTS23"/>
      <c r="VTT23"/>
      <c r="VTU23"/>
      <c r="VTV23"/>
      <c r="VTW23"/>
      <c r="VTX23"/>
      <c r="VTY23"/>
      <c r="VTZ23"/>
      <c r="VUA23"/>
      <c r="VUB23"/>
      <c r="VUC23"/>
      <c r="VUD23"/>
      <c r="VUE23"/>
      <c r="VUF23"/>
      <c r="VUG23"/>
      <c r="VUH23"/>
      <c r="VUI23"/>
      <c r="VUJ23"/>
      <c r="VUK23"/>
      <c r="VUL23"/>
      <c r="VUM23"/>
      <c r="VUN23"/>
      <c r="VUO23"/>
      <c r="VUP23"/>
      <c r="VUQ23"/>
      <c r="VUR23"/>
      <c r="VUS23"/>
      <c r="VUT23"/>
      <c r="VUU23"/>
      <c r="VUV23"/>
      <c r="VUW23"/>
      <c r="VUX23"/>
      <c r="VUY23"/>
      <c r="VUZ23"/>
      <c r="VVA23"/>
      <c r="VVB23"/>
      <c r="VVC23"/>
      <c r="VVD23"/>
      <c r="VVE23"/>
      <c r="VVF23"/>
      <c r="VVG23"/>
      <c r="VVH23"/>
      <c r="VVI23"/>
      <c r="VVJ23"/>
      <c r="VVK23"/>
      <c r="VVL23"/>
      <c r="VVM23"/>
      <c r="VVN23"/>
      <c r="VVO23"/>
      <c r="VVP23"/>
      <c r="VVQ23"/>
      <c r="VVR23"/>
      <c r="VVS23"/>
      <c r="VVT23"/>
      <c r="VVU23"/>
      <c r="VVV23"/>
      <c r="VVW23"/>
      <c r="VVX23"/>
      <c r="VVY23"/>
      <c r="VVZ23"/>
      <c r="VWA23"/>
      <c r="VWB23"/>
      <c r="VWC23"/>
      <c r="VWD23"/>
      <c r="VWE23"/>
      <c r="VWF23"/>
      <c r="VWG23"/>
      <c r="VWH23"/>
      <c r="VWI23"/>
      <c r="VWJ23"/>
      <c r="VWK23"/>
      <c r="VWL23"/>
      <c r="VWM23"/>
      <c r="VWN23"/>
      <c r="VWO23"/>
      <c r="VWP23"/>
      <c r="VWQ23"/>
      <c r="VWR23"/>
      <c r="VWS23"/>
      <c r="VWT23"/>
      <c r="VWU23"/>
      <c r="VWV23"/>
      <c r="VWW23"/>
      <c r="VWX23"/>
      <c r="VWY23"/>
      <c r="VWZ23"/>
      <c r="VXA23"/>
      <c r="VXB23"/>
      <c r="VXC23"/>
      <c r="VXD23"/>
      <c r="VXE23"/>
      <c r="VXF23"/>
      <c r="VXG23"/>
      <c r="VXH23"/>
      <c r="VXI23"/>
      <c r="VXJ23"/>
      <c r="VXK23"/>
      <c r="VXL23"/>
      <c r="VXM23"/>
      <c r="VXN23"/>
      <c r="VXO23"/>
      <c r="VXP23"/>
      <c r="VXQ23"/>
      <c r="VXR23"/>
      <c r="VXS23"/>
      <c r="VXT23"/>
      <c r="VXU23"/>
      <c r="VXV23"/>
      <c r="VXW23"/>
      <c r="VXX23"/>
      <c r="VXY23"/>
      <c r="VXZ23"/>
      <c r="VYA23"/>
      <c r="VYB23"/>
      <c r="VYC23"/>
      <c r="VYD23"/>
      <c r="VYE23"/>
      <c r="VYF23"/>
      <c r="VYG23"/>
      <c r="VYH23"/>
      <c r="VYI23"/>
      <c r="VYJ23"/>
      <c r="VYK23"/>
      <c r="VYL23"/>
      <c r="VYM23"/>
      <c r="VYN23"/>
      <c r="VYO23"/>
      <c r="VYP23"/>
      <c r="VYQ23"/>
      <c r="VYR23"/>
      <c r="VYS23"/>
      <c r="VYT23"/>
      <c r="VYU23"/>
      <c r="VYV23"/>
      <c r="VYW23"/>
      <c r="VYX23"/>
      <c r="VYY23"/>
      <c r="VYZ23"/>
      <c r="VZA23"/>
      <c r="VZB23"/>
      <c r="VZC23"/>
      <c r="VZD23"/>
      <c r="VZE23"/>
      <c r="VZF23"/>
      <c r="VZG23"/>
      <c r="VZH23"/>
      <c r="VZI23"/>
      <c r="VZJ23"/>
      <c r="VZK23"/>
      <c r="VZL23"/>
      <c r="VZM23"/>
      <c r="VZN23"/>
      <c r="VZO23"/>
      <c r="VZP23"/>
      <c r="VZQ23"/>
      <c r="VZR23"/>
      <c r="VZS23"/>
      <c r="VZT23"/>
      <c r="VZU23"/>
      <c r="VZV23"/>
      <c r="VZW23"/>
      <c r="VZX23"/>
      <c r="VZY23"/>
      <c r="VZZ23"/>
      <c r="WAA23"/>
      <c r="WAB23"/>
      <c r="WAC23"/>
      <c r="WAD23"/>
      <c r="WAE23"/>
      <c r="WAF23"/>
      <c r="WAG23"/>
      <c r="WAH23"/>
      <c r="WAI23"/>
      <c r="WAJ23"/>
      <c r="WAK23"/>
      <c r="WAL23"/>
      <c r="WAM23"/>
      <c r="WAN23"/>
      <c r="WAO23"/>
      <c r="WAP23"/>
      <c r="WAQ23"/>
      <c r="WAR23"/>
      <c r="WAS23"/>
      <c r="WAT23"/>
      <c r="WAU23"/>
      <c r="WAV23"/>
      <c r="WAW23"/>
      <c r="WAX23"/>
      <c r="WAY23"/>
      <c r="WAZ23"/>
      <c r="WBA23"/>
      <c r="WBB23"/>
      <c r="WBC23"/>
      <c r="WBD23"/>
      <c r="WBE23"/>
      <c r="WBF23"/>
      <c r="WBG23"/>
      <c r="WBH23"/>
      <c r="WBI23"/>
      <c r="WBJ23"/>
      <c r="WBK23"/>
      <c r="WBL23"/>
      <c r="WBM23"/>
      <c r="WBN23"/>
      <c r="WBO23"/>
      <c r="WBP23"/>
      <c r="WBQ23"/>
      <c r="WBR23"/>
      <c r="WBS23"/>
      <c r="WBT23"/>
      <c r="WBU23"/>
      <c r="WBV23"/>
      <c r="WBW23"/>
      <c r="WBX23"/>
      <c r="WBY23"/>
      <c r="WBZ23"/>
      <c r="WCA23"/>
      <c r="WCB23"/>
      <c r="WCC23"/>
      <c r="WCD23"/>
      <c r="WCE23"/>
      <c r="WCF23"/>
      <c r="WCG23"/>
      <c r="WCH23"/>
      <c r="WCI23"/>
      <c r="WCJ23"/>
      <c r="WCK23"/>
      <c r="WCL23"/>
      <c r="WCM23"/>
      <c r="WCN23"/>
      <c r="WCO23"/>
      <c r="WCP23"/>
      <c r="WCQ23"/>
      <c r="WCR23"/>
      <c r="WCS23"/>
      <c r="WCT23"/>
      <c r="WCU23"/>
      <c r="WCV23"/>
      <c r="WCW23"/>
      <c r="WCX23"/>
      <c r="WCY23"/>
      <c r="WCZ23"/>
      <c r="WDA23"/>
      <c r="WDB23"/>
      <c r="WDC23"/>
      <c r="WDD23"/>
      <c r="WDE23"/>
      <c r="WDF23"/>
      <c r="WDG23"/>
      <c r="WDH23"/>
      <c r="WDI23"/>
      <c r="WDJ23"/>
      <c r="WDK23"/>
      <c r="WDL23"/>
      <c r="WDM23"/>
      <c r="WDN23"/>
      <c r="WDO23"/>
      <c r="WDP23"/>
      <c r="WDQ23"/>
      <c r="WDR23"/>
      <c r="WDS23"/>
      <c r="WDT23"/>
      <c r="WDU23"/>
      <c r="WDV23"/>
      <c r="WDW23"/>
      <c r="WDX23"/>
      <c r="WDY23"/>
      <c r="WDZ23"/>
      <c r="WEA23"/>
      <c r="WEB23"/>
      <c r="WEC23"/>
      <c r="WED23"/>
      <c r="WEE23"/>
      <c r="WEF23"/>
      <c r="WEG23"/>
      <c r="WEH23"/>
      <c r="WEI23"/>
      <c r="WEJ23"/>
      <c r="WEK23"/>
      <c r="WEL23"/>
      <c r="WEM23"/>
      <c r="WEN23"/>
      <c r="WEO23"/>
      <c r="WEP23"/>
      <c r="WEQ23"/>
      <c r="WER23"/>
      <c r="WES23"/>
      <c r="WET23"/>
      <c r="WEU23"/>
      <c r="WEV23"/>
      <c r="WEW23"/>
      <c r="WEX23"/>
      <c r="WEY23"/>
      <c r="WEZ23"/>
      <c r="WFA23"/>
      <c r="WFB23"/>
      <c r="WFC23"/>
      <c r="WFD23"/>
      <c r="WFE23"/>
      <c r="WFF23"/>
      <c r="WFG23"/>
      <c r="WFH23"/>
      <c r="WFI23"/>
      <c r="WFJ23"/>
      <c r="WFK23"/>
      <c r="WFL23"/>
      <c r="WFM23"/>
      <c r="WFN23"/>
      <c r="WFO23"/>
      <c r="WFP23"/>
      <c r="WFQ23"/>
      <c r="WFR23"/>
      <c r="WFS23"/>
      <c r="WFT23"/>
      <c r="WFU23"/>
      <c r="WFV23"/>
      <c r="WFW23"/>
      <c r="WFX23"/>
      <c r="WFY23"/>
      <c r="WFZ23"/>
      <c r="WGA23"/>
      <c r="WGB23"/>
      <c r="WGC23"/>
      <c r="WGD23"/>
      <c r="WGE23"/>
      <c r="WGF23"/>
      <c r="WGG23"/>
      <c r="WGH23"/>
      <c r="WGI23"/>
      <c r="WGJ23"/>
      <c r="WGK23"/>
      <c r="WGL23"/>
      <c r="WGM23"/>
      <c r="WGN23"/>
      <c r="WGO23"/>
      <c r="WGP23"/>
      <c r="WGQ23"/>
      <c r="WGR23"/>
      <c r="WGS23"/>
      <c r="WGT23"/>
      <c r="WGU23"/>
      <c r="WGV23"/>
      <c r="WGW23"/>
      <c r="WGX23"/>
      <c r="WGY23"/>
      <c r="WGZ23"/>
      <c r="WHA23"/>
      <c r="WHB23"/>
      <c r="WHC23"/>
      <c r="WHD23"/>
      <c r="WHE23"/>
      <c r="WHF23"/>
      <c r="WHG23"/>
      <c r="WHH23"/>
      <c r="WHI23"/>
      <c r="WHJ23"/>
      <c r="WHK23"/>
      <c r="WHL23"/>
      <c r="WHM23"/>
      <c r="WHN23"/>
      <c r="WHO23"/>
      <c r="WHP23"/>
      <c r="WHQ23"/>
      <c r="WHR23"/>
      <c r="WHS23"/>
      <c r="WHT23"/>
      <c r="WHU23"/>
      <c r="WHV23"/>
      <c r="WHW23"/>
      <c r="WHX23"/>
      <c r="WHY23"/>
      <c r="WHZ23"/>
      <c r="WIA23"/>
      <c r="WIB23"/>
      <c r="WIC23"/>
      <c r="WID23"/>
      <c r="WIE23"/>
      <c r="WIF23"/>
      <c r="WIG23"/>
      <c r="WIH23"/>
      <c r="WII23"/>
      <c r="WIJ23"/>
      <c r="WIK23"/>
      <c r="WIL23"/>
      <c r="WIM23"/>
      <c r="WIN23"/>
      <c r="WIO23"/>
      <c r="WIP23"/>
      <c r="WIQ23"/>
      <c r="WIR23"/>
      <c r="WIS23"/>
      <c r="WIT23"/>
      <c r="WIU23"/>
      <c r="WIV23"/>
      <c r="WIW23"/>
      <c r="WIX23"/>
      <c r="WIY23"/>
      <c r="WIZ23"/>
      <c r="WJA23"/>
      <c r="WJB23"/>
      <c r="WJC23"/>
      <c r="WJD23"/>
      <c r="WJE23"/>
      <c r="WJF23"/>
      <c r="WJG23"/>
      <c r="WJH23"/>
      <c r="WJI23"/>
      <c r="WJJ23"/>
      <c r="WJK23"/>
      <c r="WJL23"/>
      <c r="WJM23"/>
      <c r="WJN23"/>
      <c r="WJO23"/>
      <c r="WJP23"/>
      <c r="WJQ23"/>
      <c r="WJR23"/>
      <c r="WJS23"/>
      <c r="WJT23"/>
      <c r="WJU23"/>
      <c r="WJV23"/>
      <c r="WJW23"/>
      <c r="WJX23"/>
      <c r="WJY23"/>
      <c r="WJZ23"/>
      <c r="WKA23"/>
      <c r="WKB23"/>
      <c r="WKC23"/>
      <c r="WKD23"/>
      <c r="WKE23"/>
      <c r="WKF23"/>
      <c r="WKG23"/>
      <c r="WKH23"/>
      <c r="WKI23"/>
      <c r="WKJ23"/>
      <c r="WKK23"/>
      <c r="WKL23"/>
      <c r="WKM23"/>
      <c r="WKN23"/>
      <c r="WKO23"/>
      <c r="WKP23"/>
      <c r="WKQ23"/>
      <c r="WKR23"/>
      <c r="WKS23"/>
      <c r="WKT23"/>
      <c r="WKU23"/>
      <c r="WKV23"/>
      <c r="WKW23"/>
      <c r="WKX23"/>
      <c r="WKY23"/>
      <c r="WKZ23"/>
      <c r="WLA23"/>
      <c r="WLB23"/>
      <c r="WLC23"/>
      <c r="WLD23"/>
      <c r="WLE23"/>
      <c r="WLF23"/>
      <c r="WLG23"/>
      <c r="WLH23"/>
      <c r="WLI23"/>
      <c r="WLJ23"/>
      <c r="WLK23"/>
      <c r="WLL23"/>
      <c r="WLM23"/>
      <c r="WLN23"/>
      <c r="WLO23"/>
      <c r="WLP23"/>
      <c r="WLQ23"/>
      <c r="WLR23"/>
      <c r="WLS23"/>
      <c r="WLT23"/>
      <c r="WLU23"/>
      <c r="WLV23"/>
      <c r="WLW23"/>
      <c r="WLX23"/>
      <c r="WLY23"/>
      <c r="WLZ23"/>
      <c r="WMA23"/>
      <c r="WMB23"/>
      <c r="WMC23"/>
      <c r="WMD23"/>
      <c r="WME23"/>
      <c r="WMF23"/>
      <c r="WMG23"/>
      <c r="WMH23"/>
      <c r="WMI23"/>
      <c r="WMJ23"/>
      <c r="WMK23"/>
      <c r="WML23"/>
      <c r="WMM23"/>
      <c r="WMN23"/>
      <c r="WMO23"/>
      <c r="WMP23"/>
      <c r="WMQ23"/>
      <c r="WMR23"/>
      <c r="WMS23"/>
      <c r="WMT23"/>
      <c r="WMU23"/>
      <c r="WMV23"/>
      <c r="WMW23"/>
      <c r="WMX23"/>
      <c r="WMY23"/>
      <c r="WMZ23"/>
      <c r="WNA23"/>
      <c r="WNB23"/>
      <c r="WNC23"/>
      <c r="WND23"/>
      <c r="WNE23"/>
      <c r="WNF23"/>
      <c r="WNG23"/>
      <c r="WNH23"/>
      <c r="WNI23"/>
      <c r="WNJ23"/>
      <c r="WNK23"/>
      <c r="WNL23"/>
      <c r="WNM23"/>
      <c r="WNN23"/>
      <c r="WNO23"/>
      <c r="WNP23"/>
      <c r="WNQ23"/>
      <c r="WNR23"/>
      <c r="WNS23"/>
      <c r="WNT23"/>
      <c r="WNU23"/>
      <c r="WNV23"/>
      <c r="WNW23"/>
      <c r="WNX23"/>
      <c r="WNY23"/>
      <c r="WNZ23"/>
      <c r="WOA23"/>
      <c r="WOB23"/>
      <c r="WOC23"/>
      <c r="WOD23"/>
      <c r="WOE23"/>
      <c r="WOF23"/>
      <c r="WOG23"/>
      <c r="WOH23"/>
      <c r="WOI23"/>
      <c r="WOJ23"/>
      <c r="WOK23"/>
      <c r="WOL23"/>
      <c r="WOM23"/>
      <c r="WON23"/>
      <c r="WOO23"/>
      <c r="WOP23"/>
      <c r="WOQ23"/>
      <c r="WOR23"/>
      <c r="WOS23"/>
      <c r="WOT23"/>
      <c r="WOU23"/>
      <c r="WOV23"/>
      <c r="WOW23"/>
      <c r="WOX23"/>
      <c r="WOY23"/>
      <c r="WOZ23"/>
      <c r="WPA23"/>
      <c r="WPB23"/>
      <c r="WPC23"/>
      <c r="WPD23"/>
      <c r="WPE23"/>
      <c r="WPF23"/>
      <c r="WPG23"/>
      <c r="WPH23"/>
      <c r="WPI23"/>
      <c r="WPJ23"/>
      <c r="WPK23"/>
      <c r="WPL23"/>
      <c r="WPM23"/>
      <c r="WPN23"/>
      <c r="WPO23"/>
      <c r="WPP23"/>
      <c r="WPQ23"/>
      <c r="WPR23"/>
      <c r="WPS23"/>
      <c r="WPT23"/>
      <c r="WPU23"/>
      <c r="WPV23"/>
      <c r="WPW23"/>
      <c r="WPX23"/>
      <c r="WPY23"/>
      <c r="WPZ23"/>
      <c r="WQA23"/>
      <c r="WQB23"/>
      <c r="WQC23"/>
      <c r="WQD23"/>
      <c r="WQE23"/>
      <c r="WQF23"/>
      <c r="WQG23"/>
      <c r="WQH23"/>
      <c r="WQI23"/>
      <c r="WQJ23"/>
      <c r="WQK23"/>
      <c r="WQL23"/>
      <c r="WQM23"/>
      <c r="WQN23"/>
      <c r="WQO23"/>
      <c r="WQP23"/>
      <c r="WQQ23"/>
      <c r="WQR23"/>
      <c r="WQS23"/>
      <c r="WQT23"/>
      <c r="WQU23"/>
      <c r="WQV23"/>
      <c r="WQW23"/>
      <c r="WQX23"/>
      <c r="WQY23"/>
      <c r="WQZ23"/>
      <c r="WRA23"/>
      <c r="WRB23"/>
      <c r="WRC23"/>
      <c r="WRD23"/>
      <c r="WRE23"/>
      <c r="WRF23"/>
      <c r="WRG23"/>
      <c r="WRH23"/>
      <c r="WRI23"/>
      <c r="WRJ23"/>
      <c r="WRK23"/>
      <c r="WRL23"/>
      <c r="WRM23"/>
      <c r="WRN23"/>
      <c r="WRO23"/>
      <c r="WRP23"/>
      <c r="WRQ23"/>
      <c r="WRR23"/>
      <c r="WRS23"/>
      <c r="WRT23"/>
      <c r="WRU23"/>
      <c r="WRV23"/>
      <c r="WRW23"/>
      <c r="WRX23"/>
      <c r="WRY23"/>
      <c r="WRZ23"/>
      <c r="WSA23"/>
      <c r="WSB23"/>
      <c r="WSC23"/>
      <c r="WSD23"/>
      <c r="WSE23"/>
      <c r="WSF23"/>
      <c r="WSG23"/>
      <c r="WSH23"/>
      <c r="WSI23"/>
      <c r="WSJ23"/>
      <c r="WSK23"/>
      <c r="WSL23"/>
      <c r="WSM23"/>
      <c r="WSN23"/>
      <c r="WSO23"/>
      <c r="WSP23"/>
      <c r="WSQ23"/>
      <c r="WSR23"/>
      <c r="WSS23"/>
      <c r="WST23"/>
      <c r="WSU23"/>
      <c r="WSV23"/>
      <c r="WSW23"/>
      <c r="WSX23"/>
      <c r="WSY23"/>
      <c r="WSZ23"/>
      <c r="WTA23"/>
      <c r="WTB23"/>
      <c r="WTC23"/>
      <c r="WTD23"/>
      <c r="WTE23"/>
      <c r="WTF23"/>
      <c r="WTG23"/>
      <c r="WTH23"/>
      <c r="WTI23"/>
      <c r="WTJ23"/>
      <c r="WTK23"/>
      <c r="WTL23"/>
      <c r="WTM23"/>
      <c r="WTN23"/>
      <c r="WTO23"/>
      <c r="WTP23"/>
      <c r="WTQ23"/>
      <c r="WTR23"/>
      <c r="WTS23"/>
      <c r="WTT23"/>
      <c r="WTU23"/>
      <c r="WTV23"/>
      <c r="WTW23"/>
      <c r="WTX23"/>
      <c r="WTY23"/>
      <c r="WTZ23"/>
      <c r="WUA23"/>
      <c r="WUB23"/>
      <c r="WUC23"/>
      <c r="WUD23"/>
      <c r="WUE23"/>
      <c r="WUF23"/>
      <c r="WUG23"/>
      <c r="WUH23"/>
      <c r="WUI23"/>
      <c r="WUJ23"/>
      <c r="WUK23"/>
      <c r="WUL23"/>
      <c r="WUM23"/>
      <c r="WUN23"/>
      <c r="WUO23"/>
      <c r="WUP23"/>
      <c r="WUQ23"/>
      <c r="WUR23"/>
      <c r="WUS23"/>
      <c r="WUT23"/>
      <c r="WUU23"/>
      <c r="WUV23"/>
      <c r="WUW23"/>
      <c r="WUX23"/>
      <c r="WUY23"/>
      <c r="WUZ23"/>
      <c r="WVA23"/>
      <c r="WVB23"/>
      <c r="WVC23"/>
      <c r="WVD23"/>
      <c r="WVE23"/>
      <c r="WVF23"/>
      <c r="WVG23"/>
      <c r="WVH23"/>
      <c r="WVI23"/>
      <c r="WVJ23"/>
      <c r="WVK23"/>
      <c r="WVL23"/>
      <c r="WVM23"/>
      <c r="WVN23"/>
      <c r="WVO23"/>
      <c r="WVP23"/>
      <c r="WVQ23"/>
      <c r="WVR23"/>
      <c r="WVS23"/>
      <c r="WVT23"/>
      <c r="WVU23"/>
      <c r="WVV23"/>
      <c r="WVW23"/>
      <c r="WVX23"/>
      <c r="WVY23"/>
      <c r="WVZ23"/>
      <c r="WWA23"/>
      <c r="WWB23"/>
      <c r="WWC23"/>
      <c r="WWD23"/>
      <c r="WWE23"/>
      <c r="WWF23"/>
      <c r="WWG23"/>
      <c r="WWH23"/>
      <c r="WWI23"/>
      <c r="WWJ23"/>
      <c r="WWK23"/>
      <c r="WWL23"/>
      <c r="WWM23"/>
      <c r="WWN23"/>
      <c r="WWO23"/>
      <c r="WWP23"/>
      <c r="WWQ23"/>
      <c r="WWR23"/>
      <c r="WWS23"/>
      <c r="WWT23"/>
      <c r="WWU23"/>
      <c r="WWV23"/>
      <c r="WWW23"/>
      <c r="WWX23"/>
      <c r="WWY23"/>
      <c r="WWZ23"/>
      <c r="WXA23"/>
      <c r="WXB23"/>
      <c r="WXC23"/>
      <c r="WXD23"/>
      <c r="WXE23"/>
      <c r="WXF23"/>
      <c r="WXG23"/>
      <c r="WXH23"/>
      <c r="WXI23"/>
      <c r="WXJ23"/>
      <c r="WXK23"/>
      <c r="WXL23"/>
      <c r="WXM23"/>
      <c r="WXN23"/>
      <c r="WXO23"/>
      <c r="WXP23"/>
      <c r="WXQ23"/>
      <c r="WXR23"/>
      <c r="WXS23"/>
      <c r="WXT23"/>
      <c r="WXU23"/>
      <c r="WXV23"/>
      <c r="WXW23"/>
      <c r="WXX23"/>
      <c r="WXY23"/>
      <c r="WXZ23"/>
      <c r="WYA23"/>
      <c r="WYB23"/>
      <c r="WYC23"/>
      <c r="WYD23"/>
      <c r="WYE23"/>
      <c r="WYF23"/>
      <c r="WYG23"/>
      <c r="WYH23"/>
      <c r="WYI23"/>
      <c r="WYJ23"/>
      <c r="WYK23"/>
      <c r="WYL23"/>
      <c r="WYM23"/>
      <c r="WYN23"/>
      <c r="WYO23"/>
      <c r="WYP23"/>
      <c r="WYQ23"/>
      <c r="WYR23"/>
      <c r="WYS23"/>
      <c r="WYT23"/>
      <c r="WYU23"/>
      <c r="WYV23"/>
      <c r="WYW23"/>
      <c r="WYX23"/>
      <c r="WYY23"/>
      <c r="WYZ23"/>
      <c r="WZA23"/>
      <c r="WZB23"/>
      <c r="WZC23"/>
      <c r="WZD23"/>
      <c r="WZE23"/>
      <c r="WZF23"/>
      <c r="WZG23"/>
      <c r="WZH23"/>
      <c r="WZI23"/>
      <c r="WZJ23"/>
      <c r="WZK23"/>
      <c r="WZL23"/>
      <c r="WZM23"/>
      <c r="WZN23"/>
      <c r="WZO23"/>
      <c r="WZP23"/>
      <c r="WZQ23"/>
      <c r="WZR23"/>
      <c r="WZS23"/>
      <c r="WZT23"/>
      <c r="WZU23"/>
      <c r="WZV23"/>
      <c r="WZW23"/>
      <c r="WZX23"/>
      <c r="WZY23"/>
      <c r="WZZ23"/>
      <c r="XAA23"/>
      <c r="XAB23"/>
      <c r="XAC23"/>
      <c r="XAD23"/>
      <c r="XAE23"/>
      <c r="XAF23"/>
      <c r="XAG23"/>
      <c r="XAH23"/>
      <c r="XAI23"/>
      <c r="XAJ23"/>
      <c r="XAK23"/>
      <c r="XAL23"/>
      <c r="XAM23"/>
      <c r="XAN23"/>
      <c r="XAO23"/>
      <c r="XAP23"/>
      <c r="XAQ23"/>
      <c r="XAR23"/>
      <c r="XAS23"/>
      <c r="XAT23"/>
      <c r="XAU23"/>
      <c r="XAV23"/>
      <c r="XAW23"/>
      <c r="XAX23"/>
      <c r="XAY23"/>
      <c r="XAZ23"/>
      <c r="XBA23"/>
      <c r="XBB23"/>
      <c r="XBC23"/>
      <c r="XBD23"/>
      <c r="XBE23"/>
      <c r="XBF23"/>
      <c r="XBG23"/>
      <c r="XBH23"/>
      <c r="XBI23"/>
      <c r="XBJ23"/>
      <c r="XBK23"/>
      <c r="XBL23"/>
      <c r="XBM23"/>
      <c r="XBN23"/>
      <c r="XBO23"/>
      <c r="XBP23"/>
      <c r="XBQ23"/>
      <c r="XBR23"/>
      <c r="XBS23"/>
      <c r="XBT23"/>
      <c r="XBU23"/>
      <c r="XBV23"/>
      <c r="XBW23"/>
      <c r="XBX23"/>
      <c r="XBY23"/>
      <c r="XBZ23"/>
      <c r="XCA23"/>
      <c r="XCB23"/>
      <c r="XCC23"/>
      <c r="XCD23"/>
      <c r="XCE23"/>
      <c r="XCF23"/>
      <c r="XCG23"/>
      <c r="XCH23"/>
      <c r="XCI23"/>
      <c r="XCJ23"/>
      <c r="XCK23"/>
      <c r="XCL23"/>
      <c r="XCM23"/>
      <c r="XCN23"/>
      <c r="XCO23"/>
      <c r="XCP23"/>
      <c r="XCQ23"/>
      <c r="XCR23"/>
      <c r="XCS23"/>
      <c r="XCT23"/>
      <c r="XCU23"/>
      <c r="XCV23"/>
      <c r="XCW23"/>
      <c r="XCX23"/>
      <c r="XCY23"/>
      <c r="XCZ23"/>
      <c r="XDA23"/>
      <c r="XDB23"/>
      <c r="XDC23"/>
      <c r="XDD23"/>
      <c r="XDE23"/>
      <c r="XDF23"/>
      <c r="XDG23"/>
      <c r="XDH23"/>
      <c r="XDI23"/>
      <c r="XDJ23"/>
      <c r="XDK23"/>
      <c r="XDL23"/>
      <c r="XDM23"/>
      <c r="XDN23"/>
      <c r="XDO23"/>
      <c r="XDP23"/>
      <c r="XDQ23"/>
      <c r="XDR23"/>
      <c r="XDS23"/>
      <c r="XDT23"/>
      <c r="XDU23"/>
      <c r="XDV23"/>
      <c r="XDW23"/>
      <c r="XDX23"/>
      <c r="XDY23"/>
      <c r="XDZ23"/>
      <c r="XEA23"/>
      <c r="XEB23"/>
      <c r="XEC23"/>
      <c r="XED23"/>
      <c r="XEE23"/>
      <c r="XEF23"/>
      <c r="XEG23"/>
      <c r="XEH23"/>
      <c r="XEI23"/>
      <c r="XEJ23"/>
      <c r="XEK23"/>
      <c r="XEL23"/>
      <c r="XEM23"/>
      <c r="XEN23"/>
      <c r="XEO23"/>
      <c r="XEP23"/>
      <c r="XEQ23"/>
      <c r="XER23"/>
      <c r="XES23"/>
      <c r="XET23"/>
      <c r="XEU23"/>
      <c r="XEV23"/>
      <c r="XEW23"/>
      <c r="XEX23"/>
      <c r="XEY23"/>
      <c r="XEZ23"/>
      <c r="XFA23"/>
      <c r="XFB23"/>
    </row>
    <row r="24" spans="1:16382" x14ac:dyDescent="0.35">
      <c r="B24" t="s">
        <v>914</v>
      </c>
      <c r="C24" s="28" t="s">
        <v>394</v>
      </c>
      <c r="D24" s="29" t="s">
        <v>395</v>
      </c>
      <c r="E24" s="29" t="s">
        <v>396</v>
      </c>
      <c r="F24" s="29"/>
      <c r="G24" s="29"/>
      <c r="H24" s="29"/>
      <c r="I24" s="29" t="s">
        <v>400</v>
      </c>
      <c r="J24" s="30"/>
      <c r="K24" s="29" t="s">
        <v>82</v>
      </c>
      <c r="L24" s="81">
        <v>2250</v>
      </c>
      <c r="M24" s="81">
        <v>2250</v>
      </c>
      <c r="N24" s="16">
        <f t="shared" si="0"/>
        <v>-4414.2151898734173</v>
      </c>
      <c r="O24" s="81">
        <v>1000</v>
      </c>
      <c r="P24" s="81">
        <v>1000</v>
      </c>
      <c r="Q24" s="16">
        <f t="shared" si="1"/>
        <v>-211.77142857142857</v>
      </c>
      <c r="R24" s="81">
        <v>0</v>
      </c>
      <c r="S24" s="81">
        <v>0</v>
      </c>
      <c r="T24" s="16">
        <f t="shared" si="2"/>
        <v>0</v>
      </c>
      <c r="U24" s="81">
        <v>0</v>
      </c>
      <c r="V24" s="81">
        <v>0</v>
      </c>
      <c r="W24" s="16">
        <f t="shared" si="3"/>
        <v>0</v>
      </c>
      <c r="X24" s="81">
        <v>500</v>
      </c>
      <c r="Y24" s="81">
        <v>500</v>
      </c>
      <c r="Z24" s="16">
        <f t="shared" si="4"/>
        <v>0</v>
      </c>
      <c r="AA24" s="81">
        <v>0</v>
      </c>
      <c r="AB24" s="81">
        <v>0</v>
      </c>
      <c r="AC24" s="16">
        <f t="shared" si="5"/>
        <v>0</v>
      </c>
      <c r="AD24" s="32" t="s">
        <v>82</v>
      </c>
      <c r="AE24" s="5">
        <v>1</v>
      </c>
    </row>
    <row r="25" spans="1:16382" ht="16.5" x14ac:dyDescent="0.45">
      <c r="C25" s="28" t="s">
        <v>836</v>
      </c>
      <c r="D25" s="29" t="s">
        <v>917</v>
      </c>
      <c r="E25" s="29" t="s">
        <v>918</v>
      </c>
      <c r="F25" s="93"/>
      <c r="G25" s="94"/>
      <c r="H25" s="94"/>
      <c r="I25" s="29" t="s">
        <v>212</v>
      </c>
      <c r="J25" s="93"/>
      <c r="K25" s="29"/>
      <c r="L25" s="81">
        <v>500</v>
      </c>
      <c r="M25" s="81">
        <v>500</v>
      </c>
      <c r="N25" s="16">
        <f t="shared" si="0"/>
        <v>-980.9367088607595</v>
      </c>
      <c r="O25" s="29">
        <v>500</v>
      </c>
      <c r="P25" s="29">
        <v>500</v>
      </c>
      <c r="Q25" s="16">
        <f t="shared" si="1"/>
        <v>-105.88571428571429</v>
      </c>
      <c r="R25" s="29">
        <v>0</v>
      </c>
      <c r="S25" s="29">
        <v>0</v>
      </c>
      <c r="T25" s="16">
        <f t="shared" si="2"/>
        <v>0</v>
      </c>
      <c r="U25" s="29">
        <v>500</v>
      </c>
      <c r="V25" s="29">
        <v>500</v>
      </c>
      <c r="W25" s="16">
        <f t="shared" si="3"/>
        <v>-2.8292682926829267</v>
      </c>
      <c r="X25" s="29">
        <v>500</v>
      </c>
      <c r="Y25" s="29">
        <v>500</v>
      </c>
      <c r="Z25" s="16">
        <f t="shared" si="4"/>
        <v>0</v>
      </c>
      <c r="AA25" s="29">
        <v>500</v>
      </c>
      <c r="AB25" s="29">
        <v>500</v>
      </c>
      <c r="AC25" s="16">
        <f t="shared" si="5"/>
        <v>-17.172413793103448</v>
      </c>
      <c r="AD25" s="29"/>
    </row>
    <row r="26" spans="1:16382" x14ac:dyDescent="0.35">
      <c r="B26" t="s">
        <v>914</v>
      </c>
      <c r="C26" s="28" t="s">
        <v>444</v>
      </c>
      <c r="D26" s="29" t="s">
        <v>445</v>
      </c>
      <c r="E26" s="29" t="s">
        <v>446</v>
      </c>
      <c r="F26" s="29"/>
      <c r="G26" s="29"/>
      <c r="H26" s="29"/>
      <c r="I26" s="29" t="s">
        <v>160</v>
      </c>
      <c r="J26" s="30"/>
      <c r="K26" s="29" t="s">
        <v>82</v>
      </c>
      <c r="L26" s="81">
        <v>500</v>
      </c>
      <c r="M26" s="81">
        <v>500</v>
      </c>
      <c r="N26" s="16">
        <f t="shared" si="0"/>
        <v>-980.9367088607595</v>
      </c>
      <c r="O26" s="81">
        <v>500</v>
      </c>
      <c r="P26" s="81">
        <v>500</v>
      </c>
      <c r="Q26" s="16">
        <f t="shared" si="1"/>
        <v>-105.88571428571429</v>
      </c>
      <c r="R26" s="81">
        <v>0</v>
      </c>
      <c r="S26" s="81">
        <v>0</v>
      </c>
      <c r="T26" s="16">
        <f t="shared" si="2"/>
        <v>0</v>
      </c>
      <c r="U26" s="81">
        <v>0</v>
      </c>
      <c r="V26" s="81">
        <v>0</v>
      </c>
      <c r="W26" s="16">
        <f t="shared" si="3"/>
        <v>0</v>
      </c>
      <c r="X26" s="81">
        <v>0</v>
      </c>
      <c r="Y26" s="81">
        <v>0</v>
      </c>
      <c r="Z26" s="16">
        <f t="shared" si="4"/>
        <v>0</v>
      </c>
      <c r="AA26" s="81">
        <v>0</v>
      </c>
      <c r="AB26" s="81">
        <v>0</v>
      </c>
      <c r="AC26" s="16">
        <f t="shared" si="5"/>
        <v>0</v>
      </c>
      <c r="AD26" s="32" t="s">
        <v>82</v>
      </c>
      <c r="AE26" s="5">
        <v>1</v>
      </c>
    </row>
    <row r="27" spans="1:16382" x14ac:dyDescent="0.35">
      <c r="B27" t="s">
        <v>914</v>
      </c>
      <c r="C27" s="28" t="s">
        <v>463</v>
      </c>
      <c r="D27" s="29" t="s">
        <v>464</v>
      </c>
      <c r="E27" s="29" t="s">
        <v>465</v>
      </c>
      <c r="F27" s="29"/>
      <c r="G27" s="29"/>
      <c r="H27" s="29"/>
      <c r="I27" s="29" t="s">
        <v>469</v>
      </c>
      <c r="J27" s="30"/>
      <c r="K27" s="29" t="s">
        <v>82</v>
      </c>
      <c r="L27" s="81">
        <v>1500</v>
      </c>
      <c r="M27" s="81">
        <v>1500</v>
      </c>
      <c r="N27" s="16">
        <f t="shared" si="0"/>
        <v>-2942.8101265822784</v>
      </c>
      <c r="O27" s="81">
        <v>2250</v>
      </c>
      <c r="P27" s="81">
        <v>2250</v>
      </c>
      <c r="Q27" s="16">
        <f t="shared" si="1"/>
        <v>-476.48571428571432</v>
      </c>
      <c r="R27" s="81">
        <v>1500</v>
      </c>
      <c r="S27" s="81">
        <v>1500</v>
      </c>
      <c r="T27" s="16">
        <f t="shared" si="2"/>
        <v>-229.03278688524591</v>
      </c>
      <c r="U27" s="81">
        <v>0</v>
      </c>
      <c r="V27" s="81">
        <v>0</v>
      </c>
      <c r="W27" s="16">
        <f t="shared" si="3"/>
        <v>0</v>
      </c>
      <c r="X27" s="81">
        <v>0</v>
      </c>
      <c r="Y27" s="81">
        <v>0</v>
      </c>
      <c r="Z27" s="16">
        <f t="shared" si="4"/>
        <v>0</v>
      </c>
      <c r="AA27" s="81">
        <v>0</v>
      </c>
      <c r="AB27" s="81">
        <v>0</v>
      </c>
      <c r="AC27" s="16">
        <f t="shared" si="5"/>
        <v>0</v>
      </c>
      <c r="AD27" s="32" t="s">
        <v>82</v>
      </c>
      <c r="AE27" s="5">
        <v>1</v>
      </c>
    </row>
    <row r="28" spans="1:16382" x14ac:dyDescent="0.35">
      <c r="B28" t="s">
        <v>914</v>
      </c>
      <c r="C28" s="28" t="s">
        <v>486</v>
      </c>
      <c r="D28" s="29" t="s">
        <v>487</v>
      </c>
      <c r="E28" s="29" t="s">
        <v>488</v>
      </c>
      <c r="F28" s="29"/>
      <c r="G28" s="29"/>
      <c r="H28" s="29"/>
      <c r="I28" s="29" t="s">
        <v>492</v>
      </c>
      <c r="J28" s="30"/>
      <c r="K28" s="29" t="s">
        <v>82</v>
      </c>
      <c r="L28" s="81">
        <v>1000</v>
      </c>
      <c r="M28" s="81">
        <v>1000</v>
      </c>
      <c r="N28" s="16">
        <f t="shared" si="0"/>
        <v>-1961.873417721519</v>
      </c>
      <c r="O28" s="81">
        <v>1000</v>
      </c>
      <c r="P28" s="81">
        <v>1000</v>
      </c>
      <c r="Q28" s="16">
        <f t="shared" si="1"/>
        <v>-211.77142857142857</v>
      </c>
      <c r="R28" s="81">
        <v>1000</v>
      </c>
      <c r="S28" s="81">
        <v>1000</v>
      </c>
      <c r="T28" s="16">
        <f t="shared" si="2"/>
        <v>-152.68852459016395</v>
      </c>
      <c r="U28" s="81">
        <v>500</v>
      </c>
      <c r="V28" s="81">
        <v>500</v>
      </c>
      <c r="W28" s="16">
        <f t="shared" si="3"/>
        <v>-2.8292682926829267</v>
      </c>
      <c r="X28" s="81">
        <v>500</v>
      </c>
      <c r="Y28" s="81">
        <v>500</v>
      </c>
      <c r="Z28" s="16">
        <f t="shared" si="4"/>
        <v>0</v>
      </c>
      <c r="AA28" s="81">
        <v>0</v>
      </c>
      <c r="AB28" s="81">
        <v>0</v>
      </c>
      <c r="AC28" s="16">
        <f t="shared" si="5"/>
        <v>0</v>
      </c>
      <c r="AD28" s="32" t="s">
        <v>91</v>
      </c>
      <c r="AE28" s="22">
        <v>1</v>
      </c>
    </row>
    <row r="29" spans="1:16382" x14ac:dyDescent="0.35">
      <c r="B29" t="s">
        <v>914</v>
      </c>
      <c r="C29" s="28" t="s">
        <v>528</v>
      </c>
      <c r="D29" s="29" t="s">
        <v>529</v>
      </c>
      <c r="E29" s="29" t="s">
        <v>530</v>
      </c>
      <c r="F29" s="29"/>
      <c r="G29" s="29"/>
      <c r="H29" s="29"/>
      <c r="I29" s="29" t="s">
        <v>534</v>
      </c>
      <c r="J29" s="30"/>
      <c r="K29" s="29" t="s">
        <v>82</v>
      </c>
      <c r="L29" s="81">
        <v>2250</v>
      </c>
      <c r="M29" s="81">
        <v>2250</v>
      </c>
      <c r="N29" s="16">
        <f t="shared" si="0"/>
        <v>-4414.2151898734173</v>
      </c>
      <c r="O29" s="81">
        <v>2250</v>
      </c>
      <c r="P29" s="81">
        <v>2250</v>
      </c>
      <c r="Q29" s="16">
        <f t="shared" si="1"/>
        <v>-476.48571428571432</v>
      </c>
      <c r="R29" s="81">
        <v>2250</v>
      </c>
      <c r="S29" s="81">
        <v>2250</v>
      </c>
      <c r="T29" s="16">
        <f t="shared" si="2"/>
        <v>-343.54918032786884</v>
      </c>
      <c r="U29" s="81">
        <v>2250</v>
      </c>
      <c r="V29" s="81">
        <v>2250</v>
      </c>
      <c r="W29" s="16">
        <f t="shared" si="3"/>
        <v>-12.73170731707317</v>
      </c>
      <c r="X29" s="81">
        <v>500</v>
      </c>
      <c r="Y29" s="81">
        <v>500</v>
      </c>
      <c r="Z29" s="16">
        <f t="shared" si="4"/>
        <v>0</v>
      </c>
      <c r="AA29" s="81">
        <v>0</v>
      </c>
      <c r="AB29" s="81">
        <v>0</v>
      </c>
      <c r="AC29" s="16">
        <f t="shared" si="5"/>
        <v>0</v>
      </c>
      <c r="AD29" s="32" t="s">
        <v>82</v>
      </c>
      <c r="AE29" s="5">
        <v>1</v>
      </c>
    </row>
    <row r="30" spans="1:16382" x14ac:dyDescent="0.35">
      <c r="B30" t="s">
        <v>914</v>
      </c>
      <c r="C30" s="25" t="s">
        <v>584</v>
      </c>
      <c r="D30" s="26" t="s">
        <v>585</v>
      </c>
      <c r="E30" s="26" t="s">
        <v>586</v>
      </c>
      <c r="F30" s="26"/>
      <c r="G30" s="26"/>
      <c r="H30" s="26"/>
      <c r="I30" s="26" t="s">
        <v>589</v>
      </c>
      <c r="J30" s="27"/>
      <c r="K30" s="26" t="s">
        <v>82</v>
      </c>
      <c r="L30" s="37">
        <v>500</v>
      </c>
      <c r="M30" s="37">
        <v>500</v>
      </c>
      <c r="N30" s="16">
        <f t="shared" si="0"/>
        <v>-980.9367088607595</v>
      </c>
      <c r="O30" s="37">
        <v>500</v>
      </c>
      <c r="P30" s="37">
        <v>500</v>
      </c>
      <c r="Q30" s="16">
        <f t="shared" si="1"/>
        <v>-105.88571428571429</v>
      </c>
      <c r="R30" s="37">
        <v>500</v>
      </c>
      <c r="S30" s="37">
        <v>500</v>
      </c>
      <c r="T30" s="16">
        <f t="shared" si="2"/>
        <v>-76.344262295081975</v>
      </c>
      <c r="U30" s="37">
        <v>0</v>
      </c>
      <c r="V30" s="37">
        <v>0</v>
      </c>
      <c r="W30" s="16">
        <f t="shared" si="3"/>
        <v>0</v>
      </c>
      <c r="X30" s="37">
        <v>0</v>
      </c>
      <c r="Y30" s="37">
        <v>0</v>
      </c>
      <c r="Z30" s="16">
        <f t="shared" si="4"/>
        <v>0</v>
      </c>
      <c r="AA30" s="37">
        <v>0</v>
      </c>
      <c r="AB30" s="37">
        <v>0</v>
      </c>
      <c r="AC30" s="16">
        <f t="shared" si="5"/>
        <v>0</v>
      </c>
      <c r="AD30" s="31" t="s">
        <v>82</v>
      </c>
      <c r="AE30" s="5">
        <v>1</v>
      </c>
    </row>
    <row r="31" spans="1:16382" x14ac:dyDescent="0.35">
      <c r="B31" t="s">
        <v>914</v>
      </c>
      <c r="C31" s="25" t="s">
        <v>598</v>
      </c>
      <c r="D31" s="26" t="s">
        <v>599</v>
      </c>
      <c r="E31" s="26" t="s">
        <v>600</v>
      </c>
      <c r="F31" s="26"/>
      <c r="G31" s="26"/>
      <c r="H31" s="26"/>
      <c r="I31" s="26" t="s">
        <v>212</v>
      </c>
      <c r="J31" s="27"/>
      <c r="K31" s="26" t="s">
        <v>82</v>
      </c>
      <c r="L31" s="37">
        <v>2250</v>
      </c>
      <c r="M31" s="37">
        <v>2250</v>
      </c>
      <c r="N31" s="16">
        <f t="shared" si="0"/>
        <v>-4414.2151898734173</v>
      </c>
      <c r="O31" s="37">
        <v>2250</v>
      </c>
      <c r="P31" s="37">
        <v>2250</v>
      </c>
      <c r="Q31" s="16">
        <f t="shared" si="1"/>
        <v>-476.48571428571432</v>
      </c>
      <c r="R31" s="37">
        <v>2250</v>
      </c>
      <c r="S31" s="37">
        <v>2250</v>
      </c>
      <c r="T31" s="16">
        <f t="shared" si="2"/>
        <v>-343.54918032786884</v>
      </c>
      <c r="U31" s="37">
        <v>2250</v>
      </c>
      <c r="V31" s="37">
        <v>2250</v>
      </c>
      <c r="W31" s="16">
        <f t="shared" si="3"/>
        <v>-12.73170731707317</v>
      </c>
      <c r="X31" s="37">
        <v>2250</v>
      </c>
      <c r="Y31" s="37">
        <v>2250</v>
      </c>
      <c r="Z31" s="16">
        <f t="shared" si="4"/>
        <v>0</v>
      </c>
      <c r="AA31" s="37">
        <v>2250</v>
      </c>
      <c r="AB31" s="37">
        <v>2250</v>
      </c>
      <c r="AC31" s="16">
        <f t="shared" si="5"/>
        <v>-77.275862068965523</v>
      </c>
      <c r="AD31" s="31" t="s">
        <v>82</v>
      </c>
      <c r="AE31" s="5">
        <v>1</v>
      </c>
    </row>
    <row r="32" spans="1:16382" x14ac:dyDescent="0.35">
      <c r="B32" t="s">
        <v>914</v>
      </c>
      <c r="C32" s="25" t="s">
        <v>605</v>
      </c>
      <c r="D32" s="26" t="s">
        <v>606</v>
      </c>
      <c r="E32" s="26" t="s">
        <v>607</v>
      </c>
      <c r="F32" s="26"/>
      <c r="G32" s="26"/>
      <c r="H32" s="26"/>
      <c r="I32" s="26" t="s">
        <v>160</v>
      </c>
      <c r="J32" s="27"/>
      <c r="K32" s="26" t="s">
        <v>82</v>
      </c>
      <c r="L32" s="37">
        <v>1000</v>
      </c>
      <c r="M32" s="37">
        <v>1000</v>
      </c>
      <c r="N32" s="16">
        <f t="shared" si="0"/>
        <v>-1961.873417721519</v>
      </c>
      <c r="O32" s="37">
        <v>1000</v>
      </c>
      <c r="P32" s="37">
        <v>1000</v>
      </c>
      <c r="Q32" s="16">
        <f t="shared" si="1"/>
        <v>-211.77142857142857</v>
      </c>
      <c r="R32" s="37">
        <v>1000</v>
      </c>
      <c r="S32" s="37">
        <v>1000</v>
      </c>
      <c r="T32" s="16">
        <f t="shared" si="2"/>
        <v>-152.68852459016395</v>
      </c>
      <c r="U32" s="37">
        <v>0</v>
      </c>
      <c r="V32" s="37">
        <v>0</v>
      </c>
      <c r="W32" s="16">
        <f t="shared" si="3"/>
        <v>0</v>
      </c>
      <c r="X32" s="37">
        <v>0</v>
      </c>
      <c r="Y32" s="37">
        <v>0</v>
      </c>
      <c r="Z32" s="16">
        <f t="shared" si="4"/>
        <v>0</v>
      </c>
      <c r="AA32" s="37">
        <v>0</v>
      </c>
      <c r="AB32" s="37">
        <v>0</v>
      </c>
      <c r="AC32" s="16">
        <f t="shared" si="5"/>
        <v>0</v>
      </c>
      <c r="AD32" s="31" t="s">
        <v>82</v>
      </c>
      <c r="AE32" s="5">
        <v>1</v>
      </c>
    </row>
    <row r="33" spans="1:31" x14ac:dyDescent="0.35">
      <c r="C33" s="92" t="s">
        <v>625</v>
      </c>
      <c r="D33" s="92" t="s">
        <v>626</v>
      </c>
      <c r="E33" s="92" t="s">
        <v>627</v>
      </c>
      <c r="F33" s="92"/>
      <c r="G33" s="92"/>
      <c r="H33" s="92"/>
      <c r="I33" s="92" t="s">
        <v>160</v>
      </c>
      <c r="J33" s="95"/>
      <c r="K33" s="92" t="s">
        <v>82</v>
      </c>
      <c r="L33" s="96">
        <v>2250</v>
      </c>
      <c r="M33" s="96">
        <v>2250</v>
      </c>
      <c r="N33" s="16">
        <f t="shared" si="0"/>
        <v>-4414.2151898734173</v>
      </c>
      <c r="O33" s="96">
        <v>2250</v>
      </c>
      <c r="P33" s="96">
        <v>2250</v>
      </c>
      <c r="Q33" s="16">
        <f t="shared" si="1"/>
        <v>-476.48571428571432</v>
      </c>
      <c r="R33" s="96">
        <v>2250</v>
      </c>
      <c r="S33" s="96">
        <v>2250</v>
      </c>
      <c r="T33" s="16">
        <f t="shared" si="2"/>
        <v>-343.54918032786884</v>
      </c>
      <c r="U33" s="96">
        <v>0</v>
      </c>
      <c r="V33" s="96">
        <v>0</v>
      </c>
      <c r="W33" s="16">
        <f t="shared" si="3"/>
        <v>0</v>
      </c>
      <c r="X33" s="96">
        <v>500</v>
      </c>
      <c r="Y33" s="96">
        <v>500</v>
      </c>
      <c r="Z33" s="16">
        <f t="shared" si="4"/>
        <v>0</v>
      </c>
      <c r="AA33" s="96">
        <v>500</v>
      </c>
      <c r="AB33" s="96">
        <v>500</v>
      </c>
      <c r="AC33" s="16">
        <f t="shared" si="5"/>
        <v>-17.172413793103448</v>
      </c>
      <c r="AD33" s="97" t="s">
        <v>82</v>
      </c>
      <c r="AE33" s="5">
        <v>1</v>
      </c>
    </row>
    <row r="34" spans="1:31" ht="16.5" x14ac:dyDescent="0.45">
      <c r="F34" s="82"/>
      <c r="G34" s="83"/>
      <c r="H34" s="83"/>
      <c r="J34" s="82"/>
    </row>
    <row r="35" spans="1:31" ht="16.5" x14ac:dyDescent="0.45">
      <c r="F35" s="82"/>
      <c r="G35" s="83"/>
      <c r="H35" s="83"/>
      <c r="J35" s="82"/>
    </row>
    <row r="36" spans="1:31" ht="16.5" x14ac:dyDescent="0.45">
      <c r="C36" t="s">
        <v>848</v>
      </c>
      <c r="F36" s="82"/>
      <c r="G36" s="83"/>
      <c r="H36" s="83"/>
      <c r="J36" s="82"/>
      <c r="L36" s="5"/>
    </row>
    <row r="37" spans="1:31" ht="16.5" x14ac:dyDescent="0.45">
      <c r="F37" s="82"/>
      <c r="G37" s="83"/>
      <c r="H37" s="83"/>
      <c r="J37" s="82"/>
    </row>
    <row r="38" spans="1:31" x14ac:dyDescent="0.35">
      <c r="S38" s="5"/>
    </row>
    <row r="39" spans="1:31" x14ac:dyDescent="0.35">
      <c r="A39" t="s">
        <v>632</v>
      </c>
      <c r="C39" s="4"/>
      <c r="D39" s="4"/>
      <c r="E39" s="4"/>
      <c r="F39" s="4"/>
      <c r="G39" s="4"/>
      <c r="H39" s="4"/>
      <c r="I39" s="4"/>
      <c r="J39" s="13" t="s">
        <v>633</v>
      </c>
      <c r="K39" s="5"/>
      <c r="L39" s="55">
        <f>'Collection to Date'!E34</f>
        <v>314137</v>
      </c>
      <c r="M39" s="16"/>
      <c r="N39" s="5"/>
      <c r="O39" s="55">
        <f>'Collection to Date'!F34</f>
        <v>134229</v>
      </c>
      <c r="P39" s="16"/>
      <c r="Q39" s="5"/>
      <c r="R39" s="55">
        <f>'Collection to Date'!G34</f>
        <v>40513</v>
      </c>
      <c r="S39" s="16"/>
      <c r="T39" s="5"/>
      <c r="U39" s="55">
        <f>'Collection to Date'!H34</f>
        <v>148</v>
      </c>
      <c r="V39" s="16"/>
      <c r="W39" s="5"/>
      <c r="X39" s="55">
        <f>'Collection to Date'!I34</f>
        <v>4</v>
      </c>
      <c r="Y39" s="16"/>
      <c r="Z39" s="5"/>
      <c r="AA39" s="55">
        <f>'Collection to Date'!J34</f>
        <v>864</v>
      </c>
      <c r="AB39" s="16"/>
      <c r="AC39" s="4"/>
      <c r="AD39" s="4"/>
      <c r="AE39" s="4"/>
    </row>
    <row r="40" spans="1:31" x14ac:dyDescent="0.35">
      <c r="C40" s="4"/>
      <c r="D40" s="4"/>
      <c r="E40" s="4"/>
      <c r="F40" s="4"/>
      <c r="G40" s="4"/>
      <c r="H40" s="4"/>
      <c r="I40" s="4"/>
      <c r="J40" s="13" t="s">
        <v>634</v>
      </c>
      <c r="K40" s="5"/>
      <c r="L40" s="55">
        <f>'Distribution to Date'!D95</f>
        <v>391631</v>
      </c>
      <c r="M40" s="16"/>
      <c r="N40" s="5"/>
      <c r="O40" s="55">
        <f>'Distribution to Date'!E95</f>
        <v>141641</v>
      </c>
      <c r="P40" s="16"/>
      <c r="Q40" s="5"/>
      <c r="R40" s="55">
        <f>'Distribution to Date'!F95</f>
        <v>45170</v>
      </c>
      <c r="S40" s="16"/>
      <c r="T40" s="5"/>
      <c r="U40" s="55">
        <f>'Distribution to Date'!G95</f>
        <v>206</v>
      </c>
      <c r="V40" s="16"/>
      <c r="W40" s="5"/>
      <c r="X40" s="55">
        <f>'Distribution to Date'!H95</f>
        <v>4</v>
      </c>
      <c r="Y40" s="16"/>
      <c r="Z40" s="5"/>
      <c r="AA40" s="55">
        <f>'Distribution to Date'!I95</f>
        <v>1113</v>
      </c>
      <c r="AB40" s="16"/>
      <c r="AC40" s="4"/>
      <c r="AD40" s="4"/>
      <c r="AE40" s="4"/>
    </row>
    <row r="41" spans="1:31" x14ac:dyDescent="0.35">
      <c r="C41" s="4"/>
      <c r="D41" s="4"/>
      <c r="E41" s="4"/>
      <c r="F41" s="4"/>
      <c r="G41" s="4"/>
      <c r="H41" s="4"/>
      <c r="I41" s="4"/>
      <c r="J41" s="13" t="s">
        <v>927</v>
      </c>
      <c r="K41" s="5"/>
      <c r="L41" s="55">
        <f>SUM(L39-L40)</f>
        <v>-77494</v>
      </c>
      <c r="M41" s="16"/>
      <c r="N41" s="5"/>
      <c r="O41" s="55">
        <f>SUM(O39-O40)</f>
        <v>-7412</v>
      </c>
      <c r="P41" s="16"/>
      <c r="Q41" s="5"/>
      <c r="R41" s="55">
        <f>SUM(R39-R40)</f>
        <v>-4657</v>
      </c>
      <c r="S41" s="16"/>
      <c r="T41" s="5"/>
      <c r="U41" s="55">
        <f>SUM(U39-U40)</f>
        <v>-58</v>
      </c>
      <c r="V41" s="16"/>
      <c r="W41" s="5"/>
      <c r="X41" s="55">
        <f>SUM(X39-X40)</f>
        <v>0</v>
      </c>
      <c r="Y41" s="16"/>
      <c r="Z41" s="5"/>
      <c r="AA41" s="55">
        <f>SUM(AA39-AA40)</f>
        <v>-249</v>
      </c>
      <c r="AB41" s="16"/>
      <c r="AC41" s="4"/>
      <c r="AD41" s="4"/>
      <c r="AE41" s="4"/>
    </row>
    <row r="42" spans="1:31" s="4" customFormat="1" x14ac:dyDescent="0.35"/>
    <row r="43" spans="1:31" x14ac:dyDescent="0.35">
      <c r="C43" s="4"/>
      <c r="D43" s="4"/>
      <c r="E43" s="4"/>
      <c r="F43" s="4"/>
      <c r="G43" s="4"/>
      <c r="H43" s="4"/>
      <c r="I43" s="4"/>
      <c r="J43" s="13" t="s">
        <v>908</v>
      </c>
      <c r="K43" s="5"/>
      <c r="L43" s="18">
        <f>SUM(L7:L38)</f>
        <v>38000</v>
      </c>
      <c r="M43" s="16"/>
      <c r="N43" s="5"/>
      <c r="O43" s="18">
        <f>SUM(O7:O38)</f>
        <v>34000</v>
      </c>
      <c r="P43" s="16"/>
      <c r="Q43" s="5"/>
      <c r="R43" s="18">
        <f>SUM(R7:R38)</f>
        <v>30000</v>
      </c>
      <c r="S43" s="16"/>
      <c r="T43" s="5"/>
      <c r="U43" s="18">
        <f>SUM(U7:U38)</f>
        <v>10250</v>
      </c>
      <c r="V43" s="16"/>
      <c r="W43" s="5"/>
      <c r="X43" s="18">
        <f>SUM(X7:X38)</f>
        <v>8750</v>
      </c>
      <c r="Y43" s="16"/>
      <c r="Z43" s="5"/>
      <c r="AA43" s="18">
        <f>SUM(AA7:AA38)</f>
        <v>6750</v>
      </c>
      <c r="AB43" s="16"/>
      <c r="AC43" s="4"/>
      <c r="AD43" s="4"/>
      <c r="AE43" s="4"/>
    </row>
    <row r="44" spans="1:31" x14ac:dyDescent="0.35">
      <c r="C44" s="4"/>
      <c r="D44" s="4"/>
      <c r="E44" s="4"/>
      <c r="F44" s="4"/>
      <c r="G44" s="4"/>
      <c r="H44" s="4"/>
      <c r="I44" s="4"/>
      <c r="J44" s="13" t="s">
        <v>909</v>
      </c>
      <c r="K44" s="5"/>
      <c r="L44" s="18">
        <f>SUM(L41-L43)</f>
        <v>-115494</v>
      </c>
      <c r="M44" s="17"/>
      <c r="N44" s="17"/>
      <c r="O44" s="18">
        <f>SUM(O41-O43)</f>
        <v>-41412</v>
      </c>
      <c r="P44" s="17"/>
      <c r="Q44" s="17"/>
      <c r="R44" s="18">
        <f>SUM(R41-R43)</f>
        <v>-34657</v>
      </c>
      <c r="S44" s="17"/>
      <c r="T44" s="17"/>
      <c r="U44" s="18">
        <f>SUM(U41-U43)</f>
        <v>-10308</v>
      </c>
      <c r="V44" s="17"/>
      <c r="W44" s="17"/>
      <c r="X44" s="18">
        <f>SUM(X41-X43)</f>
        <v>-8750</v>
      </c>
      <c r="Y44" s="17"/>
      <c r="Z44" s="17"/>
      <c r="AA44" s="18">
        <f>SUM(AA41-AA43)</f>
        <v>-6999</v>
      </c>
      <c r="AB44" s="17"/>
      <c r="AC44" s="17"/>
      <c r="AD44" s="4"/>
      <c r="AE44" s="4"/>
    </row>
    <row r="45" spans="1:31" x14ac:dyDescent="0.35">
      <c r="J45" s="13"/>
      <c r="L45" s="5"/>
      <c r="O45" s="5"/>
      <c r="R45" s="5"/>
      <c r="U45" s="5"/>
      <c r="X45" s="5"/>
      <c r="AA45" s="5"/>
    </row>
    <row r="47" spans="1:31" x14ac:dyDescent="0.35"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</row>
    <row r="48" spans="1:31" x14ac:dyDescent="0.35"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</row>
    <row r="49" spans="3:26" x14ac:dyDescent="0.35"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Z49" s="19"/>
    </row>
    <row r="50" spans="3:26" x14ac:dyDescent="0.35"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Z50" s="19"/>
    </row>
    <row r="51" spans="3:26" x14ac:dyDescent="0.35"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Z51" s="19"/>
    </row>
    <row r="52" spans="3:26" x14ac:dyDescent="0.35"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Z52" s="19"/>
    </row>
    <row r="53" spans="3:26" x14ac:dyDescent="0.35">
      <c r="C53" s="19"/>
      <c r="D53" s="19"/>
      <c r="E53" s="19"/>
      <c r="F53" s="19"/>
      <c r="G53" s="19"/>
      <c r="H53" s="19"/>
      <c r="I53" s="19"/>
      <c r="J53" s="19"/>
      <c r="K53" s="19"/>
      <c r="L53" s="19"/>
      <c r="R53" s="19"/>
      <c r="S53" s="19"/>
      <c r="T53" s="19"/>
      <c r="U53" s="19"/>
      <c r="V53" s="19"/>
      <c r="W53" s="19"/>
      <c r="X53" s="19"/>
      <c r="Y53" s="19"/>
      <c r="Z53" s="19"/>
    </row>
    <row r="54" spans="3:26" x14ac:dyDescent="0.35">
      <c r="C54" s="19"/>
      <c r="D54" s="19"/>
      <c r="E54" s="19"/>
      <c r="F54" s="19"/>
      <c r="G54" s="19"/>
      <c r="H54" s="19"/>
      <c r="I54" s="19"/>
      <c r="J54" s="19"/>
      <c r="K54" s="19"/>
      <c r="L54" s="19"/>
      <c r="P54" s="19"/>
      <c r="R54" s="19"/>
      <c r="S54" s="19"/>
      <c r="T54" s="19"/>
      <c r="U54" s="19"/>
      <c r="V54" s="19"/>
      <c r="W54" s="19"/>
      <c r="X54" s="19"/>
      <c r="Y54" s="19"/>
      <c r="Z54" s="19"/>
    </row>
    <row r="55" spans="3:26" x14ac:dyDescent="0.35">
      <c r="R55" s="19"/>
      <c r="S55" s="19"/>
      <c r="T55" s="19"/>
      <c r="U55" s="19"/>
      <c r="V55" s="19"/>
      <c r="W55" s="19"/>
      <c r="X55" s="19"/>
      <c r="Y55" s="19"/>
      <c r="Z55" s="19"/>
    </row>
    <row r="56" spans="3:26" x14ac:dyDescent="0.35">
      <c r="R56" s="19"/>
      <c r="S56" s="19"/>
      <c r="T56" s="19"/>
      <c r="U56" s="19"/>
      <c r="V56" s="19"/>
      <c r="W56" s="19"/>
      <c r="X56" s="19"/>
      <c r="Y56" s="19"/>
      <c r="Z56" s="19"/>
    </row>
    <row r="57" spans="3:26" x14ac:dyDescent="0.35">
      <c r="R57" s="19"/>
      <c r="S57" s="19"/>
      <c r="T57" s="19"/>
      <c r="U57" s="19"/>
      <c r="V57" s="19"/>
      <c r="W57" s="19"/>
      <c r="X57" s="19"/>
      <c r="Y57" s="19"/>
      <c r="Z57" s="19"/>
    </row>
    <row r="58" spans="3:26" x14ac:dyDescent="0.35">
      <c r="R58" s="19"/>
      <c r="S58" s="19"/>
      <c r="T58" s="19"/>
      <c r="U58" s="19"/>
      <c r="V58" s="19"/>
      <c r="W58" s="19"/>
      <c r="X58" s="19"/>
      <c r="Y58" s="19"/>
      <c r="Z58" s="19"/>
    </row>
  </sheetData>
  <sortState xmlns:xlrd2="http://schemas.microsoft.com/office/spreadsheetml/2017/richdata2" ref="A4:AE33">
    <sortCondition ref="C4:C3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80A2A-85B9-4385-85C1-66C28FDCDB45}">
  <dimension ref="A1:L46"/>
  <sheetViews>
    <sheetView tabSelected="1" workbookViewId="0">
      <selection activeCell="K57" sqref="K57"/>
    </sheetView>
  </sheetViews>
  <sheetFormatPr defaultRowHeight="14.5" x14ac:dyDescent="0.35"/>
  <sheetData>
    <row r="1" spans="1:12" x14ac:dyDescent="0.35">
      <c r="A1" s="5">
        <v>3123.4326241134754</v>
      </c>
      <c r="B1" s="5">
        <v>2365.9878787878788</v>
      </c>
      <c r="C1" s="5">
        <v>181.61344537815128</v>
      </c>
      <c r="D1" s="5">
        <v>5.7857142857142856</v>
      </c>
      <c r="E1" s="16">
        <v>36.451612903225808</v>
      </c>
      <c r="F1" s="5"/>
      <c r="G1" s="5"/>
      <c r="H1" s="5"/>
      <c r="I1" s="5"/>
      <c r="J1" s="5"/>
      <c r="K1" s="5"/>
      <c r="L1" s="5"/>
    </row>
    <row r="2" spans="1:12" x14ac:dyDescent="0.35">
      <c r="A2" s="5">
        <v>1561.7163120567377</v>
      </c>
      <c r="B2" s="5">
        <v>1182.9939393939394</v>
      </c>
      <c r="C2" s="5">
        <v>0</v>
      </c>
      <c r="D2" s="5">
        <v>2.8928571428571428</v>
      </c>
      <c r="E2" s="16">
        <v>0</v>
      </c>
      <c r="F2" s="5"/>
      <c r="G2" s="5"/>
      <c r="H2" s="5"/>
      <c r="I2" s="5"/>
      <c r="J2" s="5"/>
      <c r="K2" s="5"/>
      <c r="L2" s="5"/>
    </row>
    <row r="3" spans="1:12" x14ac:dyDescent="0.35">
      <c r="A3" s="5">
        <v>1561.7163120567377</v>
      </c>
      <c r="B3" s="5">
        <v>2365.9878787878788</v>
      </c>
      <c r="C3" s="5">
        <v>0</v>
      </c>
      <c r="D3" s="5">
        <v>0</v>
      </c>
      <c r="E3" s="16">
        <v>0</v>
      </c>
      <c r="F3" s="5"/>
      <c r="G3" s="5"/>
      <c r="H3" s="5"/>
      <c r="I3" s="5"/>
      <c r="J3" s="5"/>
      <c r="K3" s="5"/>
      <c r="L3" s="5"/>
    </row>
    <row r="4" spans="1:12" x14ac:dyDescent="0.35">
      <c r="A4" s="5">
        <v>0</v>
      </c>
      <c r="B4" s="5">
        <v>1182.9939393939394</v>
      </c>
      <c r="C4" s="5">
        <v>0</v>
      </c>
      <c r="D4" s="5">
        <v>0</v>
      </c>
      <c r="E4" s="16">
        <v>0</v>
      </c>
      <c r="F4" s="5"/>
      <c r="G4" s="5"/>
      <c r="H4" s="5"/>
      <c r="I4" s="5"/>
      <c r="J4" s="5"/>
      <c r="K4" s="5"/>
      <c r="L4" s="5"/>
    </row>
    <row r="5" spans="1:12" x14ac:dyDescent="0.35">
      <c r="A5" s="5">
        <v>1561.7163120567377</v>
      </c>
      <c r="B5" s="5">
        <v>3548.9818181818187</v>
      </c>
      <c r="C5" s="5">
        <v>90.806722689075642</v>
      </c>
      <c r="D5" s="5">
        <v>0</v>
      </c>
      <c r="E5" s="16">
        <v>0</v>
      </c>
      <c r="F5" s="5"/>
      <c r="G5" s="5"/>
      <c r="H5" s="5"/>
      <c r="I5" s="5"/>
      <c r="J5" s="5"/>
      <c r="K5" s="5"/>
      <c r="L5" s="5"/>
    </row>
    <row r="6" spans="1:12" x14ac:dyDescent="0.35">
      <c r="A6" s="5">
        <v>3123.4326241134754</v>
      </c>
      <c r="B6" s="5">
        <v>2365.9878787878788</v>
      </c>
      <c r="C6" s="5">
        <v>181.61344537815128</v>
      </c>
      <c r="D6" s="5">
        <v>0</v>
      </c>
      <c r="E6" s="16">
        <v>0</v>
      </c>
      <c r="F6" s="5"/>
      <c r="G6" s="5"/>
      <c r="H6" s="5"/>
      <c r="I6" s="5"/>
      <c r="J6" s="5"/>
      <c r="K6" s="5"/>
      <c r="L6" s="5"/>
    </row>
    <row r="7" spans="1:12" x14ac:dyDescent="0.35">
      <c r="A7" s="5">
        <v>3123.4326241134754</v>
      </c>
      <c r="B7" s="5">
        <v>5323.4727272727278</v>
      </c>
      <c r="C7" s="5">
        <v>408.63025210084038</v>
      </c>
      <c r="D7" s="5">
        <v>0</v>
      </c>
      <c r="E7" s="16">
        <v>18.225806451612904</v>
      </c>
      <c r="F7" s="5"/>
      <c r="G7" s="5"/>
      <c r="H7" s="5"/>
      <c r="I7" s="5"/>
      <c r="J7" s="5"/>
      <c r="K7" s="5"/>
      <c r="L7" s="5"/>
    </row>
    <row r="8" spans="1:12" x14ac:dyDescent="0.35">
      <c r="A8" s="5">
        <v>7027.7234042553191</v>
      </c>
      <c r="B8" s="5">
        <v>5323.4727272727278</v>
      </c>
      <c r="C8" s="5">
        <v>90.806722689075642</v>
      </c>
      <c r="D8" s="5">
        <v>0</v>
      </c>
      <c r="E8" s="16">
        <v>0</v>
      </c>
      <c r="F8" s="5"/>
      <c r="G8" s="5"/>
      <c r="H8" s="5"/>
      <c r="I8" s="5"/>
      <c r="J8" s="5"/>
      <c r="K8" s="5"/>
      <c r="L8" s="5"/>
    </row>
    <row r="9" spans="1:12" x14ac:dyDescent="0.35">
      <c r="A9" s="5">
        <v>1561.7163120567377</v>
      </c>
      <c r="B9" s="5">
        <v>1182.9939393939394</v>
      </c>
      <c r="C9" s="5">
        <v>90.806722689075642</v>
      </c>
      <c r="D9" s="5">
        <v>2.8928571428571428</v>
      </c>
      <c r="E9" s="16">
        <v>18.225806451612904</v>
      </c>
      <c r="F9" s="5"/>
      <c r="G9" s="5"/>
      <c r="H9" s="5"/>
      <c r="I9" s="5"/>
      <c r="J9" s="5"/>
      <c r="K9" s="5"/>
      <c r="L9" s="5"/>
    </row>
    <row r="10" spans="1:12" x14ac:dyDescent="0.35">
      <c r="A10" s="5">
        <v>1561.7163120567377</v>
      </c>
      <c r="B10" s="5">
        <v>1182.9939393939394</v>
      </c>
      <c r="C10" s="5">
        <v>90.806722689075642</v>
      </c>
      <c r="D10" s="5">
        <v>2.8928571428571428</v>
      </c>
      <c r="E10" s="16">
        <v>18.225806451612904</v>
      </c>
      <c r="F10" s="5"/>
      <c r="G10" s="5"/>
      <c r="H10" s="5"/>
      <c r="I10" s="5"/>
      <c r="J10" s="5"/>
      <c r="K10" s="5"/>
      <c r="L10" s="5"/>
    </row>
    <row r="11" spans="1:12" x14ac:dyDescent="0.35">
      <c r="A11" s="5">
        <v>0</v>
      </c>
      <c r="B11" s="5">
        <v>3548.9818181818187</v>
      </c>
      <c r="C11" s="5">
        <v>0</v>
      </c>
      <c r="D11" s="5">
        <v>2.8928571428571428</v>
      </c>
      <c r="E11" s="16">
        <v>18.225806451612904</v>
      </c>
      <c r="F11" s="5"/>
      <c r="G11" s="5"/>
      <c r="H11" s="5"/>
      <c r="I11" s="5"/>
      <c r="J11" s="5"/>
      <c r="K11" s="5"/>
      <c r="L11" s="5"/>
    </row>
    <row r="12" spans="1:12" x14ac:dyDescent="0.35">
      <c r="A12" s="5">
        <v>1561.7163120567377</v>
      </c>
      <c r="B12" s="5">
        <v>1182.9939393939394</v>
      </c>
      <c r="C12" s="5">
        <v>90.806722689075642</v>
      </c>
      <c r="D12" s="5">
        <v>2.8928571428571428</v>
      </c>
      <c r="E12" s="16">
        <v>18.225806451612904</v>
      </c>
      <c r="F12" s="5"/>
      <c r="G12" s="5"/>
      <c r="H12" s="5"/>
      <c r="I12" s="5"/>
      <c r="J12" s="5"/>
      <c r="K12" s="5"/>
      <c r="L12" s="5"/>
    </row>
    <row r="13" spans="1:12" x14ac:dyDescent="0.35">
      <c r="A13" s="5">
        <v>3123.4326241134754</v>
      </c>
      <c r="B13" s="5">
        <v>1182.9939393939394</v>
      </c>
      <c r="C13" s="5">
        <v>90.806722689075642</v>
      </c>
      <c r="D13" s="5">
        <v>2.8928571428571428</v>
      </c>
      <c r="E13" s="16">
        <v>18.225806451612904</v>
      </c>
      <c r="F13" s="5"/>
      <c r="G13" s="5"/>
      <c r="H13" s="5"/>
      <c r="I13" s="5"/>
      <c r="J13" s="5"/>
      <c r="K13" s="5"/>
      <c r="L13" s="5"/>
    </row>
    <row r="14" spans="1:12" x14ac:dyDescent="0.35">
      <c r="A14" s="5">
        <v>3123.4326241134754</v>
      </c>
      <c r="B14" s="5">
        <v>1182.9939393939394</v>
      </c>
      <c r="C14" s="5">
        <v>0</v>
      </c>
      <c r="D14" s="5">
        <v>2.8928571428571428</v>
      </c>
      <c r="E14" s="16">
        <v>18.225806451612904</v>
      </c>
      <c r="F14" s="5"/>
      <c r="G14" s="5"/>
      <c r="H14" s="5"/>
      <c r="I14" s="5"/>
      <c r="J14" s="5"/>
      <c r="K14" s="5"/>
      <c r="L14" s="5"/>
    </row>
    <row r="15" spans="1:12" x14ac:dyDescent="0.35">
      <c r="A15" s="5">
        <v>4685.1489361702133</v>
      </c>
      <c r="B15" s="5">
        <v>3548.9818181818187</v>
      </c>
      <c r="C15" s="5">
        <v>272.42016806722688</v>
      </c>
      <c r="D15" s="5">
        <v>2.8928571428571428</v>
      </c>
      <c r="E15" s="16">
        <v>18.225806451612904</v>
      </c>
      <c r="F15" s="5"/>
      <c r="G15" s="5"/>
      <c r="H15" s="5"/>
      <c r="I15" s="5"/>
      <c r="J15" s="5"/>
      <c r="K15" s="5"/>
      <c r="L15" s="5"/>
    </row>
    <row r="16" spans="1:12" x14ac:dyDescent="0.35">
      <c r="A16" s="5">
        <v>1561.7163120567377</v>
      </c>
      <c r="B16" s="5">
        <v>1182.9939393939394</v>
      </c>
      <c r="C16" s="5">
        <v>90.806722689075642</v>
      </c>
      <c r="D16" s="5">
        <v>2.8928571428571428</v>
      </c>
      <c r="E16" s="16">
        <v>18.225806451612904</v>
      </c>
      <c r="F16" s="5"/>
      <c r="G16" s="5"/>
      <c r="H16" s="5"/>
      <c r="I16" s="5"/>
      <c r="J16" s="5"/>
      <c r="K16" s="5"/>
      <c r="L16" s="5"/>
    </row>
    <row r="17" spans="1:12" x14ac:dyDescent="0.35">
      <c r="A17" s="5">
        <v>1561.7163120567377</v>
      </c>
      <c r="B17" s="5">
        <v>1182.9939393939394</v>
      </c>
      <c r="C17" s="5">
        <v>90.806722689075642</v>
      </c>
      <c r="D17" s="5">
        <v>0</v>
      </c>
      <c r="E17" s="16">
        <v>18.225806451612904</v>
      </c>
      <c r="F17" s="5"/>
      <c r="G17" s="5"/>
      <c r="H17" s="5"/>
      <c r="I17" s="5"/>
      <c r="J17" s="5"/>
      <c r="K17" s="5"/>
      <c r="L17" s="5"/>
    </row>
    <row r="18" spans="1:12" x14ac:dyDescent="0.35">
      <c r="A18" s="5">
        <v>3123.4326241134754</v>
      </c>
      <c r="B18" s="5">
        <v>2365.9878787878788</v>
      </c>
      <c r="C18" s="5">
        <v>181.61344537815128</v>
      </c>
      <c r="D18" s="5">
        <v>0</v>
      </c>
      <c r="E18" s="16">
        <v>18.225806451612904</v>
      </c>
      <c r="F18" s="5"/>
      <c r="G18" s="5"/>
      <c r="H18" s="5"/>
      <c r="I18" s="5"/>
      <c r="J18" s="5"/>
      <c r="K18" s="5"/>
      <c r="L18" s="5"/>
    </row>
    <row r="19" spans="1:12" x14ac:dyDescent="0.35">
      <c r="A19" s="5">
        <v>1561.7163120567377</v>
      </c>
      <c r="B19" s="5">
        <v>1182.9939393939394</v>
      </c>
      <c r="C19" s="5">
        <v>90.806722689075642</v>
      </c>
      <c r="D19" s="5">
        <v>2.8928571428571428</v>
      </c>
      <c r="E19" s="16">
        <v>18.225806451612904</v>
      </c>
      <c r="F19" s="5"/>
      <c r="G19" s="5"/>
      <c r="H19" s="5"/>
      <c r="I19" s="5"/>
      <c r="J19" s="5"/>
      <c r="K19" s="5"/>
      <c r="L19" s="5"/>
    </row>
    <row r="20" spans="1:12" x14ac:dyDescent="0.35">
      <c r="A20" s="5">
        <v>4685.1489361702133</v>
      </c>
      <c r="B20" s="5">
        <v>3548.9818181818187</v>
      </c>
      <c r="C20" s="5">
        <v>272.42016806722688</v>
      </c>
      <c r="D20" s="5">
        <v>2.8928571428571428</v>
      </c>
      <c r="E20" s="16">
        <v>18.225806451612904</v>
      </c>
      <c r="F20" s="5"/>
      <c r="G20" s="5"/>
      <c r="H20" s="5"/>
      <c r="I20" s="5"/>
      <c r="J20" s="5"/>
      <c r="K20" s="5"/>
      <c r="L20" s="5"/>
    </row>
    <row r="21" spans="1:12" x14ac:dyDescent="0.35">
      <c r="A21" s="5">
        <v>3123.4326241134754</v>
      </c>
      <c r="B21" s="5">
        <v>2365.9878787878788</v>
      </c>
      <c r="C21" s="5">
        <v>181.61344537815128</v>
      </c>
      <c r="D21" s="5">
        <v>2.8928571428571428</v>
      </c>
      <c r="E21" s="16">
        <v>18.225806451612904</v>
      </c>
      <c r="F21" s="5"/>
      <c r="G21" s="5"/>
      <c r="H21" s="5"/>
      <c r="I21" s="5"/>
      <c r="J21" s="5"/>
      <c r="K21" s="5"/>
      <c r="L21" s="5"/>
    </row>
    <row r="22" spans="1:12" x14ac:dyDescent="0.35">
      <c r="A22" s="5">
        <v>1561.7163120567377</v>
      </c>
      <c r="B22" s="5">
        <v>1182.9939393939394</v>
      </c>
      <c r="C22" s="5">
        <v>90.806722689075642</v>
      </c>
      <c r="D22" s="5">
        <v>2.8928571428571428</v>
      </c>
      <c r="E22" s="16">
        <v>18.225806451612904</v>
      </c>
      <c r="F22" s="5"/>
      <c r="G22" s="5"/>
      <c r="H22" s="5"/>
      <c r="I22" s="5"/>
      <c r="J22" s="5"/>
      <c r="K22" s="5"/>
      <c r="L22" s="5"/>
    </row>
    <row r="23" spans="1:12" x14ac:dyDescent="0.35">
      <c r="A23" s="5">
        <v>3123.4326241134754</v>
      </c>
      <c r="B23" s="5">
        <v>2365.9878787878788</v>
      </c>
      <c r="C23" s="5">
        <v>181.61344537815128</v>
      </c>
      <c r="D23" s="5">
        <v>5.7857142857142856</v>
      </c>
      <c r="E23" s="16">
        <v>36.451612903225808</v>
      </c>
      <c r="F23" s="5"/>
      <c r="G23" s="5"/>
      <c r="H23" s="5"/>
      <c r="I23" s="5"/>
      <c r="J23" s="5"/>
      <c r="K23" s="5"/>
      <c r="L23" s="5"/>
    </row>
    <row r="24" spans="1:12" x14ac:dyDescent="0.35">
      <c r="A24" s="5">
        <v>1561.7163120567377</v>
      </c>
      <c r="B24" s="5">
        <v>1182.9939393939394</v>
      </c>
      <c r="C24" s="5">
        <v>90.806722689075642</v>
      </c>
      <c r="D24" s="5">
        <v>2.8928571428571428</v>
      </c>
      <c r="E24" s="16">
        <v>18.225806451612904</v>
      </c>
      <c r="F24" s="5"/>
      <c r="G24" s="5"/>
      <c r="H24" s="5"/>
      <c r="I24" s="5"/>
      <c r="J24" s="5"/>
      <c r="K24" s="5"/>
      <c r="L24" s="5"/>
    </row>
    <row r="25" spans="1:12" x14ac:dyDescent="0.35">
      <c r="A25" s="5">
        <v>0</v>
      </c>
      <c r="B25" s="5">
        <v>5323.4727272727278</v>
      </c>
      <c r="C25" s="5">
        <v>0</v>
      </c>
      <c r="D25" s="5">
        <v>0</v>
      </c>
      <c r="E25" s="16">
        <v>0</v>
      </c>
      <c r="F25" s="5"/>
      <c r="G25" s="5"/>
      <c r="H25" s="5"/>
      <c r="I25" s="5"/>
      <c r="J25" s="5"/>
      <c r="K25" s="5"/>
      <c r="L25" s="5"/>
    </row>
    <row r="26" spans="1:12" x14ac:dyDescent="0.35">
      <c r="A26" s="5">
        <v>1561.7163120567377</v>
      </c>
      <c r="B26" s="5">
        <v>1182.9939393939394</v>
      </c>
      <c r="C26" s="5">
        <v>90.806722689075642</v>
      </c>
      <c r="D26" s="5">
        <v>2.8928571428571428</v>
      </c>
      <c r="E26" s="16">
        <v>18.225806451612904</v>
      </c>
      <c r="F26" s="5"/>
      <c r="G26" s="5"/>
      <c r="H26" s="5"/>
      <c r="I26" s="5"/>
      <c r="J26" s="5"/>
      <c r="K26" s="5"/>
      <c r="L26" s="5"/>
    </row>
    <row r="27" spans="1:12" x14ac:dyDescent="0.35">
      <c r="A27" s="5">
        <v>1561.7163120567377</v>
      </c>
      <c r="B27" s="5">
        <v>0</v>
      </c>
      <c r="C27" s="5">
        <v>0</v>
      </c>
      <c r="D27" s="5">
        <v>0</v>
      </c>
      <c r="E27" s="16">
        <v>0</v>
      </c>
      <c r="F27" s="5"/>
      <c r="G27" s="5"/>
      <c r="H27" s="5"/>
      <c r="I27" s="5"/>
      <c r="J27" s="5"/>
      <c r="K27" s="5"/>
      <c r="L27" s="5"/>
    </row>
    <row r="28" spans="1:12" x14ac:dyDescent="0.35">
      <c r="A28" s="5">
        <v>3123.4326241134754</v>
      </c>
      <c r="B28" s="5">
        <v>0</v>
      </c>
      <c r="C28" s="5">
        <v>90.806722689075642</v>
      </c>
      <c r="D28" s="5">
        <v>2.8928571428571428</v>
      </c>
      <c r="E28" s="16">
        <v>18.225806451612904</v>
      </c>
      <c r="F28" s="5"/>
      <c r="G28" s="5"/>
      <c r="H28" s="5"/>
      <c r="I28" s="5"/>
      <c r="J28" s="5"/>
      <c r="K28" s="5"/>
      <c r="L28" s="5"/>
    </row>
    <row r="29" spans="1:12" x14ac:dyDescent="0.35">
      <c r="A29" s="5">
        <v>7027.7234042553191</v>
      </c>
      <c r="B29" s="5">
        <v>5323.4727272727278</v>
      </c>
      <c r="C29" s="5">
        <v>408.63025210084038</v>
      </c>
      <c r="D29" s="5">
        <v>0</v>
      </c>
      <c r="E29" s="16">
        <v>18.225806451612904</v>
      </c>
      <c r="F29" s="5"/>
      <c r="G29" s="5"/>
      <c r="H29" s="5"/>
      <c r="I29" s="5"/>
      <c r="J29" s="5"/>
      <c r="K29" s="5"/>
      <c r="L29" s="5"/>
    </row>
    <row r="30" spans="1:12" x14ac:dyDescent="0.35">
      <c r="A30" s="5">
        <v>4685.1489361702133</v>
      </c>
      <c r="B30" s="5">
        <v>3548.9818181818187</v>
      </c>
      <c r="C30" s="5">
        <v>272.42016806722688</v>
      </c>
      <c r="D30" s="5">
        <v>0</v>
      </c>
      <c r="E30" s="16">
        <v>0</v>
      </c>
      <c r="F30" s="5"/>
      <c r="G30" s="5"/>
      <c r="H30" s="5"/>
      <c r="I30" s="5"/>
      <c r="J30" s="5"/>
      <c r="K30" s="5"/>
      <c r="L30" s="5"/>
    </row>
    <row r="31" spans="1:12" x14ac:dyDescent="0.35">
      <c r="A31" s="5">
        <v>1561.7163120567377</v>
      </c>
      <c r="B31" s="5">
        <v>1182.9939393939394</v>
      </c>
      <c r="C31" s="5">
        <v>0</v>
      </c>
      <c r="D31" s="5">
        <v>0</v>
      </c>
      <c r="E31" s="16">
        <v>18.225806451612904</v>
      </c>
      <c r="F31" s="5"/>
      <c r="G31" s="5"/>
      <c r="H31" s="5"/>
      <c r="I31" s="5"/>
      <c r="J31" s="5"/>
      <c r="K31" s="5"/>
      <c r="L31" s="5"/>
    </row>
    <row r="32" spans="1:12" x14ac:dyDescent="0.35">
      <c r="A32" s="5">
        <v>4685.1489361702133</v>
      </c>
      <c r="B32" s="5">
        <v>3548.9818181818187</v>
      </c>
      <c r="C32" s="5">
        <v>272.42016806722688</v>
      </c>
      <c r="D32" s="5">
        <v>2.8928571428571428</v>
      </c>
      <c r="E32" s="16">
        <v>18.225806451612904</v>
      </c>
      <c r="F32" s="5"/>
      <c r="G32" s="5"/>
      <c r="H32" s="5"/>
      <c r="I32" s="5"/>
      <c r="J32" s="5"/>
      <c r="K32" s="5"/>
      <c r="L32" s="5"/>
    </row>
    <row r="33" spans="1:12" x14ac:dyDescent="0.35">
      <c r="A33" s="5">
        <v>1561.7163120567377</v>
      </c>
      <c r="B33" s="5">
        <v>1182.9939393939394</v>
      </c>
      <c r="C33" s="5">
        <v>90.806722689075642</v>
      </c>
      <c r="D33" s="5">
        <v>0</v>
      </c>
      <c r="E33" s="16">
        <v>0</v>
      </c>
      <c r="F33" s="5"/>
      <c r="G33" s="5"/>
      <c r="H33" s="5"/>
      <c r="I33" s="5"/>
      <c r="J33" s="5"/>
      <c r="K33" s="5"/>
      <c r="L33" s="5"/>
    </row>
    <row r="34" spans="1:12" x14ac:dyDescent="0.35">
      <c r="A34" s="5">
        <v>1561.7163120567377</v>
      </c>
      <c r="B34" s="5">
        <v>1182.9939393939394</v>
      </c>
      <c r="C34" s="5">
        <v>90.806722689075642</v>
      </c>
      <c r="D34" s="5">
        <v>0</v>
      </c>
      <c r="E34" s="16">
        <v>0</v>
      </c>
      <c r="F34" s="5"/>
      <c r="G34" s="5"/>
      <c r="H34" s="5"/>
      <c r="I34" s="5"/>
      <c r="J34" s="5"/>
      <c r="K34" s="5"/>
      <c r="L34" s="5"/>
    </row>
    <row r="35" spans="1:12" x14ac:dyDescent="0.35">
      <c r="A35" s="5">
        <v>3123.4326241134754</v>
      </c>
      <c r="B35" s="5">
        <v>2365.9878787878788</v>
      </c>
      <c r="C35" s="5">
        <v>181.61344537815128</v>
      </c>
      <c r="D35" s="5">
        <v>2.8928571428571428</v>
      </c>
      <c r="E35" s="16">
        <v>18.225806451612904</v>
      </c>
      <c r="F35" s="5"/>
      <c r="G35" s="5"/>
      <c r="H35" s="5"/>
      <c r="I35" s="5"/>
      <c r="J35" s="5"/>
      <c r="K35" s="5"/>
      <c r="L35" s="5"/>
    </row>
    <row r="36" spans="1:12" x14ac:dyDescent="0.35">
      <c r="A36" s="5">
        <v>1561.7163120567377</v>
      </c>
      <c r="B36" s="5">
        <v>3548.9818181818187</v>
      </c>
      <c r="C36" s="5">
        <v>90.806722689075642</v>
      </c>
      <c r="D36" s="5">
        <v>0</v>
      </c>
      <c r="E36" s="16">
        <v>0</v>
      </c>
      <c r="F36" s="5"/>
      <c r="G36" s="5"/>
      <c r="H36" s="5"/>
      <c r="I36" s="5"/>
      <c r="J36" s="5"/>
      <c r="K36" s="5"/>
      <c r="L36" s="5"/>
    </row>
    <row r="37" spans="1:12" x14ac:dyDescent="0.35">
      <c r="A37" s="5">
        <v>1561.7163120567377</v>
      </c>
      <c r="B37" s="5">
        <v>1182.9939393939394</v>
      </c>
      <c r="C37" s="5">
        <v>90.806722689075642</v>
      </c>
      <c r="D37" s="5">
        <v>2.8928571428571428</v>
      </c>
      <c r="E37" s="16">
        <v>18.225806451612904</v>
      </c>
      <c r="F37" s="5"/>
      <c r="G37" s="5"/>
      <c r="H37" s="5"/>
      <c r="I37" s="5"/>
      <c r="J37" s="5"/>
      <c r="K37" s="5"/>
      <c r="L37" s="5"/>
    </row>
    <row r="38" spans="1:12" x14ac:dyDescent="0.35">
      <c r="A38" s="5">
        <v>4685.1489361702133</v>
      </c>
      <c r="B38" s="5">
        <v>3548.9818181818187</v>
      </c>
      <c r="C38" s="5">
        <v>181.61344537815128</v>
      </c>
      <c r="D38" s="5">
        <v>0</v>
      </c>
      <c r="E38" s="16">
        <v>0</v>
      </c>
      <c r="F38" s="5"/>
      <c r="G38" s="5"/>
      <c r="H38" s="5"/>
      <c r="I38" s="5"/>
      <c r="J38" s="5"/>
      <c r="K38" s="5"/>
      <c r="L38" s="5"/>
    </row>
    <row r="39" spans="1:12" x14ac:dyDescent="0.35">
      <c r="A39" s="5">
        <v>1561.7163120567377</v>
      </c>
      <c r="B39" s="5">
        <v>2365.9878787878788</v>
      </c>
      <c r="C39" s="5">
        <v>90.806722689075642</v>
      </c>
      <c r="D39" s="5">
        <v>5.7857142857142856</v>
      </c>
      <c r="E39" s="16">
        <v>18.225806451612904</v>
      </c>
      <c r="F39" s="5"/>
      <c r="G39" s="5"/>
      <c r="H39" s="5"/>
      <c r="I39" s="5"/>
      <c r="J39" s="5"/>
      <c r="K39" s="5"/>
      <c r="L39" s="5"/>
    </row>
    <row r="40" spans="1:12" x14ac:dyDescent="0.35">
      <c r="A40" s="5">
        <v>3123.4326241134754</v>
      </c>
      <c r="B40" s="5">
        <v>2365.9878787878788</v>
      </c>
      <c r="C40" s="5">
        <v>181.61344537815128</v>
      </c>
      <c r="D40" s="5">
        <v>5.7857142857142856</v>
      </c>
      <c r="E40" s="16">
        <v>18.225806451612904</v>
      </c>
      <c r="F40" s="5"/>
      <c r="G40" s="5"/>
      <c r="H40" s="5"/>
      <c r="I40" s="5"/>
      <c r="J40" s="5"/>
      <c r="K40" s="5"/>
      <c r="L40" s="5"/>
    </row>
    <row r="41" spans="1:12" x14ac:dyDescent="0.35">
      <c r="A41" s="5">
        <v>1561.7163120567377</v>
      </c>
      <c r="B41" s="5">
        <v>1182.9939393939394</v>
      </c>
      <c r="C41" s="5">
        <v>0</v>
      </c>
      <c r="D41" s="5">
        <v>2.8928571428571428</v>
      </c>
      <c r="E41" s="16">
        <v>18.225806451612904</v>
      </c>
      <c r="F41" s="5"/>
      <c r="G41" s="5"/>
      <c r="H41" s="5"/>
      <c r="I41" s="5"/>
      <c r="J41" s="5"/>
      <c r="K41" s="5"/>
      <c r="L41" s="5"/>
    </row>
    <row r="42" spans="1:12" x14ac:dyDescent="0.35">
      <c r="A42" s="5">
        <v>7027.7234042553191</v>
      </c>
      <c r="B42" s="5">
        <v>5323.4727272727278</v>
      </c>
      <c r="C42" s="5">
        <v>408.63025210084038</v>
      </c>
      <c r="D42" s="5">
        <v>0</v>
      </c>
      <c r="E42" s="16">
        <v>18.225806451612904</v>
      </c>
      <c r="F42" s="5"/>
      <c r="G42" s="5"/>
      <c r="H42" s="5"/>
      <c r="I42" s="5"/>
      <c r="J42" s="5"/>
      <c r="K42" s="5"/>
      <c r="L42" s="5"/>
    </row>
    <row r="44" spans="1:12" x14ac:dyDescent="0.35">
      <c r="A44" s="5">
        <f>SUM(A1:A43)</f>
        <v>110101.00000000001</v>
      </c>
      <c r="B44" s="5">
        <f>SUM(B1:B43)</f>
        <v>97597.000000000029</v>
      </c>
      <c r="C44" s="5">
        <f>SUM(C1:C43)</f>
        <v>5403.0000000000009</v>
      </c>
      <c r="D44" s="5">
        <f>SUM(D1:D43)</f>
        <v>81.000000000000028</v>
      </c>
      <c r="E44" s="5">
        <f>SUM(E1:E43)</f>
        <v>565.00000000000023</v>
      </c>
      <c r="G44" s="5">
        <f>SUM(A44:F44)</f>
        <v>213747.00000000006</v>
      </c>
      <c r="I44">
        <v>453743</v>
      </c>
    </row>
    <row r="45" spans="1:12" x14ac:dyDescent="0.35">
      <c r="G45">
        <v>166022.00000000006</v>
      </c>
      <c r="I45">
        <v>-379769</v>
      </c>
    </row>
    <row r="46" spans="1:12" x14ac:dyDescent="0.35">
      <c r="G46" s="5">
        <f>SUM(G44:G45)</f>
        <v>379769.00000000012</v>
      </c>
      <c r="I46">
        <f>SUM(I44:I45)</f>
        <v>73974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813e8be2-b7cc-4c6e-9710-509d5e2164ed" xsi:nil="true"/>
    <TaxCatchAll xmlns="05b4758f-8821-4a21-b966-908f26119da4" xsi:nil="true"/>
    <lcf76f155ced4ddcb4097134ff3c332f xmlns="813e8be2-b7cc-4c6e-9710-509d5e2164ed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90CD4DF689B2C4FA6B0A9712A3780A6" ma:contentTypeVersion="18" ma:contentTypeDescription="Create a new document." ma:contentTypeScope="" ma:versionID="dc0b4e8f07df93d728e32debc467fb4f">
  <xsd:schema xmlns:xsd="http://www.w3.org/2001/XMLSchema" xmlns:xs="http://www.w3.org/2001/XMLSchema" xmlns:p="http://schemas.microsoft.com/office/2006/metadata/properties" xmlns:ns2="813e8be2-b7cc-4c6e-9710-509d5e2164ed" xmlns:ns3="05b4758f-8821-4a21-b966-908f26119da4" targetNamespace="http://schemas.microsoft.com/office/2006/metadata/properties" ma:root="true" ma:fieldsID="649d1420a33ee33dba0d98c2afa24438" ns2:_="" ns3:_="">
    <xsd:import namespace="813e8be2-b7cc-4c6e-9710-509d5e2164ed"/>
    <xsd:import namespace="05b4758f-8821-4a21-b966-908f26119da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OCR" minOccurs="0"/>
                <xsd:element ref="ns2:_Flow_SignoffStatu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3e8be2-b7cc-4c6e-9710-509d5e2164e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_Flow_SignoffStatus" ma:index="14" nillable="true" ma:displayName="Sign-off status" ma:internalName="_x0024_Resources_x003a_core_x002c_Signoff_Status_x003b_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6fc3b55c-1217-4564-832a-5a59bab55aa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5b4758f-8821-4a21-b966-908f26119da4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080c9d78-4e22-4902-8d9d-618faafb69c4}" ma:internalName="TaxCatchAll" ma:showField="CatchAllData" ma:web="05b4758f-8821-4a21-b966-908f26119da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2AB9768-B71D-4F0C-A9CA-C3FC915A6256}">
  <ds:schemaRefs>
    <ds:schemaRef ds:uri="http://schemas.microsoft.com/office/2006/metadata/properties"/>
    <ds:schemaRef ds:uri="http://schemas.microsoft.com/office/infopath/2007/PartnerControls"/>
    <ds:schemaRef ds:uri="813e8be2-b7cc-4c6e-9710-509d5e2164ed"/>
    <ds:schemaRef ds:uri="05b4758f-8821-4a21-b966-908f26119da4"/>
  </ds:schemaRefs>
</ds:datastoreItem>
</file>

<file path=customXml/itemProps2.xml><?xml version="1.0" encoding="utf-8"?>
<ds:datastoreItem xmlns:ds="http://schemas.openxmlformats.org/officeDocument/2006/customXml" ds:itemID="{705F312E-9CA9-48C7-B7FB-32A50B157F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13e8be2-b7cc-4c6e-9710-509d5e2164ed"/>
    <ds:schemaRef ds:uri="05b4758f-8821-4a21-b966-908f26119da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B5FEAA9-CCFF-40AA-88CE-4435E568130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Collection to Date</vt:lpstr>
      <vt:lpstr>For Mail Merge</vt:lpstr>
      <vt:lpstr>Example - Calculator</vt:lpstr>
      <vt:lpstr>Distribution to Date</vt:lpstr>
      <vt:lpstr>Fundraising Spreadsheet</vt:lpstr>
      <vt:lpstr>Hi Neighbour Collections</vt:lpstr>
      <vt:lpstr>Hi Neighbour Distributions</vt:lpstr>
      <vt:lpstr>Distribution Calculator</vt:lpstr>
      <vt:lpstr>Distributions On Hand June 22</vt:lpstr>
      <vt:lpstr>Distributions Future</vt:lpstr>
      <vt:lpstr>Distributions October 2021</vt:lpstr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Neal Adolph (United Way)</dc:creator>
  <cp:keywords/>
  <dc:description/>
  <cp:lastModifiedBy>Alexa Graf (United Way)</cp:lastModifiedBy>
  <cp:revision/>
  <dcterms:created xsi:type="dcterms:W3CDTF">2020-07-02T17:21:46Z</dcterms:created>
  <dcterms:modified xsi:type="dcterms:W3CDTF">2023-10-28T00:30:17Z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0x010100690CD4DF689B2C4FA6B0A9712A3780A6</vt:lpwstr>
  </property>
  <property fmtid="{D5CDD505-2E9C-101B-9397-08002B2CF9AE}" pid="3" name="MediaServiceImageTags">
    <vt:lpwstr/>
  </property>
</Properties>
</file>